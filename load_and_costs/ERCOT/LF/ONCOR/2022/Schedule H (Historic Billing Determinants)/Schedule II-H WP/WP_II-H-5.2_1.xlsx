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240" yWindow="96" windowWidth="11352" windowHeight="5388" activeTab="0"/>
  </bookViews>
  <sheets>
    <sheet name="Res Seasonal Weights" sheetId="4" r:id="rId2"/>
    <sheet name="Res Monthly Weather Weights" sheetId="1" r:id="rId3"/>
    <sheet name="Res Weights by Year (18-20)" sheetId="3" r:id="rId4"/>
    <sheet name="Res Sales by Year (18-20)" sheetId="2" r:id="rId5"/>
  </sheets>
  <externalReferences>
    <externalReference r:id="rId8"/>
    <externalReference r:id="rId9"/>
    <externalReference r:id="rId10"/>
  </externalReferences>
  <definedNames>
    <definedName name="_xlnm.Database">#REF!</definedName>
    <definedName name="HOURLY">[1]HOURLY!$A$1:$G$745</definedName>
    <definedName name="OLE_LINK2" localSheetId="0">'Res Seasonal Weights'!$B$24</definedName>
    <definedName name="_xlnm.Print_Area" localSheetId="3">'Res Sales by Year (18-20)'!$A$1:$P$64</definedName>
    <definedName name="_xlnm.Print_Area" localSheetId="0">'Res Seasonal Weights'!$A$1:$P$36</definedName>
    <definedName name="_xlnm.Print_Area" localSheetId="2">'Res Weights by Year (18-20)'!$A$1:$P$64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36" i="4" l="1"/>
</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<sst xmlns="http://schemas.openxmlformats.org/spreadsheetml/2006/main" count="242" uniqueCount="50">
  <si>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</si>
  <si>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</si>
  <si>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</si>
  <si>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</si>
  <si>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</si>
  <si>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</si>
  <si>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</si>
  <si>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</si>
  <si>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</si>
  <si>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</si>
  <si>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</si>
  <si>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</si>
  <si>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</si>
  <si>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</si>
  <si>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</si>
  <si>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</si>
  <si>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</si>
  <si>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</si>
  <si>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</si>
  <si>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</si>
  <si>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</si>
  <si>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</si>
  <si>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</si>
  <si>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</si>
  <si>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</si>
  <si>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</si>
  <si>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</si>
  <si>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</si>
  <si>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</si>
  <si>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</si>
  <si>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</si>
  <si>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</si>
  <si>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</si>
  <si>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</si>
  <si>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</si>
  <si>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</si>
  <si>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</si>
  <si>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</si>
  <si>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</si>
  <si>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RESIDENTIAL MONTHLY KWH SALES BY YEAR</t>
  </si>
  <si>
    <t>WEATHER WEIGHTS</t>
  </si>
  <si>
    <t>RESIDENTIAL MONTHLY WEIGHTS BY YEAR</t>
  </si>
  <si>
    <t>RESIDENTIAL MONTHLY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</si>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</sst>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0" fontId="2" fillId="0" borderId="0" applyNumberFormat="0" applyFill="0" applyBorder="0" applyAlignment="0" applyProtection="0"/>
  </cellStyleXfs>
  <cellXfs count="72"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64" fontId="8" fillId="0" borderId="0" xfId="15" applyNumberFormat="1" applyFont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Protection="1">
      <protection locked="0"/>
    </xf>
    <xf numFmtId="164" fontId="8" fillId="0" borderId="1" xfId="0" applyNumberFormat="1" applyFont="1" applyFill="1" applyBorder="1" applyProtection="1">
      <protection locked="0"/>
    </xf>
    <xf numFmtId="164" fontId="8" fillId="0" borderId="0" xfId="15" applyNumberFormat="1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3" fontId="8" fillId="0" borderId="0" xfId="0" applyNumberFormat="1" applyFont="1" applyFill="1" applyBorder="1" applyAlignment="1" applyProtection="1">
      <alignment/>
      <protection locked="0"/>
    </xf>
    <xf numFmtId="164" fontId="8" fillId="0" borderId="0" xfId="0" applyNumberFormat="1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/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/>
    <xf numFmtId="0" fontId="7" fillId="0" borderId="0" xfId="0" applyFont="1" applyAlignment="1" applyProtection="1">
      <alignment/>
      <protection locked="0"/>
    </xf>
    <xf numFmtId="0" fontId="0" fillId="0" borderId="0" xfId="0" applyAlignment="1" quotePrefix="1">
      <alignment horizontal="center"/>
    </xf>
    <xf numFmtId="0" fontId="5" fillId="0" borderId="0" xfId="0" applyFont="1" applyAlignment="1">
      <alignment horizontal="center"/>
    </xf>
    <xf numFmtId="165" fontId="8" fillId="0" borderId="2" xfId="21" applyNumberFormat="1" applyFont="1" applyBorder="1" applyAlignment="1">
      <alignment horizontal="right" vertical="center" wrapText="1"/>
      <protection/>
    </xf>
    <xf numFmtId="165" fontId="8" fillId="0" borderId="3" xfId="21" applyNumberFormat="1" applyFont="1" applyBorder="1" applyAlignment="1">
      <alignment horizontal="right" vertical="center" wrapText="1"/>
      <protection/>
    </xf>
    <xf numFmtId="165" fontId="8" fillId="0" borderId="4" xfId="21" applyNumberFormat="1" applyFont="1" applyBorder="1" applyAlignment="1">
      <alignment horizontal="right" vertical="center" wrapText="1"/>
      <protection/>
    </xf>
    <xf numFmtId="0" fontId="8" fillId="0" borderId="5" xfId="21" applyFont="1" applyBorder="1" applyAlignment="1">
      <alignment horizontal="right" vertical="center" wrapText="1"/>
      <protection/>
    </xf>
    <xf numFmtId="0" fontId="7" fillId="0" borderId="0" xfId="0" applyFont="1" applyAlignment="1" applyProtection="1">
      <alignment horizontal="center"/>
      <protection locked="0"/>
    </xf>
    <xf numFmtId="0" fontId="2" fillId="0" borderId="0" xfId="20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2" fillId="0" borderId="0" xfId="20" applyFont="1" applyProtection="1">
      <alignment/>
      <protection locked="0"/>
    </xf>
    <xf numFmtId="0" fontId="2" fillId="0" borderId="0" xfId="20">
      <alignment/>
      <protection/>
    </xf>
    <xf numFmtId="0" fontId="2" fillId="0" borderId="0" xfId="20" applyFont="1" applyAlignment="1" applyProtection="1">
      <alignment/>
      <protection locked="0"/>
    </xf>
    <xf numFmtId="0" fontId="2" fillId="0" borderId="0" xfId="20" applyAlignment="1" quotePrefix="1">
      <alignment horizontal="center"/>
      <protection/>
    </xf>
    <xf numFmtId="0" fontId="5" fillId="0" borderId="0" xfId="20" applyFont="1" applyAlignment="1">
      <alignment horizontal="center"/>
      <protection/>
    </xf>
    <xf numFmtId="165" fontId="6" fillId="0" borderId="2" xfId="22" applyNumberFormat="1" applyFont="1" applyBorder="1" applyAlignment="1" applyProtection="1">
      <alignment horizontal="right" vertical="center" wrapText="1"/>
      <protection locked="0"/>
    </xf>
    <xf numFmtId="0" fontId="6" fillId="0" borderId="0" xfId="22" applyFont="1" applyBorder="1" applyAlignment="1" applyProtection="1">
      <alignment horizontal="right"/>
      <protection locked="0"/>
    </xf>
    <xf numFmtId="165" fontId="6" fillId="0" borderId="3" xfId="22" applyNumberFormat="1" applyFont="1" applyBorder="1" applyAlignment="1" applyProtection="1">
      <alignment horizontal="right" vertical="center" wrapText="1"/>
      <protection locked="0"/>
    </xf>
    <xf numFmtId="165" fontId="6" fillId="0" borderId="4" xfId="22" applyNumberFormat="1" applyFont="1" applyBorder="1" applyAlignment="1" applyProtection="1">
      <alignment horizontal="right" vertical="center" wrapText="1"/>
      <protection locked="0"/>
    </xf>
    <xf numFmtId="0" fontId="6" fillId="0" borderId="5" xfId="22" applyFont="1" applyBorder="1" applyAlignment="1" applyProtection="1">
      <alignment horizontal="right" vertical="center" wrapText="1"/>
      <protection locked="0"/>
    </xf>
    <xf numFmtId="0" fontId="2" fillId="0" borderId="0" xfId="20" applyFont="1" applyAlignment="1" applyProtection="1">
      <alignment horizontal="right"/>
      <protection locked="0"/>
    </xf>
    <xf numFmtId="0" fontId="2" fillId="0" borderId="0" xfId="20" applyFont="1" applyAlignment="1" applyProtection="1">
      <alignment horizontal="center"/>
      <protection locked="0"/>
    </xf>
    <xf numFmtId="0" fontId="6" fillId="0" borderId="0" xfId="22" applyFont="1" applyFill="1" applyBorder="1" applyAlignment="1" applyProtection="1">
      <alignment horizontal="center"/>
      <protection locked="0"/>
    </xf>
    <xf numFmtId="164" fontId="6" fillId="0" borderId="0" xfId="22" applyNumberFormat="1" applyFont="1" applyFill="1" applyProtection="1">
      <alignment/>
      <protection locked="0"/>
    </xf>
    <xf numFmtId="164" fontId="6" fillId="0" borderId="1" xfId="22" applyNumberFormat="1" applyFont="1" applyFill="1" applyBorder="1" applyProtection="1">
      <alignment/>
      <protection locked="0"/>
    </xf>
    <xf numFmtId="164" fontId="6" fillId="0" borderId="0" xfId="23" applyNumberFormat="1" applyFont="1" applyFill="1" applyBorder="1" applyAlignment="1" applyProtection="1">
      <alignment horizontal="right"/>
      <protection locked="0"/>
    </xf>
    <xf numFmtId="164" fontId="2" fillId="0" borderId="0" xfId="20" applyNumberFormat="1" applyFont="1" applyProtection="1">
      <alignment/>
      <protection locked="0"/>
    </xf>
    <xf numFmtId="164" fontId="7" fillId="0" borderId="0" xfId="15" applyNumberFormat="1" applyFont="1" applyProtection="1">
      <protection locked="0"/>
    </xf>
    <xf numFmtId="10" fontId="2" fillId="0" borderId="0" xfId="20" applyNumberFormat="1" applyFont="1" applyProtection="1">
      <alignment/>
      <protection locked="0"/>
    </xf>
    <xf numFmtId="0" fontId="2" fillId="0" borderId="1" xfId="20" applyFont="1" applyBorder="1" applyProtection="1">
      <alignment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3" fontId="8" fillId="0" borderId="6" xfId="0" applyNumberFormat="1" applyFont="1" applyFill="1" applyBorder="1" applyAlignment="1" applyProtection="1">
      <alignment/>
      <protection locked="0"/>
    </xf>
    <xf numFmtId="3" fontId="8" fillId="0" borderId="7" xfId="0" applyNumberFormat="1" applyFont="1" applyFill="1" applyBorder="1" applyAlignment="1" applyProtection="1">
      <alignment/>
      <protection locked="0"/>
    </xf>
    <xf numFmtId="3" fontId="8" fillId="0" borderId="8" xfId="0" applyNumberFormat="1" applyFont="1" applyFill="1" applyBorder="1" applyAlignment="1" applyProtection="1">
      <alignment/>
      <protection locked="0"/>
    </xf>
    <xf numFmtId="3" fontId="8" fillId="0" borderId="9" xfId="0" applyNumberFormat="1" applyFont="1" applyFill="1" applyBorder="1" applyAlignment="1" applyProtection="1">
      <alignment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3" fontId="8" fillId="0" borderId="10" xfId="0" applyNumberFormat="1" applyFont="1" applyFill="1" applyBorder="1" applyAlignment="1" applyProtection="1">
      <alignment/>
      <protection locked="0"/>
    </xf>
    <xf numFmtId="3" fontId="8" fillId="0" borderId="11" xfId="0" applyNumberFormat="1" applyFont="1" applyFill="1" applyBorder="1" applyAlignment="1" applyProtection="1">
      <alignment/>
      <protection locked="0"/>
    </xf>
    <xf numFmtId="0" fontId="8" fillId="0" borderId="6" xfId="0" applyFont="1" applyBorder="1" applyAlignment="1" applyProtection="1">
      <alignment horizontal="center"/>
      <protection locked="0"/>
    </xf>
    <xf numFmtId="164" fontId="8" fillId="0" borderId="6" xfId="15" applyNumberFormat="1" applyFont="1" applyBorder="1" applyAlignment="1" applyProtection="1">
      <alignment horizontal="right"/>
      <protection locked="0"/>
    </xf>
    <xf numFmtId="164" fontId="8" fillId="0" borderId="7" xfId="15" applyNumberFormat="1" applyFont="1" applyBorder="1" applyAlignment="1" applyProtection="1">
      <alignment horizontal="right"/>
      <protection locked="0"/>
    </xf>
    <xf numFmtId="164" fontId="8" fillId="0" borderId="8" xfId="15" applyNumberFormat="1" applyFont="1" applyBorder="1" applyAlignment="1" applyProtection="1">
      <alignment horizontal="right"/>
      <protection locked="0"/>
    </xf>
    <xf numFmtId="164" fontId="8" fillId="0" borderId="9" xfId="15" applyNumberFormat="1" applyFont="1" applyBorder="1" applyAlignment="1" applyProtection="1">
      <alignment horizontal="right"/>
      <protection locked="0"/>
    </xf>
    <xf numFmtId="164" fontId="2" fillId="0" borderId="12" xfId="20" applyNumberFormat="1" applyFont="1" applyBorder="1" applyProtection="1">
      <alignment/>
      <protection locked="0"/>
    </xf>
    <xf numFmtId="164" fontId="8" fillId="0" borderId="6" xfId="0" applyNumberFormat="1" applyFont="1" applyFill="1" applyBorder="1" applyAlignment="1" applyProtection="1">
      <alignment/>
      <protection locked="0"/>
    </xf>
    <xf numFmtId="0" fontId="4" fillId="0" borderId="3" xfId="20" applyFont="1" applyBorder="1" applyAlignment="1">
      <alignment horizontal="center" wrapText="1"/>
      <protection/>
    </xf>
    <xf numFmtId="0" fontId="4" fillId="0" borderId="4" xfId="20" applyFont="1" applyBorder="1" applyAlignment="1">
      <alignment horizontal="center" wrapText="1"/>
      <protection/>
    </xf>
    <xf numFmtId="0" fontId="2" fillId="0" borderId="5" xfId="20" applyBorder="1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 applyAlignment="1" applyProtection="1">
      <alignment/>
      <protection locked="0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Normal_System Weather Weights WF 2" xfId="22"/>
    <cellStyle name="Percent_System Weather Weights WF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externalLink" Target="externalLinks/externalLink3.xml" /><Relationship Id="rId11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18</xdr:col>
      <xdr:colOff>333375</xdr:colOff>
      <xdr:row>2</xdr:row>
      <xdr:rowOff>66675</xdr:rowOff>
    </xdr:from>
    <xdr:to>
      <xdr:col>18</xdr:col>
      <xdr:colOff>400050</xdr:colOff>
      <xdr:row>5</xdr:row>
      <xdr:rowOff>0</xdr:rowOff>
    </xdr:to>
    <xdr:sp macro="">
      <xdr:nvSpPr>
        <xdr:cNvPr id="2102" name="Text Box 1"/>
        <xdr:cNvSpPr txBox="1">
          <a:spLocks noChangeArrowheads="1"/>
        </xdr:cNvSpPr>
      </xdr:nvSpPr>
      <xdr:spPr bwMode="auto">
        <a:xfrm>
          <a:off x="11553825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36"/>
  <sheetViews>
    <sheetView tabSelected="1"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29" customWidth="1"/>
    <col min="2" max="2" width="16.8571428571429" style="29" customWidth="1"/>
    <col min="3" max="3" width="4.42857142857143" style="29" bestFit="1" customWidth="1"/>
    <col min="4" max="4" width="9.85714285714286" style="29" bestFit="1" customWidth="1"/>
    <col min="5" max="13" width="9.14285714285714" style="29"/>
    <col min="14" max="14" width="9.71428571428571" style="29" bestFit="1" customWidth="1"/>
    <col min="15" max="15" width="9.14285714285714" style="29"/>
    <col min="16" max="16" width="9.57142857142857" style="29" bestFit="1" customWidth="1"/>
    <col min="17" max="16384" width="9.14285714285714" style="29"/>
  </cols>
  <sheetData>
    <row r="1" spans="1:16" ht="15.6">
      <c r="A1" s="26"/>
      <c r="B1" s="67" t="s">
        <v>10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ht="15.6">
      <c r="A2" s="26"/>
      <c r="B2" s="67" t="s">
        <v>35</v>
      </c>
      <c r="C2" s="67"/>
      <c r="D2" s="67"/>
      <c r="E2" s="67"/>
      <c r="F2" s="67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6" ht="15.6">
      <c r="A3" s="26"/>
      <c r="B3" s="67" t="s">
        <v>40</v>
      </c>
      <c r="C3" s="67"/>
      <c r="D3" s="67"/>
      <c r="E3" s="67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1:16" ht="15.6">
      <c r="A4" s="26"/>
      <c r="B4" s="69" t="s">
        <v>49</v>
      </c>
      <c r="C4" s="69"/>
      <c r="D4" s="69"/>
      <c r="E4" s="69"/>
      <c r="F4" s="69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spans="1:16" ht="15.6">
      <c r="A5" s="26"/>
      <c r="B5" s="67"/>
      <c r="C5" s="67"/>
      <c r="D5" s="67"/>
      <c r="E5" s="67"/>
      <c r="F5" s="67"/>
      <c r="G5" s="30"/>
      <c r="H5" s="30"/>
      <c r="I5" s="31"/>
      <c r="J5" s="31"/>
      <c r="K5" s="31"/>
      <c r="L5" s="31"/>
      <c r="M5" s="31"/>
      <c r="N5" s="31"/>
      <c r="O5" s="31"/>
      <c r="P5" s="31"/>
    </row>
    <row r="6" spans="1:16" ht="15.6">
      <c r="A6" s="26"/>
      <c r="B6" s="67" t="s">
        <v>38</v>
      </c>
      <c r="C6" s="67"/>
      <c r="D6" s="67"/>
      <c r="E6" s="67"/>
      <c r="F6" s="67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1:16" ht="15.6">
      <c r="A7" s="26"/>
      <c r="B7" s="27"/>
      <c r="C7" s="27"/>
      <c r="D7" s="27"/>
      <c r="E7" s="27"/>
      <c r="F7" s="27"/>
      <c r="G7" s="28"/>
      <c r="H7" s="28"/>
      <c r="I7" s="31"/>
      <c r="J7" s="31"/>
      <c r="K7" s="31"/>
      <c r="L7" s="31"/>
      <c r="M7" s="31"/>
      <c r="N7" s="31"/>
      <c r="O7" s="31"/>
      <c r="P7" s="31"/>
    </row>
    <row r="8" spans="1:16" ht="15.6">
      <c r="A8" s="26"/>
      <c r="B8" s="67" t="s">
        <v>42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16" ht="13.2">
      <c r="A9" s="26" t="s">
        <v>12</v>
      </c>
      <c r="B9" s="26" t="s">
        <v>13</v>
      </c>
      <c r="C9" s="26"/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2" t="s">
        <v>23</v>
      </c>
      <c r="N9" s="32" t="s">
        <v>24</v>
      </c>
      <c r="O9" s="32" t="s">
        <v>25</v>
      </c>
      <c r="P9" s="32" t="s">
        <v>26</v>
      </c>
    </row>
    <row r="10" spans="1:16" s="39" customFormat="1" ht="13.2">
      <c r="A10" s="33" t="s">
        <v>27</v>
      </c>
      <c r="B10" s="34" t="s">
        <v>28</v>
      </c>
      <c r="C10" s="35"/>
      <c r="D10" s="36">
        <v>36892</v>
      </c>
      <c r="E10" s="37">
        <v>36923</v>
      </c>
      <c r="F10" s="37">
        <v>36951</v>
      </c>
      <c r="G10" s="37">
        <v>36982</v>
      </c>
      <c r="H10" s="37">
        <v>37012</v>
      </c>
      <c r="I10" s="37">
        <v>37043</v>
      </c>
      <c r="J10" s="37">
        <v>37073</v>
      </c>
      <c r="K10" s="37">
        <v>37104</v>
      </c>
      <c r="L10" s="37">
        <v>37135</v>
      </c>
      <c r="M10" s="37">
        <v>37165</v>
      </c>
      <c r="N10" s="37">
        <v>37196</v>
      </c>
      <c r="O10" s="37">
        <v>37226</v>
      </c>
      <c r="P10" s="38" t="s">
        <v>0</v>
      </c>
    </row>
    <row r="11" spans="1:16" ht="13.2">
      <c r="A11" s="40">
        <v>1</v>
      </c>
      <c r="B11" s="30" t="s">
        <v>29</v>
      </c>
      <c r="C11" s="41"/>
      <c r="D11" s="42">
        <f>+'Res Monthly Weather Weights'!C11</f>
        <v>0.68709955745830409</v>
      </c>
      <c r="E11" s="42">
        <f>+'Res Monthly Weather Weights'!D11</f>
        <v>0.68879317662772421</v>
      </c>
      <c r="F11" s="42">
        <f>+'Res Monthly Weather Weights'!E11</f>
        <v>0.69243574270867503</v>
      </c>
      <c r="G11" s="42">
        <f>+'Res Monthly Weather Weights'!F11</f>
        <v>0.69209896124084591</v>
      </c>
      <c r="H11" s="42">
        <f>+'Res Monthly Weather Weights'!G11</f>
        <v>0.69628509107410452</v>
      </c>
      <c r="I11" s="42">
        <f>+'Res Monthly Weather Weights'!H11</f>
        <v>0.70266990038451704</v>
      </c>
      <c r="J11" s="42">
        <f>+'Res Monthly Weather Weights'!I11</f>
        <v>0.70950311320610593</v>
      </c>
      <c r="K11" s="42">
        <f>+'Res Monthly Weather Weights'!J11</f>
        <v>0.70846859924379402</v>
      </c>
      <c r="L11" s="42">
        <f>+'Res Monthly Weather Weights'!K11</f>
        <v>0.70636575755765663</v>
      </c>
      <c r="M11" s="42">
        <f>+'Res Monthly Weather Weights'!L11</f>
        <v>0.7071837807275575</v>
      </c>
      <c r="N11" s="42">
        <f>+'Res Monthly Weather Weights'!M11</f>
        <v>0.69084319154826446</v>
      </c>
      <c r="O11" s="42">
        <f>+'Res Monthly Weather Weights'!N11</f>
        <v>0.68447854595953483</v>
      </c>
      <c r="P11" s="42">
        <f>+'Res Monthly Weather Weights'!O11</f>
        <v>0.69872108060445393</v>
      </c>
    </row>
    <row r="12" spans="1:16" ht="13.2">
      <c r="A12" s="40">
        <f>+A11+1</f>
        <v>2</v>
      </c>
      <c r="B12" s="30" t="s">
        <v>30</v>
      </c>
      <c r="C12" s="41"/>
      <c r="D12" s="42">
        <f>+'Res Monthly Weather Weights'!C12</f>
        <v>0.056560097983063336</v>
      </c>
      <c r="E12" s="42">
        <f>+'Res Monthly Weather Weights'!D12</f>
        <v>0.055646288040513629</v>
      </c>
      <c r="F12" s="42">
        <f>+'Res Monthly Weather Weights'!E12</f>
        <v>0.054814380328536819</v>
      </c>
      <c r="G12" s="42">
        <f>+'Res Monthly Weather Weights'!F12</f>
        <v>0.056031991969160852</v>
      </c>
      <c r="H12" s="42">
        <f>+'Res Monthly Weather Weights'!G12</f>
        <v>0.058727011311667035</v>
      </c>
      <c r="I12" s="42">
        <f>+'Res Monthly Weather Weights'!H12</f>
        <v>0.056896674800498058</v>
      </c>
      <c r="J12" s="42">
        <f>+'Res Monthly Weather Weights'!I12</f>
        <v>0.056319088712916465</v>
      </c>
      <c r="K12" s="42">
        <f>+'Res Monthly Weather Weights'!J12</f>
        <v>0.054634106688539984</v>
      </c>
      <c r="L12" s="42">
        <f>+'Res Monthly Weather Weights'!K12</f>
        <v>0.053709030799228584</v>
      </c>
      <c r="M12" s="42">
        <f>+'Res Monthly Weather Weights'!L12</f>
        <v>0.052162172567131765</v>
      </c>
      <c r="N12" s="42">
        <f>+'Res Monthly Weather Weights'!M12</f>
        <v>0.05765976139129747</v>
      </c>
      <c r="O12" s="42">
        <f>+'Res Monthly Weather Weights'!N12</f>
        <v>0.058150274742451477</v>
      </c>
      <c r="P12" s="42">
        <f>+'Res Monthly Weather Weights'!O12</f>
        <v>0.055724564885332048</v>
      </c>
    </row>
    <row r="13" spans="1:16" ht="13.2">
      <c r="A13" s="40">
        <f t="shared" si="0" ref="A13:A36">+A12+1</f>
        <v>3</v>
      </c>
      <c r="B13" s="30" t="s">
        <v>5</v>
      </c>
      <c r="C13" s="41"/>
      <c r="D13" s="42">
        <f>+'Res Monthly Weather Weights'!C13</f>
        <v>0.029688635380729252</v>
      </c>
      <c r="E13" s="42">
        <f>+'Res Monthly Weather Weights'!D13</f>
        <v>0.029742559256511526</v>
      </c>
      <c r="F13" s="42">
        <f>+'Res Monthly Weather Weights'!E13</f>
        <v>0.027267064291153342</v>
      </c>
      <c r="G13" s="42">
        <f>+'Res Monthly Weather Weights'!F13</f>
        <v>0.028030842557314101</v>
      </c>
      <c r="H13" s="42">
        <f>+'Res Monthly Weather Weights'!G13</f>
        <v>0.026948349117155677</v>
      </c>
      <c r="I13" s="42">
        <f>+'Res Monthly Weather Weights'!H13</f>
        <v>0.026513010400584291</v>
      </c>
      <c r="J13" s="42">
        <f>+'Res Monthly Weather Weights'!I13</f>
        <v>0.025176696134128328</v>
      </c>
      <c r="K13" s="42">
        <f>+'Res Monthly Weather Weights'!J13</f>
        <v>0.024758860512916411</v>
      </c>
      <c r="L13" s="42">
        <f>+'Res Monthly Weather Weights'!K13</f>
        <v>0.025513559041871324</v>
      </c>
      <c r="M13" s="42">
        <f>+'Res Monthly Weather Weights'!L13</f>
        <v>0.025789161615002582</v>
      </c>
      <c r="N13" s="42">
        <f>+'Res Monthly Weather Weights'!M13</f>
        <v>0.027594337115967787</v>
      </c>
      <c r="O13" s="42">
        <f>+'Res Monthly Weather Weights'!N13</f>
        <v>0.029824312097726846</v>
      </c>
      <c r="P13" s="42">
        <f>+'Res Monthly Weather Weights'!O13</f>
        <v>0.026984669814763985</v>
      </c>
    </row>
    <row r="14" spans="1:16" ht="13.2">
      <c r="A14" s="40">
        <f t="shared" si="0"/>
        <v>4</v>
      </c>
      <c r="B14" s="30" t="s">
        <v>9</v>
      </c>
      <c r="C14" s="41"/>
      <c r="D14" s="42">
        <f>+'Res Monthly Weather Weights'!C14</f>
        <v>0.014652829760031657</v>
      </c>
      <c r="E14" s="42">
        <f>+'Res Monthly Weather Weights'!D14</f>
        <v>0.014253048954999167</v>
      </c>
      <c r="F14" s="42">
        <f>+'Res Monthly Weather Weights'!E14</f>
        <v>0.01364382146034024</v>
      </c>
      <c r="G14" s="42">
        <f>+'Res Monthly Weather Weights'!F14</f>
        <v>0.013241611264823308</v>
      </c>
      <c r="H14" s="42">
        <f>+'Res Monthly Weather Weights'!G14</f>
        <v>0.012815129120119022</v>
      </c>
      <c r="I14" s="42">
        <f>+'Res Monthly Weather Weights'!H14</f>
        <v>0.01251824158320964</v>
      </c>
      <c r="J14" s="42">
        <f>+'Res Monthly Weather Weights'!I14</f>
        <v>0.012526363463024779</v>
      </c>
      <c r="K14" s="42">
        <f>+'Res Monthly Weather Weights'!J14</f>
        <v>0.012298306376300028</v>
      </c>
      <c r="L14" s="42">
        <f>+'Res Monthly Weather Weights'!K14</f>
        <v>0.011765933888038288</v>
      </c>
      <c r="M14" s="42">
        <f>+'Res Monthly Weather Weights'!L14</f>
        <v>0.011465563828769211</v>
      </c>
      <c r="N14" s="42">
        <f>+'Res Monthly Weather Weights'!M14</f>
        <v>0.01364483410894372</v>
      </c>
      <c r="O14" s="42">
        <f>+'Res Monthly Weather Weights'!N14</f>
        <v>0.014608058684458566</v>
      </c>
      <c r="P14" s="42">
        <f>+'Res Monthly Weather Weights'!O14</f>
        <v>0.013001238806215218</v>
      </c>
    </row>
    <row r="15" spans="1:16" ht="13.2">
      <c r="A15" s="40">
        <f t="shared" si="0"/>
        <v>5</v>
      </c>
      <c r="B15" s="30" t="s">
        <v>45</v>
      </c>
      <c r="C15" s="41"/>
      <c r="D15" s="42">
        <f>+'Res Monthly Weather Weights'!C15</f>
        <v>0.02684254345315731</v>
      </c>
      <c r="E15" s="42">
        <f>+'Res Monthly Weather Weights'!D15</f>
        <v>0.028176525031413636</v>
      </c>
      <c r="F15" s="42">
        <f>+'Res Monthly Weather Weights'!E15</f>
        <v>0.027897599723776551</v>
      </c>
      <c r="G15" s="42">
        <f>+'Res Monthly Weather Weights'!F15</f>
        <v>0.025985295478912849</v>
      </c>
      <c r="H15" s="42">
        <f>+'Res Monthly Weather Weights'!G15</f>
        <v>0.023497177660918751</v>
      </c>
      <c r="I15" s="42">
        <f>+'Res Monthly Weather Weights'!H15</f>
        <v>0.021989329320151883</v>
      </c>
      <c r="J15" s="42">
        <f>+'Res Monthly Weather Weights'!I15</f>
        <v>0.022877951989765916</v>
      </c>
      <c r="K15" s="42">
        <f>+'Res Monthly Weather Weights'!J15</f>
        <v>0.02350871963763956</v>
      </c>
      <c r="L15" s="42">
        <f>+'Res Monthly Weather Weights'!K15</f>
        <v>0.023343174406235304</v>
      </c>
      <c r="M15" s="42">
        <f>+'Res Monthly Weather Weights'!L15</f>
        <v>0.023512685737638546</v>
      </c>
      <c r="N15" s="42">
        <f>+'Res Monthly Weather Weights'!M15</f>
        <v>0.024809273323797166</v>
      </c>
      <c r="O15" s="42">
        <f>+'Res Monthly Weather Weights'!N15</f>
        <v>0.026864641323339884</v>
      </c>
      <c r="P15" s="42">
        <f>+'Res Monthly Weather Weights'!O15</f>
        <v>0.024726041042534338</v>
      </c>
    </row>
    <row r="16" spans="1:16" ht="13.2">
      <c r="A16" s="40">
        <f t="shared" si="0"/>
        <v>6</v>
      </c>
      <c r="B16" s="30" t="s">
        <v>31</v>
      </c>
      <c r="C16" s="41"/>
      <c r="D16" s="42">
        <f>+'Res Monthly Weather Weights'!C16</f>
        <v>0.052662425891111593</v>
      </c>
      <c r="E16" s="42">
        <f>+'Res Monthly Weather Weights'!D16</f>
        <v>0.051389227199418144</v>
      </c>
      <c r="F16" s="42">
        <f>+'Res Monthly Weather Weights'!E16</f>
        <v>0.051150749359803328</v>
      </c>
      <c r="G16" s="42">
        <f>+'Res Monthly Weather Weights'!F16</f>
        <v>0.048580006941631677</v>
      </c>
      <c r="H16" s="42">
        <f>+'Res Monthly Weather Weights'!G16</f>
        <v>0.046802378188919302</v>
      </c>
      <c r="I16" s="42">
        <f>+'Res Monthly Weather Weights'!H16</f>
        <v>0.045186052321932492</v>
      </c>
      <c r="J16" s="42">
        <f>+'Res Monthly Weather Weights'!I16</f>
        <v>0.042879855619765317</v>
      </c>
      <c r="K16" s="42">
        <f>+'Res Monthly Weather Weights'!J16</f>
        <v>0.043488335933679276</v>
      </c>
      <c r="L16" s="42">
        <f>+'Res Monthly Weather Weights'!K16</f>
        <v>0.044217913248564819</v>
      </c>
      <c r="M16" s="42">
        <f>+'Res Monthly Weather Weights'!L16</f>
        <v>0.04483246857709533</v>
      </c>
      <c r="N16" s="42">
        <f>+'Res Monthly Weather Weights'!M16</f>
        <v>0.049311388648391991</v>
      </c>
      <c r="O16" s="42">
        <f>+'Res Monthly Weather Weights'!N16</f>
        <v>0.051220339919420287</v>
      </c>
      <c r="P16" s="42">
        <f>+'Res Monthly Weather Weights'!O16</f>
        <v>0.047133936247013571</v>
      </c>
    </row>
    <row r="17" spans="1:16" ht="13.2">
      <c r="A17" s="40">
        <f t="shared" si="0"/>
        <v>7</v>
      </c>
      <c r="B17" s="30" t="s">
        <v>3</v>
      </c>
      <c r="C17" s="41"/>
      <c r="D17" s="42">
        <f>+'Res Monthly Weather Weights'!C17</f>
        <v>0.03929671599059216</v>
      </c>
      <c r="E17" s="42">
        <f>+'Res Monthly Weather Weights'!D17</f>
        <v>0.039822223331500047</v>
      </c>
      <c r="F17" s="42">
        <f>+'Res Monthly Weather Weights'!E17</f>
        <v>0.040258222690710714</v>
      </c>
      <c r="G17" s="42">
        <f>+'Res Monthly Weather Weights'!F17</f>
        <v>0.037574405847486288</v>
      </c>
      <c r="H17" s="42">
        <f>+'Res Monthly Weather Weights'!G17</f>
        <v>0.0362581871743341</v>
      </c>
      <c r="I17" s="42">
        <f>+'Res Monthly Weather Weights'!H17</f>
        <v>0.035367660594554845</v>
      </c>
      <c r="J17" s="42">
        <f>+'Res Monthly Weather Weights'!I17</f>
        <v>0.034672013349165177</v>
      </c>
      <c r="K17" s="42">
        <f>+'Res Monthly Weather Weights'!J17</f>
        <v>0.036065070084738221</v>
      </c>
      <c r="L17" s="42">
        <f>+'Res Monthly Weather Weights'!K17</f>
        <v>0.036944884840855133</v>
      </c>
      <c r="M17" s="42">
        <f>+'Res Monthly Weather Weights'!L17</f>
        <v>0.037615997065533244</v>
      </c>
      <c r="N17" s="42">
        <f>+'Res Monthly Weather Weights'!M17</f>
        <v>0.038545253973008405</v>
      </c>
      <c r="O17" s="42">
        <f>+'Res Monthly Weather Weights'!N17</f>
        <v>0.038611663110020018</v>
      </c>
      <c r="P17" s="42">
        <f>+'Res Monthly Weather Weights'!O17</f>
        <v>0.037392541337876173</v>
      </c>
    </row>
    <row r="18" spans="1:16" ht="13.2">
      <c r="A18" s="40">
        <f t="shared" si="0"/>
        <v>8</v>
      </c>
      <c r="B18" s="30" t="s">
        <v>32</v>
      </c>
      <c r="C18" s="41"/>
      <c r="D18" s="42">
        <f>+'Res Monthly Weather Weights'!C18</f>
        <v>0.020046387681705427</v>
      </c>
      <c r="E18" s="42">
        <f>+'Res Monthly Weather Weights'!D18</f>
        <v>0.020050319529689199</v>
      </c>
      <c r="F18" s="42">
        <f>+'Res Monthly Weather Weights'!E18</f>
        <v>0.020038561690765219</v>
      </c>
      <c r="G18" s="42">
        <f>+'Res Monthly Weather Weights'!F18</f>
        <v>0.019308587646872134</v>
      </c>
      <c r="H18" s="42">
        <f>+'Res Monthly Weather Weights'!G18</f>
        <v>0.018558901420992157</v>
      </c>
      <c r="I18" s="42">
        <f>+'Res Monthly Weather Weights'!H18</f>
        <v>0.018128872067748478</v>
      </c>
      <c r="J18" s="42">
        <f>+'Res Monthly Weather Weights'!I18</f>
        <v>0.018964083445459197</v>
      </c>
      <c r="K18" s="42">
        <f>+'Res Monthly Weather Weights'!J18</f>
        <v>0.01932954190999615</v>
      </c>
      <c r="L18" s="42">
        <f>+'Res Monthly Weather Weights'!K18</f>
        <v>0.018731797913441525</v>
      </c>
      <c r="M18" s="42">
        <f>+'Res Monthly Weather Weights'!L18</f>
        <v>0.018245710519749218</v>
      </c>
      <c r="N18" s="42">
        <f>+'Res Monthly Weather Weights'!M18</f>
        <v>0.019007636471866592</v>
      </c>
      <c r="O18" s="42">
        <f>+'Res Monthly Weather Weights'!N18</f>
        <v>0.019733358974329127</v>
      </c>
      <c r="P18" s="42">
        <f>+'Res Monthly Weather Weights'!O18</f>
        <v>0.01916034972467676</v>
      </c>
    </row>
    <row r="19" spans="1:16" ht="13.2">
      <c r="A19" s="40">
        <f t="shared" si="0"/>
        <v>9</v>
      </c>
      <c r="B19" s="30" t="s">
        <v>8</v>
      </c>
      <c r="C19" s="41"/>
      <c r="D19" s="42">
        <f>+'Res Monthly Weather Weights'!C19</f>
        <v>0.038966902742706561</v>
      </c>
      <c r="E19" s="42">
        <f>+'Res Monthly Weather Weights'!D19</f>
        <v>0.039325244534836837</v>
      </c>
      <c r="F19" s="42">
        <f>+'Res Monthly Weather Weights'!E19</f>
        <v>0.038164761918376464</v>
      </c>
      <c r="G19" s="42">
        <f>+'Res Monthly Weather Weights'!F19</f>
        <v>0.037615110786957902</v>
      </c>
      <c r="H19" s="42">
        <f>+'Res Monthly Weather Weights'!G19</f>
        <v>0.036292026016826268</v>
      </c>
      <c r="I19" s="42">
        <f>+'Res Monthly Weather Weights'!H19</f>
        <v>0.035532291909624036</v>
      </c>
      <c r="J19" s="42">
        <f>+'Res Monthly Weather Weights'!I19</f>
        <v>0.034480560930655935</v>
      </c>
      <c r="K19" s="42">
        <f>+'Res Monthly Weather Weights'!J19</f>
        <v>0.034571141665777787</v>
      </c>
      <c r="L19" s="42">
        <f>+'Res Monthly Weather Weights'!K19</f>
        <v>0.03522600709376994</v>
      </c>
      <c r="M19" s="42">
        <f>+'Res Monthly Weather Weights'!L19</f>
        <v>0.035142895089624822</v>
      </c>
      <c r="N19" s="42">
        <f>+'Res Monthly Weather Weights'!M19</f>
        <v>0.036373317410210868</v>
      </c>
      <c r="O19" s="42">
        <f>+'Res Monthly Weather Weights'!N19</f>
        <v>0.039022170334972094</v>
      </c>
      <c r="P19" s="42">
        <f>+'Res Monthly Weather Weights'!O19</f>
        <v>0.036488213619787789</v>
      </c>
    </row>
    <row r="20" spans="1:16" ht="13.2">
      <c r="A20" s="40">
        <f t="shared" si="0"/>
        <v>10</v>
      </c>
      <c r="B20" s="30" t="s">
        <v>6</v>
      </c>
      <c r="C20" s="41"/>
      <c r="D20" s="43">
        <f>+'Res Monthly Weather Weights'!C20</f>
        <v>0.034183903658598684</v>
      </c>
      <c r="E20" s="43">
        <f>+'Res Monthly Weather Weights'!D20</f>
        <v>0.032801387493393494</v>
      </c>
      <c r="F20" s="43">
        <f>+'Res Monthly Weather Weights'!E20</f>
        <v>0.03432909582786229</v>
      </c>
      <c r="G20" s="43">
        <f>+'Res Monthly Weather Weights'!F20</f>
        <v>0.041533186265994948</v>
      </c>
      <c r="H20" s="43">
        <f>+'Res Monthly Weather Weights'!G20</f>
        <v>0.043815748914963266</v>
      </c>
      <c r="I20" s="43">
        <f>+'Res Monthly Weather Weights'!H20</f>
        <v>0.045197966617179106</v>
      </c>
      <c r="J20" s="43">
        <f>+'Res Monthly Weather Weights'!I20</f>
        <v>0.04260027314901299</v>
      </c>
      <c r="K20" s="43">
        <f>+'Res Monthly Weather Weights'!J20</f>
        <v>0.042877317946618553</v>
      </c>
      <c r="L20" s="43">
        <f>+'Res Monthly Weather Weights'!K20</f>
        <v>0.044181941210338624</v>
      </c>
      <c r="M20" s="43">
        <f>+'Res Monthly Weather Weights'!L20</f>
        <v>0.044049564271897837</v>
      </c>
      <c r="N20" s="43">
        <f>+'Res Monthly Weather Weights'!M20</f>
        <v>0.042211006008251645</v>
      </c>
      <c r="O20" s="43">
        <f>+'Res Monthly Weather Weights'!N20</f>
        <v>0.037486634853746897</v>
      </c>
      <c r="P20" s="43">
        <f>+'Res Monthly Weather Weights'!O20</f>
        <v>0.040667363917346183</v>
      </c>
    </row>
    <row r="21" spans="1:16" ht="13.2">
      <c r="A21" s="40">
        <f t="shared" si="0"/>
        <v>11</v>
      </c>
      <c r="C21" s="41"/>
      <c r="D21" s="44">
        <f t="shared" si="1" ref="D21:P21">SUM(D11:D20)</f>
        <v>1</v>
      </c>
      <c r="E21" s="44">
        <f t="shared" si="1"/>
        <v>0.99999999999999989</v>
      </c>
      <c r="F21" s="44">
        <f t="shared" si="1"/>
        <v>1</v>
      </c>
      <c r="G21" s="44">
        <f t="shared" si="1"/>
        <v>1</v>
      </c>
      <c r="H21" s="44">
        <f t="shared" si="1"/>
        <v>1.0000000000000002</v>
      </c>
      <c r="I21" s="44">
        <f t="shared" si="1"/>
        <v>1</v>
      </c>
      <c r="J21" s="44">
        <f t="shared" si="1"/>
        <v>1</v>
      </c>
      <c r="K21" s="44">
        <f t="shared" si="1"/>
        <v>1</v>
      </c>
      <c r="L21" s="44">
        <f t="shared" si="1"/>
        <v>1.0000000000000002</v>
      </c>
      <c r="M21" s="44">
        <f t="shared" si="1"/>
        <v>1</v>
      </c>
      <c r="N21" s="44">
        <f t="shared" si="1"/>
        <v>1</v>
      </c>
      <c r="O21" s="44">
        <f t="shared" si="1"/>
        <v>1.0000000000000002</v>
      </c>
      <c r="P21" s="44">
        <f t="shared" si="1"/>
        <v>0.99999999999999989</v>
      </c>
    </row>
    <row r="22" spans="1:1" ht="13.2">
      <c r="A22" s="40">
        <f t="shared" si="0"/>
        <v>12</v>
      </c>
    </row>
    <row r="23" spans="1:10" ht="15.6">
      <c r="A23" s="40">
        <f t="shared" si="0"/>
        <v>13</v>
      </c>
      <c r="D23" s="64" t="s">
        <v>43</v>
      </c>
      <c r="E23" s="65"/>
      <c r="F23" s="66"/>
      <c r="G23" s="27"/>
      <c r="H23" s="27"/>
      <c r="I23" s="28"/>
      <c r="J23" s="28"/>
    </row>
    <row r="24" spans="1:6" ht="13.2">
      <c r="A24" s="40">
        <f t="shared" si="0"/>
        <v>14</v>
      </c>
      <c r="D24" s="29" t="s">
        <v>36</v>
      </c>
      <c r="F24" s="29" t="s">
        <v>37</v>
      </c>
    </row>
    <row r="25" spans="1:6" ht="13.2">
      <c r="A25" s="40">
        <f t="shared" si="0"/>
        <v>15</v>
      </c>
      <c r="B25" s="34" t="s">
        <v>28</v>
      </c>
      <c r="D25" s="48" t="s">
        <v>46</v>
      </c>
      <c r="E25" s="48"/>
      <c r="F25" s="48" t="s">
        <v>47</v>
      </c>
    </row>
    <row r="26" spans="1:12" ht="13.8">
      <c r="A26" s="40">
        <f t="shared" si="0"/>
        <v>16</v>
      </c>
      <c r="B26" s="29" t="s">
        <v>29</v>
      </c>
      <c r="D26" s="45">
        <f>ROUND(AVERAGE(D11:F11,N11:O11),3)</f>
        <v>0.68899999999999995</v>
      </c>
      <c r="F26" s="45">
        <f>ROUND(AVERAGE(H11:L11),3)</f>
        <v>0.70499999999999996</v>
      </c>
      <c r="H26" s="46"/>
      <c r="I26" s="46"/>
      <c r="K26" s="47"/>
      <c r="L26" s="47"/>
    </row>
    <row r="27" spans="1:12" ht="13.2">
      <c r="A27" s="40">
        <f t="shared" si="0"/>
        <v>17</v>
      </c>
      <c r="B27" s="29" t="s">
        <v>30</v>
      </c>
      <c r="D27" s="45">
        <f t="shared" si="2" ref="D27:D35">ROUND(AVERAGE(D12:F12,N12:O12),3)</f>
        <v>0.057000000000000002</v>
      </c>
      <c r="F27" s="45">
        <f t="shared" si="3" ref="F27:F35">ROUND(AVERAGE(H12:L12),3)</f>
        <v>0.056000000000000001</v>
      </c>
      <c r="H27" s="45"/>
      <c r="I27" s="45"/>
      <c r="K27" s="47"/>
      <c r="L27" s="47"/>
    </row>
    <row r="28" spans="1:12" ht="13.2">
      <c r="A28" s="40">
        <f t="shared" si="0"/>
        <v>18</v>
      </c>
      <c r="B28" s="29" t="s">
        <v>5</v>
      </c>
      <c r="D28" s="45">
        <f t="shared" si="2"/>
        <v>0.029000000000000001</v>
      </c>
      <c r="F28" s="45">
        <f t="shared" si="3"/>
        <v>0.025999999999999999</v>
      </c>
      <c r="H28" s="45"/>
      <c r="I28" s="45"/>
      <c r="K28" s="47"/>
      <c r="L28" s="47"/>
    </row>
    <row r="29" spans="1:12" ht="13.2">
      <c r="A29" s="40">
        <f t="shared" si="0"/>
        <v>19</v>
      </c>
      <c r="B29" s="29" t="s">
        <v>9</v>
      </c>
      <c r="D29" s="45">
        <f t="shared" si="2"/>
        <v>0.014</v>
      </c>
      <c r="F29" s="45">
        <f t="shared" si="3"/>
        <v>0.012</v>
      </c>
      <c r="H29" s="45"/>
      <c r="I29" s="45"/>
      <c r="K29" s="47"/>
      <c r="L29" s="47"/>
    </row>
    <row r="30" spans="1:12" ht="13.2">
      <c r="A30" s="40">
        <f t="shared" si="0"/>
        <v>20</v>
      </c>
      <c r="B30" s="29" t="s">
        <v>45</v>
      </c>
      <c r="D30" s="45">
        <f t="shared" si="2"/>
        <v>0.027</v>
      </c>
      <c r="F30" s="45">
        <f t="shared" si="3"/>
        <v>0.023</v>
      </c>
      <c r="H30" s="45"/>
      <c r="I30" s="45"/>
      <c r="K30" s="47"/>
      <c r="L30" s="47"/>
    </row>
    <row r="31" spans="1:12" ht="13.2">
      <c r="A31" s="40">
        <f t="shared" si="0"/>
        <v>21</v>
      </c>
      <c r="B31" s="29" t="s">
        <v>31</v>
      </c>
      <c r="D31" s="45">
        <f>ROUND(AVERAGE(D16:F16,N16:O16),3)</f>
        <v>0.050999999999999997</v>
      </c>
      <c r="F31" s="45">
        <f t="shared" si="3"/>
        <v>0.044999999999999998</v>
      </c>
      <c r="H31" s="45"/>
      <c r="I31" s="45"/>
      <c r="K31" s="47"/>
      <c r="L31" s="47"/>
    </row>
    <row r="32" spans="1:12" ht="13.2">
      <c r="A32" s="40">
        <f t="shared" si="0"/>
        <v>22</v>
      </c>
      <c r="B32" s="29" t="s">
        <v>3</v>
      </c>
      <c r="D32" s="45">
        <f t="shared" si="2"/>
        <v>0.039</v>
      </c>
      <c r="F32" s="45">
        <f t="shared" si="3"/>
        <v>0.035999999999999997</v>
      </c>
      <c r="H32" s="45"/>
      <c r="I32" s="45"/>
      <c r="K32" s="47"/>
      <c r="L32" s="47"/>
    </row>
    <row r="33" spans="1:12" ht="13.2">
      <c r="A33" s="40">
        <f t="shared" si="0"/>
        <v>23</v>
      </c>
      <c r="B33" s="29" t="s">
        <v>32</v>
      </c>
      <c r="D33" s="45">
        <f t="shared" si="2"/>
        <v>0.02</v>
      </c>
      <c r="F33" s="45">
        <f t="shared" si="3"/>
        <v>0.019</v>
      </c>
      <c r="H33" s="45"/>
      <c r="I33" s="45"/>
      <c r="K33" s="47"/>
      <c r="L33" s="47"/>
    </row>
    <row r="34" spans="1:12" ht="13.2">
      <c r="A34" s="40">
        <f t="shared" si="0"/>
        <v>24</v>
      </c>
      <c r="B34" s="29" t="s">
        <v>8</v>
      </c>
      <c r="D34" s="45">
        <f t="shared" si="2"/>
        <v>0.037999999999999999</v>
      </c>
      <c r="F34" s="45">
        <f t="shared" si="3"/>
        <v>0.035000000000000003</v>
      </c>
      <c r="H34" s="45"/>
      <c r="I34" s="45"/>
      <c r="K34" s="47"/>
      <c r="L34" s="47"/>
    </row>
    <row r="35" spans="1:12" ht="13.2">
      <c r="A35" s="40">
        <f t="shared" si="0"/>
        <v>25</v>
      </c>
      <c r="B35" s="29" t="s">
        <v>6</v>
      </c>
      <c r="D35" s="45">
        <f t="shared" si="2"/>
        <v>0.035999999999999997</v>
      </c>
      <c r="E35" s="48"/>
      <c r="F35" s="45">
        <f t="shared" si="3"/>
        <v>0.043999999999999997</v>
      </c>
      <c r="H35" s="45"/>
      <c r="I35" s="45"/>
      <c r="K35" s="47"/>
      <c r="L35" s="47"/>
    </row>
    <row r="36" spans="1:12" ht="13.2">
      <c r="A36" s="40">
        <f t="shared" si="0"/>
        <v>26</v>
      </c>
      <c r="D36" s="62">
        <f t="shared" si="4" ref="D36">AVERAGE(D21:F21,N21:O21)</f>
        <v>1</v>
      </c>
      <c r="F36" s="62">
        <f t="shared" si="5" ref="F36">AVERAGE(H21:L21)</f>
        <v>1</v>
      </c>
      <c r="H36" s="45"/>
      <c r="I36" s="45"/>
      <c r="K36" s="47"/>
      <c r="L36" s="47"/>
    </row>
  </sheetData>
  <mergeCells count="8">
    <mergeCell ref="D23:F23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0.5" right="0.5" top="0.7" bottom="1" header="0.5" footer="0.43"/>
  <pageSetup orientation="landscape" scale="85" r:id="rId2"/>
  <headerFooter alignWithMargins="0">
    <oddHeader>&amp;RWP/II-H-5.2/1
Page &amp;P of &amp;N</oddHeader>
    <oddFooter>&amp;R]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O21"/>
  <sheetViews>
    <sheetView zoomScaleSheetLayoutView="100" workbookViewId="0" topLeftCell="A1"/>
  </sheetViews>
  <sheetFormatPr defaultColWidth="9.11428571428571" defaultRowHeight="14.25"/>
  <cols>
    <col min="1" max="1" width="8.14285714285714" style="1" customWidth="1"/>
    <col min="2" max="2" width="16.8571428571429" style="1" customWidth="1"/>
    <col min="3" max="3" width="7.14285714285714" style="1" customWidth="1"/>
    <col min="4" max="4" width="9.85714285714286" style="1" bestFit="1" customWidth="1"/>
    <col min="5" max="13" width="9.14285714285714" style="1"/>
    <col min="14" max="14" width="9.71428571428571" style="1" bestFit="1" customWidth="1"/>
    <col min="15" max="16384" width="9.14285714285714" style="1"/>
  </cols>
  <sheetData>
    <row r="1" spans="1:15" ht="15.6">
      <c r="A1" s="14"/>
      <c r="B1" s="69" t="s">
        <v>10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15.6">
      <c r="A2" s="14"/>
      <c r="B2" s="69" t="s">
        <v>11</v>
      </c>
      <c r="C2" s="69"/>
      <c r="D2" s="69"/>
      <c r="E2" s="69"/>
      <c r="F2" s="69"/>
      <c r="G2" s="70"/>
      <c r="H2" s="70"/>
      <c r="I2" s="70"/>
      <c r="J2" s="70"/>
      <c r="K2" s="70"/>
      <c r="L2" s="70"/>
      <c r="M2" s="70"/>
      <c r="N2" s="70"/>
      <c r="O2" s="70"/>
    </row>
    <row r="3" spans="1:15" ht="15.6">
      <c r="A3" s="14"/>
      <c r="B3" s="69" t="s">
        <v>40</v>
      </c>
      <c r="C3" s="69"/>
      <c r="D3" s="69"/>
      <c r="E3" s="69"/>
      <c r="F3" s="69"/>
      <c r="G3" s="70"/>
      <c r="H3" s="70"/>
      <c r="I3" s="70"/>
      <c r="J3" s="70"/>
      <c r="K3" s="70"/>
      <c r="L3" s="70"/>
      <c r="M3" s="70"/>
      <c r="N3" s="70"/>
      <c r="O3" s="70"/>
    </row>
    <row r="4" spans="1:15" ht="15.6">
      <c r="A4" s="14"/>
      <c r="B4" s="69" t="str">
        <f>+'Res Seasonal Weights'!B4:P4</f>
        <v>FOR THE TEST YEAR ENDING DECEMBER 31, 2021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</row>
    <row r="5" spans="1:15" ht="15.6">
      <c r="A5" s="14"/>
      <c r="B5" s="69"/>
      <c r="C5" s="69"/>
      <c r="D5" s="69"/>
      <c r="E5" s="69"/>
      <c r="F5" s="69"/>
      <c r="G5" s="17"/>
      <c r="H5" s="17"/>
      <c r="I5" s="18"/>
      <c r="J5" s="18"/>
      <c r="K5" s="18"/>
      <c r="L5" s="18"/>
      <c r="M5" s="18"/>
      <c r="N5" s="18"/>
      <c r="O5" s="18"/>
    </row>
    <row r="6" spans="1:15" ht="15.6">
      <c r="A6" s="14"/>
      <c r="B6" s="69" t="s">
        <v>38</v>
      </c>
      <c r="C6" s="69"/>
      <c r="D6" s="69"/>
      <c r="E6" s="69"/>
      <c r="F6" s="69"/>
      <c r="G6" s="70"/>
      <c r="H6" s="70"/>
      <c r="I6" s="70"/>
      <c r="J6" s="70"/>
      <c r="K6" s="70"/>
      <c r="L6" s="70"/>
      <c r="M6" s="70"/>
      <c r="N6" s="70"/>
      <c r="O6" s="70"/>
    </row>
    <row r="7" spans="1:15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</row>
    <row r="8" spans="1:15" ht="15.6">
      <c r="A8" s="14"/>
      <c r="B8" s="69" t="s">
        <v>42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spans="1:15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</row>
    <row r="10" spans="1:15" ht="15.75" customHeight="1">
      <c r="A10" s="20" t="s">
        <v>27</v>
      </c>
      <c r="B10" s="21" t="s">
        <v>28</v>
      </c>
      <c r="C10" s="22">
        <v>36892</v>
      </c>
      <c r="D10" s="23">
        <v>36923</v>
      </c>
      <c r="E10" s="23">
        <v>36951</v>
      </c>
      <c r="F10" s="23">
        <v>36982</v>
      </c>
      <c r="G10" s="23">
        <v>37012</v>
      </c>
      <c r="H10" s="23">
        <v>37043</v>
      </c>
      <c r="I10" s="23">
        <v>37073</v>
      </c>
      <c r="J10" s="23">
        <v>37104</v>
      </c>
      <c r="K10" s="23">
        <v>37135</v>
      </c>
      <c r="L10" s="23">
        <v>37165</v>
      </c>
      <c r="M10" s="23">
        <v>37196</v>
      </c>
      <c r="N10" s="23">
        <v>37226</v>
      </c>
      <c r="O10" s="24" t="s">
        <v>0</v>
      </c>
    </row>
    <row r="11" spans="1:15" ht="14.4">
      <c r="A11" s="25">
        <v>1</v>
      </c>
      <c r="B11" s="17" t="s">
        <v>29</v>
      </c>
      <c r="C11" s="5">
        <f>+'Res Weights by Year (18-20)'!D14</f>
        <v>0.68709955745830409</v>
      </c>
      <c r="D11" s="5">
        <f>+'Res Weights by Year (18-20)'!E14</f>
        <v>0.68879317662772421</v>
      </c>
      <c r="E11" s="5">
        <f>+'Res Weights by Year (18-20)'!F14</f>
        <v>0.69243574270867503</v>
      </c>
      <c r="F11" s="5">
        <f>+'Res Weights by Year (18-20)'!G14</f>
        <v>0.69209896124084591</v>
      </c>
      <c r="G11" s="5">
        <f>+'Res Weights by Year (18-20)'!H14</f>
        <v>0.69628509107410452</v>
      </c>
      <c r="H11" s="5">
        <f>+'Res Weights by Year (18-20)'!I14</f>
        <v>0.70266990038451704</v>
      </c>
      <c r="I11" s="5">
        <f>+'Res Weights by Year (18-20)'!J14</f>
        <v>0.70950311320610593</v>
      </c>
      <c r="J11" s="5">
        <f>+'Res Weights by Year (18-20)'!K14</f>
        <v>0.70846859924379402</v>
      </c>
      <c r="K11" s="5">
        <f>+'Res Weights by Year (18-20)'!L14</f>
        <v>0.70636575755765663</v>
      </c>
      <c r="L11" s="5">
        <f>+'Res Weights by Year (18-20)'!M14</f>
        <v>0.7071837807275575</v>
      </c>
      <c r="M11" s="5">
        <f>+'Res Weights by Year (18-20)'!N14</f>
        <v>0.69084319154826446</v>
      </c>
      <c r="N11" s="5">
        <f>+'Res Weights by Year (18-20)'!O14</f>
        <v>0.68447854595953483</v>
      </c>
      <c r="O11" s="5">
        <f>+'Res Weights by Year (18-20)'!P14</f>
        <v>0.69872108060445393</v>
      </c>
    </row>
    <row r="12" spans="1:15" ht="14.4">
      <c r="A12" s="25">
        <f>+A11+1</f>
        <v>2</v>
      </c>
      <c r="B12" s="17" t="s">
        <v>30</v>
      </c>
      <c r="C12" s="5">
        <f>+'Res Weights by Year (18-20)'!D54</f>
        <v>0.056560097983063336</v>
      </c>
      <c r="D12" s="5">
        <f>+'Res Weights by Year (18-20)'!E54</f>
        <v>0.055646288040513629</v>
      </c>
      <c r="E12" s="5">
        <f>+'Res Weights by Year (18-20)'!F54</f>
        <v>0.054814380328536819</v>
      </c>
      <c r="F12" s="5">
        <f>+'Res Weights by Year (18-20)'!G54</f>
        <v>0.056031991969160852</v>
      </c>
      <c r="G12" s="5">
        <f>+'Res Weights by Year (18-20)'!H54</f>
        <v>0.058727011311667035</v>
      </c>
      <c r="H12" s="5">
        <f>+'Res Weights by Year (18-20)'!I54</f>
        <v>0.056896674800498058</v>
      </c>
      <c r="I12" s="5">
        <f>+'Res Weights by Year (18-20)'!J54</f>
        <v>0.056319088712916465</v>
      </c>
      <c r="J12" s="5">
        <f>+'Res Weights by Year (18-20)'!K54</f>
        <v>0.054634106688539984</v>
      </c>
      <c r="K12" s="5">
        <f>+'Res Weights by Year (18-20)'!L54</f>
        <v>0.053709030799228584</v>
      </c>
      <c r="L12" s="5">
        <f>+'Res Weights by Year (18-20)'!M54</f>
        <v>0.052162172567131765</v>
      </c>
      <c r="M12" s="5">
        <f>+'Res Weights by Year (18-20)'!N54</f>
        <v>0.05765976139129747</v>
      </c>
      <c r="N12" s="5">
        <f>+'Res Weights by Year (18-20)'!O54</f>
        <v>0.058150274742451477</v>
      </c>
      <c r="O12" s="5">
        <f>+'Res Weights by Year (18-20)'!P54</f>
        <v>0.055724564885332048</v>
      </c>
    </row>
    <row r="13" spans="1:15" ht="14.4">
      <c r="A13" s="25">
        <f t="shared" si="0" ref="A13:A20">+A12+1</f>
        <v>3</v>
      </c>
      <c r="B13" s="17" t="s">
        <v>5</v>
      </c>
      <c r="C13" s="5">
        <f>+'Res Weights by Year (18-20)'!D19</f>
        <v>0.029688635380729252</v>
      </c>
      <c r="D13" s="5">
        <f>+'Res Weights by Year (18-20)'!E19</f>
        <v>0.029742559256511526</v>
      </c>
      <c r="E13" s="5">
        <f>+'Res Weights by Year (18-20)'!F19</f>
        <v>0.027267064291153342</v>
      </c>
      <c r="F13" s="5">
        <f>+'Res Weights by Year (18-20)'!G19</f>
        <v>0.028030842557314101</v>
      </c>
      <c r="G13" s="5">
        <f>+'Res Weights by Year (18-20)'!H19</f>
        <v>0.026948349117155677</v>
      </c>
      <c r="H13" s="5">
        <f>+'Res Weights by Year (18-20)'!I19</f>
        <v>0.026513010400584291</v>
      </c>
      <c r="I13" s="5">
        <f>+'Res Weights by Year (18-20)'!J19</f>
        <v>0.025176696134128328</v>
      </c>
      <c r="J13" s="5">
        <f>+'Res Weights by Year (18-20)'!K19</f>
        <v>0.024758860512916411</v>
      </c>
      <c r="K13" s="5">
        <f>+'Res Weights by Year (18-20)'!L19</f>
        <v>0.025513559041871324</v>
      </c>
      <c r="L13" s="5">
        <f>+'Res Weights by Year (18-20)'!M19</f>
        <v>0.025789161615002582</v>
      </c>
      <c r="M13" s="5">
        <f>+'Res Weights by Year (18-20)'!N19</f>
        <v>0.027594337115967787</v>
      </c>
      <c r="N13" s="5">
        <f>+'Res Weights by Year (18-20)'!O19</f>
        <v>0.029824312097726846</v>
      </c>
      <c r="O13" s="5">
        <f>+'Res Weights by Year (18-20)'!P19</f>
        <v>0.026984669814763985</v>
      </c>
    </row>
    <row r="14" spans="1:15" ht="14.4">
      <c r="A14" s="25">
        <f t="shared" si="0"/>
        <v>4</v>
      </c>
      <c r="B14" s="17" t="s">
        <v>9</v>
      </c>
      <c r="C14" s="5">
        <f>+'Res Weights by Year (18-20)'!D44</f>
        <v>0.014652829760031657</v>
      </c>
      <c r="D14" s="5">
        <f>+'Res Weights by Year (18-20)'!E44</f>
        <v>0.014253048954999167</v>
      </c>
      <c r="E14" s="5">
        <f>+'Res Weights by Year (18-20)'!F44</f>
        <v>0.01364382146034024</v>
      </c>
      <c r="F14" s="5">
        <f>+'Res Weights by Year (18-20)'!G44</f>
        <v>0.013241611264823308</v>
      </c>
      <c r="G14" s="5">
        <f>+'Res Weights by Year (18-20)'!H44</f>
        <v>0.012815129120119022</v>
      </c>
      <c r="H14" s="5">
        <f>+'Res Weights by Year (18-20)'!I44</f>
        <v>0.01251824158320964</v>
      </c>
      <c r="I14" s="5">
        <f>+'Res Weights by Year (18-20)'!J44</f>
        <v>0.012526363463024779</v>
      </c>
      <c r="J14" s="5">
        <f>+'Res Weights by Year (18-20)'!K44</f>
        <v>0.012298306376300028</v>
      </c>
      <c r="K14" s="5">
        <f>+'Res Weights by Year (18-20)'!L44</f>
        <v>0.011765933888038288</v>
      </c>
      <c r="L14" s="5">
        <f>+'Res Weights by Year (18-20)'!M44</f>
        <v>0.011465563828769211</v>
      </c>
      <c r="M14" s="5">
        <f>+'Res Weights by Year (18-20)'!N44</f>
        <v>0.01364483410894372</v>
      </c>
      <c r="N14" s="5">
        <f>+'Res Weights by Year (18-20)'!O44</f>
        <v>0.014608058684458566</v>
      </c>
      <c r="O14" s="5">
        <f>+'Res Weights by Year (18-20)'!P44</f>
        <v>0.013001238806215218</v>
      </c>
    </row>
    <row r="15" spans="1:15" ht="14.4">
      <c r="A15" s="25">
        <f t="shared" si="0"/>
        <v>5</v>
      </c>
      <c r="B15" s="17" t="s">
        <v>45</v>
      </c>
      <c r="C15" s="5">
        <f>+'Res Weights by Year (18-20)'!D59</f>
        <v>0.02684254345315731</v>
      </c>
      <c r="D15" s="5">
        <f>+'Res Weights by Year (18-20)'!E59</f>
        <v>0.028176525031413636</v>
      </c>
      <c r="E15" s="5">
        <f>+'Res Weights by Year (18-20)'!F59</f>
        <v>0.027897599723776551</v>
      </c>
      <c r="F15" s="5">
        <f>+'Res Weights by Year (18-20)'!G59</f>
        <v>0.025985295478912849</v>
      </c>
      <c r="G15" s="5">
        <f>+'Res Weights by Year (18-20)'!H59</f>
        <v>0.023497177660918751</v>
      </c>
      <c r="H15" s="5">
        <f>+'Res Weights by Year (18-20)'!I59</f>
        <v>0.021989329320151883</v>
      </c>
      <c r="I15" s="5">
        <f>+'Res Weights by Year (18-20)'!J59</f>
        <v>0.022877951989765916</v>
      </c>
      <c r="J15" s="5">
        <f>+'Res Weights by Year (18-20)'!K59</f>
        <v>0.02350871963763956</v>
      </c>
      <c r="K15" s="5">
        <f>+'Res Weights by Year (18-20)'!L59</f>
        <v>0.023343174406235304</v>
      </c>
      <c r="L15" s="5">
        <f>+'Res Weights by Year (18-20)'!M59</f>
        <v>0.023512685737638546</v>
      </c>
      <c r="M15" s="5">
        <f>+'Res Weights by Year (18-20)'!N59</f>
        <v>0.024809273323797166</v>
      </c>
      <c r="N15" s="5">
        <f>+'Res Weights by Year (18-20)'!O59</f>
        <v>0.026864641323339884</v>
      </c>
      <c r="O15" s="5">
        <f>+'Res Weights by Year (18-20)'!P59</f>
        <v>0.024726041042534338</v>
      </c>
    </row>
    <row r="16" spans="1:15" ht="14.4">
      <c r="A16" s="25">
        <f t="shared" si="0"/>
        <v>6</v>
      </c>
      <c r="B16" s="17" t="s">
        <v>31</v>
      </c>
      <c r="C16" s="5">
        <f>+'Res Weights by Year (18-20)'!D29</f>
        <v>0.052662425891111593</v>
      </c>
      <c r="D16" s="5">
        <f>+'Res Weights by Year (18-20)'!E29</f>
        <v>0.051389227199418144</v>
      </c>
      <c r="E16" s="5">
        <f>+'Res Weights by Year (18-20)'!F29</f>
        <v>0.051150749359803328</v>
      </c>
      <c r="F16" s="5">
        <f>+'Res Weights by Year (18-20)'!G29</f>
        <v>0.048580006941631677</v>
      </c>
      <c r="G16" s="5">
        <f>+'Res Weights by Year (18-20)'!H29</f>
        <v>0.046802378188919302</v>
      </c>
      <c r="H16" s="5">
        <f>+'Res Weights by Year (18-20)'!I29</f>
        <v>0.045186052321932492</v>
      </c>
      <c r="I16" s="5">
        <f>+'Res Weights by Year (18-20)'!J29</f>
        <v>0.042879855619765317</v>
      </c>
      <c r="J16" s="5">
        <f>+'Res Weights by Year (18-20)'!K29</f>
        <v>0.043488335933679276</v>
      </c>
      <c r="K16" s="5">
        <f>+'Res Weights by Year (18-20)'!L29</f>
        <v>0.044217913248564819</v>
      </c>
      <c r="L16" s="5">
        <f>+'Res Weights by Year (18-20)'!M29</f>
        <v>0.04483246857709533</v>
      </c>
      <c r="M16" s="5">
        <f>+'Res Weights by Year (18-20)'!N29</f>
        <v>0.049311388648391991</v>
      </c>
      <c r="N16" s="5">
        <f>+'Res Weights by Year (18-20)'!O29</f>
        <v>0.051220339919420287</v>
      </c>
      <c r="O16" s="5">
        <f>+'Res Weights by Year (18-20)'!P29</f>
        <v>0.047133936247013571</v>
      </c>
    </row>
    <row r="17" spans="1:15" ht="14.4">
      <c r="A17" s="25">
        <f t="shared" si="0"/>
        <v>7</v>
      </c>
      <c r="B17" s="17" t="s">
        <v>3</v>
      </c>
      <c r="C17" s="5">
        <f>+'Res Weights by Year (18-20)'!D39</f>
        <v>0.03929671599059216</v>
      </c>
      <c r="D17" s="5">
        <f>+'Res Weights by Year (18-20)'!E39</f>
        <v>0.039822223331500047</v>
      </c>
      <c r="E17" s="5">
        <f>+'Res Weights by Year (18-20)'!F39</f>
        <v>0.040258222690710714</v>
      </c>
      <c r="F17" s="5">
        <f>+'Res Weights by Year (18-20)'!G39</f>
        <v>0.037574405847486288</v>
      </c>
      <c r="G17" s="5">
        <f>+'Res Weights by Year (18-20)'!H39</f>
        <v>0.0362581871743341</v>
      </c>
      <c r="H17" s="5">
        <f>+'Res Weights by Year (18-20)'!I39</f>
        <v>0.035367660594554845</v>
      </c>
      <c r="I17" s="5">
        <f>+'Res Weights by Year (18-20)'!J39</f>
        <v>0.034672013349165177</v>
      </c>
      <c r="J17" s="5">
        <f>+'Res Weights by Year (18-20)'!K39</f>
        <v>0.036065070084738221</v>
      </c>
      <c r="K17" s="5">
        <f>+'Res Weights by Year (18-20)'!L39</f>
        <v>0.036944884840855133</v>
      </c>
      <c r="L17" s="5">
        <f>+'Res Weights by Year (18-20)'!M39</f>
        <v>0.037615997065533244</v>
      </c>
      <c r="M17" s="5">
        <f>+'Res Weights by Year (18-20)'!N39</f>
        <v>0.038545253973008405</v>
      </c>
      <c r="N17" s="5">
        <f>+'Res Weights by Year (18-20)'!O39</f>
        <v>0.038611663110020018</v>
      </c>
      <c r="O17" s="5">
        <f>+'Res Weights by Year (18-20)'!P39</f>
        <v>0.037392541337876173</v>
      </c>
    </row>
    <row r="18" spans="1:15" ht="14.4">
      <c r="A18" s="25">
        <f t="shared" si="0"/>
        <v>8</v>
      </c>
      <c r="B18" s="17" t="s">
        <v>32</v>
      </c>
      <c r="C18" s="5">
        <f>+'Res Weights by Year (18-20)'!D49</f>
        <v>0.020046387681705427</v>
      </c>
      <c r="D18" s="5">
        <f>+'Res Weights by Year (18-20)'!E49</f>
        <v>0.020050319529689199</v>
      </c>
      <c r="E18" s="5">
        <f>+'Res Weights by Year (18-20)'!F49</f>
        <v>0.020038561690765219</v>
      </c>
      <c r="F18" s="5">
        <f>+'Res Weights by Year (18-20)'!G49</f>
        <v>0.019308587646872134</v>
      </c>
      <c r="G18" s="5">
        <f>+'Res Weights by Year (18-20)'!H49</f>
        <v>0.018558901420992157</v>
      </c>
      <c r="H18" s="5">
        <f>+'Res Weights by Year (18-20)'!I49</f>
        <v>0.018128872067748478</v>
      </c>
      <c r="I18" s="5">
        <f>+'Res Weights by Year (18-20)'!J49</f>
        <v>0.018964083445459197</v>
      </c>
      <c r="J18" s="5">
        <f>+'Res Weights by Year (18-20)'!K49</f>
        <v>0.01932954190999615</v>
      </c>
      <c r="K18" s="5">
        <f>+'Res Weights by Year (18-20)'!L49</f>
        <v>0.018731797913441525</v>
      </c>
      <c r="L18" s="5">
        <f>+'Res Weights by Year (18-20)'!M49</f>
        <v>0.018245710519749218</v>
      </c>
      <c r="M18" s="5">
        <f>+'Res Weights by Year (18-20)'!N49</f>
        <v>0.019007636471866592</v>
      </c>
      <c r="N18" s="5">
        <f>+'Res Weights by Year (18-20)'!O49</f>
        <v>0.019733358974329127</v>
      </c>
      <c r="O18" s="5">
        <f>+'Res Weights by Year (18-20)'!P49</f>
        <v>0.01916034972467676</v>
      </c>
    </row>
    <row r="19" spans="1:15" ht="14.4">
      <c r="A19" s="25">
        <f t="shared" si="0"/>
        <v>9</v>
      </c>
      <c r="B19" s="17" t="s">
        <v>8</v>
      </c>
      <c r="C19" s="5">
        <f>+'Res Weights by Year (18-20)'!D34</f>
        <v>0.038966902742706561</v>
      </c>
      <c r="D19" s="5">
        <f>+'Res Weights by Year (18-20)'!E34</f>
        <v>0.039325244534836837</v>
      </c>
      <c r="E19" s="5">
        <f>+'Res Weights by Year (18-20)'!F34</f>
        <v>0.038164761918376464</v>
      </c>
      <c r="F19" s="5">
        <f>+'Res Weights by Year (18-20)'!G34</f>
        <v>0.037615110786957902</v>
      </c>
      <c r="G19" s="5">
        <f>+'Res Weights by Year (18-20)'!H34</f>
        <v>0.036292026016826268</v>
      </c>
      <c r="H19" s="5">
        <f>+'Res Weights by Year (18-20)'!I34</f>
        <v>0.035532291909624036</v>
      </c>
      <c r="I19" s="5">
        <f>+'Res Weights by Year (18-20)'!J34</f>
        <v>0.034480560930655935</v>
      </c>
      <c r="J19" s="5">
        <f>+'Res Weights by Year (18-20)'!K34</f>
        <v>0.034571141665777787</v>
      </c>
      <c r="K19" s="5">
        <f>+'Res Weights by Year (18-20)'!L34</f>
        <v>0.03522600709376994</v>
      </c>
      <c r="L19" s="5">
        <f>+'Res Weights by Year (18-20)'!M34</f>
        <v>0.035142895089624822</v>
      </c>
      <c r="M19" s="5">
        <f>+'Res Weights by Year (18-20)'!N34</f>
        <v>0.036373317410210868</v>
      </c>
      <c r="N19" s="5">
        <f>+'Res Weights by Year (18-20)'!O34</f>
        <v>0.039022170334972094</v>
      </c>
      <c r="O19" s="5">
        <f>+'Res Weights by Year (18-20)'!P34</f>
        <v>0.036488213619787789</v>
      </c>
    </row>
    <row r="20" spans="1:15" ht="14.4">
      <c r="A20" s="25">
        <f t="shared" si="0"/>
        <v>10</v>
      </c>
      <c r="B20" s="17" t="s">
        <v>6</v>
      </c>
      <c r="C20" s="6">
        <f>+'Res Weights by Year (18-20)'!D24</f>
        <v>0.034183903658598684</v>
      </c>
      <c r="D20" s="6">
        <f>+'Res Weights by Year (18-20)'!E24</f>
        <v>0.032801387493393494</v>
      </c>
      <c r="E20" s="6">
        <f>+'Res Weights by Year (18-20)'!F24</f>
        <v>0.03432909582786229</v>
      </c>
      <c r="F20" s="6">
        <f>+'Res Weights by Year (18-20)'!G24</f>
        <v>0.041533186265994948</v>
      </c>
      <c r="G20" s="6">
        <f>+'Res Weights by Year (18-20)'!H24</f>
        <v>0.043815748914963266</v>
      </c>
      <c r="H20" s="6">
        <f>+'Res Weights by Year (18-20)'!I24</f>
        <v>0.045197966617179106</v>
      </c>
      <c r="I20" s="6">
        <f>+'Res Weights by Year (18-20)'!J24</f>
        <v>0.04260027314901299</v>
      </c>
      <c r="J20" s="6">
        <f>+'Res Weights by Year (18-20)'!K24</f>
        <v>0.042877317946618553</v>
      </c>
      <c r="K20" s="6">
        <f>+'Res Weights by Year (18-20)'!L24</f>
        <v>0.044181941210338624</v>
      </c>
      <c r="L20" s="6">
        <f>+'Res Weights by Year (18-20)'!M24</f>
        <v>0.044049564271897837</v>
      </c>
      <c r="M20" s="6">
        <f>+'Res Weights by Year (18-20)'!N24</f>
        <v>0.042211006008251645</v>
      </c>
      <c r="N20" s="6">
        <f>+'Res Weights by Year (18-20)'!O24</f>
        <v>0.037486634853746897</v>
      </c>
      <c r="O20" s="6">
        <f>+'Res Weights by Year (18-20)'!P24</f>
        <v>0.040667363917346183</v>
      </c>
    </row>
    <row r="21" spans="2:15" ht="13.8">
      <c r="B21" s="4"/>
      <c r="C21" s="7">
        <f t="shared" si="1" ref="C21:O21">SUM(C11:C20)</f>
        <v>1</v>
      </c>
      <c r="D21" s="7">
        <f t="shared" si="1"/>
        <v>0.99999999999999989</v>
      </c>
      <c r="E21" s="7">
        <f t="shared" si="1"/>
        <v>1</v>
      </c>
      <c r="F21" s="7">
        <f t="shared" si="1"/>
        <v>1</v>
      </c>
      <c r="G21" s="7">
        <f t="shared" si="1"/>
        <v>1.0000000000000002</v>
      </c>
      <c r="H21" s="7">
        <f t="shared" si="1"/>
        <v>1</v>
      </c>
      <c r="I21" s="7">
        <f t="shared" si="1"/>
        <v>1</v>
      </c>
      <c r="J21" s="7">
        <f t="shared" si="1"/>
        <v>1</v>
      </c>
      <c r="K21" s="7">
        <f t="shared" si="1"/>
        <v>1.0000000000000002</v>
      </c>
      <c r="L21" s="7">
        <f t="shared" si="1"/>
        <v>1</v>
      </c>
      <c r="M21" s="7">
        <f t="shared" si="1"/>
        <v>1</v>
      </c>
      <c r="N21" s="7">
        <f t="shared" si="1"/>
        <v>1.0000000000000002</v>
      </c>
      <c r="O21" s="7">
        <f t="shared" si="1"/>
        <v>0.99999999999999989</v>
      </c>
    </row>
  </sheetData>
  <mergeCells count="7">
    <mergeCell ref="B8:O8"/>
    <mergeCell ref="B1:O1"/>
    <mergeCell ref="B2:O2"/>
    <mergeCell ref="B3:O3"/>
    <mergeCell ref="B4:O4"/>
    <mergeCell ref="B5:F5"/>
    <mergeCell ref="B6:O6"/>
  </mergeCells>
  <printOptions horizontalCentered="1"/>
  <pageMargins left="0.5" right="0.5" top="0.7" bottom="1" header="0.5" footer="0.43"/>
  <pageSetup orientation="landscape" scale="88" r:id="rId1"/>
  <headerFooter alignWithMargins="0">
    <oddHeader>&amp;RWP/II-H-5.2/1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6.8571428571429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7" width="9.57142857142857" style="1" bestFit="1" customWidth="1"/>
    <col min="18" max="16384" width="9.14285714285714" style="1"/>
  </cols>
  <sheetData>
    <row r="1" spans="1:16" ht="15.6">
      <c r="A1" s="14"/>
      <c r="B1" s="69" t="s">
        <v>10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15.6">
      <c r="A2" s="14"/>
      <c r="B2" s="69" t="s">
        <v>11</v>
      </c>
      <c r="C2" s="69"/>
      <c r="D2" s="69"/>
      <c r="E2" s="69"/>
      <c r="F2" s="69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15.6">
      <c r="A3" s="14"/>
      <c r="B3" s="69" t="s">
        <v>40</v>
      </c>
      <c r="C3" s="69"/>
      <c r="D3" s="69"/>
      <c r="E3" s="69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15.6">
      <c r="A4" s="14"/>
      <c r="B4" s="69" t="str">
        <f>+'Res Seasonal Weights'!B4:P4</f>
        <v>FOR THE TEST YEAR ENDING DECEMBER 31, 2021</v>
      </c>
      <c r="C4" s="69"/>
      <c r="D4" s="69"/>
      <c r="E4" s="69"/>
      <c r="F4" s="69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spans="1:16" ht="15.6">
      <c r="A5" s="14"/>
      <c r="B5" s="69"/>
      <c r="C5" s="69"/>
      <c r="D5" s="69"/>
      <c r="E5" s="69"/>
      <c r="F5" s="69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69" t="s">
        <v>38</v>
      </c>
      <c r="C6" s="69"/>
      <c r="D6" s="69"/>
      <c r="E6" s="69"/>
      <c r="F6" s="69"/>
      <c r="G6" s="70"/>
      <c r="H6" s="70"/>
      <c r="I6" s="70"/>
      <c r="J6" s="70"/>
      <c r="K6" s="70"/>
      <c r="L6" s="70"/>
      <c r="M6" s="70"/>
      <c r="N6" s="70"/>
      <c r="O6" s="70"/>
      <c r="P6" s="70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69" t="s">
        <v>41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44</v>
      </c>
    </row>
    <row r="10" spans="1:16" ht="15.75" customHeight="1">
      <c r="A10" s="20" t="s">
        <v>27</v>
      </c>
      <c r="B10" s="21" t="s">
        <v>28</v>
      </c>
      <c r="C10" s="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7" ht="14.4">
      <c r="A11" s="1">
        <v>1</v>
      </c>
      <c r="B11" s="17" t="s">
        <v>29</v>
      </c>
      <c r="C11" s="2">
        <v>2018</v>
      </c>
      <c r="D11" s="3">
        <f>'Res Sales by Year (18-20)'!D11/'Res Sales by Year (18-20)'!D61</f>
        <v>0.69355690762473121</v>
      </c>
      <c r="E11" s="3">
        <f>'Res Sales by Year (18-20)'!E11/'Res Sales by Year (18-20)'!E$61</f>
        <v>0.69042270755274326</v>
      </c>
      <c r="F11" s="3">
        <f>'Res Sales by Year (18-20)'!F11/'Res Sales by Year (18-20)'!F$61</f>
        <v>0.69959811778867376</v>
      </c>
      <c r="G11" s="3">
        <f>'Res Sales by Year (18-20)'!G11/'Res Sales by Year (18-20)'!G$61</f>
        <v>0.69458153249962307</v>
      </c>
      <c r="H11" s="3">
        <f>'Res Sales by Year (18-20)'!H11/'Res Sales by Year (18-20)'!H$61</f>
        <v>0.69693902204445846</v>
      </c>
      <c r="I11" s="3">
        <f>'Res Sales by Year (18-20)'!I11/'Res Sales by Year (18-20)'!I$61</f>
        <v>0.70673279345771411</v>
      </c>
      <c r="J11" s="3">
        <f>'Res Sales by Year (18-20)'!J11/'Res Sales by Year (18-20)'!J$61</f>
        <v>0.71774977889428537</v>
      </c>
      <c r="K11" s="3">
        <f>'Res Sales by Year (18-20)'!K11/'Res Sales by Year (18-20)'!K$61</f>
        <v>0.71332180322642991</v>
      </c>
      <c r="L11" s="3">
        <f>'Res Sales by Year (18-20)'!L11/'Res Sales by Year (18-20)'!L$61</f>
        <v>0.70462883618237371</v>
      </c>
      <c r="M11" s="3">
        <f>'Res Sales by Year (18-20)'!M11/'Res Sales by Year (18-20)'!M$61</f>
        <v>0.70615285935377603</v>
      </c>
      <c r="N11" s="3">
        <f>'Res Sales by Year (18-20)'!N11/'Res Sales by Year (18-20)'!N$61</f>
        <v>0.69094450692000497</v>
      </c>
      <c r="O11" s="3">
        <f>'Res Sales by Year (18-20)'!O11/'Res Sales by Year (18-20)'!O$61</f>
        <v>0.68261152059024599</v>
      </c>
      <c r="P11" s="59">
        <f>'Res Sales by Year (18-20)'!P11/'Res Sales by Year (18-20)'!P$61</f>
        <v>0.70160911056009612</v>
      </c>
      <c r="Q11" s="4"/>
    </row>
    <row r="12" spans="1:16" ht="14.4">
      <c r="A12" s="1">
        <f>+A11+1</f>
        <v>2</v>
      </c>
      <c r="B12" s="17" t="s">
        <v>29</v>
      </c>
      <c r="C12" s="2">
        <v>2019</v>
      </c>
      <c r="D12" s="3">
        <f>'Res Sales by Year (18-20)'!D12/'Res Sales by Year (18-20)'!D62</f>
        <v>0.68224673624474708</v>
      </c>
      <c r="E12" s="3">
        <f>'Res Sales by Year (18-20)'!E12/'Res Sales by Year (18-20)'!E$62</f>
        <v>0.69036637087039898</v>
      </c>
      <c r="F12" s="3">
        <f>'Res Sales by Year (18-20)'!F12/'Res Sales by Year (18-20)'!F$62</f>
        <v>0.69484615754932377</v>
      </c>
      <c r="G12" s="3">
        <f>'Res Sales by Year (18-20)'!G12/'Res Sales by Year (18-20)'!G$62</f>
        <v>0.68843996998248025</v>
      </c>
      <c r="H12" s="3">
        <f>'Res Sales by Year (18-20)'!H12/'Res Sales by Year (18-20)'!H$62</f>
        <v>0.69632770608801053</v>
      </c>
      <c r="I12" s="3">
        <f>'Res Sales by Year (18-20)'!I12/'Res Sales by Year (18-20)'!I$62</f>
        <v>0.70085862845266422</v>
      </c>
      <c r="J12" s="3">
        <f>'Res Sales by Year (18-20)'!J12/'Res Sales by Year (18-20)'!J$62</f>
        <v>0.70583115944644459</v>
      </c>
      <c r="K12" s="3">
        <f>'Res Sales by Year (18-20)'!K12/'Res Sales by Year (18-20)'!K$62</f>
        <v>0.70771103686650749</v>
      </c>
      <c r="L12" s="3">
        <f>'Res Sales by Year (18-20)'!L12/'Res Sales by Year (18-20)'!L$62</f>
        <v>0.70934049542882283</v>
      </c>
      <c r="M12" s="3">
        <f>'Res Sales by Year (18-20)'!M12/'Res Sales by Year (18-20)'!M$62</f>
        <v>0.71263398653936516</v>
      </c>
      <c r="N12" s="3">
        <f>'Res Sales by Year (18-20)'!N12/'Res Sales by Year (18-20)'!N$62</f>
        <v>0.68932694967265451</v>
      </c>
      <c r="O12" s="3">
        <f>'Res Sales by Year (18-20)'!O12/'Res Sales by Year (18-20)'!O$62</f>
        <v>0.68481798269419536</v>
      </c>
      <c r="P12" s="60">
        <f>'Res Sales by Year (18-20)'!P12/'Res Sales by Year (18-20)'!P$62</f>
        <v>0.69858551005795899</v>
      </c>
    </row>
    <row r="13" spans="1:16" ht="15" thickBot="1">
      <c r="A13" s="1">
        <f t="shared" si="0" ref="A13:A64">+A12+1</f>
        <v>3</v>
      </c>
      <c r="B13" s="17" t="s">
        <v>29</v>
      </c>
      <c r="C13" s="2">
        <v>2020</v>
      </c>
      <c r="D13" s="3">
        <f>'Res Sales by Year (18-20)'!D13/'Res Sales by Year (18-20)'!D63</f>
        <v>0.68403286431226373</v>
      </c>
      <c r="E13" s="3">
        <f>'Res Sales by Year (18-20)'!E13/'Res Sales by Year (18-20)'!E63</f>
        <v>0.68516160611479848</v>
      </c>
      <c r="F13" s="3">
        <f>'Res Sales by Year (18-20)'!F13/'Res Sales by Year (18-20)'!F63</f>
        <v>0.68268942699361501</v>
      </c>
      <c r="G13" s="3">
        <f>'Res Sales by Year (18-20)'!G13/'Res Sales by Year (18-20)'!G63</f>
        <v>0.69335288190554445</v>
      </c>
      <c r="H13" s="3">
        <f>'Res Sales by Year (18-20)'!H13/'Res Sales by Year (18-20)'!H63</f>
        <v>0.69566581968024066</v>
      </c>
      <c r="I13" s="3">
        <f>'Res Sales by Year (18-20)'!I13/'Res Sales by Year (18-20)'!I63</f>
        <v>0.69974648901615333</v>
      </c>
      <c r="J13" s="3">
        <f>'Res Sales by Year (18-20)'!J13/'Res Sales by Year (18-20)'!J63</f>
        <v>0.70387260867732671</v>
      </c>
      <c r="K13" s="3">
        <f>'Res Sales by Year (18-20)'!K13/'Res Sales by Year (18-20)'!K63</f>
        <v>0.7042882288467186</v>
      </c>
      <c r="L13" s="3">
        <f>'Res Sales by Year (18-20)'!L13/'Res Sales by Year (18-20)'!L63</f>
        <v>0.70479202959839793</v>
      </c>
      <c r="M13" s="3">
        <f>'Res Sales by Year (18-20)'!M13/'Res Sales by Year (18-20)'!M63</f>
        <v>0.70101929197523338</v>
      </c>
      <c r="N13" s="3">
        <f>'Res Sales by Year (18-20)'!N13/'Res Sales by Year (18-20)'!N63</f>
        <v>0.69225970523353675</v>
      </c>
      <c r="O13" s="3">
        <f>'Res Sales by Year (18-20)'!O13/'Res Sales by Year (18-20)'!O63</f>
        <v>0.68624044088398117</v>
      </c>
      <c r="P13" s="60">
        <f>'Res Sales by Year (18-20)'!P13/'Res Sales by Year (18-20)'!P63</f>
        <v>0.69584919728818673</v>
      </c>
    </row>
    <row r="14" spans="1:16" ht="14.4">
      <c r="A14" s="1">
        <f t="shared" si="0"/>
        <v>4</v>
      </c>
      <c r="B14" s="17" t="s">
        <v>29</v>
      </c>
      <c r="C14" s="57" t="s">
        <v>1</v>
      </c>
      <c r="D14" s="58">
        <f>'Res Sales by Year (18-20)'!D14/'Res Sales by Year (18-20)'!D64</f>
        <v>0.68709955745830409</v>
      </c>
      <c r="E14" s="58">
        <f>'Res Sales by Year (18-20)'!E14/'Res Sales by Year (18-20)'!E64</f>
        <v>0.68879317662772421</v>
      </c>
      <c r="F14" s="58">
        <f>'Res Sales by Year (18-20)'!F14/'Res Sales by Year (18-20)'!F64</f>
        <v>0.69243574270867503</v>
      </c>
      <c r="G14" s="58">
        <f>'Res Sales by Year (18-20)'!G14/'Res Sales by Year (18-20)'!G64</f>
        <v>0.69209896124084591</v>
      </c>
      <c r="H14" s="58">
        <f>'Res Sales by Year (18-20)'!H14/'Res Sales by Year (18-20)'!H64</f>
        <v>0.69628509107410452</v>
      </c>
      <c r="I14" s="58">
        <f>'Res Sales by Year (18-20)'!I14/'Res Sales by Year (18-20)'!I64</f>
        <v>0.70266990038451704</v>
      </c>
      <c r="J14" s="58">
        <f>'Res Sales by Year (18-20)'!J14/'Res Sales by Year (18-20)'!J64</f>
        <v>0.70950311320610593</v>
      </c>
      <c r="K14" s="58">
        <f>'Res Sales by Year (18-20)'!K14/'Res Sales by Year (18-20)'!K64</f>
        <v>0.70846859924379402</v>
      </c>
      <c r="L14" s="58">
        <f>'Res Sales by Year (18-20)'!L14/'Res Sales by Year (18-20)'!L64</f>
        <v>0.70636575755765663</v>
      </c>
      <c r="M14" s="58">
        <f>'Res Sales by Year (18-20)'!M14/'Res Sales by Year (18-20)'!M64</f>
        <v>0.7071837807275575</v>
      </c>
      <c r="N14" s="58">
        <f>'Res Sales by Year (18-20)'!N14/'Res Sales by Year (18-20)'!N64</f>
        <v>0.69084319154826446</v>
      </c>
      <c r="O14" s="58">
        <f>'Res Sales by Year (18-20)'!O14/'Res Sales by Year (18-20)'!O64</f>
        <v>0.68447854595953483</v>
      </c>
      <c r="P14" s="61">
        <f>'Res Sales by Year (18-20)'!P14/'Res Sales by Year (18-20)'!P64</f>
        <v>0.69872108060445393</v>
      </c>
    </row>
    <row r="15" spans="1:16" ht="13.8">
      <c r="A15" s="1">
        <f t="shared" si="0"/>
        <v>5</v>
      </c>
      <c r="B15" s="8"/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ht="13.8">
      <c r="A16" s="1">
        <f t="shared" si="0"/>
        <v>6</v>
      </c>
      <c r="B16" s="8" t="s">
        <v>5</v>
      </c>
      <c r="C16" s="2">
        <f>+C11</f>
        <v>2018</v>
      </c>
      <c r="D16" s="3">
        <f>'Res Sales by Year (18-20)'!D16/'Res Sales by Year (18-20)'!D61</f>
        <v>0.030982355260415366</v>
      </c>
      <c r="E16" s="3">
        <f>'Res Sales by Year (18-20)'!E16/'Res Sales by Year (18-20)'!E$61</f>
        <v>0.03021788865964144</v>
      </c>
      <c r="F16" s="3">
        <f>'Res Sales by Year (18-20)'!F16/'Res Sales by Year (18-20)'!F$61</f>
        <v>0.025806751636039897</v>
      </c>
      <c r="G16" s="3">
        <f>'Res Sales by Year (18-20)'!G16/'Res Sales by Year (18-20)'!G$61</f>
        <v>0.028510668913769358</v>
      </c>
      <c r="H16" s="3">
        <f>'Res Sales by Year (18-20)'!H16/'Res Sales by Year (18-20)'!H$61</f>
        <v>0.02782835434277206</v>
      </c>
      <c r="I16" s="3">
        <f>'Res Sales by Year (18-20)'!I16/'Res Sales by Year (18-20)'!I$61</f>
        <v>0.025921322360540216</v>
      </c>
      <c r="J16" s="3">
        <f>'Res Sales by Year (18-20)'!J16/'Res Sales by Year (18-20)'!J$61</f>
        <v>0.024855537604280258</v>
      </c>
      <c r="K16" s="3">
        <f>'Res Sales by Year (18-20)'!K16/'Res Sales by Year (18-20)'!K$61</f>
        <v>0.024983821000438961</v>
      </c>
      <c r="L16" s="3">
        <f>'Res Sales by Year (18-20)'!L16/'Res Sales by Year (18-20)'!L$61</f>
        <v>0.026496469675176496</v>
      </c>
      <c r="M16" s="3">
        <f>'Res Sales by Year (18-20)'!M16/'Res Sales by Year (18-20)'!M$61</f>
        <v>0.027417385714189071</v>
      </c>
      <c r="N16" s="3">
        <f>'Res Sales by Year (18-20)'!N16/'Res Sales by Year (18-20)'!N$61</f>
        <v>0.028788662298936996</v>
      </c>
      <c r="O16" s="3">
        <f>'Res Sales by Year (18-20)'!O16/'Res Sales by Year (18-20)'!O$61</f>
        <v>0.030889439046173774</v>
      </c>
      <c r="P16" s="60">
        <f>'Res Sales by Year (18-20)'!P16/'Res Sales by Year (18-20)'!P$61</f>
        <v>0.027468162387212128</v>
      </c>
      <c r="Q16" s="4"/>
    </row>
    <row r="17" spans="1:16" ht="13.8">
      <c r="A17" s="1">
        <f t="shared" si="0"/>
        <v>7</v>
      </c>
      <c r="B17" s="8" t="s">
        <v>5</v>
      </c>
      <c r="C17" s="2">
        <f>+C12</f>
        <v>2019</v>
      </c>
      <c r="D17" s="3">
        <f>'Res Sales by Year (18-20)'!D17/'Res Sales by Year (18-20)'!D62</f>
        <v>0.028330332927957981</v>
      </c>
      <c r="E17" s="3">
        <f>'Res Sales by Year (18-20)'!E17/'Res Sales by Year (18-20)'!E$62</f>
        <v>0.029580760952421108</v>
      </c>
      <c r="F17" s="3">
        <f>'Res Sales by Year (18-20)'!F17/'Res Sales by Year (18-20)'!F$62</f>
        <v>0.027460768500955659</v>
      </c>
      <c r="G17" s="3">
        <f>'Res Sales by Year (18-20)'!G17/'Res Sales by Year (18-20)'!G$62</f>
        <v>0.028147946954940998</v>
      </c>
      <c r="H17" s="3">
        <f>'Res Sales by Year (18-20)'!H17/'Res Sales by Year (18-20)'!H$62</f>
        <v>0.027592106911685121</v>
      </c>
      <c r="I17" s="3">
        <f>'Res Sales by Year (18-20)'!I17/'Res Sales by Year (18-20)'!I$62</f>
        <v>0.028250102552279228</v>
      </c>
      <c r="J17" s="3">
        <f>'Res Sales by Year (18-20)'!J17/'Res Sales by Year (18-20)'!J$62</f>
        <v>0.025739469869887417</v>
      </c>
      <c r="K17" s="3">
        <f>'Res Sales by Year (18-20)'!K17/'Res Sales by Year (18-20)'!K$62</f>
        <v>0.024726947652416613</v>
      </c>
      <c r="L17" s="3">
        <f>'Res Sales by Year (18-20)'!L17/'Res Sales by Year (18-20)'!L$62</f>
        <v>0.024726375518231133</v>
      </c>
      <c r="M17" s="3">
        <f>'Res Sales by Year (18-20)'!M17/'Res Sales by Year (18-20)'!M$62</f>
        <v>0.024209877267720909</v>
      </c>
      <c r="N17" s="3">
        <f>'Res Sales by Year (18-20)'!N17/'Res Sales by Year (18-20)'!N$62</f>
        <v>0.027785842055578335</v>
      </c>
      <c r="O17" s="3">
        <f>'Res Sales by Year (18-20)'!O17/'Res Sales by Year (18-20)'!O$62</f>
        <v>0.029294543038141121</v>
      </c>
      <c r="P17" s="60">
        <f>'Res Sales by Year (18-20)'!P17/'Res Sales by Year (18-20)'!P$62</f>
        <v>0.026840796993879666</v>
      </c>
    </row>
    <row r="18" spans="1:16" ht="14.4" thickBot="1">
      <c r="A18" s="1">
        <f t="shared" si="0"/>
        <v>8</v>
      </c>
      <c r="B18" s="8" t="s">
        <v>5</v>
      </c>
      <c r="C18" s="2">
        <f>+C13</f>
        <v>2020</v>
      </c>
      <c r="D18" s="3">
        <f>'Res Sales by Year (18-20)'!D18/'Res Sales by Year (18-20)'!D63</f>
        <v>0.029490158547122593</v>
      </c>
      <c r="E18" s="3">
        <f>'Res Sales by Year (18-20)'!E18/'Res Sales by Year (18-20)'!E63</f>
        <v>0.02938483095752074</v>
      </c>
      <c r="F18" s="3">
        <f>'Res Sales by Year (18-20)'!F18/'Res Sales by Year (18-20)'!F63</f>
        <v>0.02847543106164507</v>
      </c>
      <c r="G18" s="3">
        <f>'Res Sales by Year (18-20)'!G18/'Res Sales by Year (18-20)'!G63</f>
        <v>0.027467612132485587</v>
      </c>
      <c r="H18" s="3">
        <f>'Res Sales by Year (18-20)'!H18/'Res Sales by Year (18-20)'!H63</f>
        <v>0.025602326610347299</v>
      </c>
      <c r="I18" s="3">
        <f>'Res Sales by Year (18-20)'!I18/'Res Sales by Year (18-20)'!I63</f>
        <v>0.025601934753259319</v>
      </c>
      <c r="J18" s="3">
        <f>'Res Sales by Year (18-20)'!J18/'Res Sales by Year (18-20)'!J63</f>
        <v>0.025024695991644173</v>
      </c>
      <c r="K18" s="3">
        <f>'Res Sales by Year (18-20)'!K18/'Res Sales by Year (18-20)'!K63</f>
        <v>0.02456207336907016</v>
      </c>
      <c r="L18" s="3">
        <f>'Res Sales by Year (18-20)'!L18/'Res Sales by Year (18-20)'!L63</f>
        <v>0.025424107219966866</v>
      </c>
      <c r="M18" s="3">
        <f>'Res Sales by Year (18-20)'!M18/'Res Sales by Year (18-20)'!M63</f>
        <v>0.026187637343578735</v>
      </c>
      <c r="N18" s="3">
        <f>'Res Sales by Year (18-20)'!N18/'Res Sales by Year (18-20)'!N63</f>
        <v>0.026343567765471716</v>
      </c>
      <c r="O18" s="3">
        <f>'Res Sales by Year (18-20)'!O18/'Res Sales by Year (18-20)'!O63</f>
        <v>0.029186927738978997</v>
      </c>
      <c r="P18" s="60">
        <f>'Res Sales by Year (18-20)'!P18/'Res Sales by Year (18-20)'!P63</f>
        <v>0.026628522097290181</v>
      </c>
    </row>
    <row r="19" spans="1:16" ht="13.8">
      <c r="A19" s="1">
        <f t="shared" si="0"/>
        <v>9</v>
      </c>
      <c r="B19" s="8" t="s">
        <v>5</v>
      </c>
      <c r="C19" s="57" t="s">
        <v>1</v>
      </c>
      <c r="D19" s="58">
        <f>'Res Sales by Year (18-20)'!D19/'Res Sales by Year (18-20)'!D64</f>
        <v>0.029688635380729252</v>
      </c>
      <c r="E19" s="58">
        <f>'Res Sales by Year (18-20)'!E19/'Res Sales by Year (18-20)'!E64</f>
        <v>0.029742559256511526</v>
      </c>
      <c r="F19" s="58">
        <f>'Res Sales by Year (18-20)'!F19/'Res Sales by Year (18-20)'!F64</f>
        <v>0.027267064291153342</v>
      </c>
      <c r="G19" s="58">
        <f>'Res Sales by Year (18-20)'!G19/'Res Sales by Year (18-20)'!G64</f>
        <v>0.028030842557314101</v>
      </c>
      <c r="H19" s="58">
        <f>'Res Sales by Year (18-20)'!H19/'Res Sales by Year (18-20)'!H64</f>
        <v>0.026948349117155677</v>
      </c>
      <c r="I19" s="58">
        <f>'Res Sales by Year (18-20)'!I19/'Res Sales by Year (18-20)'!I64</f>
        <v>0.026513010400584291</v>
      </c>
      <c r="J19" s="58">
        <f>'Res Sales by Year (18-20)'!J19/'Res Sales by Year (18-20)'!J64</f>
        <v>0.025176696134128328</v>
      </c>
      <c r="K19" s="58">
        <f>'Res Sales by Year (18-20)'!K19/'Res Sales by Year (18-20)'!K64</f>
        <v>0.024758860512916411</v>
      </c>
      <c r="L19" s="58">
        <f>'Res Sales by Year (18-20)'!L19/'Res Sales by Year (18-20)'!L64</f>
        <v>0.025513559041871324</v>
      </c>
      <c r="M19" s="58">
        <f>'Res Sales by Year (18-20)'!M19/'Res Sales by Year (18-20)'!M64</f>
        <v>0.025789161615002582</v>
      </c>
      <c r="N19" s="58">
        <f>'Res Sales by Year (18-20)'!N19/'Res Sales by Year (18-20)'!N64</f>
        <v>0.027594337115967787</v>
      </c>
      <c r="O19" s="58">
        <f>'Res Sales by Year (18-20)'!O19/'Res Sales by Year (18-20)'!O64</f>
        <v>0.029824312097726846</v>
      </c>
      <c r="P19" s="61">
        <f>'Res Sales by Year (18-20)'!P19/'Res Sales by Year (18-20)'!P64</f>
        <v>0.026984669814763985</v>
      </c>
    </row>
    <row r="20" spans="1:16" ht="13.8">
      <c r="A20" s="1">
        <f t="shared" si="0"/>
        <v>10</v>
      </c>
      <c r="B20" s="8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7" ht="13.8">
      <c r="A21" s="1">
        <f t="shared" si="0"/>
        <v>11</v>
      </c>
      <c r="B21" s="8" t="s">
        <v>6</v>
      </c>
      <c r="C21" s="2">
        <f>+C16</f>
        <v>2018</v>
      </c>
      <c r="D21" s="3">
        <f>'Res Sales by Year (18-20)'!D21/'Res Sales by Year (18-20)'!D61</f>
        <v>0.032939540619167602</v>
      </c>
      <c r="E21" s="3">
        <f>'Res Sales by Year (18-20)'!E21/'Res Sales by Year (18-20)'!E$61</f>
        <v>0.031899098166807797</v>
      </c>
      <c r="F21" s="3">
        <f>'Res Sales by Year (18-20)'!F21/'Res Sales by Year (18-20)'!F$61</f>
        <v>0.033758314519805134</v>
      </c>
      <c r="G21" s="3">
        <f>'Res Sales by Year (18-20)'!G21/'Res Sales by Year (18-20)'!G$61</f>
        <v>0.04050598280540272</v>
      </c>
      <c r="H21" s="3">
        <f>'Res Sales by Year (18-20)'!H21/'Res Sales by Year (18-20)'!H$61</f>
        <v>0.041824885548745784</v>
      </c>
      <c r="I21" s="3">
        <f>'Res Sales by Year (18-20)'!I21/'Res Sales by Year (18-20)'!I$61</f>
        <v>0.042592577050980691</v>
      </c>
      <c r="J21" s="3">
        <f>'Res Sales by Year (18-20)'!J21/'Res Sales by Year (18-20)'!J$61</f>
        <v>0.039738907534154919</v>
      </c>
      <c r="K21" s="3">
        <f>'Res Sales by Year (18-20)'!K21/'Res Sales by Year (18-20)'!K$61</f>
        <v>0.041273534756709682</v>
      </c>
      <c r="L21" s="3">
        <f>'Res Sales by Year (18-20)'!L21/'Res Sales by Year (18-20)'!L$61</f>
        <v>0.043761628780700931</v>
      </c>
      <c r="M21" s="3">
        <f>'Res Sales by Year (18-20)'!M21/'Res Sales by Year (18-20)'!M$61</f>
        <v>0.042377136827828607</v>
      </c>
      <c r="N21" s="3">
        <f>'Res Sales by Year (18-20)'!N21/'Res Sales by Year (18-20)'!N$61</f>
        <v>0.040321014686996039</v>
      </c>
      <c r="O21" s="3">
        <f>'Res Sales by Year (18-20)'!O21/'Res Sales by Year (18-20)'!O$61</f>
        <v>0.035150019725555141</v>
      </c>
      <c r="P21" s="60">
        <f>'Res Sales by Year (18-20)'!P21/'Res Sales by Year (18-20)'!P$61</f>
        <v>0.038959617821247128</v>
      </c>
      <c r="Q21" s="4"/>
    </row>
    <row r="22" spans="1:16" ht="13.8">
      <c r="A22" s="1">
        <f t="shared" si="0"/>
        <v>12</v>
      </c>
      <c r="B22" s="8" t="s">
        <v>6</v>
      </c>
      <c r="C22" s="2">
        <f>+C17</f>
        <v>2019</v>
      </c>
      <c r="D22" s="3">
        <f>'Res Sales by Year (18-20)'!D22/'Res Sales by Year (18-20)'!D62</f>
        <v>0.03433138940767709</v>
      </c>
      <c r="E22" s="3">
        <f>'Res Sales by Year (18-20)'!E22/'Res Sales by Year (18-20)'!E$62</f>
        <v>0.032909197470698197</v>
      </c>
      <c r="F22" s="3">
        <f>'Res Sales by Year (18-20)'!F22/'Res Sales by Year (18-20)'!F$62</f>
        <v>0.03303854209519011</v>
      </c>
      <c r="G22" s="3">
        <f>'Res Sales by Year (18-20)'!G22/'Res Sales by Year (18-20)'!G$62</f>
        <v>0.039494969991032927</v>
      </c>
      <c r="H22" s="3">
        <f>'Res Sales by Year (18-20)'!H22/'Res Sales by Year (18-20)'!H$62</f>
        <v>0.043798201433402031</v>
      </c>
      <c r="I22" s="3">
        <f>'Res Sales by Year (18-20)'!I22/'Res Sales by Year (18-20)'!I$62</f>
        <v>0.046456952875009359</v>
      </c>
      <c r="J22" s="3">
        <f>'Res Sales by Year (18-20)'!J22/'Res Sales by Year (18-20)'!J$62</f>
        <v>0.04385529122277055</v>
      </c>
      <c r="K22" s="3">
        <f>'Res Sales by Year (18-20)'!K22/'Res Sales by Year (18-20)'!K$62</f>
        <v>0.043663370834729848</v>
      </c>
      <c r="L22" s="3">
        <f>'Res Sales by Year (18-20)'!L22/'Res Sales by Year (18-20)'!L$62</f>
        <v>0.043466672917870521</v>
      </c>
      <c r="M22" s="3">
        <f>'Res Sales by Year (18-20)'!M22/'Res Sales by Year (18-20)'!M$62</f>
        <v>0.043930049881391486</v>
      </c>
      <c r="N22" s="3">
        <f>'Res Sales by Year (18-20)'!N22/'Res Sales by Year (18-20)'!N$62</f>
        <v>0.04062231882421094</v>
      </c>
      <c r="O22" s="3">
        <f>'Res Sales by Year (18-20)'!O22/'Res Sales by Year (18-20)'!O$62</f>
        <v>0.036804650144325053</v>
      </c>
      <c r="P22" s="60">
        <f>'Res Sales by Year (18-20)'!P22/'Res Sales by Year (18-20)'!P$62</f>
        <v>0.040487061305032102</v>
      </c>
    </row>
    <row r="23" spans="1:16" ht="14.4" thickBot="1">
      <c r="A23" s="1">
        <f t="shared" si="0"/>
        <v>13</v>
      </c>
      <c r="B23" s="8" t="s">
        <v>6</v>
      </c>
      <c r="C23" s="2">
        <f>+C18</f>
        <v>2020</v>
      </c>
      <c r="D23" s="3">
        <f>'Res Sales by Year (18-20)'!D23/'Res Sales by Year (18-20)'!D63</f>
        <v>0.035623519056690277</v>
      </c>
      <c r="E23" s="3">
        <f>'Res Sales by Year (18-20)'!E23/'Res Sales by Year (18-20)'!E63</f>
        <v>0.033705741582104445</v>
      </c>
      <c r="F23" s="3">
        <f>'Res Sales by Year (18-20)'!F23/'Res Sales by Year (18-20)'!F63</f>
        <v>0.036354356094784573</v>
      </c>
      <c r="G23" s="3">
        <f>'Res Sales by Year (18-20)'!G23/'Res Sales by Year (18-20)'!G63</f>
        <v>0.044485863853770242</v>
      </c>
      <c r="H23" s="3">
        <f>'Res Sales by Year (18-20)'!H23/'Res Sales by Year (18-20)'!H63</f>
        <v>0.04560301077648507</v>
      </c>
      <c r="I23" s="3">
        <f>'Res Sales by Year (18-20)'!I23/'Res Sales by Year (18-20)'!I63</f>
        <v>0.0469841963580259</v>
      </c>
      <c r="J23" s="3">
        <f>'Res Sales by Year (18-20)'!J23/'Res Sales by Year (18-20)'!J63</f>
        <v>0.044570750838741402</v>
      </c>
      <c r="K23" s="3">
        <f>'Res Sales by Year (18-20)'!K23/'Res Sales by Year (18-20)'!K63</f>
        <v>0.043754482683612816</v>
      </c>
      <c r="L23" s="3">
        <f>'Res Sales by Year (18-20)'!L23/'Res Sales by Year (18-20)'!L63</f>
        <v>0.045370451020515935</v>
      </c>
      <c r="M23" s="3">
        <f>'Res Sales by Year (18-20)'!M23/'Res Sales by Year (18-20)'!M63</f>
        <v>0.045954086215183383</v>
      </c>
      <c r="N23" s="3">
        <f>'Res Sales by Year (18-20)'!N23/'Res Sales by Year (18-20)'!N63</f>
        <v>0.045467673801214296</v>
      </c>
      <c r="O23" s="3">
        <f>'Res Sales by Year (18-20)'!O23/'Res Sales by Year (18-20)'!O63</f>
        <v>0.040902671243603597</v>
      </c>
      <c r="P23" s="60">
        <f>'Res Sales by Year (18-20)'!P23/'Res Sales by Year (18-20)'!P63</f>
        <v>0.04263347841439856</v>
      </c>
    </row>
    <row r="24" spans="1:16" ht="13.8">
      <c r="A24" s="1">
        <f t="shared" si="0"/>
        <v>14</v>
      </c>
      <c r="B24" s="8" t="s">
        <v>6</v>
      </c>
      <c r="C24" s="57" t="s">
        <v>1</v>
      </c>
      <c r="D24" s="58">
        <f>'Res Sales by Year (18-20)'!D24/'Res Sales by Year (18-20)'!D64</f>
        <v>0.034183903658598684</v>
      </c>
      <c r="E24" s="58">
        <f>'Res Sales by Year (18-20)'!E24/'Res Sales by Year (18-20)'!E64</f>
        <v>0.032801387493393494</v>
      </c>
      <c r="F24" s="58">
        <f>'Res Sales by Year (18-20)'!F24/'Res Sales by Year (18-20)'!F64</f>
        <v>0.03432909582786229</v>
      </c>
      <c r="G24" s="58">
        <f>'Res Sales by Year (18-20)'!G24/'Res Sales by Year (18-20)'!G64</f>
        <v>0.041533186265994948</v>
      </c>
      <c r="H24" s="58">
        <f>'Res Sales by Year (18-20)'!H24/'Res Sales by Year (18-20)'!H64</f>
        <v>0.043815748914963266</v>
      </c>
      <c r="I24" s="58">
        <f>'Res Sales by Year (18-20)'!I24/'Res Sales by Year (18-20)'!I64</f>
        <v>0.045197966617179106</v>
      </c>
      <c r="J24" s="58">
        <f>'Res Sales by Year (18-20)'!J24/'Res Sales by Year (18-20)'!J64</f>
        <v>0.04260027314901299</v>
      </c>
      <c r="K24" s="58">
        <f>'Res Sales by Year (18-20)'!K24/'Res Sales by Year (18-20)'!K64</f>
        <v>0.042877317946618553</v>
      </c>
      <c r="L24" s="58">
        <f>'Res Sales by Year (18-20)'!L24/'Res Sales by Year (18-20)'!L64</f>
        <v>0.044181941210338624</v>
      </c>
      <c r="M24" s="58">
        <f>'Res Sales by Year (18-20)'!M24/'Res Sales by Year (18-20)'!M64</f>
        <v>0.044049564271897837</v>
      </c>
      <c r="N24" s="58">
        <f>'Res Sales by Year (18-20)'!N24/'Res Sales by Year (18-20)'!N64</f>
        <v>0.042211006008251645</v>
      </c>
      <c r="O24" s="58">
        <f>'Res Sales by Year (18-20)'!O24/'Res Sales by Year (18-20)'!O64</f>
        <v>0.037486634853746897</v>
      </c>
      <c r="P24" s="61">
        <f>'Res Sales by Year (18-20)'!P24/'Res Sales by Year (18-20)'!P64</f>
        <v>0.040667363917346183</v>
      </c>
    </row>
    <row r="25" spans="1:16" ht="13.8">
      <c r="A25" s="1">
        <f t="shared" si="0"/>
        <v>15</v>
      </c>
      <c r="B25" s="8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7" ht="13.8">
      <c r="A26" s="1">
        <f t="shared" si="0"/>
        <v>16</v>
      </c>
      <c r="B26" s="8" t="s">
        <v>7</v>
      </c>
      <c r="C26" s="2">
        <f>+C21</f>
        <v>2018</v>
      </c>
      <c r="D26" s="3">
        <f>'Res Sales by Year (18-20)'!D26/'Res Sales by Year (18-20)'!D61</f>
        <v>0.052879828047793877</v>
      </c>
      <c r="E26" s="3">
        <f>'Res Sales by Year (18-20)'!E26/'Res Sales by Year (18-20)'!E$61</f>
        <v>0.052239153358971564</v>
      </c>
      <c r="F26" s="3">
        <f>'Res Sales by Year (18-20)'!F26/'Res Sales by Year (18-20)'!F$61</f>
        <v>0.049543390057619742</v>
      </c>
      <c r="G26" s="3">
        <f>'Res Sales by Year (18-20)'!G26/'Res Sales by Year (18-20)'!G$61</f>
        <v>0.04788804682101172</v>
      </c>
      <c r="H26" s="3">
        <f>'Res Sales by Year (18-20)'!H26/'Res Sales by Year (18-20)'!H$61</f>
        <v>0.045875489999386551</v>
      </c>
      <c r="I26" s="3">
        <f>'Res Sales by Year (18-20)'!I26/'Res Sales by Year (18-20)'!I$61</f>
        <v>0.043222281659322674</v>
      </c>
      <c r="J26" s="3">
        <f>'Res Sales by Year (18-20)'!J26/'Res Sales by Year (18-20)'!J$61</f>
        <v>0.041001435585012319</v>
      </c>
      <c r="K26" s="3">
        <f>'Res Sales by Year (18-20)'!K26/'Res Sales by Year (18-20)'!K$61</f>
        <v>0.042970619780841046</v>
      </c>
      <c r="L26" s="3">
        <f>'Res Sales by Year (18-20)'!L26/'Res Sales by Year (18-20)'!L$61</f>
        <v>0.044205997963781142</v>
      </c>
      <c r="M26" s="3">
        <f>'Res Sales by Year (18-20)'!M26/'Res Sales by Year (18-20)'!M$61</f>
        <v>0.044594135619877615</v>
      </c>
      <c r="N26" s="3">
        <f>'Res Sales by Year (18-20)'!N26/'Res Sales by Year (18-20)'!N$61</f>
        <v>0.048431164149366143</v>
      </c>
      <c r="O26" s="3">
        <f>'Res Sales by Year (18-20)'!O26/'Res Sales by Year (18-20)'!O$61</f>
        <v>0.051658229091145945</v>
      </c>
      <c r="P26" s="60">
        <f>'Res Sales by Year (18-20)'!P26/'Res Sales by Year (18-20)'!P$61</f>
        <v>0.046553315873411528</v>
      </c>
      <c r="Q26" s="4"/>
    </row>
    <row r="27" spans="1:16" ht="13.8">
      <c r="A27" s="1">
        <f t="shared" si="0"/>
        <v>17</v>
      </c>
      <c r="B27" s="8" t="s">
        <v>7</v>
      </c>
      <c r="C27" s="2">
        <f>+C22</f>
        <v>2019</v>
      </c>
      <c r="D27" s="3">
        <f>'Res Sales by Year (18-20)'!D27/'Res Sales by Year (18-20)'!D62</f>
        <v>0.053296467814230711</v>
      </c>
      <c r="E27" s="3">
        <f>'Res Sales by Year (18-20)'!E27/'Res Sales by Year (18-20)'!E$62</f>
        <v>0.051660592647244145</v>
      </c>
      <c r="F27" s="3">
        <f>'Res Sales by Year (18-20)'!F27/'Res Sales by Year (18-20)'!F$62</f>
        <v>0.051463430516874929</v>
      </c>
      <c r="G27" s="3">
        <f>'Res Sales by Year (18-20)'!G27/'Res Sales by Year (18-20)'!G$62</f>
        <v>0.049393391559470416</v>
      </c>
      <c r="H27" s="3">
        <f>'Res Sales by Year (18-20)'!H27/'Res Sales by Year (18-20)'!H$62</f>
        <v>0.04666858175415823</v>
      </c>
      <c r="I27" s="3">
        <f>'Res Sales by Year (18-20)'!I27/'Res Sales by Year (18-20)'!I$62</f>
        <v>0.046313597306741221</v>
      </c>
      <c r="J27" s="3">
        <f>'Res Sales by Year (18-20)'!J27/'Res Sales by Year (18-20)'!J$62</f>
        <v>0.043519421164460829</v>
      </c>
      <c r="K27" s="3">
        <f>'Res Sales by Year (18-20)'!K27/'Res Sales by Year (18-20)'!K$62</f>
        <v>0.042926175640615773</v>
      </c>
      <c r="L27" s="3">
        <f>'Res Sales by Year (18-20)'!L27/'Res Sales by Year (18-20)'!L$62</f>
        <v>0.043144987747793899</v>
      </c>
      <c r="M27" s="3">
        <f>'Res Sales by Year (18-20)'!M27/'Res Sales by Year (18-20)'!M$62</f>
        <v>0.044138213518629003</v>
      </c>
      <c r="N27" s="3">
        <f>'Res Sales by Year (18-20)'!N27/'Res Sales by Year (18-20)'!N$62</f>
        <v>0.049618712471402135</v>
      </c>
      <c r="O27" s="3">
        <f>'Res Sales by Year (18-20)'!O27/'Res Sales by Year (18-20)'!O$62</f>
        <v>0.050977495717382713</v>
      </c>
      <c r="P27" s="60">
        <f>'Res Sales by Year (18-20)'!P27/'Res Sales by Year (18-20)'!P$62</f>
        <v>0.047222050670595019</v>
      </c>
    </row>
    <row r="28" spans="1:16" ht="14.4" thickBot="1">
      <c r="A28" s="1">
        <f t="shared" si="0"/>
        <v>18</v>
      </c>
      <c r="B28" s="8" t="s">
        <v>7</v>
      </c>
      <c r="C28" s="2">
        <f>+C23</f>
        <v>2020</v>
      </c>
      <c r="D28" s="3">
        <f>'Res Sales by Year (18-20)'!D28/'Res Sales by Year (18-20)'!D63</f>
        <v>0.051700028159505446</v>
      </c>
      <c r="E28" s="3">
        <f>'Res Sales by Year (18-20)'!E28/'Res Sales by Year (18-20)'!E63</f>
        <v>0.050115834403951676</v>
      </c>
      <c r="F28" s="3">
        <f>'Res Sales by Year (18-20)'!F28/'Res Sales by Year (18-20)'!F63</f>
        <v>0.05236772910095093</v>
      </c>
      <c r="G28" s="3">
        <f>'Res Sales by Year (18-20)'!G28/'Res Sales by Year (18-20)'!G63</f>
        <v>0.048432291549431926</v>
      </c>
      <c r="H28" s="3">
        <f>'Res Sales by Year (18-20)'!H28/'Res Sales by Year (18-20)'!H63</f>
        <v>0.047744302589194515</v>
      </c>
      <c r="I28" s="3">
        <f>'Res Sales by Year (18-20)'!I28/'Res Sales by Year (18-20)'!I63</f>
        <v>0.046370336815314883</v>
      </c>
      <c r="J28" s="3">
        <f>'Res Sales by Year (18-20)'!J28/'Res Sales by Year (18-20)'!J63</f>
        <v>0.044336457249559313</v>
      </c>
      <c r="K28" s="3">
        <f>'Res Sales by Year (18-20)'!K28/'Res Sales by Year (18-20)'!K63</f>
        <v>0.044539521614264624</v>
      </c>
      <c r="L28" s="3">
        <f>'Res Sales by Year (18-20)'!L28/'Res Sales by Year (18-20)'!L63</f>
        <v>0.045402700570359569</v>
      </c>
      <c r="M28" s="3">
        <f>'Res Sales by Year (18-20)'!M28/'Res Sales by Year (18-20)'!M63</f>
        <v>0.046003568880987625</v>
      </c>
      <c r="N28" s="3">
        <f>'Res Sales by Year (18-20)'!N28/'Res Sales by Year (18-20)'!N63</f>
        <v>0.049787637131537804</v>
      </c>
      <c r="O28" s="3">
        <f>'Res Sales by Year (18-20)'!O28/'Res Sales by Year (18-20)'!O63</f>
        <v>0.050985708543537824</v>
      </c>
      <c r="P28" s="60">
        <f>'Res Sales by Year (18-20)'!P28/'Res Sales by Year (18-20)'!P63</f>
        <v>0.047648711342057899</v>
      </c>
    </row>
    <row r="29" spans="1:16" ht="13.8">
      <c r="A29" s="1">
        <f t="shared" si="0"/>
        <v>19</v>
      </c>
      <c r="B29" s="8" t="s">
        <v>7</v>
      </c>
      <c r="C29" s="57" t="s">
        <v>1</v>
      </c>
      <c r="D29" s="58">
        <f>'Res Sales by Year (18-20)'!D29/'Res Sales by Year (18-20)'!D64</f>
        <v>0.052662425891111593</v>
      </c>
      <c r="E29" s="58">
        <f>'Res Sales by Year (18-20)'!E29/'Res Sales by Year (18-20)'!E64</f>
        <v>0.051389227199418144</v>
      </c>
      <c r="F29" s="58">
        <f>'Res Sales by Year (18-20)'!F29/'Res Sales by Year (18-20)'!F64</f>
        <v>0.051150749359803328</v>
      </c>
      <c r="G29" s="58">
        <f>'Res Sales by Year (18-20)'!G29/'Res Sales by Year (18-20)'!G64</f>
        <v>0.048580006941631677</v>
      </c>
      <c r="H29" s="58">
        <f>'Res Sales by Year (18-20)'!H29/'Res Sales by Year (18-20)'!H64</f>
        <v>0.046802378188919302</v>
      </c>
      <c r="I29" s="58">
        <f>'Res Sales by Year (18-20)'!I29/'Res Sales by Year (18-20)'!I64</f>
        <v>0.045186052321932492</v>
      </c>
      <c r="J29" s="58">
        <f>'Res Sales by Year (18-20)'!J29/'Res Sales by Year (18-20)'!J64</f>
        <v>0.042879855619765317</v>
      </c>
      <c r="K29" s="58">
        <f>'Res Sales by Year (18-20)'!K29/'Res Sales by Year (18-20)'!K64</f>
        <v>0.043488335933679276</v>
      </c>
      <c r="L29" s="58">
        <f>'Res Sales by Year (18-20)'!L29/'Res Sales by Year (18-20)'!L64</f>
        <v>0.044217913248564819</v>
      </c>
      <c r="M29" s="58">
        <f>'Res Sales by Year (18-20)'!M29/'Res Sales by Year (18-20)'!M64</f>
        <v>0.04483246857709533</v>
      </c>
      <c r="N29" s="58">
        <f>'Res Sales by Year (18-20)'!N29/'Res Sales by Year (18-20)'!N64</f>
        <v>0.049311388648391991</v>
      </c>
      <c r="O29" s="58">
        <f>'Res Sales by Year (18-20)'!O29/'Res Sales by Year (18-20)'!O64</f>
        <v>0.051220339919420287</v>
      </c>
      <c r="P29" s="61">
        <f>'Res Sales by Year (18-20)'!P29/'Res Sales by Year (18-20)'!P64</f>
        <v>0.047133936247013571</v>
      </c>
    </row>
    <row r="30" spans="1:16" ht="13.8">
      <c r="A30" s="1">
        <f t="shared" si="0"/>
        <v>20</v>
      </c>
      <c r="B30" s="8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 ht="13.8">
      <c r="A31" s="1">
        <f t="shared" si="0"/>
        <v>21</v>
      </c>
      <c r="B31" s="8" t="s">
        <v>8</v>
      </c>
      <c r="C31" s="2">
        <f>+C26</f>
        <v>2018</v>
      </c>
      <c r="D31" s="3">
        <f>'Res Sales by Year (18-20)'!D31/'Res Sales by Year (18-20)'!D61</f>
        <v>0.03983120184876026</v>
      </c>
      <c r="E31" s="3">
        <f>'Res Sales by Year (18-20)'!E31/'Res Sales by Year (18-20)'!E$61</f>
        <v>0.03980721489901709</v>
      </c>
      <c r="F31" s="3">
        <f>'Res Sales by Year (18-20)'!F31/'Res Sales by Year (18-20)'!F$61</f>
        <v>0.037398049100928511</v>
      </c>
      <c r="G31" s="3">
        <f>'Res Sales by Year (18-20)'!G31/'Res Sales by Year (18-20)'!G$61</f>
        <v>0.037661846335982602</v>
      </c>
      <c r="H31" s="3">
        <f>'Res Sales by Year (18-20)'!H31/'Res Sales by Year (18-20)'!H$61</f>
        <v>0.036925166051001525</v>
      </c>
      <c r="I31" s="3">
        <f>'Res Sales by Year (18-20)'!I31/'Res Sales by Year (18-20)'!I$61</f>
        <v>0.035078020786128393</v>
      </c>
      <c r="J31" s="3">
        <f>'Res Sales by Year (18-20)'!J31/'Res Sales by Year (18-20)'!J$61</f>
        <v>0.034242719464233656</v>
      </c>
      <c r="K31" s="3">
        <f>'Res Sales by Year (18-20)'!K31/'Res Sales by Year (18-20)'!K$61</f>
        <v>0.034826336861977565</v>
      </c>
      <c r="L31" s="3">
        <f>'Res Sales by Year (18-20)'!L31/'Res Sales by Year (18-20)'!L$61</f>
        <v>0.036274479393899418</v>
      </c>
      <c r="M31" s="3">
        <f>'Res Sales by Year (18-20)'!M31/'Res Sales by Year (18-20)'!M$61</f>
        <v>0.036630907037547178</v>
      </c>
      <c r="N31" s="3">
        <f>'Res Sales by Year (18-20)'!N31/'Res Sales by Year (18-20)'!N$61</f>
        <v>0.037710384718310994</v>
      </c>
      <c r="O31" s="3">
        <f>'Res Sales by Year (18-20)'!O31/'Res Sales by Year (18-20)'!O$61</f>
        <v>0.039685592325577709</v>
      </c>
      <c r="P31" s="60">
        <f>'Res Sales by Year (18-20)'!P31/'Res Sales by Year (18-20)'!P$61</f>
        <v>0.036928975389921778</v>
      </c>
      <c r="Q31" s="4"/>
    </row>
    <row r="32" spans="1:16" ht="13.8">
      <c r="A32" s="1">
        <f t="shared" si="0"/>
        <v>22</v>
      </c>
      <c r="B32" s="8" t="s">
        <v>8</v>
      </c>
      <c r="C32" s="2">
        <f>+C27</f>
        <v>2019</v>
      </c>
      <c r="D32" s="3">
        <f>'Res Sales by Year (18-20)'!D32/'Res Sales by Year (18-20)'!D62</f>
        <v>0.038159118582766119</v>
      </c>
      <c r="E32" s="3">
        <f>'Res Sales by Year (18-20)'!E32/'Res Sales by Year (18-20)'!E$62</f>
        <v>0.039203040505003117</v>
      </c>
      <c r="F32" s="3">
        <f>'Res Sales by Year (18-20)'!F32/'Res Sales by Year (18-20)'!F$62</f>
        <v>0.038325345972891667</v>
      </c>
      <c r="G32" s="3">
        <f>'Res Sales by Year (18-20)'!G32/'Res Sales by Year (18-20)'!G$62</f>
        <v>0.038258264286112419</v>
      </c>
      <c r="H32" s="3">
        <f>'Res Sales by Year (18-20)'!H32/'Res Sales by Year (18-20)'!H$62</f>
        <v>0.036819893309694408</v>
      </c>
      <c r="I32" s="3">
        <f>'Res Sales by Year (18-20)'!I32/'Res Sales by Year (18-20)'!I$62</f>
        <v>0.036870634050240152</v>
      </c>
      <c r="J32" s="3">
        <f>'Res Sales by Year (18-20)'!J32/'Res Sales by Year (18-20)'!J$62</f>
        <v>0.034605234240323766</v>
      </c>
      <c r="K32" s="3">
        <f>'Res Sales by Year (18-20)'!K32/'Res Sales by Year (18-20)'!K$62</f>
        <v>0.03440063079783575</v>
      </c>
      <c r="L32" s="3">
        <f>'Res Sales by Year (18-20)'!L32/'Res Sales by Year (18-20)'!L$62</f>
        <v>0.03499238986941245</v>
      </c>
      <c r="M32" s="3">
        <f>'Res Sales by Year (18-20)'!M32/'Res Sales by Year (18-20)'!M$62</f>
        <v>0.034427516881938347</v>
      </c>
      <c r="N32" s="3">
        <f>'Res Sales by Year (18-20)'!N32/'Res Sales by Year (18-20)'!N$62</f>
        <v>0.03622522676503212</v>
      </c>
      <c r="O32" s="3">
        <f>'Res Sales by Year (18-20)'!O32/'Res Sales by Year (18-20)'!O$62</f>
        <v>0.038816991802188235</v>
      </c>
      <c r="P32" s="60">
        <f>'Res Sales by Year (18-20)'!P32/'Res Sales by Year (18-20)'!P$62</f>
        <v>0.036490104272156168</v>
      </c>
    </row>
    <row r="33" spans="1:16" ht="14.4" thickBot="1">
      <c r="A33" s="1">
        <f t="shared" si="0"/>
        <v>23</v>
      </c>
      <c r="B33" s="8" t="s">
        <v>8</v>
      </c>
      <c r="C33" s="2">
        <f>+C28</f>
        <v>2020</v>
      </c>
      <c r="D33" s="3">
        <f>'Res Sales by Year (18-20)'!D33/'Res Sales by Year (18-20)'!D63</f>
        <v>0.038726930482734345</v>
      </c>
      <c r="E33" s="3">
        <f>'Res Sales by Year (18-20)'!E33/'Res Sales by Year (18-20)'!E63</f>
        <v>0.038915208530370143</v>
      </c>
      <c r="F33" s="3">
        <f>'Res Sales by Year (18-20)'!F33/'Res Sales by Year (18-20)'!F63</f>
        <v>0.038732265965078894</v>
      </c>
      <c r="G33" s="3">
        <f>'Res Sales by Year (18-20)'!G33/'Res Sales by Year (18-20)'!G63</f>
        <v>0.036942852047818012</v>
      </c>
      <c r="H33" s="3">
        <f>'Res Sales by Year (18-20)'!H33/'Res Sales by Year (18-20)'!H63</f>
        <v>0.035267035419419987</v>
      </c>
      <c r="I33" s="3">
        <f>'Res Sales by Year (18-20)'!I33/'Res Sales by Year (18-20)'!I63</f>
        <v>0.034828561366355017</v>
      </c>
      <c r="J33" s="3">
        <f>'Res Sales by Year (18-20)'!J33/'Res Sales by Year (18-20)'!J63</f>
        <v>0.03462634779213164</v>
      </c>
      <c r="K33" s="3">
        <f>'Res Sales by Year (18-20)'!K33/'Res Sales by Year (18-20)'!K63</f>
        <v>0.034474334077482703</v>
      </c>
      <c r="L33" s="3">
        <f>'Res Sales by Year (18-20)'!L33/'Res Sales by Year (18-20)'!L63</f>
        <v>0.034467834752650271</v>
      </c>
      <c r="M33" s="3">
        <f>'Res Sales by Year (18-20)'!M33/'Res Sales by Year (18-20)'!M63</f>
        <v>0.034540029403451085</v>
      </c>
      <c r="N33" s="3">
        <f>'Res Sales by Year (18-20)'!N33/'Res Sales by Year (18-20)'!N63</f>
        <v>0.035333208967558927</v>
      </c>
      <c r="O33" s="3">
        <f>'Res Sales by Year (18-20)'!O33/'Res Sales by Year (18-20)'!O63</f>
        <v>0.038488630551631604</v>
      </c>
      <c r="P33" s="60">
        <f>'Res Sales by Year (18-20)'!P33/'Res Sales by Year (18-20)'!P63</f>
        <v>0.036026689394128106</v>
      </c>
    </row>
    <row r="34" spans="1:16" ht="13.8">
      <c r="A34" s="1">
        <f t="shared" si="0"/>
        <v>24</v>
      </c>
      <c r="B34" s="8" t="s">
        <v>8</v>
      </c>
      <c r="C34" s="57" t="s">
        <v>1</v>
      </c>
      <c r="D34" s="58">
        <f>'Res Sales by Year (18-20)'!D34/'Res Sales by Year (18-20)'!D64</f>
        <v>0.038966902742706561</v>
      </c>
      <c r="E34" s="58">
        <f>'Res Sales by Year (18-20)'!E34/'Res Sales by Year (18-20)'!E64</f>
        <v>0.039325244534836837</v>
      </c>
      <c r="F34" s="58">
        <f>'Res Sales by Year (18-20)'!F34/'Res Sales by Year (18-20)'!F64</f>
        <v>0.038164761918376464</v>
      </c>
      <c r="G34" s="58">
        <f>'Res Sales by Year (18-20)'!G34/'Res Sales by Year (18-20)'!G64</f>
        <v>0.037615110786957902</v>
      </c>
      <c r="H34" s="58">
        <f>'Res Sales by Year (18-20)'!H34/'Res Sales by Year (18-20)'!H64</f>
        <v>0.036292026016826268</v>
      </c>
      <c r="I34" s="58">
        <f>'Res Sales by Year (18-20)'!I34/'Res Sales by Year (18-20)'!I64</f>
        <v>0.035532291909624036</v>
      </c>
      <c r="J34" s="58">
        <f>'Res Sales by Year (18-20)'!J34/'Res Sales by Year (18-20)'!J64</f>
        <v>0.034480560930655935</v>
      </c>
      <c r="K34" s="58">
        <f>'Res Sales by Year (18-20)'!K34/'Res Sales by Year (18-20)'!K64</f>
        <v>0.034571141665777787</v>
      </c>
      <c r="L34" s="58">
        <f>'Res Sales by Year (18-20)'!L34/'Res Sales by Year (18-20)'!L64</f>
        <v>0.03522600709376994</v>
      </c>
      <c r="M34" s="58">
        <f>'Res Sales by Year (18-20)'!M34/'Res Sales by Year (18-20)'!M64</f>
        <v>0.035142895089624822</v>
      </c>
      <c r="N34" s="58">
        <f>'Res Sales by Year (18-20)'!N34/'Res Sales by Year (18-20)'!N64</f>
        <v>0.036373317410210868</v>
      </c>
      <c r="O34" s="58">
        <f>'Res Sales by Year (18-20)'!O34/'Res Sales by Year (18-20)'!O64</f>
        <v>0.039022170334972094</v>
      </c>
      <c r="P34" s="61">
        <f>'Res Sales by Year (18-20)'!P34/'Res Sales by Year (18-20)'!P64</f>
        <v>0.036488213619787789</v>
      </c>
    </row>
    <row r="35" spans="1:3" ht="13.8">
      <c r="A35" s="1">
        <f t="shared" si="0"/>
        <v>25</v>
      </c>
      <c r="B35" s="8"/>
      <c r="C35" s="4"/>
    </row>
    <row r="36" spans="1:17" ht="13.8">
      <c r="A36" s="1">
        <f t="shared" si="0"/>
        <v>26</v>
      </c>
      <c r="B36" s="8" t="s">
        <v>3</v>
      </c>
      <c r="C36" s="2">
        <f>+C31</f>
        <v>2018</v>
      </c>
      <c r="D36" s="3">
        <f>'Res Sales by Year (18-20)'!D36/'Res Sales by Year (18-20)'!D61</f>
        <v>0.039102210784871048</v>
      </c>
      <c r="E36" s="3">
        <f>'Res Sales by Year (18-20)'!E36/'Res Sales by Year (18-20)'!E$61</f>
        <v>0.041157995158143931</v>
      </c>
      <c r="F36" s="3">
        <f>'Res Sales by Year (18-20)'!F36/'Res Sales by Year (18-20)'!F$61</f>
        <v>0.040452430159110819</v>
      </c>
      <c r="G36" s="3">
        <f>'Res Sales by Year (18-20)'!G36/'Res Sales by Year (18-20)'!G$61</f>
        <v>0.037188174057979015</v>
      </c>
      <c r="H36" s="3">
        <f>'Res Sales by Year (18-20)'!H36/'Res Sales by Year (18-20)'!H$61</f>
        <v>0.036183032097343311</v>
      </c>
      <c r="I36" s="3">
        <f>'Res Sales by Year (18-20)'!I36/'Res Sales by Year (18-20)'!I$61</f>
        <v>0.034921492483621655</v>
      </c>
      <c r="J36" s="3">
        <f>'Res Sales by Year (18-20)'!J36/'Res Sales by Year (18-20)'!J$61</f>
        <v>0.034972500023662159</v>
      </c>
      <c r="K36" s="3">
        <f>'Res Sales by Year (18-20)'!K36/'Res Sales by Year (18-20)'!K$61</f>
        <v>0.036719322374654799</v>
      </c>
      <c r="L36" s="3">
        <f>'Res Sales by Year (18-20)'!L36/'Res Sales by Year (18-20)'!L$61</f>
        <v>0.038137913995429019</v>
      </c>
      <c r="M36" s="3">
        <f>'Res Sales by Year (18-20)'!M36/'Res Sales by Year (18-20)'!M$61</f>
        <v>0.038094024307681086</v>
      </c>
      <c r="N36" s="3">
        <f>'Res Sales by Year (18-20)'!N36/'Res Sales by Year (18-20)'!N$61</f>
        <v>0.038541691406584505</v>
      </c>
      <c r="O36" s="3">
        <f>'Res Sales by Year (18-20)'!O36/'Res Sales by Year (18-20)'!O$61</f>
        <v>0.0390114123290611</v>
      </c>
      <c r="P36" s="60">
        <f>'Res Sales by Year (18-20)'!P36/'Res Sales by Year (18-20)'!P$61</f>
        <v>0.0377091493470052</v>
      </c>
      <c r="Q36" s="4"/>
    </row>
    <row r="37" spans="1:16" ht="13.8">
      <c r="A37" s="1">
        <f t="shared" si="0"/>
        <v>27</v>
      </c>
      <c r="B37" s="8" t="s">
        <v>3</v>
      </c>
      <c r="C37" s="2">
        <f>+C32</f>
        <v>2019</v>
      </c>
      <c r="D37" s="3">
        <f>'Res Sales by Year (18-20)'!D37/'Res Sales by Year (18-20)'!D62</f>
        <v>0.039893154108447411</v>
      </c>
      <c r="E37" s="3">
        <f>'Res Sales by Year (18-20)'!E37/'Res Sales by Year (18-20)'!E$62</f>
        <v>0.039866412719120607</v>
      </c>
      <c r="F37" s="3">
        <f>'Res Sales by Year (18-20)'!F37/'Res Sales by Year (18-20)'!F$62</f>
        <v>0.039834790333204237</v>
      </c>
      <c r="G37" s="3">
        <f>'Res Sales by Year (18-20)'!G37/'Res Sales by Year (18-20)'!G$62</f>
        <v>0.038755655859179894</v>
      </c>
      <c r="H37" s="3">
        <f>'Res Sales by Year (18-20)'!H37/'Res Sales by Year (18-20)'!H$62</f>
        <v>0.036363418931426209</v>
      </c>
      <c r="I37" s="3">
        <f>'Res Sales by Year (18-20)'!I37/'Res Sales by Year (18-20)'!I$62</f>
        <v>0.036110300984383503</v>
      </c>
      <c r="J37" s="3">
        <f>'Res Sales by Year (18-20)'!J37/'Res Sales by Year (18-20)'!J$62</f>
        <v>0.034791109347473051</v>
      </c>
      <c r="K37" s="3">
        <f>'Res Sales by Year (18-20)'!K37/'Res Sales by Year (18-20)'!K$62</f>
        <v>0.035326043073577257</v>
      </c>
      <c r="L37" s="3">
        <f>'Res Sales by Year (18-20)'!L37/'Res Sales by Year (18-20)'!L$62</f>
        <v>0.036088356798426792</v>
      </c>
      <c r="M37" s="3">
        <f>'Res Sales by Year (18-20)'!M37/'Res Sales by Year (18-20)'!M$62</f>
        <v>0.037399964918912745</v>
      </c>
      <c r="N37" s="3">
        <f>'Res Sales by Year (18-20)'!N37/'Res Sales by Year (18-20)'!N$62</f>
        <v>0.039055096468962033</v>
      </c>
      <c r="O37" s="3">
        <f>'Res Sales by Year (18-20)'!O37/'Res Sales by Year (18-20)'!O$62</f>
        <v>0.039314236291525063</v>
      </c>
      <c r="P37" s="60">
        <f>'Res Sales by Year (18-20)'!P37/'Res Sales by Year (18-20)'!P$62</f>
        <v>0.037510806432518029</v>
      </c>
    </row>
    <row r="38" spans="1:16" ht="14.4" thickBot="1">
      <c r="A38" s="1">
        <f t="shared" si="0"/>
        <v>28</v>
      </c>
      <c r="B38" s="8" t="s">
        <v>3</v>
      </c>
      <c r="C38" s="2">
        <f>+C33</f>
        <v>2020</v>
      </c>
      <c r="D38" s="3">
        <f>'Res Sales by Year (18-20)'!D38/'Res Sales by Year (18-20)'!D63</f>
        <v>0.038903972000910961</v>
      </c>
      <c r="E38" s="3">
        <f>'Res Sales by Year (18-20)'!E38/'Res Sales by Year (18-20)'!E63</f>
        <v>0.038253040112273151</v>
      </c>
      <c r="F38" s="3">
        <f>'Res Sales by Year (18-20)'!F38/'Res Sales by Year (18-20)'!F63</f>
        <v>0.040549531934138086</v>
      </c>
      <c r="G38" s="3">
        <f>'Res Sales by Year (18-20)'!G38/'Res Sales by Year (18-20)'!G63</f>
        <v>0.036781229515021434</v>
      </c>
      <c r="H38" s="3">
        <f>'Res Sales by Year (18-20)'!H38/'Res Sales by Year (18-20)'!H63</f>
        <v>0.036233080085215155</v>
      </c>
      <c r="I38" s="3">
        <f>'Res Sales by Year (18-20)'!I38/'Res Sales by Year (18-20)'!I63</f>
        <v>0.035195335206106564</v>
      </c>
      <c r="J38" s="3">
        <f>'Res Sales by Year (18-20)'!J38/'Res Sales by Year (18-20)'!J63</f>
        <v>0.034243178148988376</v>
      </c>
      <c r="K38" s="3">
        <f>'Res Sales by Year (18-20)'!K38/'Res Sales by Year (18-20)'!K63</f>
        <v>0.036101049743786452</v>
      </c>
      <c r="L38" s="3">
        <f>'Res Sales by Year (18-20)'!L38/'Res Sales by Year (18-20)'!L63</f>
        <v>0.036728125226123461</v>
      </c>
      <c r="M38" s="3">
        <f>'Res Sales by Year (18-20)'!M38/'Res Sales by Year (18-20)'!M63</f>
        <v>0.0374040120400988</v>
      </c>
      <c r="N38" s="3">
        <f>'Res Sales by Year (18-20)'!N38/'Res Sales by Year (18-20)'!N63</f>
        <v>0.038041858530687825</v>
      </c>
      <c r="O38" s="3">
        <f>'Res Sales by Year (18-20)'!O38/'Res Sales by Year (18-20)'!O63</f>
        <v>0.037386188249086169</v>
      </c>
      <c r="P38" s="60">
        <f>'Res Sales by Year (18-20)'!P38/'Res Sales by Year (18-20)'!P63</f>
        <v>0.036940769231491241</v>
      </c>
    </row>
    <row r="39" spans="1:16" ht="13.8">
      <c r="A39" s="1">
        <f t="shared" si="0"/>
        <v>29</v>
      </c>
      <c r="B39" s="8" t="s">
        <v>3</v>
      </c>
      <c r="C39" s="57" t="s">
        <v>1</v>
      </c>
      <c r="D39" s="58">
        <f>'Res Sales by Year (18-20)'!D39/'Res Sales by Year (18-20)'!D64</f>
        <v>0.03929671599059216</v>
      </c>
      <c r="E39" s="58">
        <f>'Res Sales by Year (18-20)'!E39/'Res Sales by Year (18-20)'!E64</f>
        <v>0.039822223331500047</v>
      </c>
      <c r="F39" s="58">
        <f>'Res Sales by Year (18-20)'!F39/'Res Sales by Year (18-20)'!F64</f>
        <v>0.040258222690710714</v>
      </c>
      <c r="G39" s="58">
        <f>'Res Sales by Year (18-20)'!G39/'Res Sales by Year (18-20)'!G64</f>
        <v>0.037574405847486288</v>
      </c>
      <c r="H39" s="58">
        <f>'Res Sales by Year (18-20)'!H39/'Res Sales by Year (18-20)'!H64</f>
        <v>0.0362581871743341</v>
      </c>
      <c r="I39" s="58">
        <f>'Res Sales by Year (18-20)'!I39/'Res Sales by Year (18-20)'!I64</f>
        <v>0.035367660594554845</v>
      </c>
      <c r="J39" s="58">
        <f>'Res Sales by Year (18-20)'!J39/'Res Sales by Year (18-20)'!J64</f>
        <v>0.034672013349165177</v>
      </c>
      <c r="K39" s="58">
        <f>'Res Sales by Year (18-20)'!K39/'Res Sales by Year (18-20)'!K64</f>
        <v>0.036065070084738221</v>
      </c>
      <c r="L39" s="58">
        <f>'Res Sales by Year (18-20)'!L39/'Res Sales by Year (18-20)'!L64</f>
        <v>0.036944884840855133</v>
      </c>
      <c r="M39" s="58">
        <f>'Res Sales by Year (18-20)'!M39/'Res Sales by Year (18-20)'!M64</f>
        <v>0.037615997065533244</v>
      </c>
      <c r="N39" s="58">
        <f>'Res Sales by Year (18-20)'!N39/'Res Sales by Year (18-20)'!N64</f>
        <v>0.038545253973008405</v>
      </c>
      <c r="O39" s="58">
        <f>'Res Sales by Year (18-20)'!O39/'Res Sales by Year (18-20)'!O64</f>
        <v>0.038611663110020018</v>
      </c>
      <c r="P39" s="61">
        <f>'Res Sales by Year (18-20)'!P39/'Res Sales by Year (18-20)'!P64</f>
        <v>0.037392541337876173</v>
      </c>
    </row>
    <row r="40" spans="1:2" ht="13.8">
      <c r="A40" s="1">
        <f t="shared" si="0"/>
        <v>30</v>
      </c>
      <c r="B40" s="8"/>
    </row>
    <row r="41" spans="1:17" ht="13.8">
      <c r="A41" s="1">
        <f t="shared" si="0"/>
        <v>31</v>
      </c>
      <c r="B41" s="8" t="s">
        <v>9</v>
      </c>
      <c r="C41" s="2">
        <f>+C36</f>
        <v>2018</v>
      </c>
      <c r="D41" s="3">
        <f>'Res Sales by Year (18-20)'!D41/'Res Sales by Year (18-20)'!D61</f>
        <v>0.014399212782391214</v>
      </c>
      <c r="E41" s="3">
        <f>'Res Sales by Year (18-20)'!E41/'Res Sales by Year (18-20)'!E$61</f>
        <v>0.013872113344598357</v>
      </c>
      <c r="F41" s="3">
        <f>'Res Sales by Year (18-20)'!F41/'Res Sales by Year (18-20)'!F$61</f>
        <v>0.013338125555113191</v>
      </c>
      <c r="G41" s="3">
        <f>'Res Sales by Year (18-20)'!G41/'Res Sales by Year (18-20)'!G$61</f>
        <v>0.013235194225970819</v>
      </c>
      <c r="H41" s="3">
        <f>'Res Sales by Year (18-20)'!H41/'Res Sales by Year (18-20)'!H$61</f>
        <v>0.013053947892099566</v>
      </c>
      <c r="I41" s="3">
        <f>'Res Sales by Year (18-20)'!I41/'Res Sales by Year (18-20)'!I$61</f>
        <v>0.012878503613717861</v>
      </c>
      <c r="J41" s="3">
        <f>'Res Sales by Year (18-20)'!J41/'Res Sales by Year (18-20)'!J$61</f>
        <v>0.012532733580879585</v>
      </c>
      <c r="K41" s="3">
        <f>'Res Sales by Year (18-20)'!K41/'Res Sales by Year (18-20)'!K$61</f>
        <v>0.011871960395151027</v>
      </c>
      <c r="L41" s="3">
        <f>'Res Sales by Year (18-20)'!L41/'Res Sales by Year (18-20)'!L$61</f>
        <v>0.011772286464667646</v>
      </c>
      <c r="M41" s="3">
        <f>'Res Sales by Year (18-20)'!M41/'Res Sales by Year (18-20)'!M$61</f>
        <v>0.011384023818662759</v>
      </c>
      <c r="N41" s="3">
        <f>'Res Sales by Year (18-20)'!N41/'Res Sales by Year (18-20)'!N$61</f>
        <v>0.013764070710056914</v>
      </c>
      <c r="O41" s="3">
        <f>'Res Sales by Year (18-20)'!O41/'Res Sales by Year (18-20)'!O$61</f>
        <v>0.014842338721479645</v>
      </c>
      <c r="P41" s="60">
        <f>'Res Sales by Year (18-20)'!P41/'Res Sales by Year (18-20)'!P$61</f>
        <v>0.012970020109471776</v>
      </c>
      <c r="Q41" s="4"/>
    </row>
    <row r="42" spans="1:16" ht="13.8">
      <c r="A42" s="1">
        <f t="shared" si="0"/>
        <v>32</v>
      </c>
      <c r="B42" s="8" t="s">
        <v>9</v>
      </c>
      <c r="C42" s="2">
        <f>+C37</f>
        <v>2019</v>
      </c>
      <c r="D42" s="3">
        <f>'Res Sales by Year (18-20)'!D42/'Res Sales by Year (18-20)'!D62</f>
        <v>0.015061889795217255</v>
      </c>
      <c r="E42" s="3">
        <f>'Res Sales by Year (18-20)'!E42/'Res Sales by Year (18-20)'!E$62</f>
        <v>0.013958985202894961</v>
      </c>
      <c r="F42" s="3">
        <f>'Res Sales by Year (18-20)'!F42/'Res Sales by Year (18-20)'!F$62</f>
        <v>0.013576898686947737</v>
      </c>
      <c r="G42" s="3">
        <f>'Res Sales by Year (18-20)'!G42/'Res Sales by Year (18-20)'!G$62</f>
        <v>0.013375411164730089</v>
      </c>
      <c r="H42" s="3">
        <f>'Res Sales by Year (18-20)'!H42/'Res Sales by Year (18-20)'!H$62</f>
        <v>0.012284328245636449</v>
      </c>
      <c r="I42" s="3">
        <f>'Res Sales by Year (18-20)'!I42/'Res Sales by Year (18-20)'!I$62</f>
        <v>0.011766529815242567</v>
      </c>
      <c r="J42" s="3">
        <f>'Res Sales by Year (18-20)'!J42/'Res Sales by Year (18-20)'!J$62</f>
        <v>0.012247159101636642</v>
      </c>
      <c r="K42" s="3">
        <f>'Res Sales by Year (18-20)'!K42/'Res Sales by Year (18-20)'!K$62</f>
        <v>0.01248452741776044</v>
      </c>
      <c r="L42" s="3">
        <f>'Res Sales by Year (18-20)'!L42/'Res Sales by Year (18-20)'!L$62</f>
        <v>0.01175187543831293</v>
      </c>
      <c r="M42" s="3">
        <f>'Res Sales by Year (18-20)'!M42/'Res Sales by Year (18-20)'!M$62</f>
        <v>0.011400142702277445</v>
      </c>
      <c r="N42" s="3">
        <f>'Res Sales by Year (18-20)'!N42/'Res Sales by Year (18-20)'!N$62</f>
        <v>0.014208315811752872</v>
      </c>
      <c r="O42" s="3">
        <f>'Res Sales by Year (18-20)'!O42/'Res Sales by Year (18-20)'!O$62</f>
        <v>0.014602162661214117</v>
      </c>
      <c r="P42" s="60">
        <f>'Res Sales by Year (18-20)'!P42/'Res Sales by Year (18-20)'!P$62</f>
        <v>0.012931715219251523</v>
      </c>
    </row>
    <row r="43" spans="1:16" ht="14.4" thickBot="1">
      <c r="A43" s="1">
        <f t="shared" si="0"/>
        <v>33</v>
      </c>
      <c r="B43" s="8" t="s">
        <v>9</v>
      </c>
      <c r="C43" s="2">
        <f>+C38</f>
        <v>2020</v>
      </c>
      <c r="D43" s="3">
        <f>'Res Sales by Year (18-20)'!D43/'Res Sales by Year (18-20)'!D63</f>
        <v>0.014537903680711839</v>
      </c>
      <c r="E43" s="3">
        <f>'Res Sales by Year (18-20)'!E43/'Res Sales by Year (18-20)'!E63</f>
        <v>0.015018693878455881</v>
      </c>
      <c r="F43" s="3">
        <f>'Res Sales by Year (18-20)'!F43/'Res Sales by Year (18-20)'!F63</f>
        <v>0.014018933292911845</v>
      </c>
      <c r="G43" s="3">
        <f>'Res Sales by Year (18-20)'!G43/'Res Sales by Year (18-20)'!G63</f>
        <v>0.013116852057632076</v>
      </c>
      <c r="H43" s="3">
        <f>'Res Sales by Year (18-20)'!H43/'Res Sales by Year (18-20)'!H63</f>
        <v>0.013066617857239095</v>
      </c>
      <c r="I43" s="3">
        <f>'Res Sales by Year (18-20)'!I43/'Res Sales by Year (18-20)'!I63</f>
        <v>0.01279536033136305</v>
      </c>
      <c r="J43" s="3">
        <f>'Res Sales by Year (18-20)'!J43/'Res Sales by Year (18-20)'!J63</f>
        <v>0.012766452150528429</v>
      </c>
      <c r="K43" s="3">
        <f>'Res Sales by Year (18-20)'!K43/'Res Sales by Year (18-20)'!K63</f>
        <v>0.012552896776938912</v>
      </c>
      <c r="L43" s="3">
        <f>'Res Sales by Year (18-20)'!L43/'Res Sales by Year (18-20)'!L63</f>
        <v>0.011775165596294672</v>
      </c>
      <c r="M43" s="3">
        <f>'Res Sales by Year (18-20)'!M43/'Res Sales by Year (18-20)'!M63</f>
        <v>0.011637590621041524</v>
      </c>
      <c r="N43" s="3">
        <f>'Res Sales by Year (18-20)'!N43/'Res Sales by Year (18-20)'!N63</f>
        <v>0.012979105738981546</v>
      </c>
      <c r="O43" s="3">
        <f>'Res Sales by Year (18-20)'!O43/'Res Sales by Year (18-20)'!O63</f>
        <v>0.014346818352823063</v>
      </c>
      <c r="P43" s="60">
        <f>'Res Sales by Year (18-20)'!P43/'Res Sales by Year (18-20)'!P63</f>
        <v>0.013105301989050504</v>
      </c>
    </row>
    <row r="44" spans="1:16" ht="13.8">
      <c r="A44" s="1">
        <f t="shared" si="0"/>
        <v>34</v>
      </c>
      <c r="B44" s="8" t="s">
        <v>9</v>
      </c>
      <c r="C44" s="57" t="s">
        <v>1</v>
      </c>
      <c r="D44" s="58">
        <f>'Res Sales by Year (18-20)'!D44/'Res Sales by Year (18-20)'!D64</f>
        <v>0.014652829760031657</v>
      </c>
      <c r="E44" s="58">
        <f>'Res Sales by Year (18-20)'!E44/'Res Sales by Year (18-20)'!E64</f>
        <v>0.014253048954999167</v>
      </c>
      <c r="F44" s="58">
        <f>'Res Sales by Year (18-20)'!F44/'Res Sales by Year (18-20)'!F64</f>
        <v>0.01364382146034024</v>
      </c>
      <c r="G44" s="58">
        <f>'Res Sales by Year (18-20)'!G44/'Res Sales by Year (18-20)'!G64</f>
        <v>0.013241611264823308</v>
      </c>
      <c r="H44" s="58">
        <f>'Res Sales by Year (18-20)'!H44/'Res Sales by Year (18-20)'!H64</f>
        <v>0.012815129120119022</v>
      </c>
      <c r="I44" s="58">
        <f>'Res Sales by Year (18-20)'!I44/'Res Sales by Year (18-20)'!I64</f>
        <v>0.01251824158320964</v>
      </c>
      <c r="J44" s="58">
        <f>'Res Sales by Year (18-20)'!J44/'Res Sales by Year (18-20)'!J64</f>
        <v>0.012526363463024779</v>
      </c>
      <c r="K44" s="58">
        <f>'Res Sales by Year (18-20)'!K44/'Res Sales by Year (18-20)'!K64</f>
        <v>0.012298306376300028</v>
      </c>
      <c r="L44" s="58">
        <f>'Res Sales by Year (18-20)'!L44/'Res Sales by Year (18-20)'!L64</f>
        <v>0.011765933888038288</v>
      </c>
      <c r="M44" s="58">
        <f>'Res Sales by Year (18-20)'!M44/'Res Sales by Year (18-20)'!M64</f>
        <v>0.011465563828769211</v>
      </c>
      <c r="N44" s="58">
        <f>'Res Sales by Year (18-20)'!N44/'Res Sales by Year (18-20)'!N64</f>
        <v>0.01364483410894372</v>
      </c>
      <c r="O44" s="58">
        <f>'Res Sales by Year (18-20)'!O44/'Res Sales by Year (18-20)'!O64</f>
        <v>0.014608058684458566</v>
      </c>
      <c r="P44" s="61">
        <f>'Res Sales by Year (18-20)'!P44/'Res Sales by Year (18-20)'!P64</f>
        <v>0.013001238806215218</v>
      </c>
    </row>
    <row r="45" spans="1:3" ht="13.8">
      <c r="A45" s="1">
        <f t="shared" si="0"/>
        <v>35</v>
      </c>
      <c r="B45" s="8"/>
      <c r="C45" s="4"/>
    </row>
    <row r="46" spans="1:17" ht="13.8">
      <c r="A46" s="1">
        <f t="shared" si="0"/>
        <v>36</v>
      </c>
      <c r="B46" s="8" t="s">
        <v>4</v>
      </c>
      <c r="C46" s="2">
        <f>+C41</f>
        <v>2018</v>
      </c>
      <c r="D46" s="3">
        <f>'Res Sales by Year (18-20)'!D46/'Res Sales by Year (18-20)'!D61</f>
        <v>0.020106415857711227</v>
      </c>
      <c r="E46" s="3">
        <f>'Res Sales by Year (18-20)'!E46/'Res Sales by Year (18-20)'!E$61</f>
        <v>0.019882848658716649</v>
      </c>
      <c r="F46" s="3">
        <f>'Res Sales by Year (18-20)'!F46/'Res Sales by Year (18-20)'!F$61</f>
        <v>0.020671660438846755</v>
      </c>
      <c r="G46" s="3">
        <f>'Res Sales by Year (18-20)'!G46/'Res Sales by Year (18-20)'!G$61</f>
        <v>0.019727030845604215</v>
      </c>
      <c r="H46" s="3">
        <f>'Res Sales by Year (18-20)'!H46/'Res Sales by Year (18-20)'!H$61</f>
        <v>0.019066225870338391</v>
      </c>
      <c r="I46" s="3">
        <f>'Res Sales by Year (18-20)'!I46/'Res Sales by Year (18-20)'!I$61</f>
        <v>0.018699819839424828</v>
      </c>
      <c r="J46" s="3">
        <f>'Res Sales by Year (18-20)'!J46/'Res Sales by Year (18-20)'!J$61</f>
        <v>0.019239934768097752</v>
      </c>
      <c r="K46" s="3">
        <f>'Res Sales by Year (18-20)'!K46/'Res Sales by Year (18-20)'!K$61</f>
        <v>0.019483421568587653</v>
      </c>
      <c r="L46" s="3">
        <f>'Res Sales by Year (18-20)'!L46/'Res Sales by Year (18-20)'!L$61</f>
        <v>0.019046295060479199</v>
      </c>
      <c r="M46" s="3">
        <f>'Res Sales by Year (18-20)'!M46/'Res Sales by Year (18-20)'!M$61</f>
        <v>0.018303053288922119</v>
      </c>
      <c r="N46" s="3">
        <f>'Res Sales by Year (18-20)'!N46/'Res Sales by Year (18-20)'!N$61</f>
        <v>0.018674215463771737</v>
      </c>
      <c r="O46" s="3">
        <f>'Res Sales by Year (18-20)'!O46/'Res Sales by Year (18-20)'!O$61</f>
        <v>0.019682841574842663</v>
      </c>
      <c r="P46" s="60">
        <f>'Res Sales by Year (18-20)'!P46/'Res Sales by Year (18-20)'!P$61</f>
        <v>0.01937687032000374</v>
      </c>
      <c r="Q46" s="4"/>
    </row>
    <row r="47" spans="1:16" ht="13.8">
      <c r="A47" s="1">
        <f t="shared" si="0"/>
        <v>37</v>
      </c>
      <c r="B47" s="8" t="s">
        <v>4</v>
      </c>
      <c r="C47" s="2">
        <f>+C42</f>
        <v>2019</v>
      </c>
      <c r="D47" s="3">
        <f>'Res Sales by Year (18-20)'!D47/'Res Sales by Year (18-20)'!D62</f>
        <v>0.020273931865141256</v>
      </c>
      <c r="E47" s="3">
        <f>'Res Sales by Year (18-20)'!E47/'Res Sales by Year (18-20)'!E$62</f>
        <v>0.019967799707012929</v>
      </c>
      <c r="F47" s="3">
        <f>'Res Sales by Year (18-20)'!F47/'Res Sales by Year (18-20)'!F$62</f>
        <v>0.020083788037715131</v>
      </c>
      <c r="G47" s="3">
        <f>'Res Sales by Year (18-20)'!G47/'Res Sales by Year (18-20)'!G$62</f>
        <v>0.019540299013253826</v>
      </c>
      <c r="H47" s="3">
        <f>'Res Sales by Year (18-20)'!H47/'Res Sales by Year (18-20)'!H$62</f>
        <v>0.018266485699399249</v>
      </c>
      <c r="I47" s="3">
        <f>'Res Sales by Year (18-20)'!I47/'Res Sales by Year (18-20)'!I$62</f>
        <v>0.017416035875115615</v>
      </c>
      <c r="J47" s="3">
        <f>'Res Sales by Year (18-20)'!J47/'Res Sales by Year (18-20)'!J$62</f>
        <v>0.018745226543523928</v>
      </c>
      <c r="K47" s="3">
        <f>'Res Sales by Year (18-20)'!K47/'Res Sales by Year (18-20)'!K$62</f>
        <v>0.019471220231086401</v>
      </c>
      <c r="L47" s="3">
        <f>'Res Sales by Year (18-20)'!L47/'Res Sales by Year (18-20)'!L$62</f>
        <v>0.018880958558327832</v>
      </c>
      <c r="M47" s="3">
        <f>'Res Sales by Year (18-20)'!M47/'Res Sales by Year (18-20)'!M$62</f>
        <v>0.018237928303784189</v>
      </c>
      <c r="N47" s="3">
        <f>'Res Sales by Year (18-20)'!N47/'Res Sales by Year (18-20)'!N$62</f>
        <v>0.019386471758464498</v>
      </c>
      <c r="O47" s="3">
        <f>'Res Sales by Year (18-20)'!O47/'Res Sales by Year (18-20)'!O$62</f>
        <v>0.019985590244597701</v>
      </c>
      <c r="P47" s="60">
        <f>'Res Sales by Year (18-20)'!P47/'Res Sales by Year (18-20)'!P$62</f>
        <v>0.019171757835755768</v>
      </c>
    </row>
    <row r="48" spans="1:16" ht="14.4" thickBot="1">
      <c r="A48" s="1">
        <f t="shared" si="0"/>
        <v>38</v>
      </c>
      <c r="B48" s="8" t="s">
        <v>4</v>
      </c>
      <c r="C48" s="2">
        <f>+C43</f>
        <v>2020</v>
      </c>
      <c r="D48" s="3">
        <f>'Res Sales by Year (18-20)'!D48/'Res Sales by Year (18-20)'!D63</f>
        <v>0.01972411730337539</v>
      </c>
      <c r="E48" s="3">
        <f>'Res Sales by Year (18-20)'!E48/'Res Sales by Year (18-20)'!E63</f>
        <v>0.020334066548931263</v>
      </c>
      <c r="F48" s="3">
        <f>'Res Sales by Year (18-20)'!F48/'Res Sales by Year (18-20)'!F63</f>
        <v>0.019367831722287475</v>
      </c>
      <c r="G48" s="3">
        <f>'Res Sales by Year (18-20)'!G48/'Res Sales by Year (18-20)'!G63</f>
        <v>0.018690765321575629</v>
      </c>
      <c r="H48" s="3">
        <f>'Res Sales by Year (18-20)'!H48/'Res Sales by Year (18-20)'!H63</f>
        <v>0.018363008741429369</v>
      </c>
      <c r="I48" s="3">
        <f>'Res Sales by Year (18-20)'!I48/'Res Sales by Year (18-20)'!I63</f>
        <v>0.018133896361132391</v>
      </c>
      <c r="J48" s="3">
        <f>'Res Sales by Year (18-20)'!J48/'Res Sales by Year (18-20)'!J63</f>
        <v>0.018860677959624927</v>
      </c>
      <c r="K48" s="3">
        <f>'Res Sales by Year (18-20)'!K48/'Res Sales by Year (18-20)'!K63</f>
        <v>0.019041020503415943</v>
      </c>
      <c r="L48" s="3">
        <f>'Res Sales by Year (18-20)'!L48/'Res Sales by Year (18-20)'!L63</f>
        <v>0.01826463910007434</v>
      </c>
      <c r="M48" s="3">
        <f>'Res Sales by Year (18-20)'!M48/'Res Sales by Year (18-20)'!M63</f>
        <v>0.018196192519591845</v>
      </c>
      <c r="N48" s="3">
        <f>'Res Sales by Year (18-20)'!N48/'Res Sales by Year (18-20)'!N63</f>
        <v>0.018927301386848616</v>
      </c>
      <c r="O48" s="3">
        <f>'Res Sales by Year (18-20)'!O48/'Res Sales by Year (18-20)'!O63</f>
        <v>0.019515103500945208</v>
      </c>
      <c r="P48" s="60">
        <f>'Res Sales by Year (18-20)'!P48/'Res Sales by Year (18-20)'!P63</f>
        <v>0.01892285073859535</v>
      </c>
    </row>
    <row r="49" spans="1:16" ht="13.8">
      <c r="A49" s="1">
        <f t="shared" si="0"/>
        <v>39</v>
      </c>
      <c r="B49" s="8" t="s">
        <v>4</v>
      </c>
      <c r="C49" s="57" t="s">
        <v>1</v>
      </c>
      <c r="D49" s="58">
        <f>'Res Sales by Year (18-20)'!D49/'Res Sales by Year (18-20)'!D64</f>
        <v>0.020046387681705427</v>
      </c>
      <c r="E49" s="58">
        <f>'Res Sales by Year (18-20)'!E49/'Res Sales by Year (18-20)'!E64</f>
        <v>0.020050319529689199</v>
      </c>
      <c r="F49" s="58">
        <f>'Res Sales by Year (18-20)'!F49/'Res Sales by Year (18-20)'!F64</f>
        <v>0.020038561690765219</v>
      </c>
      <c r="G49" s="58">
        <f>'Res Sales by Year (18-20)'!G49/'Res Sales by Year (18-20)'!G64</f>
        <v>0.019308587646872134</v>
      </c>
      <c r="H49" s="58">
        <f>'Res Sales by Year (18-20)'!H49/'Res Sales by Year (18-20)'!H64</f>
        <v>0.018558901420992157</v>
      </c>
      <c r="I49" s="58">
        <f>'Res Sales by Year (18-20)'!I49/'Res Sales by Year (18-20)'!I64</f>
        <v>0.018128872067748478</v>
      </c>
      <c r="J49" s="58">
        <f>'Res Sales by Year (18-20)'!J49/'Res Sales by Year (18-20)'!J64</f>
        <v>0.018964083445459197</v>
      </c>
      <c r="K49" s="58">
        <f>'Res Sales by Year (18-20)'!K49/'Res Sales by Year (18-20)'!K64</f>
        <v>0.01932954190999615</v>
      </c>
      <c r="L49" s="58">
        <f>'Res Sales by Year (18-20)'!L49/'Res Sales by Year (18-20)'!L64</f>
        <v>0.018731797913441525</v>
      </c>
      <c r="M49" s="58">
        <f>'Res Sales by Year (18-20)'!M49/'Res Sales by Year (18-20)'!M64</f>
        <v>0.018245710519749218</v>
      </c>
      <c r="N49" s="58">
        <f>'Res Sales by Year (18-20)'!N49/'Res Sales by Year (18-20)'!N64</f>
        <v>0.019007636471866592</v>
      </c>
      <c r="O49" s="58">
        <f>'Res Sales by Year (18-20)'!O49/'Res Sales by Year (18-20)'!O64</f>
        <v>0.019733358974329127</v>
      </c>
      <c r="P49" s="61">
        <f>'Res Sales by Year (18-20)'!P49/'Res Sales by Year (18-20)'!P64</f>
        <v>0.01916034972467676</v>
      </c>
    </row>
    <row r="50" spans="1:2" ht="13.8">
      <c r="A50" s="1">
        <f t="shared" si="0"/>
        <v>40</v>
      </c>
      <c r="B50" s="8"/>
    </row>
    <row r="51" spans="1:17" ht="13.8">
      <c r="A51" s="1">
        <f t="shared" si="0"/>
        <v>41</v>
      </c>
      <c r="B51" s="8" t="s">
        <v>2</v>
      </c>
      <c r="C51" s="2">
        <f>+C46</f>
        <v>2018</v>
      </c>
      <c r="D51" s="3">
        <f>'Res Sales by Year (18-20)'!D51/'Res Sales by Year (18-20)'!D61</f>
        <v>0.050171232823834122</v>
      </c>
      <c r="E51" s="3">
        <f>'Res Sales by Year (18-20)'!E51/'Res Sales by Year (18-20)'!E$61</f>
        <v>0.052263745753209204</v>
      </c>
      <c r="F51" s="3">
        <f>'Res Sales by Year (18-20)'!F51/'Res Sales by Year (18-20)'!F$61</f>
        <v>0.051249644917647552</v>
      </c>
      <c r="G51" s="3">
        <f>'Res Sales by Year (18-20)'!G51/'Res Sales by Year (18-20)'!G$61</f>
        <v>0.054930535651210803</v>
      </c>
      <c r="H51" s="3">
        <f>'Res Sales by Year (18-20)'!H51/'Res Sales by Year (18-20)'!H$61</f>
        <v>0.058149568112496122</v>
      </c>
      <c r="I51" s="3">
        <f>'Res Sales by Year (18-20)'!I51/'Res Sales by Year (18-20)'!I$61</f>
        <v>0.057834793360935152</v>
      </c>
      <c r="J51" s="3">
        <f>'Res Sales by Year (18-20)'!J51/'Res Sales by Year (18-20)'!J$61</f>
        <v>0.052589630670805722</v>
      </c>
      <c r="K51" s="3">
        <f>'Res Sales by Year (18-20)'!K51/'Res Sales by Year (18-20)'!K$61</f>
        <v>0.050819757407143853</v>
      </c>
      <c r="L51" s="3">
        <f>'Res Sales by Year (18-20)'!L51/'Res Sales by Year (18-20)'!L$61</f>
        <v>0.051791219853110568</v>
      </c>
      <c r="M51" s="3">
        <f>'Res Sales by Year (18-20)'!M51/'Res Sales by Year (18-20)'!M$61</f>
        <v>0.051088241862565227</v>
      </c>
      <c r="N51" s="3">
        <f>'Res Sales by Year (18-20)'!N51/'Res Sales by Year (18-20)'!N$61</f>
        <v>0.057518330448784113</v>
      </c>
      <c r="O51" s="3">
        <f>'Res Sales by Year (18-20)'!O51/'Res Sales by Year (18-20)'!O$61</f>
        <v>0.059426560753410428</v>
      </c>
      <c r="P51" s="60">
        <f>'Res Sales by Year (18-20)'!P51/'Res Sales by Year (18-20)'!P$61</f>
        <v>0.05353359528125691</v>
      </c>
      <c r="Q51" s="4"/>
    </row>
    <row r="52" spans="1:16" ht="13.8">
      <c r="A52" s="1">
        <f t="shared" si="0"/>
        <v>42</v>
      </c>
      <c r="B52" s="8" t="s">
        <v>2</v>
      </c>
      <c r="C52" s="2">
        <f>+C47</f>
        <v>2019</v>
      </c>
      <c r="D52" s="3">
        <f>'Res Sales by Year (18-20)'!D52/'Res Sales by Year (18-20)'!D62</f>
        <v>0.061324761869728045</v>
      </c>
      <c r="E52" s="3">
        <f>'Res Sales by Year (18-20)'!E52/'Res Sales by Year (18-20)'!E$62</f>
        <v>0.054214888439697143</v>
      </c>
      <c r="F52" s="3">
        <f>'Res Sales by Year (18-20)'!F52/'Res Sales by Year (18-20)'!F$62</f>
        <v>0.053171413313525311</v>
      </c>
      <c r="G52" s="3">
        <f>'Res Sales by Year (18-20)'!G52/'Res Sales by Year (18-20)'!G$62</f>
        <v>0.057810808183838415</v>
      </c>
      <c r="H52" s="3">
        <f>'Res Sales by Year (18-20)'!H52/'Res Sales by Year (18-20)'!H$62</f>
        <v>0.058448303237088994</v>
      </c>
      <c r="I52" s="3">
        <f>'Res Sales by Year (18-20)'!I52/'Res Sales by Year (18-20)'!I$62</f>
        <v>0.053526074262913927</v>
      </c>
      <c r="J52" s="3">
        <f>'Res Sales by Year (18-20)'!J52/'Res Sales by Year (18-20)'!J$62</f>
        <v>0.057901752795390934</v>
      </c>
      <c r="K52" s="3">
        <f>'Res Sales by Year (18-20)'!K52/'Res Sales by Year (18-20)'!K$62</f>
        <v>0.056225057048498096</v>
      </c>
      <c r="L52" s="3">
        <f>'Res Sales by Year (18-20)'!L52/'Res Sales by Year (18-20)'!L$62</f>
        <v>0.054377790553576978</v>
      </c>
      <c r="M52" s="3">
        <f>'Res Sales by Year (18-20)'!M52/'Res Sales by Year (18-20)'!M$62</f>
        <v>0.050411446736813338</v>
      </c>
      <c r="N52" s="3">
        <f>'Res Sales by Year (18-20)'!N52/'Res Sales by Year (18-20)'!N$62</f>
        <v>0.058608266015468875</v>
      </c>
      <c r="O52" s="3">
        <f>'Res Sales by Year (18-20)'!O52/'Res Sales by Year (18-20)'!O$62</f>
        <v>0.058028038132205084</v>
      </c>
      <c r="P52" s="60">
        <f>'Res Sales by Year (18-20)'!P52/'Res Sales by Year (18-20)'!P$62</f>
        <v>0.055901241847171219</v>
      </c>
    </row>
    <row r="53" spans="1:16" ht="14.4" thickBot="1">
      <c r="A53" s="1">
        <f t="shared" si="0"/>
        <v>43</v>
      </c>
      <c r="B53" s="8" t="s">
        <v>2</v>
      </c>
      <c r="C53" s="2">
        <f>+C48</f>
        <v>2020</v>
      </c>
      <c r="D53" s="3">
        <f>'Res Sales by Year (18-20)'!D53/'Res Sales by Year (18-20)'!D63</f>
        <v>0.059633796145929722</v>
      </c>
      <c r="E53" s="3">
        <f>'Res Sales by Year (18-20)'!E53/'Res Sales by Year (18-20)'!E63</f>
        <v>0.061111363924903184</v>
      </c>
      <c r="F53" s="3">
        <f>'Res Sales by Year (18-20)'!F53/'Res Sales by Year (18-20)'!F63</f>
        <v>0.060169020113107395</v>
      </c>
      <c r="G53" s="3">
        <f>'Res Sales by Year (18-20)'!G53/'Res Sales by Year (18-20)'!G63</f>
        <v>0.055323776518818528</v>
      </c>
      <c r="H53" s="3">
        <f>'Res Sales by Year (18-20)'!H53/'Res Sales by Year (18-20)'!H63</f>
        <v>0.059484606967388956</v>
      </c>
      <c r="I53" s="3">
        <f>'Res Sales by Year (18-20)'!I53/'Res Sales by Year (18-20)'!I63</f>
        <v>0.058900519542692646</v>
      </c>
      <c r="J53" s="3">
        <f>'Res Sales by Year (18-20)'!J53/'Res Sales by Year (18-20)'!J63</f>
        <v>0.058934348456924086</v>
      </c>
      <c r="K53" s="3">
        <f>'Res Sales by Year (18-20)'!K53/'Res Sales by Year (18-20)'!K63</f>
        <v>0.056982515812121631</v>
      </c>
      <c r="L53" s="3">
        <f>'Res Sales by Year (18-20)'!L53/'Res Sales by Year (18-20)'!L63</f>
        <v>0.054831820937810576</v>
      </c>
      <c r="M53" s="3">
        <f>'Res Sales by Year (18-20)'!M53/'Res Sales by Year (18-20)'!M63</f>
        <v>0.055609026212784816</v>
      </c>
      <c r="N53" s="3">
        <f>'Res Sales by Year (18-20)'!N53/'Res Sales by Year (18-20)'!N63</f>
        <v>0.056842948911631608</v>
      </c>
      <c r="O53" s="3">
        <f>'Res Sales by Year (18-20)'!O53/'Res Sales by Year (18-20)'!O63</f>
        <v>0.05682571812503729</v>
      </c>
      <c r="P53" s="60">
        <f>'Res Sales by Year (18-20)'!P53/'Res Sales by Year (18-20)'!P63</f>
        <v>0.057827345911173778</v>
      </c>
    </row>
    <row r="54" spans="1:16" ht="13.8">
      <c r="A54" s="1">
        <f t="shared" si="0"/>
        <v>44</v>
      </c>
      <c r="B54" s="8" t="s">
        <v>2</v>
      </c>
      <c r="C54" s="57" t="s">
        <v>1</v>
      </c>
      <c r="D54" s="58">
        <f>'Res Sales by Year (18-20)'!D54/'Res Sales by Year (18-20)'!D64</f>
        <v>0.056560097983063336</v>
      </c>
      <c r="E54" s="58">
        <f>'Res Sales by Year (18-20)'!E54/'Res Sales by Year (18-20)'!E64</f>
        <v>0.055646288040513629</v>
      </c>
      <c r="F54" s="58">
        <f>'Res Sales by Year (18-20)'!F54/'Res Sales by Year (18-20)'!F64</f>
        <v>0.054814380328536819</v>
      </c>
      <c r="G54" s="58">
        <f>'Res Sales by Year (18-20)'!G54/'Res Sales by Year (18-20)'!G64</f>
        <v>0.056031991969160852</v>
      </c>
      <c r="H54" s="58">
        <f>'Res Sales by Year (18-20)'!H54/'Res Sales by Year (18-20)'!H64</f>
        <v>0.058727011311667035</v>
      </c>
      <c r="I54" s="58">
        <f>'Res Sales by Year (18-20)'!I54/'Res Sales by Year (18-20)'!I64</f>
        <v>0.056896674800498058</v>
      </c>
      <c r="J54" s="58">
        <f>'Res Sales by Year (18-20)'!J54/'Res Sales by Year (18-20)'!J64</f>
        <v>0.056319088712916465</v>
      </c>
      <c r="K54" s="58">
        <f>'Res Sales by Year (18-20)'!K54/'Res Sales by Year (18-20)'!K64</f>
        <v>0.054634106688539984</v>
      </c>
      <c r="L54" s="58">
        <f>'Res Sales by Year (18-20)'!L54/'Res Sales by Year (18-20)'!L64</f>
        <v>0.053709030799228584</v>
      </c>
      <c r="M54" s="58">
        <f>'Res Sales by Year (18-20)'!M54/'Res Sales by Year (18-20)'!M64</f>
        <v>0.052162172567131765</v>
      </c>
      <c r="N54" s="58">
        <f>'Res Sales by Year (18-20)'!N54/'Res Sales by Year (18-20)'!N64</f>
        <v>0.05765976139129747</v>
      </c>
      <c r="O54" s="58">
        <f>'Res Sales by Year (18-20)'!O54/'Res Sales by Year (18-20)'!O64</f>
        <v>0.058150274742451477</v>
      </c>
      <c r="P54" s="61">
        <f>'Res Sales by Year (18-20)'!P54/'Res Sales by Year (18-20)'!P64</f>
        <v>0.055724564885332048</v>
      </c>
    </row>
    <row r="55" spans="1:3" ht="13.8">
      <c r="A55" s="1">
        <f t="shared" si="0"/>
        <v>45</v>
      </c>
      <c r="B55" s="8"/>
      <c r="C55" s="4"/>
    </row>
    <row r="56" spans="1:16" ht="13.8">
      <c r="A56" s="1">
        <f t="shared" si="0"/>
        <v>46</v>
      </c>
      <c r="B56" s="8" t="s">
        <v>48</v>
      </c>
      <c r="C56" s="2">
        <f>+C51</f>
        <v>2018</v>
      </c>
      <c r="D56" s="3">
        <f>'Res Sales by Year (18-20)'!D56/'Res Sales by Year (18-20)'!D61</f>
        <v>0.026031094350323983</v>
      </c>
      <c r="E56" s="3">
        <f>'Res Sales by Year (18-20)'!E56/'Res Sales by Year (18-20)'!E$61</f>
        <v>0.028237234448150666</v>
      </c>
      <c r="F56" s="3">
        <f>'Res Sales by Year (18-20)'!F56/'Res Sales by Year (18-20)'!F$61</f>
        <v>0.028183515826214645</v>
      </c>
      <c r="G56" s="3">
        <f>'Res Sales by Year (18-20)'!G56/'Res Sales by Year (18-20)'!G$61</f>
        <v>0.025770987843445718</v>
      </c>
      <c r="H56" s="3">
        <f>'Res Sales by Year (18-20)'!H56/'Res Sales by Year (18-20)'!H$61</f>
        <v>0.024154308041358329</v>
      </c>
      <c r="I56" s="3">
        <f>'Res Sales by Year (18-20)'!I56/'Res Sales by Year (18-20)'!I$61</f>
        <v>0.022118395387614422</v>
      </c>
      <c r="J56" s="3">
        <f>'Res Sales by Year (18-20)'!J56/'Res Sales by Year (18-20)'!J$61</f>
        <v>0.023076821874588354</v>
      </c>
      <c r="K56" s="3">
        <f>'Res Sales by Year (18-20)'!K56/'Res Sales by Year (18-20)'!K$61</f>
        <v>0.023729422628065506</v>
      </c>
      <c r="L56" s="3">
        <f>'Res Sales by Year (18-20)'!L56/'Res Sales by Year (18-20)'!L$61</f>
        <v>0.023884872630381932</v>
      </c>
      <c r="M56" s="3">
        <f>'Res Sales by Year (18-20)'!M56/'Res Sales by Year (18-20)'!M$61</f>
        <v>0.023958232168950367</v>
      </c>
      <c r="N56" s="3">
        <f>'Res Sales by Year (18-20)'!N56/'Res Sales by Year (18-20)'!N$61</f>
        <v>0.025305959197187585</v>
      </c>
      <c r="O56" s="3">
        <f>'Res Sales by Year (18-20)'!O56/'Res Sales by Year (18-20)'!O$61</f>
        <v>0.027042045842507665</v>
      </c>
      <c r="P56" s="60">
        <f>'Res Sales by Year (18-20)'!P56/'Res Sales by Year (18-20)'!P$61</f>
        <v>0.024891182910373746</v>
      </c>
    </row>
    <row r="57" spans="1:16" ht="13.8">
      <c r="A57" s="1">
        <f t="shared" si="0"/>
        <v>47</v>
      </c>
      <c r="B57" s="8" t="s">
        <v>48</v>
      </c>
      <c r="C57" s="2">
        <f>+C52</f>
        <v>2019</v>
      </c>
      <c r="D57" s="3">
        <f>'Res Sales by Year (18-20)'!D57/'Res Sales by Year (18-20)'!D62</f>
        <v>0.027082217384087028</v>
      </c>
      <c r="E57" s="3">
        <f>'Res Sales by Year (18-20)'!E57/'Res Sales by Year (18-20)'!E$62</f>
        <v>0.028271951485508835</v>
      </c>
      <c r="F57" s="3">
        <f>'Res Sales by Year (18-20)'!F57/'Res Sales by Year (18-20)'!F$62</f>
        <v>0.028198864993371348</v>
      </c>
      <c r="G57" s="3">
        <f>'Res Sales by Year (18-20)'!G57/'Res Sales by Year (18-20)'!G$62</f>
        <v>0.026783283004960586</v>
      </c>
      <c r="H57" s="3">
        <f>'Res Sales by Year (18-20)'!H57/'Res Sales by Year (18-20)'!H$62</f>
        <v>0.02343097438949869</v>
      </c>
      <c r="I57" s="3">
        <f>'Res Sales by Year (18-20)'!I57/'Res Sales by Year (18-20)'!I$62</f>
        <v>0.022431143825410109</v>
      </c>
      <c r="J57" s="3">
        <f>'Res Sales by Year (18-20)'!J57/'Res Sales by Year (18-20)'!J$62</f>
        <v>0.022764176268088319</v>
      </c>
      <c r="K57" s="3">
        <f>'Res Sales by Year (18-20)'!K57/'Res Sales by Year (18-20)'!K$62</f>
        <v>0.023064990436972396</v>
      </c>
      <c r="L57" s="3">
        <f>'Res Sales by Year (18-20)'!L57/'Res Sales by Year (18-20)'!L$62</f>
        <v>0.023230097169224629</v>
      </c>
      <c r="M57" s="3">
        <f>'Res Sales by Year (18-20)'!M57/'Res Sales by Year (18-20)'!M$62</f>
        <v>0.023210873249167381</v>
      </c>
      <c r="N57" s="3">
        <f>'Res Sales by Year (18-20)'!N57/'Res Sales by Year (18-20)'!N$62</f>
        <v>0.025162800156473705</v>
      </c>
      <c r="O57" s="3">
        <f>'Res Sales by Year (18-20)'!O57/'Res Sales by Year (18-20)'!O$62</f>
        <v>0.027358309274225626</v>
      </c>
      <c r="P57" s="60">
        <f>'Res Sales by Year (18-20)'!P57/'Res Sales by Year (18-20)'!P$62</f>
        <v>0.024858955365681504</v>
      </c>
    </row>
    <row r="58" spans="1:16" ht="14.4" thickBot="1">
      <c r="A58" s="1">
        <f t="shared" si="0"/>
        <v>48</v>
      </c>
      <c r="B58" s="8" t="s">
        <v>48</v>
      </c>
      <c r="C58" s="2">
        <f>+C53</f>
        <v>2020</v>
      </c>
      <c r="D58" s="3">
        <f>'Res Sales by Year (18-20)'!D58/'Res Sales by Year (18-20)'!D63</f>
        <v>0.027626710310755771</v>
      </c>
      <c r="E58" s="3">
        <f>'Res Sales by Year (18-20)'!E58/'Res Sales by Year (18-20)'!E63</f>
        <v>0.02799961394669101</v>
      </c>
      <c r="F58" s="3">
        <f>'Res Sales by Year (18-20)'!F58/'Res Sales by Year (18-20)'!F63</f>
        <v>0.027275473721480786</v>
      </c>
      <c r="G58" s="3">
        <f>'Res Sales by Year (18-20)'!G58/'Res Sales by Year (18-20)'!G63</f>
        <v>0.025405875097902222</v>
      </c>
      <c r="H58" s="3">
        <f>'Res Sales by Year (18-20)'!H58/'Res Sales by Year (18-20)'!H63</f>
        <v>0.022970191273040001</v>
      </c>
      <c r="I58" s="3">
        <f>'Res Sales by Year (18-20)'!I58/'Res Sales by Year (18-20)'!I63</f>
        <v>0.021443370249596926</v>
      </c>
      <c r="J58" s="3">
        <f>'Res Sales by Year (18-20)'!J58/'Res Sales by Year (18-20)'!J63</f>
        <v>0.022764482734530956</v>
      </c>
      <c r="K58" s="3">
        <f>'Res Sales by Year (18-20)'!K58/'Res Sales by Year (18-20)'!K63</f>
        <v>0.023703876572588132</v>
      </c>
      <c r="L58" s="3">
        <f>'Res Sales by Year (18-20)'!L58/'Res Sales by Year (18-20)'!L63</f>
        <v>0.022943125977806421</v>
      </c>
      <c r="M58" s="3">
        <f>'Res Sales by Year (18-20)'!M58/'Res Sales by Year (18-20)'!M63</f>
        <v>0.02344856478804886</v>
      </c>
      <c r="N58" s="3">
        <f>'Res Sales by Year (18-20)'!N58/'Res Sales by Year (18-20)'!N63</f>
        <v>0.024016992532530947</v>
      </c>
      <c r="O58" s="3">
        <f>'Res Sales by Year (18-20)'!O58/'Res Sales by Year (18-20)'!O63</f>
        <v>0.026121792810374991</v>
      </c>
      <c r="P58" s="60">
        <f>'Res Sales by Year (18-20)'!P58/'Res Sales by Year (18-20)'!P63</f>
        <v>0.024417133593627734</v>
      </c>
    </row>
    <row r="59" spans="1:16" ht="13.8">
      <c r="A59" s="1">
        <f t="shared" si="0"/>
        <v>49</v>
      </c>
      <c r="B59" s="8" t="s">
        <v>48</v>
      </c>
      <c r="C59" s="57" t="s">
        <v>1</v>
      </c>
      <c r="D59" s="58">
        <f>'Res Sales by Year (18-20)'!D59/'Res Sales by Year (18-20)'!D64</f>
        <v>0.02684254345315731</v>
      </c>
      <c r="E59" s="58">
        <f>'Res Sales by Year (18-20)'!E59/'Res Sales by Year (18-20)'!E64</f>
        <v>0.028176525031413636</v>
      </c>
      <c r="F59" s="58">
        <f>'Res Sales by Year (18-20)'!F59/'Res Sales by Year (18-20)'!F64</f>
        <v>0.027897599723776551</v>
      </c>
      <c r="G59" s="58">
        <f>'Res Sales by Year (18-20)'!G59/'Res Sales by Year (18-20)'!G64</f>
        <v>0.025985295478912849</v>
      </c>
      <c r="H59" s="58">
        <f>'Res Sales by Year (18-20)'!H59/'Res Sales by Year (18-20)'!H64</f>
        <v>0.023497177660918751</v>
      </c>
      <c r="I59" s="58">
        <f>'Res Sales by Year (18-20)'!I59/'Res Sales by Year (18-20)'!I64</f>
        <v>0.021989329320151883</v>
      </c>
      <c r="J59" s="58">
        <f>'Res Sales by Year (18-20)'!J59/'Res Sales by Year (18-20)'!J64</f>
        <v>0.022877951989765916</v>
      </c>
      <c r="K59" s="58">
        <f>'Res Sales by Year (18-20)'!K59/'Res Sales by Year (18-20)'!K64</f>
        <v>0.02350871963763956</v>
      </c>
      <c r="L59" s="58">
        <f>'Res Sales by Year (18-20)'!L59/'Res Sales by Year (18-20)'!L64</f>
        <v>0.023343174406235304</v>
      </c>
      <c r="M59" s="58">
        <f>'Res Sales by Year (18-20)'!M59/'Res Sales by Year (18-20)'!M64</f>
        <v>0.023512685737638546</v>
      </c>
      <c r="N59" s="58">
        <f>'Res Sales by Year (18-20)'!N59/'Res Sales by Year (18-20)'!N64</f>
        <v>0.024809273323797166</v>
      </c>
      <c r="O59" s="58">
        <f>'Res Sales by Year (18-20)'!O59/'Res Sales by Year (18-20)'!O64</f>
        <v>0.026864641323339884</v>
      </c>
      <c r="P59" s="61">
        <f>'Res Sales by Year (18-20)'!P59/'Res Sales by Year (18-20)'!P64</f>
        <v>0.024726041042534338</v>
      </c>
    </row>
    <row r="60" spans="1:1" ht="13.8">
      <c r="A60" s="1">
        <f t="shared" si="0"/>
        <v>50</v>
      </c>
    </row>
    <row r="61" spans="1:16" ht="13.8">
      <c r="A61" s="1">
        <f t="shared" si="0"/>
        <v>51</v>
      </c>
      <c r="B61" s="1" t="s">
        <v>34</v>
      </c>
      <c r="C61" s="2">
        <f>+C56</f>
        <v>2018</v>
      </c>
      <c r="D61" s="11">
        <f t="shared" si="1" ref="D61:O61">SUM(D26,D31,D36,D41,D46,D51,D56,D21,D16,D11)</f>
        <v>0.99999999999999989</v>
      </c>
      <c r="E61" s="11">
        <f t="shared" si="1"/>
        <v>0.99999999999999989</v>
      </c>
      <c r="F61" s="11">
        <f t="shared" si="1"/>
        <v>1</v>
      </c>
      <c r="G61" s="11">
        <f t="shared" si="1"/>
        <v>1</v>
      </c>
      <c r="H61" s="11">
        <f t="shared" si="1"/>
        <v>1</v>
      </c>
      <c r="I61" s="11">
        <f t="shared" si="1"/>
        <v>1</v>
      </c>
      <c r="J61" s="11">
        <f t="shared" si="1"/>
        <v>1</v>
      </c>
      <c r="K61" s="11">
        <f t="shared" si="1"/>
        <v>1</v>
      </c>
      <c r="L61" s="11">
        <f t="shared" si="1"/>
        <v>1</v>
      </c>
      <c r="M61" s="11">
        <f t="shared" si="1"/>
        <v>1</v>
      </c>
      <c r="N61" s="11">
        <f t="shared" si="1"/>
        <v>1</v>
      </c>
      <c r="O61" s="11">
        <f t="shared" si="1"/>
        <v>1</v>
      </c>
      <c r="P61" s="11">
        <f>SUM(P26,P31,P36,P41,P46,P51,P56,P21,P16,P11)</f>
        <v>1</v>
      </c>
    </row>
    <row r="62" spans="1:16" ht="13.8">
      <c r="A62" s="1">
        <f t="shared" si="0"/>
        <v>52</v>
      </c>
      <c r="B62" s="1" t="s">
        <v>34</v>
      </c>
      <c r="C62" s="2">
        <f>+C57</f>
        <v>2019</v>
      </c>
      <c r="D62" s="11">
        <f t="shared" si="2" ref="D62:P62">SUM(D27,D32,D37,D42,D47,D52,D57,D22,D17,D12)</f>
        <v>1</v>
      </c>
      <c r="E62" s="11">
        <f t="shared" si="2"/>
        <v>1</v>
      </c>
      <c r="F62" s="11">
        <f t="shared" si="2"/>
        <v>0.99999999999999978</v>
      </c>
      <c r="G62" s="11">
        <f t="shared" si="2"/>
        <v>0.99999999999999978</v>
      </c>
      <c r="H62" s="11">
        <f t="shared" si="2"/>
        <v>0.99999999999999989</v>
      </c>
      <c r="I62" s="11">
        <f t="shared" si="2"/>
        <v>0.99999999999999989</v>
      </c>
      <c r="J62" s="11">
        <f t="shared" si="2"/>
        <v>1</v>
      </c>
      <c r="K62" s="11">
        <f t="shared" si="2"/>
        <v>1</v>
      </c>
      <c r="L62" s="11">
        <f t="shared" si="2"/>
        <v>1</v>
      </c>
      <c r="M62" s="11">
        <f t="shared" si="2"/>
        <v>1</v>
      </c>
      <c r="N62" s="11">
        <f t="shared" si="2"/>
        <v>1</v>
      </c>
      <c r="O62" s="11">
        <f t="shared" si="2"/>
        <v>1</v>
      </c>
      <c r="P62" s="11">
        <f t="shared" si="2"/>
        <v>1</v>
      </c>
    </row>
    <row r="63" spans="1:16" ht="14.4" thickBot="1">
      <c r="A63" s="1">
        <f t="shared" si="0"/>
        <v>53</v>
      </c>
      <c r="B63" s="1" t="s">
        <v>34</v>
      </c>
      <c r="C63" s="2">
        <f>+C58</f>
        <v>2020</v>
      </c>
      <c r="D63" s="11">
        <f t="shared" si="3" ref="D63:P64">SUM(D28,D33,D38,D43,D48,D53,D58,D23,D18,D13)</f>
        <v>1</v>
      </c>
      <c r="E63" s="11">
        <f t="shared" si="3"/>
        <v>1</v>
      </c>
      <c r="F63" s="11">
        <f t="shared" si="3"/>
        <v>1</v>
      </c>
      <c r="G63" s="11">
        <f t="shared" si="3"/>
        <v>1</v>
      </c>
      <c r="H63" s="11">
        <f t="shared" si="3"/>
        <v>1</v>
      </c>
      <c r="I63" s="11">
        <f t="shared" si="3"/>
        <v>1</v>
      </c>
      <c r="J63" s="11">
        <f t="shared" si="3"/>
        <v>1</v>
      </c>
      <c r="K63" s="11">
        <f t="shared" si="3"/>
        <v>1</v>
      </c>
      <c r="L63" s="11">
        <f t="shared" si="3"/>
        <v>1</v>
      </c>
      <c r="M63" s="11">
        <f t="shared" si="3"/>
        <v>1</v>
      </c>
      <c r="N63" s="11">
        <f t="shared" si="3"/>
        <v>1</v>
      </c>
      <c r="O63" s="11">
        <f t="shared" si="3"/>
        <v>1</v>
      </c>
      <c r="P63" s="11">
        <f t="shared" si="3"/>
        <v>1</v>
      </c>
    </row>
    <row r="64" spans="1:16" ht="13.8">
      <c r="A64" s="1">
        <f t="shared" si="0"/>
        <v>54</v>
      </c>
      <c r="B64" s="1" t="s">
        <v>34</v>
      </c>
      <c r="C64" s="57" t="str">
        <f>+C59</f>
        <v xml:space="preserve">Total </v>
      </c>
      <c r="D64" s="63">
        <f t="shared" si="3"/>
        <v>1</v>
      </c>
      <c r="E64" s="63">
        <f t="shared" si="3"/>
        <v>0.99999999999999989</v>
      </c>
      <c r="F64" s="63">
        <f t="shared" si="3"/>
        <v>1</v>
      </c>
      <c r="G64" s="63">
        <f t="shared" si="3"/>
        <v>1</v>
      </c>
      <c r="H64" s="63">
        <f t="shared" si="3"/>
        <v>1</v>
      </c>
      <c r="I64" s="63">
        <f t="shared" si="3"/>
        <v>0.99999999999999989</v>
      </c>
      <c r="J64" s="63">
        <f t="shared" si="3"/>
        <v>1</v>
      </c>
      <c r="K64" s="63">
        <f t="shared" si="3"/>
        <v>1</v>
      </c>
      <c r="L64" s="63">
        <f t="shared" si="3"/>
        <v>1.0000000000000002</v>
      </c>
      <c r="M64" s="63">
        <f t="shared" si="3"/>
        <v>1</v>
      </c>
      <c r="N64" s="63">
        <f t="shared" si="3"/>
        <v>1</v>
      </c>
      <c r="O64" s="63">
        <f t="shared" si="3"/>
        <v>1</v>
      </c>
      <c r="P64" s="63">
        <f t="shared" si="3"/>
        <v>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25" right="0.25" top="0.25" bottom="0.5" header="0.24" footer="0.2"/>
  <pageSetup orientation="landscape" scale="60" r:id="rId1"/>
  <headerFooter alignWithMargins="0">
    <oddHeader>&amp;RWP/II-H-5.2/1
Page &amp;P of &amp;N</oddHeader>
    <oddFooter>&amp;R]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8.4285714285714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6384" width="9.14285714285714" style="1"/>
  </cols>
  <sheetData>
    <row r="1" spans="1:16" ht="15.6">
      <c r="A1" s="14"/>
      <c r="B1" s="69" t="s">
        <v>10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15.6">
      <c r="A2" s="14"/>
      <c r="B2" s="69" t="s">
        <v>11</v>
      </c>
      <c r="C2" s="69"/>
      <c r="D2" s="69"/>
      <c r="E2" s="69"/>
      <c r="F2" s="69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15.6">
      <c r="A3" s="14"/>
      <c r="B3" s="69" t="s">
        <v>40</v>
      </c>
      <c r="C3" s="69"/>
      <c r="D3" s="69"/>
      <c r="E3" s="69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15.6">
      <c r="A4" s="14"/>
      <c r="B4" s="69" t="str">
        <f>+'Res Seasonal Weights'!B4:P4</f>
        <v>FOR THE TEST YEAR ENDING DECEMBER 31, 2021</v>
      </c>
      <c r="C4" s="69"/>
      <c r="D4" s="69"/>
      <c r="E4" s="69"/>
      <c r="F4" s="69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spans="1:16" ht="15.6">
      <c r="A5" s="14"/>
      <c r="B5" s="69"/>
      <c r="C5" s="69"/>
      <c r="D5" s="69"/>
      <c r="E5" s="69"/>
      <c r="F5" s="69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69" t="s">
        <v>38</v>
      </c>
      <c r="C6" s="69"/>
      <c r="D6" s="69"/>
      <c r="E6" s="69"/>
      <c r="F6" s="69"/>
      <c r="G6" s="70"/>
      <c r="H6" s="70"/>
      <c r="I6" s="70"/>
      <c r="J6" s="70"/>
      <c r="K6" s="70"/>
      <c r="L6" s="70"/>
      <c r="M6" s="70"/>
      <c r="N6" s="70"/>
      <c r="O6" s="70"/>
      <c r="P6" s="70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69" t="s">
        <v>39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44</v>
      </c>
    </row>
    <row r="10" spans="1:16" ht="15.75" customHeight="1">
      <c r="A10" s="20" t="s">
        <v>27</v>
      </c>
      <c r="B10" s="21" t="s">
        <v>28</v>
      </c>
      <c r="C10" s="2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6" ht="14.4">
      <c r="A11" s="1">
        <v>1</v>
      </c>
      <c r="B11" s="17" t="s">
        <v>29</v>
      </c>
      <c r="C11" s="4">
        <f>+'Res Weights by Year (18-20)'!C11</f>
        <v>2018</v>
      </c>
      <c r="D11" s="9">
        <v>3126308.3990000007</v>
      </c>
      <c r="E11" s="9">
        <v>2661392.0049999999</v>
      </c>
      <c r="F11" s="9">
        <v>2140665.3279999997</v>
      </c>
      <c r="G11" s="9">
        <v>1708376.1160000004</v>
      </c>
      <c r="H11" s="9">
        <v>1825742.6840000001</v>
      </c>
      <c r="I11" s="9">
        <v>3080666.8909999998</v>
      </c>
      <c r="J11" s="9">
        <v>3931111.483</v>
      </c>
      <c r="K11" s="9">
        <v>3932869.3810000001</v>
      </c>
      <c r="L11" s="9">
        <v>3433388.2919999994</v>
      </c>
      <c r="M11" s="9">
        <v>2455572.577</v>
      </c>
      <c r="N11" s="9">
        <v>1778714.3960000002</v>
      </c>
      <c r="O11" s="9">
        <v>2273925.2129999995</v>
      </c>
      <c r="P11" s="51">
        <f>SUM(D11:O11)</f>
        <v>32348732.765000001</v>
      </c>
    </row>
    <row r="12" spans="1:16" ht="14.4">
      <c r="A12" s="1">
        <f>+A11+1</f>
        <v>2</v>
      </c>
      <c r="B12" s="17" t="s">
        <v>29</v>
      </c>
      <c r="C12" s="4">
        <f>+'Res Weights by Year (18-20)'!C12</f>
        <v>2019</v>
      </c>
      <c r="D12" s="9">
        <v>2579293.4699999997</v>
      </c>
      <c r="E12" s="9">
        <v>2644761.355</v>
      </c>
      <c r="F12" s="9">
        <v>2470394.5840000003</v>
      </c>
      <c r="G12" s="9">
        <v>1769270.8710000005</v>
      </c>
      <c r="H12" s="9">
        <v>1791772.3459999992</v>
      </c>
      <c r="I12" s="9">
        <v>2466114.9810000001</v>
      </c>
      <c r="J12" s="9">
        <v>3175970.6740000001</v>
      </c>
      <c r="K12" s="9">
        <v>3642741.6700000004</v>
      </c>
      <c r="L12" s="9">
        <v>3909479.8319999995</v>
      </c>
      <c r="M12" s="9">
        <v>3153904.8870000001</v>
      </c>
      <c r="N12" s="9">
        <v>1985614.638</v>
      </c>
      <c r="O12" s="9">
        <v>2184504.7439999999</v>
      </c>
      <c r="P12" s="52">
        <f>SUM(D12:O12)</f>
        <v>31773824.052000001</v>
      </c>
    </row>
    <row r="13" spans="1:16" ht="15" thickBot="1">
      <c r="A13" s="1">
        <f t="shared" si="0" ref="A13:A64">+A12+1</f>
        <v>3</v>
      </c>
      <c r="B13" s="17" t="s">
        <v>29</v>
      </c>
      <c r="C13" s="4">
        <f>+'Res Weights by Year (18-20)'!C13</f>
        <v>2020</v>
      </c>
      <c r="D13" s="9">
        <v>2400249.3470000005</v>
      </c>
      <c r="E13" s="9">
        <v>2322171.2349999999</v>
      </c>
      <c r="F13" s="9">
        <v>2135389.0580000002</v>
      </c>
      <c r="G13" s="9">
        <v>1823306.7509999999</v>
      </c>
      <c r="H13" s="9">
        <v>2047587.5819999999</v>
      </c>
      <c r="I13" s="9">
        <v>2713601.7160000005</v>
      </c>
      <c r="J13" s="9">
        <v>3580871.8789999997</v>
      </c>
      <c r="K13" s="9">
        <v>3851103.7720000003</v>
      </c>
      <c r="L13" s="9">
        <v>3552201.4119999991</v>
      </c>
      <c r="M13" s="9">
        <v>2335339.503</v>
      </c>
      <c r="N13" s="9">
        <v>2006988.6510000001</v>
      </c>
      <c r="O13" s="9">
        <v>2000689.4780000004</v>
      </c>
      <c r="P13" s="52">
        <f>SUM(D13:O13)</f>
        <v>30769500.384</v>
      </c>
    </row>
    <row r="14" spans="1:16" ht="14.4">
      <c r="A14" s="1">
        <f t="shared" si="0"/>
        <v>4</v>
      </c>
      <c r="B14" s="17" t="s">
        <v>29</v>
      </c>
      <c r="C14" s="49" t="s">
        <v>1</v>
      </c>
      <c r="D14" s="50">
        <f t="shared" si="1" ref="D14:O14">SUM(D11:D13)</f>
        <v>8105851.2160000019</v>
      </c>
      <c r="E14" s="50">
        <f t="shared" si="1"/>
        <v>7628324.5949999988</v>
      </c>
      <c r="F14" s="50">
        <f t="shared" si="1"/>
        <v>6746448.9700000007</v>
      </c>
      <c r="G14" s="50">
        <f t="shared" si="1"/>
        <v>5300953.7380000008</v>
      </c>
      <c r="H14" s="50">
        <f t="shared" si="1"/>
        <v>5665102.6119999997</v>
      </c>
      <c r="I14" s="50">
        <f t="shared" si="1"/>
        <v>8260383.5879999995</v>
      </c>
      <c r="J14" s="50">
        <f t="shared" si="1"/>
        <v>10687954.035999998</v>
      </c>
      <c r="K14" s="50">
        <f t="shared" si="1"/>
        <v>11426714.823000001</v>
      </c>
      <c r="L14" s="50">
        <f t="shared" si="1"/>
        <v>10895069.535999998</v>
      </c>
      <c r="M14" s="50">
        <f t="shared" si="1"/>
        <v>7944816.9670000002</v>
      </c>
      <c r="N14" s="50">
        <f t="shared" si="1"/>
        <v>5771317.6850000005</v>
      </c>
      <c r="O14" s="50">
        <f t="shared" si="1"/>
        <v>6459119.4349999996</v>
      </c>
      <c r="P14" s="53">
        <f>SUM(D14:O14)</f>
        <v>94892057.201000005</v>
      </c>
    </row>
    <row r="15" spans="1:16" ht="13.8">
      <c r="A15" s="1">
        <f t="shared" si="0"/>
        <v>5</v>
      </c>
      <c r="B15" s="8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3.8">
      <c r="A16" s="1">
        <f t="shared" si="0"/>
        <v>6</v>
      </c>
      <c r="B16" s="8" t="s">
        <v>5</v>
      </c>
      <c r="C16" s="4">
        <f>+C11</f>
        <v>2018</v>
      </c>
      <c r="D16" s="9">
        <v>139657.462</v>
      </c>
      <c r="E16" s="9">
        <v>116481.75300000001</v>
      </c>
      <c r="F16" s="9">
        <v>78964.789999999994</v>
      </c>
      <c r="G16" s="9">
        <v>70124.159000000014</v>
      </c>
      <c r="H16" s="9">
        <v>72900.803</v>
      </c>
      <c r="I16" s="9">
        <v>112991.72799999999</v>
      </c>
      <c r="J16" s="9">
        <v>136133.63899999997</v>
      </c>
      <c r="K16" s="9">
        <v>137747.23299999998</v>
      </c>
      <c r="L16" s="9">
        <v>129107.21800000001</v>
      </c>
      <c r="M16" s="9">
        <v>95341.085999999981</v>
      </c>
      <c r="N16" s="9">
        <v>74111.318000000014</v>
      </c>
      <c r="O16" s="9">
        <v>102899.33900000001</v>
      </c>
      <c r="P16" s="52">
        <f>SUM(D16:O16)</f>
        <v>1266460.5279999997</v>
      </c>
    </row>
    <row r="17" spans="1:16" ht="13.8">
      <c r="A17" s="1">
        <f t="shared" si="0"/>
        <v>7</v>
      </c>
      <c r="B17" s="8" t="s">
        <v>5</v>
      </c>
      <c r="C17" s="4">
        <f t="shared" si="2" ref="C17:C18">+C12</f>
        <v>2019</v>
      </c>
      <c r="D17" s="9">
        <v>107105.30200000001</v>
      </c>
      <c r="E17" s="9">
        <v>113322.51499999999</v>
      </c>
      <c r="F17" s="9">
        <v>97631.587999999989</v>
      </c>
      <c r="G17" s="9">
        <v>72339.411999999997</v>
      </c>
      <c r="H17" s="9">
        <v>70999.292000000001</v>
      </c>
      <c r="I17" s="9">
        <v>99403.785999999993</v>
      </c>
      <c r="J17" s="9">
        <v>115817.78499999999</v>
      </c>
      <c r="K17" s="9">
        <v>127274.944</v>
      </c>
      <c r="L17" s="9">
        <v>136277.66500000001</v>
      </c>
      <c r="M17" s="9">
        <v>107145.67600000001</v>
      </c>
      <c r="N17" s="9">
        <v>80037.455000000002</v>
      </c>
      <c r="O17" s="9">
        <v>93446.828000000009</v>
      </c>
      <c r="P17" s="52">
        <f>SUM(D17:O17)</f>
        <v>1220802.2480000001</v>
      </c>
    </row>
    <row r="18" spans="1:16" ht="14.4" thickBot="1">
      <c r="A18" s="1">
        <f t="shared" si="0"/>
        <v>8</v>
      </c>
      <c r="B18" s="8" t="s">
        <v>5</v>
      </c>
      <c r="C18" s="4">
        <f t="shared" si="2"/>
        <v>2020</v>
      </c>
      <c r="D18" s="9">
        <v>103480.01900000002</v>
      </c>
      <c r="E18" s="9">
        <v>99591.991999999998</v>
      </c>
      <c r="F18" s="9">
        <v>89068.500999999975</v>
      </c>
      <c r="G18" s="9">
        <v>72231.448000000004</v>
      </c>
      <c r="H18" s="9">
        <v>75356.592999999993</v>
      </c>
      <c r="I18" s="9">
        <v>99283.748000000007</v>
      </c>
      <c r="J18" s="9">
        <v>127310.296</v>
      </c>
      <c r="K18" s="9">
        <v>134307.361</v>
      </c>
      <c r="L18" s="9">
        <v>128139.289</v>
      </c>
      <c r="M18" s="9">
        <v>87240.144</v>
      </c>
      <c r="N18" s="9">
        <v>76374.865000000005</v>
      </c>
      <c r="O18" s="9">
        <v>85092.594000000012</v>
      </c>
      <c r="P18" s="52">
        <f>SUM(D18:O18)</f>
        <v>1177476.8500000001</v>
      </c>
    </row>
    <row r="19" spans="1:16" ht="13.8">
      <c r="A19" s="1">
        <f t="shared" si="0"/>
        <v>9</v>
      </c>
      <c r="B19" s="8" t="s">
        <v>5</v>
      </c>
      <c r="C19" s="49" t="s">
        <v>1</v>
      </c>
      <c r="D19" s="50">
        <f t="shared" si="3" ref="D19:O19">SUM(D16:D18)</f>
        <v>350242.78300000005</v>
      </c>
      <c r="E19" s="50">
        <f t="shared" si="3"/>
        <v>329396.26000000001</v>
      </c>
      <c r="F19" s="50">
        <f t="shared" si="3"/>
        <v>265664.87899999996</v>
      </c>
      <c r="G19" s="50">
        <f t="shared" si="3"/>
        <v>214695.019</v>
      </c>
      <c r="H19" s="50">
        <f t="shared" si="3"/>
        <v>219256.688</v>
      </c>
      <c r="I19" s="50">
        <f t="shared" si="3"/>
        <v>311679.26199999999</v>
      </c>
      <c r="J19" s="50">
        <f t="shared" si="3"/>
        <v>379261.71999999997</v>
      </c>
      <c r="K19" s="50">
        <f t="shared" si="3"/>
        <v>399329.53799999994</v>
      </c>
      <c r="L19" s="50">
        <f t="shared" si="3"/>
        <v>393524.17200000002</v>
      </c>
      <c r="M19" s="50">
        <f t="shared" si="3"/>
        <v>289726.90599999996</v>
      </c>
      <c r="N19" s="50">
        <f t="shared" si="3"/>
        <v>230523.63800000004</v>
      </c>
      <c r="O19" s="50">
        <f t="shared" si="3"/>
        <v>281438.76100000006</v>
      </c>
      <c r="P19" s="53">
        <f>SUM(D19:O19)</f>
        <v>3664739.6260000002</v>
      </c>
    </row>
    <row r="20" spans="1:16" ht="13.8">
      <c r="A20" s="1">
        <f t="shared" si="0"/>
        <v>10</v>
      </c>
      <c r="B20" s="8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3.8">
      <c r="A21" s="1">
        <f t="shared" si="0"/>
        <v>11</v>
      </c>
      <c r="B21" s="8" t="s">
        <v>6</v>
      </c>
      <c r="C21" s="4">
        <f>+C16</f>
        <v>2018</v>
      </c>
      <c r="D21" s="9">
        <v>148479.75900000002</v>
      </c>
      <c r="E21" s="9">
        <v>122962.359</v>
      </c>
      <c r="F21" s="9">
        <v>103295.38000000001</v>
      </c>
      <c r="G21" s="9">
        <v>99627.546000000002</v>
      </c>
      <c r="H21" s="9">
        <v>109566.944</v>
      </c>
      <c r="I21" s="9">
        <v>185662.16700000002</v>
      </c>
      <c r="J21" s="9">
        <v>217649.772</v>
      </c>
      <c r="K21" s="9">
        <v>227559.87599999999</v>
      </c>
      <c r="L21" s="9">
        <v>213233.77100000001</v>
      </c>
      <c r="M21" s="9">
        <v>147362.05300000001</v>
      </c>
      <c r="N21" s="9">
        <v>103799.31899999999</v>
      </c>
      <c r="O21" s="9">
        <v>117092.24600000001</v>
      </c>
      <c r="P21" s="52">
        <f>SUM(D21:O21)</f>
        <v>1796291.192</v>
      </c>
    </row>
    <row r="22" spans="1:16" ht="13.8">
      <c r="A22" s="1">
        <f t="shared" si="0"/>
        <v>12</v>
      </c>
      <c r="B22" s="8" t="s">
        <v>6</v>
      </c>
      <c r="C22" s="4">
        <f t="shared" si="4" ref="C22:C23">+C17</f>
        <v>2019</v>
      </c>
      <c r="D22" s="9">
        <v>129792.821</v>
      </c>
      <c r="E22" s="9">
        <v>126073.60000000001</v>
      </c>
      <c r="F22" s="9">
        <v>117462.311</v>
      </c>
      <c r="G22" s="9">
        <v>101500.93399999999</v>
      </c>
      <c r="H22" s="9">
        <v>112700.39300000001</v>
      </c>
      <c r="I22" s="9">
        <v>163468.32699999999</v>
      </c>
      <c r="J22" s="9">
        <v>197332.06300000002</v>
      </c>
      <c r="K22" s="9">
        <v>224744.80700000003</v>
      </c>
      <c r="L22" s="9">
        <v>239563.48499999999</v>
      </c>
      <c r="M22" s="9">
        <v>194421.26199999999</v>
      </c>
      <c r="N22" s="9">
        <v>117013.082</v>
      </c>
      <c r="O22" s="9">
        <v>117403.361</v>
      </c>
      <c r="P22" s="52">
        <f>SUM(D22:O22)</f>
        <v>1841476.446</v>
      </c>
    </row>
    <row r="23" spans="1:16" ht="14.4" thickBot="1">
      <c r="A23" s="1">
        <f t="shared" si="0"/>
        <v>13</v>
      </c>
      <c r="B23" s="8" t="s">
        <v>6</v>
      </c>
      <c r="C23" s="4">
        <f t="shared" si="4"/>
        <v>2020</v>
      </c>
      <c r="D23" s="9">
        <v>125001.78400000001</v>
      </c>
      <c r="E23" s="9">
        <v>114236.55799999999</v>
      </c>
      <c r="F23" s="9">
        <v>113713.046</v>
      </c>
      <c r="G23" s="9">
        <v>116984.26300000001</v>
      </c>
      <c r="H23" s="9">
        <v>134225.595</v>
      </c>
      <c r="I23" s="9">
        <v>182203.69500000001</v>
      </c>
      <c r="J23" s="9">
        <v>226748.62800000003</v>
      </c>
      <c r="K23" s="9">
        <v>239252.97400000002</v>
      </c>
      <c r="L23" s="9">
        <v>228670.26500000001</v>
      </c>
      <c r="M23" s="9">
        <v>153089.07199999999</v>
      </c>
      <c r="N23" s="9">
        <v>131819.17800000001</v>
      </c>
      <c r="O23" s="9">
        <v>119249.084</v>
      </c>
      <c r="P23" s="52">
        <f>SUM(D23:O23)</f>
        <v>1885194.1420000002</v>
      </c>
    </row>
    <row r="24" spans="1:16" ht="13.8">
      <c r="A24" s="1">
        <f t="shared" si="0"/>
        <v>14</v>
      </c>
      <c r="B24" s="8" t="s">
        <v>6</v>
      </c>
      <c r="C24" s="49" t="s">
        <v>1</v>
      </c>
      <c r="D24" s="50">
        <f t="shared" si="5" ref="D24:O24">SUM(D21:D23)</f>
        <v>403274.36400000006</v>
      </c>
      <c r="E24" s="50">
        <f t="shared" si="5"/>
        <v>363272.51699999999</v>
      </c>
      <c r="F24" s="50">
        <f t="shared" si="5"/>
        <v>334470.73699999996</v>
      </c>
      <c r="G24" s="50">
        <f t="shared" si="5"/>
        <v>318112.74300000002</v>
      </c>
      <c r="H24" s="50">
        <f t="shared" si="5"/>
        <v>356492.93200000003</v>
      </c>
      <c r="I24" s="50">
        <f t="shared" si="5"/>
        <v>531334.18900000001</v>
      </c>
      <c r="J24" s="50">
        <f t="shared" si="5"/>
        <v>641730.46299999999</v>
      </c>
      <c r="K24" s="50">
        <f t="shared" si="5"/>
        <v>691557.65700000001</v>
      </c>
      <c r="L24" s="50">
        <f t="shared" si="5"/>
        <v>681467.52099999995</v>
      </c>
      <c r="M24" s="50">
        <f t="shared" si="5"/>
        <v>494872.38699999999</v>
      </c>
      <c r="N24" s="50">
        <f t="shared" si="5"/>
        <v>352631.57900000003</v>
      </c>
      <c r="O24" s="50">
        <f t="shared" si="5"/>
        <v>353744.69099999999</v>
      </c>
      <c r="P24" s="53">
        <f>SUM(D24:O24)</f>
        <v>5522961.7799999993</v>
      </c>
    </row>
    <row r="25" spans="1:16" ht="13.8">
      <c r="A25" s="1">
        <f t="shared" si="0"/>
        <v>15</v>
      </c>
      <c r="B25" s="8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3.8">
      <c r="A26" s="1">
        <f t="shared" si="0"/>
        <v>16</v>
      </c>
      <c r="B26" s="8" t="s">
        <v>7</v>
      </c>
      <c r="C26" s="4">
        <f>+C21</f>
        <v>2018</v>
      </c>
      <c r="D26" s="9">
        <v>238363.49800000002</v>
      </c>
      <c r="E26" s="9">
        <v>201367.747</v>
      </c>
      <c r="F26" s="9">
        <v>151595.34399999998</v>
      </c>
      <c r="G26" s="9">
        <v>117784.29400000001</v>
      </c>
      <c r="H26" s="9">
        <v>120178.147</v>
      </c>
      <c r="I26" s="9">
        <v>188407.06599999999</v>
      </c>
      <c r="J26" s="9">
        <v>224564.63099999997</v>
      </c>
      <c r="K26" s="9">
        <v>236916.68200000003</v>
      </c>
      <c r="L26" s="9">
        <v>215399.01300000001</v>
      </c>
      <c r="M26" s="9">
        <v>155071.43400000001</v>
      </c>
      <c r="N26" s="9">
        <v>124677.46399999999</v>
      </c>
      <c r="O26" s="9">
        <v>172084.628</v>
      </c>
      <c r="P26" s="52">
        <f>SUM(D26:O26)</f>
        <v>2146409.9479999999</v>
      </c>
    </row>
    <row r="27" spans="1:16" ht="13.8">
      <c r="A27" s="1">
        <f t="shared" si="0"/>
        <v>17</v>
      </c>
      <c r="B27" s="8" t="s">
        <v>7</v>
      </c>
      <c r="C27" s="4">
        <f t="shared" si="6" ref="C27:C28">+C22</f>
        <v>2019</v>
      </c>
      <c r="D27" s="9">
        <v>201491.95900000003</v>
      </c>
      <c r="E27" s="9">
        <v>197909.32000000001</v>
      </c>
      <c r="F27" s="9">
        <v>182968.52999999997</v>
      </c>
      <c r="G27" s="9">
        <v>126939.592</v>
      </c>
      <c r="H27" s="9">
        <v>120086.38099999999</v>
      </c>
      <c r="I27" s="9">
        <v>162963.90100000004</v>
      </c>
      <c r="J27" s="9">
        <v>195820.77600000001</v>
      </c>
      <c r="K27" s="9">
        <v>220950.304</v>
      </c>
      <c r="L27" s="9">
        <v>237790.54000000004</v>
      </c>
      <c r="M27" s="9">
        <v>195342.53199999998</v>
      </c>
      <c r="N27" s="9">
        <v>142927.30299999999</v>
      </c>
      <c r="O27" s="9">
        <v>162613.40099999995</v>
      </c>
      <c r="P27" s="52">
        <f>SUM(D27:O27)</f>
        <v>2147804.5390000003</v>
      </c>
    </row>
    <row r="28" spans="1:16" ht="14.4" thickBot="1">
      <c r="A28" s="1">
        <f t="shared" si="0"/>
        <v>18</v>
      </c>
      <c r="B28" s="8" t="s">
        <v>7</v>
      </c>
      <c r="C28" s="4">
        <f t="shared" si="6"/>
        <v>2020</v>
      </c>
      <c r="D28" s="9">
        <v>181413.73800000001</v>
      </c>
      <c r="E28" s="9">
        <v>169854.15999999997</v>
      </c>
      <c r="F28" s="9">
        <v>163801.38799999998</v>
      </c>
      <c r="G28" s="9">
        <v>127362.16500000001</v>
      </c>
      <c r="H28" s="9">
        <v>140528.16500000004</v>
      </c>
      <c r="I28" s="9">
        <v>179823.16099999999</v>
      </c>
      <c r="J28" s="9">
        <v>225556.68599999996</v>
      </c>
      <c r="K28" s="9">
        <v>243545.62900000002</v>
      </c>
      <c r="L28" s="9">
        <v>228832.80499999999</v>
      </c>
      <c r="M28" s="9">
        <v>153253.91600000003</v>
      </c>
      <c r="N28" s="9">
        <v>144343.549</v>
      </c>
      <c r="O28" s="9">
        <v>148645.52499999999</v>
      </c>
      <c r="P28" s="52">
        <f>SUM(D28:O28)</f>
        <v>2106960.8869999996</v>
      </c>
    </row>
    <row r="29" spans="1:16" ht="13.8">
      <c r="A29" s="1">
        <f t="shared" si="0"/>
        <v>19</v>
      </c>
      <c r="B29" s="8" t="s">
        <v>7</v>
      </c>
      <c r="C29" s="49" t="s">
        <v>1</v>
      </c>
      <c r="D29" s="50">
        <f t="shared" si="7" ref="D29:O29">SUM(D26:D28)</f>
        <v>621269.19500000007</v>
      </c>
      <c r="E29" s="50">
        <f t="shared" si="7"/>
        <v>569131.22699999996</v>
      </c>
      <c r="F29" s="50">
        <f t="shared" si="7"/>
        <v>498365.26199999993</v>
      </c>
      <c r="G29" s="50">
        <f t="shared" si="7"/>
        <v>372086.05099999998</v>
      </c>
      <c r="H29" s="50">
        <f t="shared" si="7"/>
        <v>380792.69300000003</v>
      </c>
      <c r="I29" s="50">
        <f t="shared" si="7"/>
        <v>531194.12800000003</v>
      </c>
      <c r="J29" s="50">
        <f t="shared" si="7"/>
        <v>645942.09299999999</v>
      </c>
      <c r="K29" s="50">
        <f t="shared" si="7"/>
        <v>701412.61499999999</v>
      </c>
      <c r="L29" s="50">
        <f t="shared" si="7"/>
        <v>682022.35800000001</v>
      </c>
      <c r="M29" s="50">
        <f t="shared" si="7"/>
        <v>503667.88200000004</v>
      </c>
      <c r="N29" s="50">
        <f t="shared" si="7"/>
        <v>411948.31599999999</v>
      </c>
      <c r="O29" s="50">
        <f t="shared" si="7"/>
        <v>483343.554</v>
      </c>
      <c r="P29" s="53">
        <f>SUM(D29:O29)</f>
        <v>6401175.3739999998</v>
      </c>
    </row>
    <row r="30" spans="1:16" ht="14.4">
      <c r="A30" s="1">
        <f t="shared" si="0"/>
        <v>20</v>
      </c>
      <c r="B30" s="8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3.8">
      <c r="A31" s="1">
        <f t="shared" si="0"/>
        <v>21</v>
      </c>
      <c r="B31" s="8" t="s">
        <v>8</v>
      </c>
      <c r="C31" s="4">
        <f>+C26</f>
        <v>2018</v>
      </c>
      <c r="D31" s="9">
        <v>179544.92199999999</v>
      </c>
      <c r="E31" s="9">
        <v>153446.00100000002</v>
      </c>
      <c r="F31" s="9">
        <v>114432.42200000001</v>
      </c>
      <c r="G31" s="9">
        <v>92632.176000000007</v>
      </c>
      <c r="H31" s="9">
        <v>96731.349000000002</v>
      </c>
      <c r="I31" s="9">
        <v>152906.01800000001</v>
      </c>
      <c r="J31" s="9">
        <v>187547.18100000001</v>
      </c>
      <c r="K31" s="9">
        <v>192013.52500000002</v>
      </c>
      <c r="L31" s="9">
        <v>176751.73999999999</v>
      </c>
      <c r="M31" s="9">
        <v>127380.141</v>
      </c>
      <c r="N31" s="9">
        <v>97078.713999999993</v>
      </c>
      <c r="O31" s="9">
        <v>132201.21000000002</v>
      </c>
      <c r="P31" s="52">
        <f>SUM(D31:O31)</f>
        <v>1702665.399</v>
      </c>
    </row>
    <row r="32" spans="1:16" ht="13.8">
      <c r="A32" s="1">
        <f t="shared" si="0"/>
        <v>22</v>
      </c>
      <c r="B32" s="8" t="s">
        <v>8</v>
      </c>
      <c r="C32" s="4">
        <f t="shared" si="8" ref="C32:C33">+C27</f>
        <v>2019</v>
      </c>
      <c r="D32" s="9">
        <v>144263.88600000003</v>
      </c>
      <c r="E32" s="9">
        <v>150185.01900000003</v>
      </c>
      <c r="F32" s="9">
        <v>136258.546</v>
      </c>
      <c r="G32" s="9">
        <v>98322.635999999999</v>
      </c>
      <c r="H32" s="9">
        <v>94743.991999999998</v>
      </c>
      <c r="I32" s="9">
        <v>129736.89600000001</v>
      </c>
      <c r="J32" s="9">
        <v>155710.33900000001</v>
      </c>
      <c r="K32" s="9">
        <v>177067.48199999999</v>
      </c>
      <c r="L32" s="9">
        <v>192858.07499999998</v>
      </c>
      <c r="M32" s="9">
        <v>152365.89300000001</v>
      </c>
      <c r="N32" s="9">
        <v>104347.205</v>
      </c>
      <c r="O32" s="9">
        <v>123822.54100000001</v>
      </c>
      <c r="P32" s="52">
        <f>SUM(D32:O32)</f>
        <v>1659682.51</v>
      </c>
    </row>
    <row r="33" spans="1:16" ht="14.4" thickBot="1">
      <c r="A33" s="1">
        <f t="shared" si="0"/>
        <v>23</v>
      </c>
      <c r="B33" s="8" t="s">
        <v>8</v>
      </c>
      <c r="C33" s="4">
        <f t="shared" si="8"/>
        <v>2020</v>
      </c>
      <c r="D33" s="9">
        <v>135891.55499999999</v>
      </c>
      <c r="E33" s="9">
        <v>131892.647</v>
      </c>
      <c r="F33" s="9">
        <v>121150.927</v>
      </c>
      <c r="G33" s="9">
        <v>97148.440999999992</v>
      </c>
      <c r="H33" s="9">
        <v>103803.20800000001</v>
      </c>
      <c r="I33" s="9">
        <v>135064.40600000002</v>
      </c>
      <c r="J33" s="9">
        <v>176157.60800000001</v>
      </c>
      <c r="K33" s="9">
        <v>188508.38699999999</v>
      </c>
      <c r="L33" s="9">
        <v>173720.31200000001</v>
      </c>
      <c r="M33" s="9">
        <v>115064.87199999999</v>
      </c>
      <c r="N33" s="9">
        <v>102437.49400000001</v>
      </c>
      <c r="O33" s="9">
        <v>112211.105</v>
      </c>
      <c r="P33" s="52">
        <f>SUM(D33:O33)</f>
        <v>1593050.9619999998</v>
      </c>
    </row>
    <row r="34" spans="1:16" ht="13.8">
      <c r="A34" s="1">
        <f t="shared" si="0"/>
        <v>24</v>
      </c>
      <c r="B34" s="8" t="s">
        <v>8</v>
      </c>
      <c r="C34" s="49" t="s">
        <v>1</v>
      </c>
      <c r="D34" s="50">
        <f t="shared" si="9" ref="D34:O34">SUM(D31:D33)</f>
        <v>459700.36300000001</v>
      </c>
      <c r="E34" s="50">
        <f t="shared" si="9"/>
        <v>435523.66700000002</v>
      </c>
      <c r="F34" s="50">
        <f t="shared" si="9"/>
        <v>371841.89500000002</v>
      </c>
      <c r="G34" s="50">
        <f t="shared" si="9"/>
        <v>288103.25300000003</v>
      </c>
      <c r="H34" s="50">
        <f t="shared" si="9"/>
        <v>295278.549</v>
      </c>
      <c r="I34" s="50">
        <f t="shared" si="9"/>
        <v>417707.32000000001</v>
      </c>
      <c r="J34" s="50">
        <f t="shared" si="9"/>
        <v>519415.12800000003</v>
      </c>
      <c r="K34" s="50">
        <f t="shared" si="9"/>
        <v>557589.39399999997</v>
      </c>
      <c r="L34" s="50">
        <f t="shared" si="9"/>
        <v>543330.12699999998</v>
      </c>
      <c r="M34" s="50">
        <f t="shared" si="9"/>
        <v>394810.90599999996</v>
      </c>
      <c r="N34" s="50">
        <f t="shared" si="9"/>
        <v>303863.413</v>
      </c>
      <c r="O34" s="50">
        <f t="shared" si="9"/>
        <v>368234.85600000003</v>
      </c>
      <c r="P34" s="53">
        <f>SUM(D34:O34)</f>
        <v>4955398.8709999993</v>
      </c>
    </row>
    <row r="35" spans="1:16" ht="13.8">
      <c r="A35" s="1">
        <f t="shared" si="0"/>
        <v>25</v>
      </c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3.8">
      <c r="A36" s="1">
        <f t="shared" si="0"/>
        <v>26</v>
      </c>
      <c r="B36" s="8" t="s">
        <v>3</v>
      </c>
      <c r="C36" s="4">
        <f>+C31</f>
        <v>2018</v>
      </c>
      <c r="D36" s="9">
        <v>176258.88900000003</v>
      </c>
      <c r="E36" s="9">
        <v>158652.89199999999</v>
      </c>
      <c r="F36" s="9">
        <v>123778.37000000001</v>
      </c>
      <c r="G36" s="9">
        <v>91467.142999999996</v>
      </c>
      <c r="H36" s="9">
        <v>94787.210999999996</v>
      </c>
      <c r="I36" s="9">
        <v>152223.707</v>
      </c>
      <c r="J36" s="9">
        <v>191544.185</v>
      </c>
      <c r="K36" s="9">
        <v>202450.41999999998</v>
      </c>
      <c r="L36" s="9">
        <v>185831.54800000001</v>
      </c>
      <c r="M36" s="9">
        <v>132467.978</v>
      </c>
      <c r="N36" s="9">
        <v>99218.766000000003</v>
      </c>
      <c r="O36" s="9">
        <v>129955.372</v>
      </c>
      <c r="P36" s="52">
        <f>SUM(D36:O36)</f>
        <v>1738636.4809999999</v>
      </c>
    </row>
    <row r="37" spans="1:16" ht="13.8">
      <c r="A37" s="1">
        <f t="shared" si="0"/>
        <v>27</v>
      </c>
      <c r="B37" s="8" t="s">
        <v>3</v>
      </c>
      <c r="C37" s="4">
        <f t="shared" si="10" ref="C37:C38">+C32</f>
        <v>2019</v>
      </c>
      <c r="D37" s="9">
        <v>150819.55899999998</v>
      </c>
      <c r="E37" s="9">
        <v>152726.367</v>
      </c>
      <c r="F37" s="9">
        <v>141625.09099999999</v>
      </c>
      <c r="G37" s="9">
        <v>99600.918000000005</v>
      </c>
      <c r="H37" s="9">
        <v>93569.403999999995</v>
      </c>
      <c r="I37" s="9">
        <v>127061.50799999999</v>
      </c>
      <c r="J37" s="9">
        <v>156546.70600000001</v>
      </c>
      <c r="K37" s="9">
        <v>181830.77899999998</v>
      </c>
      <c r="L37" s="9">
        <v>198898.41900000002</v>
      </c>
      <c r="M37" s="9">
        <v>165521.05900000001</v>
      </c>
      <c r="N37" s="9">
        <v>112498.679</v>
      </c>
      <c r="O37" s="9">
        <v>125408.704</v>
      </c>
      <c r="P37" s="52">
        <f>SUM(D37:O37)</f>
        <v>1706107.193</v>
      </c>
    </row>
    <row r="38" spans="1:16" ht="14.4" thickBot="1">
      <c r="A38" s="1">
        <f t="shared" si="0"/>
        <v>28</v>
      </c>
      <c r="B38" s="8" t="s">
        <v>3</v>
      </c>
      <c r="C38" s="4">
        <f t="shared" si="10"/>
        <v>2020</v>
      </c>
      <c r="D38" s="9">
        <v>136512.788</v>
      </c>
      <c r="E38" s="9">
        <v>129648.405</v>
      </c>
      <c r="F38" s="9">
        <v>126835.166</v>
      </c>
      <c r="G38" s="9">
        <v>96723.42300000001</v>
      </c>
      <c r="H38" s="9">
        <v>106646.61500000001</v>
      </c>
      <c r="I38" s="9">
        <v>136486.747</v>
      </c>
      <c r="J38" s="9">
        <v>174208.27600000001</v>
      </c>
      <c r="K38" s="9">
        <v>197403.397</v>
      </c>
      <c r="L38" s="9">
        <v>185112.33499999999</v>
      </c>
      <c r="M38" s="9">
        <v>124605.79599999999</v>
      </c>
      <c r="N38" s="9">
        <v>110290.36900000001</v>
      </c>
      <c r="O38" s="9">
        <v>108997.00600000001</v>
      </c>
      <c r="P38" s="52">
        <f>SUM(D38:O38)</f>
        <v>1633470.3229999999</v>
      </c>
    </row>
    <row r="39" spans="1:16" ht="13.8">
      <c r="A39" s="1">
        <f t="shared" si="0"/>
        <v>29</v>
      </c>
      <c r="B39" s="8" t="s">
        <v>3</v>
      </c>
      <c r="C39" s="49" t="s">
        <v>1</v>
      </c>
      <c r="D39" s="50">
        <f t="shared" si="11" ref="D39:O39">SUM(D36:D38)</f>
        <v>463591.23599999998</v>
      </c>
      <c r="E39" s="50">
        <f t="shared" si="11"/>
        <v>441027.66399999999</v>
      </c>
      <c r="F39" s="50">
        <f t="shared" si="11"/>
        <v>392238.62699999998</v>
      </c>
      <c r="G39" s="50">
        <f t="shared" si="11"/>
        <v>287791.484</v>
      </c>
      <c r="H39" s="50">
        <f t="shared" si="11"/>
        <v>295003.22999999998</v>
      </c>
      <c r="I39" s="50">
        <f t="shared" si="11"/>
        <v>415771.96199999994</v>
      </c>
      <c r="J39" s="50">
        <f t="shared" si="11"/>
        <v>522299.16700000002</v>
      </c>
      <c r="K39" s="50">
        <f t="shared" si="11"/>
        <v>581684.5959999999</v>
      </c>
      <c r="L39" s="50">
        <f t="shared" si="11"/>
        <v>569842.30200000003</v>
      </c>
      <c r="M39" s="50">
        <f t="shared" si="11"/>
        <v>422594.83299999998</v>
      </c>
      <c r="N39" s="50">
        <f t="shared" si="11"/>
        <v>322007.81400000001</v>
      </c>
      <c r="O39" s="50">
        <f t="shared" si="11"/>
        <v>364361.08199999999</v>
      </c>
      <c r="P39" s="53">
        <f>SUM(D39:O39)</f>
        <v>5078213.9970000004</v>
      </c>
    </row>
    <row r="40" spans="1:16" ht="13.8">
      <c r="A40" s="1">
        <f t="shared" si="0"/>
        <v>30</v>
      </c>
      <c r="B40" s="8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3.8">
      <c r="A41" s="1">
        <f t="shared" si="0"/>
        <v>31</v>
      </c>
      <c r="B41" s="8" t="s">
        <v>9</v>
      </c>
      <c r="C41" s="4">
        <f>+C36</f>
        <v>2018</v>
      </c>
      <c r="D41" s="9">
        <v>64906.54099999999</v>
      </c>
      <c r="E41" s="9">
        <v>53473.229000000007</v>
      </c>
      <c r="F41" s="9">
        <v>40812.66399999999</v>
      </c>
      <c r="G41" s="9">
        <v>32552.967000000001</v>
      </c>
      <c r="H41" s="9">
        <v>34196.893999999993</v>
      </c>
      <c r="I41" s="9">
        <v>56137.736999999986</v>
      </c>
      <c r="J41" s="9">
        <v>68641.71100000001</v>
      </c>
      <c r="K41" s="9">
        <v>65455.548000000003</v>
      </c>
      <c r="L41" s="9">
        <v>57361.874000000003</v>
      </c>
      <c r="M41" s="9">
        <v>39586.75</v>
      </c>
      <c r="N41" s="9">
        <v>35433.165000000001</v>
      </c>
      <c r="O41" s="9">
        <v>49443.010000000009</v>
      </c>
      <c r="P41" s="52">
        <f>SUM(D41:O41)</f>
        <v>598002.08999999997</v>
      </c>
    </row>
    <row r="42" spans="1:16" ht="13.8">
      <c r="A42" s="1">
        <f t="shared" si="0"/>
        <v>32</v>
      </c>
      <c r="B42" s="8" t="s">
        <v>9</v>
      </c>
      <c r="C42" s="4">
        <f t="shared" si="12" ref="C42:C43">+C37</f>
        <v>2019</v>
      </c>
      <c r="D42" s="9">
        <v>56942.792000000001</v>
      </c>
      <c r="E42" s="9">
        <v>53476.221000000012</v>
      </c>
      <c r="F42" s="9">
        <v>48270.105000000003</v>
      </c>
      <c r="G42" s="9">
        <v>34374.420999999995</v>
      </c>
      <c r="H42" s="9">
        <v>31609.714000000004</v>
      </c>
      <c r="I42" s="9">
        <v>41402.950999999994</v>
      </c>
      <c r="J42" s="9">
        <v>55107.538999999997</v>
      </c>
      <c r="K42" s="9">
        <v>64260.561000000009</v>
      </c>
      <c r="L42" s="9">
        <v>64769.627999999997</v>
      </c>
      <c r="M42" s="9">
        <v>50453.622000000003</v>
      </c>
      <c r="N42" s="9">
        <v>40927.225999999995</v>
      </c>
      <c r="O42" s="9">
        <v>46579.520999999993</v>
      </c>
      <c r="P42" s="52">
        <f>SUM(D42:O42)</f>
        <v>588174.30099999998</v>
      </c>
    </row>
    <row r="43" spans="1:16" ht="14.4" thickBot="1">
      <c r="A43" s="1">
        <f t="shared" si="0"/>
        <v>33</v>
      </c>
      <c r="B43" s="8" t="s">
        <v>9</v>
      </c>
      <c r="C43" s="4">
        <f t="shared" si="12"/>
        <v>2020</v>
      </c>
      <c r="D43" s="9">
        <v>51013.037000000004</v>
      </c>
      <c r="E43" s="9">
        <v>50901.829000000005</v>
      </c>
      <c r="F43" s="9">
        <v>43849.920000000006</v>
      </c>
      <c r="G43" s="9">
        <v>34493.323000000004</v>
      </c>
      <c r="H43" s="9">
        <v>38459.622000000003</v>
      </c>
      <c r="I43" s="9">
        <v>49620.130000000012</v>
      </c>
      <c r="J43" s="9">
        <v>64947.874000000011</v>
      </c>
      <c r="K43" s="9">
        <v>68640.233000000007</v>
      </c>
      <c r="L43" s="9">
        <v>59347.663</v>
      </c>
      <c r="M43" s="9">
        <v>38768.868999999999</v>
      </c>
      <c r="N43" s="9">
        <v>37628.823000000004</v>
      </c>
      <c r="O43" s="9">
        <v>41827.218000000008</v>
      </c>
      <c r="P43" s="52">
        <f>SUM(D43:O43)</f>
        <v>579498.54100000008</v>
      </c>
    </row>
    <row r="44" spans="1:16" ht="13.8">
      <c r="A44" s="1">
        <f t="shared" si="0"/>
        <v>34</v>
      </c>
      <c r="B44" s="8" t="s">
        <v>9</v>
      </c>
      <c r="C44" s="49" t="s">
        <v>1</v>
      </c>
      <c r="D44" s="50">
        <f t="shared" si="13" ref="D44:O44">SUM(D41:D43)</f>
        <v>172862.37</v>
      </c>
      <c r="E44" s="50">
        <f t="shared" si="13"/>
        <v>157851.27900000001</v>
      </c>
      <c r="F44" s="50">
        <f t="shared" si="13"/>
        <v>132932.68900000001</v>
      </c>
      <c r="G44" s="50">
        <f t="shared" si="13"/>
        <v>101420.711</v>
      </c>
      <c r="H44" s="50">
        <f t="shared" si="13"/>
        <v>104266.23</v>
      </c>
      <c r="I44" s="50">
        <f t="shared" si="13"/>
        <v>147160.818</v>
      </c>
      <c r="J44" s="50">
        <f t="shared" si="13"/>
        <v>188697.12400000001</v>
      </c>
      <c r="K44" s="50">
        <f t="shared" si="13"/>
        <v>198356.342</v>
      </c>
      <c r="L44" s="50">
        <f t="shared" si="13"/>
        <v>181479.16500000001</v>
      </c>
      <c r="M44" s="50">
        <f t="shared" si="13"/>
        <v>128809.24100000001</v>
      </c>
      <c r="N44" s="50">
        <f t="shared" si="13"/>
        <v>113989.21400000001</v>
      </c>
      <c r="O44" s="50">
        <f t="shared" si="13"/>
        <v>137849.74900000001</v>
      </c>
      <c r="P44" s="53">
        <f>SUM(D44:O44)</f>
        <v>1765674.9319999998</v>
      </c>
    </row>
    <row r="45" spans="1:16" ht="13.8">
      <c r="A45" s="1">
        <f t="shared" si="0"/>
        <v>35</v>
      </c>
      <c r="B45" s="8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3.8">
      <c r="A46" s="1">
        <f t="shared" si="0"/>
        <v>36</v>
      </c>
      <c r="B46" s="8" t="s">
        <v>4</v>
      </c>
      <c r="C46" s="4">
        <f>+C41</f>
        <v>2018</v>
      </c>
      <c r="D46" s="9">
        <v>90632.587</v>
      </c>
      <c r="E46" s="9">
        <v>76642.981</v>
      </c>
      <c r="F46" s="9">
        <v>63252.180999999997</v>
      </c>
      <c r="G46" s="9">
        <v>48520.132999999994</v>
      </c>
      <c r="H46" s="9">
        <v>49947.012999999999</v>
      </c>
      <c r="I46" s="9">
        <v>81513.008000000002</v>
      </c>
      <c r="J46" s="9">
        <v>105377.014</v>
      </c>
      <c r="K46" s="9">
        <v>107421.015</v>
      </c>
      <c r="L46" s="9">
        <v>92805.35100000001</v>
      </c>
      <c r="M46" s="9">
        <v>63646.949999999997</v>
      </c>
      <c r="N46" s="9">
        <v>48073.464</v>
      </c>
      <c r="O46" s="9">
        <v>65567.762000000002</v>
      </c>
      <c r="P46" s="52">
        <f>SUM(D46:O46)</f>
        <v>893399.45899999992</v>
      </c>
    </row>
    <row r="47" spans="1:16" ht="13.8">
      <c r="A47" s="1">
        <f t="shared" si="0"/>
        <v>37</v>
      </c>
      <c r="B47" s="8" t="s">
        <v>4</v>
      </c>
      <c r="C47" s="4">
        <f t="shared" si="14" ref="C47:C48">+C42</f>
        <v>2019</v>
      </c>
      <c r="D47" s="9">
        <v>76647.373000000007</v>
      </c>
      <c r="E47" s="9">
        <v>76495.709000000003</v>
      </c>
      <c r="F47" s="9">
        <v>71404.123999999996</v>
      </c>
      <c r="G47" s="9">
        <v>50218.004999999997</v>
      </c>
      <c r="H47" s="9">
        <v>47002.846000000005</v>
      </c>
      <c r="I47" s="9">
        <v>61281.898000000001</v>
      </c>
      <c r="J47" s="9">
        <v>84346.361000000004</v>
      </c>
      <c r="K47" s="9">
        <v>100222.57900000001</v>
      </c>
      <c r="L47" s="9">
        <v>104061.064</v>
      </c>
      <c r="M47" s="9">
        <v>80715.616000000009</v>
      </c>
      <c r="N47" s="9">
        <v>55842.966999999997</v>
      </c>
      <c r="O47" s="9">
        <v>63752.146999999997</v>
      </c>
      <c r="P47" s="52">
        <f>SUM(D47:O47)</f>
        <v>871990.68900000001</v>
      </c>
    </row>
    <row r="48" spans="1:16" ht="14.4" thickBot="1">
      <c r="A48" s="1">
        <f t="shared" si="0"/>
        <v>38</v>
      </c>
      <c r="B48" s="8" t="s">
        <v>4</v>
      </c>
      <c r="C48" s="4">
        <f t="shared" si="14"/>
        <v>2020</v>
      </c>
      <c r="D48" s="9">
        <v>69211.293999999994</v>
      </c>
      <c r="E48" s="9">
        <v>68916.857000000004</v>
      </c>
      <c r="F48" s="9">
        <v>60580.777000000002</v>
      </c>
      <c r="G48" s="9">
        <v>49151.016000000003</v>
      </c>
      <c r="H48" s="9">
        <v>54048.750999999997</v>
      </c>
      <c r="I48" s="9">
        <v>70322.857000000004</v>
      </c>
      <c r="J48" s="9">
        <v>95951.555000000008</v>
      </c>
      <c r="K48" s="9">
        <v>104117.807</v>
      </c>
      <c r="L48" s="9">
        <v>92055.065999999992</v>
      </c>
      <c r="M48" s="9">
        <v>60617.856999999996</v>
      </c>
      <c r="N48" s="9">
        <v>54873.739999999998</v>
      </c>
      <c r="O48" s="9">
        <v>56895.018000000004</v>
      </c>
      <c r="P48" s="52">
        <f>SUM(D48:O48)</f>
        <v>836742.59499999997</v>
      </c>
    </row>
    <row r="49" spans="1:16" ht="13.8">
      <c r="A49" s="1">
        <f t="shared" si="0"/>
        <v>39</v>
      </c>
      <c r="B49" s="8" t="s">
        <v>4</v>
      </c>
      <c r="C49" s="49" t="s">
        <v>1</v>
      </c>
      <c r="D49" s="50">
        <f t="shared" si="15" ref="D49:O49">SUM(D46:D48)</f>
        <v>236491.25400000002</v>
      </c>
      <c r="E49" s="50">
        <f t="shared" si="15"/>
        <v>222055.54700000002</v>
      </c>
      <c r="F49" s="50">
        <f t="shared" si="15"/>
        <v>195237.082</v>
      </c>
      <c r="G49" s="50">
        <f t="shared" si="15"/>
        <v>147889.15399999998</v>
      </c>
      <c r="H49" s="50">
        <f t="shared" si="15"/>
        <v>150998.60999999999</v>
      </c>
      <c r="I49" s="50">
        <f t="shared" si="15"/>
        <v>213117.76300000004</v>
      </c>
      <c r="J49" s="50">
        <f t="shared" si="15"/>
        <v>285674.92999999999</v>
      </c>
      <c r="K49" s="50">
        <f t="shared" si="15"/>
        <v>311761.40100000001</v>
      </c>
      <c r="L49" s="50">
        <f t="shared" si="15"/>
        <v>288921.48100000003</v>
      </c>
      <c r="M49" s="50">
        <f t="shared" si="15"/>
        <v>204980.42299999998</v>
      </c>
      <c r="N49" s="50">
        <f t="shared" si="15"/>
        <v>158790.171</v>
      </c>
      <c r="O49" s="50">
        <f t="shared" si="15"/>
        <v>186214.927</v>
      </c>
      <c r="P49" s="53">
        <f>SUM(D49:O49)</f>
        <v>2602132.7430000002</v>
      </c>
    </row>
    <row r="50" spans="1:16" ht="13.8">
      <c r="A50" s="1">
        <f t="shared" si="0"/>
        <v>40</v>
      </c>
      <c r="B50" s="8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3.8">
      <c r="A51" s="1">
        <f t="shared" si="0"/>
        <v>41</v>
      </c>
      <c r="B51" s="8" t="s">
        <v>2</v>
      </c>
      <c r="C51" s="4">
        <f>+C46</f>
        <v>2018</v>
      </c>
      <c r="D51" s="9">
        <v>226154.11200000002</v>
      </c>
      <c r="E51" s="9">
        <v>201462.54399999999</v>
      </c>
      <c r="F51" s="9">
        <v>156816.228</v>
      </c>
      <c r="G51" s="9">
        <v>135105.83099999998</v>
      </c>
      <c r="H51" s="9">
        <v>152332.04799999998</v>
      </c>
      <c r="I51" s="9">
        <v>252103.38999999999</v>
      </c>
      <c r="J51" s="9">
        <v>288033.10999999999</v>
      </c>
      <c r="K51" s="9">
        <v>280192.56799999991</v>
      </c>
      <c r="L51" s="9">
        <v>252358.91400000002</v>
      </c>
      <c r="M51" s="9">
        <v>177654.00799999997</v>
      </c>
      <c r="N51" s="9">
        <v>148070.76600000003</v>
      </c>
      <c r="O51" s="9">
        <v>197962.60499999998</v>
      </c>
      <c r="P51" s="52">
        <f>SUM(D51:O51)</f>
        <v>2468246.1239999998</v>
      </c>
    </row>
    <row r="52" spans="1:16" ht="13.8">
      <c r="A52" s="1">
        <f t="shared" si="0"/>
        <v>42</v>
      </c>
      <c r="B52" s="8" t="s">
        <v>2</v>
      </c>
      <c r="C52" s="4">
        <f t="shared" si="16" ref="C52:C53">+C47</f>
        <v>2019</v>
      </c>
      <c r="D52" s="9">
        <v>231843.62699999998</v>
      </c>
      <c r="E52" s="9">
        <v>207694.70800000004</v>
      </c>
      <c r="F52" s="9">
        <v>189040.94100000002</v>
      </c>
      <c r="G52" s="9">
        <v>148572.10999999999</v>
      </c>
      <c r="H52" s="9">
        <v>150397.65399999998</v>
      </c>
      <c r="I52" s="9">
        <v>188342.48199999996</v>
      </c>
      <c r="J52" s="9">
        <v>260535.77599999995</v>
      </c>
      <c r="K52" s="9">
        <v>289402.52100000007</v>
      </c>
      <c r="L52" s="9">
        <v>299699.33600000007</v>
      </c>
      <c r="M52" s="9">
        <v>223105.986</v>
      </c>
      <c r="N52" s="9">
        <v>168821.82100000005</v>
      </c>
      <c r="O52" s="9">
        <v>185103.96599999999</v>
      </c>
      <c r="P52" s="52">
        <f>SUM(D52:O52)</f>
        <v>2542560.9280000003</v>
      </c>
    </row>
    <row r="53" spans="1:16" ht="14.4" thickBot="1">
      <c r="A53" s="1">
        <f t="shared" si="0"/>
        <v>43</v>
      </c>
      <c r="B53" s="8" t="s">
        <v>2</v>
      </c>
      <c r="C53" s="4">
        <f t="shared" si="16"/>
        <v>2020</v>
      </c>
      <c r="D53" s="9">
        <v>209253.07500000001</v>
      </c>
      <c r="E53" s="9">
        <v>207120.554</v>
      </c>
      <c r="F53" s="9">
        <v>188203.101</v>
      </c>
      <c r="G53" s="9">
        <v>145484.66999999998</v>
      </c>
      <c r="H53" s="9">
        <v>175083.98299999998</v>
      </c>
      <c r="I53" s="9">
        <v>228414.93799999997</v>
      </c>
      <c r="J53" s="9">
        <v>299821.79800000001</v>
      </c>
      <c r="K53" s="9">
        <v>311584.90599999996</v>
      </c>
      <c r="L53" s="9">
        <v>276356.23500000004</v>
      </c>
      <c r="M53" s="9">
        <v>185253.041</v>
      </c>
      <c r="N53" s="9">
        <v>164798.20000000001</v>
      </c>
      <c r="O53" s="9">
        <v>165671.69399999999</v>
      </c>
      <c r="P53" s="52">
        <f>SUM(D53:O53)</f>
        <v>2557046.1950000003</v>
      </c>
    </row>
    <row r="54" spans="1:16" ht="13.8">
      <c r="A54" s="1">
        <f t="shared" si="0"/>
        <v>44</v>
      </c>
      <c r="B54" s="8" t="s">
        <v>2</v>
      </c>
      <c r="C54" s="49" t="s">
        <v>1</v>
      </c>
      <c r="D54" s="50">
        <f t="shared" si="17" ref="D54:O54">SUM(D51:D53)</f>
        <v>667250.81400000001</v>
      </c>
      <c r="E54" s="50">
        <f t="shared" si="17"/>
        <v>616277.8060000001</v>
      </c>
      <c r="F54" s="50">
        <f t="shared" si="17"/>
        <v>534060.27000000002</v>
      </c>
      <c r="G54" s="50">
        <f t="shared" si="17"/>
        <v>429162.61099999998</v>
      </c>
      <c r="H54" s="50">
        <f t="shared" si="17"/>
        <v>477813.68499999994</v>
      </c>
      <c r="I54" s="50">
        <f t="shared" si="17"/>
        <v>668860.80999999994</v>
      </c>
      <c r="J54" s="50">
        <f t="shared" si="17"/>
        <v>848390.68399999989</v>
      </c>
      <c r="K54" s="50">
        <f t="shared" si="17"/>
        <v>881179.99499999988</v>
      </c>
      <c r="L54" s="50">
        <f t="shared" si="17"/>
        <v>828414.4850000001</v>
      </c>
      <c r="M54" s="50">
        <f t="shared" si="17"/>
        <v>586013.03499999992</v>
      </c>
      <c r="N54" s="50">
        <f t="shared" si="17"/>
        <v>481690.78700000007</v>
      </c>
      <c r="O54" s="50">
        <f t="shared" si="17"/>
        <v>548738.26500000001</v>
      </c>
      <c r="P54" s="53">
        <f>SUM(D54:O54)</f>
        <v>7567853.2470000004</v>
      </c>
    </row>
    <row r="55" spans="1:16" ht="14.4">
      <c r="A55" s="1">
        <f t="shared" si="0"/>
        <v>45</v>
      </c>
      <c r="B55" s="8"/>
      <c r="C55" s="1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3.8">
      <c r="A56" s="1">
        <f t="shared" si="0"/>
        <v>46</v>
      </c>
      <c r="B56" s="8" t="s">
        <v>48</v>
      </c>
      <c r="C56" s="4">
        <f>+C51</f>
        <v>2018</v>
      </c>
      <c r="D56" s="9">
        <v>117338.935</v>
      </c>
      <c r="E56" s="9">
        <v>108846.86900000001</v>
      </c>
      <c r="F56" s="9">
        <v>86237.331999999995</v>
      </c>
      <c r="G56" s="9">
        <v>63385.705000000002</v>
      </c>
      <c r="H56" s="9">
        <v>63276.053999999996</v>
      </c>
      <c r="I56" s="9">
        <v>96414.668999999994</v>
      </c>
      <c r="J56" s="9">
        <v>126391.62299999999</v>
      </c>
      <c r="K56" s="9">
        <v>130831.16100000001</v>
      </c>
      <c r="L56" s="9">
        <v>116381.89899999999</v>
      </c>
      <c r="M56" s="9">
        <v>83312.242000000013</v>
      </c>
      <c r="N56" s="9">
        <v>65145.714999999997</v>
      </c>
      <c r="O56" s="9">
        <v>90082.847999999998</v>
      </c>
      <c r="P56" s="52">
        <f>SUM(D56:O56)</f>
        <v>1147645.0519999999</v>
      </c>
    </row>
    <row r="57" spans="1:16" ht="13.8">
      <c r="A57" s="1">
        <f t="shared" si="0"/>
        <v>47</v>
      </c>
      <c r="B57" s="8" t="s">
        <v>48</v>
      </c>
      <c r="C57" s="4">
        <f t="shared" si="18" ref="C57:C58">+C52</f>
        <v>2019</v>
      </c>
      <c r="D57" s="9">
        <v>102386.69199999998</v>
      </c>
      <c r="E57" s="9">
        <v>108308.52699999999</v>
      </c>
      <c r="F57" s="9">
        <v>100255.751</v>
      </c>
      <c r="G57" s="9">
        <v>68832.264999999999</v>
      </c>
      <c r="H57" s="9">
        <v>60291.973999999995</v>
      </c>
      <c r="I57" s="9">
        <v>78928.584999999992</v>
      </c>
      <c r="J57" s="9">
        <v>102430.10000000001</v>
      </c>
      <c r="K57" s="9">
        <v>118720.491</v>
      </c>
      <c r="L57" s="9">
        <v>128031.033</v>
      </c>
      <c r="M57" s="9">
        <v>102724.38299999999</v>
      </c>
      <c r="N57" s="9">
        <v>72481.751000000004</v>
      </c>
      <c r="O57" s="9">
        <v>87270.425000000003</v>
      </c>
      <c r="P57" s="52">
        <f>SUM(D57:O57)</f>
        <v>1130661.9770000002</v>
      </c>
    </row>
    <row r="58" spans="1:16" ht="14.4" thickBot="1">
      <c r="A58" s="1">
        <f t="shared" si="0"/>
        <v>48</v>
      </c>
      <c r="B58" s="8" t="s">
        <v>48</v>
      </c>
      <c r="C58" s="4">
        <f t="shared" si="18"/>
        <v>2020</v>
      </c>
      <c r="D58" s="9">
        <v>96941.238999999987</v>
      </c>
      <c r="E58" s="9">
        <v>94897.171000000002</v>
      </c>
      <c r="F58" s="9">
        <v>85315.146000000008</v>
      </c>
      <c r="G58" s="9">
        <v>66809.707999999999</v>
      </c>
      <c r="H58" s="9">
        <v>67609.298999999999</v>
      </c>
      <c r="I58" s="9">
        <v>83156.924999999988</v>
      </c>
      <c r="J58" s="9">
        <v>115811.71800000001</v>
      </c>
      <c r="K58" s="9">
        <v>129614.673</v>
      </c>
      <c r="L58" s="9">
        <v>115634.969</v>
      </c>
      <c r="M58" s="9">
        <v>78115.338999999993</v>
      </c>
      <c r="N58" s="9">
        <v>69629.694000000003</v>
      </c>
      <c r="O58" s="9">
        <v>76156.392000000007</v>
      </c>
      <c r="P58" s="52">
        <f>SUM(D58:O58)</f>
        <v>1079692.273</v>
      </c>
    </row>
    <row r="59" spans="1:16" ht="13.8">
      <c r="A59" s="1">
        <f t="shared" si="0"/>
        <v>49</v>
      </c>
      <c r="B59" s="8" t="s">
        <v>48</v>
      </c>
      <c r="C59" s="49" t="s">
        <v>1</v>
      </c>
      <c r="D59" s="50">
        <f t="shared" si="19" ref="D59:O59">SUM(D56:D58)</f>
        <v>316666.86599999998</v>
      </c>
      <c r="E59" s="50">
        <f t="shared" si="19"/>
        <v>312052.56700000004</v>
      </c>
      <c r="F59" s="50">
        <f t="shared" si="19"/>
        <v>271808.22899999999</v>
      </c>
      <c r="G59" s="50">
        <f t="shared" si="19"/>
        <v>199027.67800000001</v>
      </c>
      <c r="H59" s="50">
        <f t="shared" si="19"/>
        <v>191177.32699999999</v>
      </c>
      <c r="I59" s="50">
        <f t="shared" si="19"/>
        <v>258500.17899999998</v>
      </c>
      <c r="J59" s="50">
        <f t="shared" si="19"/>
        <v>344633.44099999999</v>
      </c>
      <c r="K59" s="50">
        <f t="shared" si="19"/>
        <v>379166.32500000001</v>
      </c>
      <c r="L59" s="50">
        <f t="shared" si="19"/>
        <v>360047.90099999995</v>
      </c>
      <c r="M59" s="50">
        <f t="shared" si="19"/>
        <v>264151.96399999998</v>
      </c>
      <c r="N59" s="50">
        <f t="shared" si="19"/>
        <v>207257.16000000003</v>
      </c>
      <c r="O59" s="50">
        <f t="shared" si="19"/>
        <v>253509.66499999998</v>
      </c>
      <c r="P59" s="53">
        <f>SUM(D59:O59)</f>
        <v>3357999.3020000006</v>
      </c>
    </row>
    <row r="60" spans="1:16" ht="13.8">
      <c r="A60" s="1">
        <f t="shared" si="0"/>
        <v>50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3.8">
      <c r="A61" s="1">
        <f t="shared" si="0"/>
        <v>51</v>
      </c>
      <c r="B61" s="1" t="s">
        <v>34</v>
      </c>
      <c r="C61" s="4">
        <f>+C56</f>
        <v>2018</v>
      </c>
      <c r="D61" s="9">
        <f t="shared" si="20" ref="D61:P61">SUM(D26,D31,D36,D41,D46,D51,D56,D21,D16,D11)</f>
        <v>4507645.1040000012</v>
      </c>
      <c r="E61" s="9">
        <f t="shared" si="20"/>
        <v>3854728.3799999999</v>
      </c>
      <c r="F61" s="9">
        <f t="shared" si="20"/>
        <v>3059850.0389999999</v>
      </c>
      <c r="G61" s="9">
        <f t="shared" si="20"/>
        <v>2459576.0700000003</v>
      </c>
      <c r="H61" s="9">
        <f t="shared" si="20"/>
        <v>2619659.1469999999</v>
      </c>
      <c r="I61" s="9">
        <f t="shared" si="20"/>
        <v>4359026.3810000001</v>
      </c>
      <c r="J61" s="9">
        <f t="shared" si="20"/>
        <v>5476994.3489999995</v>
      </c>
      <c r="K61" s="9">
        <f t="shared" si="20"/>
        <v>5513457.409</v>
      </c>
      <c r="L61" s="9">
        <f t="shared" si="20"/>
        <v>4872619.6199999992</v>
      </c>
      <c r="M61" s="9">
        <f t="shared" si="20"/>
        <v>3477395.219</v>
      </c>
      <c r="N61" s="9">
        <f t="shared" si="20"/>
        <v>2574323.0870000003</v>
      </c>
      <c r="O61" s="9">
        <f t="shared" si="20"/>
        <v>3331214.2329999995</v>
      </c>
      <c r="P61" s="52">
        <f t="shared" si="20"/>
        <v>46106489.037999995</v>
      </c>
    </row>
    <row r="62" spans="1:16" ht="13.8">
      <c r="A62" s="1">
        <f t="shared" si="0"/>
        <v>52</v>
      </c>
      <c r="B62" s="1" t="s">
        <v>34</v>
      </c>
      <c r="C62" s="4">
        <f t="shared" si="21" ref="C62:C63">+C57</f>
        <v>2019</v>
      </c>
      <c r="D62" s="9">
        <f t="shared" si="22" ref="D62:P62">SUM(D27,D32,D37,D42,D47,D52,D57,D22,D17,D12)</f>
        <v>3780587.4809999997</v>
      </c>
      <c r="E62" s="9">
        <f t="shared" si="22"/>
        <v>3830953.341</v>
      </c>
      <c r="F62" s="9">
        <f t="shared" si="22"/>
        <v>3555311.5710000005</v>
      </c>
      <c r="G62" s="9">
        <f t="shared" si="22"/>
        <v>2569971.1640000008</v>
      </c>
      <c r="H62" s="9">
        <f t="shared" si="22"/>
        <v>2573173.9959999993</v>
      </c>
      <c r="I62" s="9">
        <f t="shared" si="22"/>
        <v>3518705.3150000004</v>
      </c>
      <c r="J62" s="9">
        <f t="shared" si="22"/>
        <v>4499618.1189999999</v>
      </c>
      <c r="K62" s="9">
        <f t="shared" si="22"/>
        <v>5147216.1380000003</v>
      </c>
      <c r="L62" s="9">
        <f t="shared" si="22"/>
        <v>5511429.0769999996</v>
      </c>
      <c r="M62" s="9">
        <f t="shared" si="22"/>
        <v>4425700.9160000002</v>
      </c>
      <c r="N62" s="9">
        <f t="shared" si="22"/>
        <v>2880512.1269999999</v>
      </c>
      <c r="O62" s="9">
        <f t="shared" si="22"/>
        <v>3189905.6379999998</v>
      </c>
      <c r="P62" s="52">
        <f t="shared" si="22"/>
        <v>45483084.883000001</v>
      </c>
    </row>
    <row r="63" spans="1:16" ht="14.4" thickBot="1">
      <c r="A63" s="1">
        <f t="shared" si="0"/>
        <v>53</v>
      </c>
      <c r="B63" s="1" t="s">
        <v>34</v>
      </c>
      <c r="C63" s="4">
        <f t="shared" si="21"/>
        <v>2020</v>
      </c>
      <c r="D63" s="9">
        <f t="shared" si="23" ref="D63:P63">SUM(D28,D33,D38,D43,D48,D53,D58,D23,D18,D13)</f>
        <v>3508967.8760000002</v>
      </c>
      <c r="E63" s="9">
        <f t="shared" si="23"/>
        <v>3389231.4079999998</v>
      </c>
      <c r="F63" s="9">
        <f t="shared" si="23"/>
        <v>3127907.0299999998</v>
      </c>
      <c r="G63" s="9">
        <f t="shared" si="23"/>
        <v>2629695.2079999996</v>
      </c>
      <c r="H63" s="9">
        <f t="shared" si="23"/>
        <v>2943349.4129999997</v>
      </c>
      <c r="I63" s="9">
        <f t="shared" si="23"/>
        <v>3877978.3230000003</v>
      </c>
      <c r="J63" s="9">
        <f t="shared" si="23"/>
        <v>5087386.318</v>
      </c>
      <c r="K63" s="9">
        <f t="shared" si="23"/>
        <v>5468079.1390000004</v>
      </c>
      <c r="L63" s="9">
        <f t="shared" si="23"/>
        <v>5040070.3509999989</v>
      </c>
      <c r="M63" s="9">
        <f t="shared" si="23"/>
        <v>3331348.409</v>
      </c>
      <c r="N63" s="9">
        <f t="shared" si="23"/>
        <v>2899184.5630000001</v>
      </c>
      <c r="O63" s="9">
        <f t="shared" si="23"/>
        <v>2915435.1140000005</v>
      </c>
      <c r="P63" s="52">
        <f t="shared" si="23"/>
        <v>44218633.151999995</v>
      </c>
    </row>
    <row r="64" spans="1:16" ht="14.4" thickBot="1">
      <c r="A64" s="1">
        <f t="shared" si="0"/>
        <v>54</v>
      </c>
      <c r="B64" s="1" t="s">
        <v>34</v>
      </c>
      <c r="C64" s="54" t="s">
        <v>1</v>
      </c>
      <c r="D64" s="55">
        <f t="shared" si="24" ref="D64:P64">SUM(D61:D63)</f>
        <v>11797200.461000001</v>
      </c>
      <c r="E64" s="55">
        <f t="shared" si="24"/>
        <v>11074913.129000001</v>
      </c>
      <c r="F64" s="55">
        <f t="shared" si="24"/>
        <v>9743068.6400000006</v>
      </c>
      <c r="G64" s="55">
        <f t="shared" si="24"/>
        <v>7659242.4420000007</v>
      </c>
      <c r="H64" s="50">
        <f t="shared" si="24"/>
        <v>8136182.5559999989</v>
      </c>
      <c r="I64" s="55">
        <f t="shared" si="24"/>
        <v>11755710.019000001</v>
      </c>
      <c r="J64" s="55">
        <f t="shared" si="24"/>
        <v>15063998.785999998</v>
      </c>
      <c r="K64" s="55">
        <f t="shared" si="24"/>
        <v>16128752.686000001</v>
      </c>
      <c r="L64" s="55">
        <f t="shared" si="24"/>
        <v>15424119.047999997</v>
      </c>
      <c r="M64" s="55">
        <f t="shared" si="24"/>
        <v>11234444.544</v>
      </c>
      <c r="N64" s="55">
        <f t="shared" si="24"/>
        <v>8354019.7769999998</v>
      </c>
      <c r="O64" s="55">
        <f t="shared" si="24"/>
        <v>9436554.9849999994</v>
      </c>
      <c r="P64" s="56">
        <f t="shared" si="24"/>
        <v>135808207.07300001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25" right="0.25" top="0.25" bottom="0.5" header="0.24" footer="0.2"/>
  <pageSetup orientation="landscape" scale="60" r:id="rId1"/>
  <headerFooter alignWithMargins="0">
    <oddHeader>&amp;RWP/II-H-5.2/1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 Seasonal Weights</vt:lpstr>
      <vt:lpstr>Res Monthly Weather Weights</vt:lpstr>
      <vt:lpstr>Res Weights by Year (18-20)</vt:lpstr>
      <vt:lpstr>Res Sales by Year (18-20)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