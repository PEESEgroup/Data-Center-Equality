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0" yWindow="108" windowWidth="12120" windowHeight="7932" tabRatio="599" activeTab="0"/>
  </bookViews>
  <sheets>
    <sheet name="RES Spline Model" sheetId="51" r:id="rId2"/>
    <sheet name="RES Spline Graph" sheetId="61" r:id="rId3"/>
    <sheet name="GSS Spline Model" sheetId="52" r:id="rId4"/>
    <sheet name="GSS Spline Graph" sheetId="63" r:id="rId5"/>
    <sheet name="GSL Spline Model" sheetId="54" r:id="rId6"/>
    <sheet name="GSL Spline Graph" sheetId="65" r:id="rId7"/>
    <sheet name="GPLD Spline Model" sheetId="56" r:id="rId8"/>
    <sheet name="GPLD Spline Graph" sheetId="67" r:id="rId9"/>
    <sheet name="SUBS Spline Model" sheetId="85" r:id="rId10"/>
    <sheet name="SUBS Spline Graph" sheetId="86" r:id="rId11"/>
    <sheet name="RES B Spline Model" sheetId="77" r:id="rId12"/>
    <sheet name="RES B Spline Graph" sheetId="78" r:id="rId13"/>
    <sheet name="GSS B Spline Model" sheetId="79" r:id="rId14"/>
    <sheet name="GSS B Spline Graph" sheetId="80" r:id="rId15"/>
    <sheet name="GSL B Spline Model" sheetId="81" r:id="rId16"/>
    <sheet name="GSL B Spline Graph" sheetId="82" r:id="rId17"/>
    <sheet name="GPLD B Spline Model" sheetId="83" r:id="rId18"/>
    <sheet name="GPLD B Spline Graph" sheetId="84" r:id="rId19"/>
    <sheet name="SUBS B Spline Model" sheetId="87" r:id="rId20"/>
    <sheet name="SUBS B Spline Graph" sheetId="88" r:id="rId21"/>
  </sheets>
  <externalReferences>
    <externalReference r:id="rId24"/>
    <externalReference r:id="rId25"/>
    <externalReference r:id="rId26"/>
  </externalReferences>
  <definedNames>
    <definedName name="a">#REF!</definedName>
    <definedName name="_xlnm.Database">#REF!</definedName>
    <definedName name="HOURLY">[1]HOURLY!$A$1:$G$745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A80" i="51" l="1"/>
</calcChain>
</file>

<file path=xl/sharedStrings.xml><?xml version="1.0" encoding="utf-8"?>
<sst xmlns="http://schemas.openxmlformats.org/spreadsheetml/2006/main" count="833" uniqueCount="170">
  <si>
    <t>Variable</t>
  </si>
  <si>
    <t>Coefficient</t>
  </si>
  <si>
    <t>StdErr</t>
  </si>
  <si>
    <t>T-Stat</t>
  </si>
  <si>
    <t>P-Value</t>
  </si>
  <si>
    <t>Model:</t>
  </si>
  <si>
    <t>Dependent Variable:</t>
  </si>
  <si>
    <t>Estimation Begin Date:</t>
  </si>
  <si>
    <t>Estimation End Date:</t>
  </si>
  <si>
    <t>Mean Abs. Dev. (MAD)</t>
  </si>
  <si>
    <t>Deg. of Freedom for Error</t>
  </si>
  <si>
    <t>Mean Abs. % Err. (MAPE)</t>
  </si>
  <si>
    <t>R-Squared</t>
  </si>
  <si>
    <t>Adjusted R-Squared</t>
  </si>
  <si>
    <t>Durbin-Watson Statistic</t>
  </si>
  <si>
    <t>F-Statistic</t>
  </si>
  <si>
    <t>Prob (F-Statistic)</t>
  </si>
  <si>
    <t>Model Sum of Squares</t>
  </si>
  <si>
    <t>Sum of Squared Errors</t>
  </si>
  <si>
    <t>Mean Squared Error</t>
  </si>
  <si>
    <t>Std. Error of Regression</t>
  </si>
  <si>
    <t>Ljung-Box Statistic</t>
  </si>
  <si>
    <t>Prob (Ljung-Box)</t>
  </si>
  <si>
    <t>Line</t>
  </si>
  <si>
    <t>No.</t>
  </si>
  <si>
    <t>(a)</t>
  </si>
  <si>
    <t>(b)</t>
  </si>
  <si>
    <t>(d)</t>
  </si>
  <si>
    <t>(e)</t>
  </si>
  <si>
    <t>(c)</t>
  </si>
  <si>
    <t>Adjusted Observations</t>
  </si>
  <si>
    <t>AR(1)</t>
  </si>
  <si>
    <t>AR(2)</t>
  </si>
  <si>
    <t>AR(3)</t>
  </si>
  <si>
    <t>AR(4)</t>
  </si>
  <si>
    <t>After Corrective Procedures for Autocorrelation</t>
  </si>
  <si>
    <t>AR(5)</t>
  </si>
  <si>
    <t>CONST</t>
  </si>
  <si>
    <t>DayTypeVars.Feb</t>
  </si>
  <si>
    <t>DayTypeVars.Mar</t>
  </si>
  <si>
    <t>DayTypeVars.Apr</t>
  </si>
  <si>
    <t>DayTypeVars.May</t>
  </si>
  <si>
    <t>DayTypeVars.Jun</t>
  </si>
  <si>
    <t>DayTypeVars.Jul</t>
  </si>
  <si>
    <t>DayTypeVars.Aug</t>
  </si>
  <si>
    <t>DayTypeVars.Sep</t>
  </si>
  <si>
    <t>DayTypeVars.Nov</t>
  </si>
  <si>
    <t>DayTypeVars.Dec</t>
  </si>
  <si>
    <t>Residential Spline</t>
  </si>
  <si>
    <t>AR(6)</t>
  </si>
  <si>
    <t>AR(7)</t>
  </si>
  <si>
    <t>Residential Spline Model</t>
  </si>
  <si>
    <t>DayTypeVars.Oct</t>
  </si>
  <si>
    <t>Before Corrective Procedures for Autocorrelation</t>
  </si>
  <si>
    <t xml:space="preserve">Secondary Service Less Than or Equal to 10 KW Spline </t>
  </si>
  <si>
    <t>Secondary Service Less Than or Equal to 10 KW Spline Model</t>
  </si>
  <si>
    <t>Secondary Service Greater Than 10 KW Spline</t>
  </si>
  <si>
    <t>Residential Spline (B)</t>
  </si>
  <si>
    <t>Residential Spline (B) Model</t>
  </si>
  <si>
    <t xml:space="preserve">Secondary Service Less Than or Equal to 10 KW Spline (B) </t>
  </si>
  <si>
    <t>Secondary Service Less Than or Equal to 10 KW Spline (B) Model</t>
  </si>
  <si>
    <t>Secondary Service Greater Than 10 KW Spline (B)</t>
  </si>
  <si>
    <t>Secondary Service Greater Than 10 KW Spline Model</t>
  </si>
  <si>
    <t>Secondary Service Greater Than 10 KW Spline (B) Model</t>
  </si>
  <si>
    <t>SPONSOR: D. E. NELSON</t>
  </si>
  <si>
    <t>ResDMWH</t>
  </si>
  <si>
    <t>AR(8)</t>
  </si>
  <si>
    <t>AR(9)</t>
  </si>
  <si>
    <t>AR(10)</t>
  </si>
  <si>
    <t>AR(11)</t>
  </si>
  <si>
    <t>AR(12)</t>
  </si>
  <si>
    <t>AR(13)</t>
  </si>
  <si>
    <t>AR(14)</t>
  </si>
  <si>
    <t>AR(15)</t>
  </si>
  <si>
    <t>AR(16)</t>
  </si>
  <si>
    <t>AR(17)</t>
  </si>
  <si>
    <t>AR(18)</t>
  </si>
  <si>
    <t>AR(19)</t>
  </si>
  <si>
    <t>GSSDMWH</t>
  </si>
  <si>
    <t>GPLDMWH</t>
  </si>
  <si>
    <t>GSLMWH</t>
  </si>
  <si>
    <t>DayTypeVars.TimeTrend</t>
  </si>
  <si>
    <t>GSLDMWH</t>
  </si>
  <si>
    <t>Primary Service Greater Than 10 KW Distribution Spline</t>
  </si>
  <si>
    <t>GPLDDMWH</t>
  </si>
  <si>
    <t>Primary Service Greater Than 10 KW Distribution Spline Model</t>
  </si>
  <si>
    <t>Primary Service Greater Than 10 KW Distribution Spline (B)</t>
  </si>
  <si>
    <t>Primary Service Greater Than 10 KW Distribution Spline (B) Model</t>
  </si>
  <si>
    <t>ONCOR ELECTRIC DELIVERY COMPANY LLC</t>
  </si>
  <si>
    <t>ADJUSTED WEATHER STATION DATA</t>
  </si>
  <si>
    <t>2022 RATE CASE</t>
  </si>
  <si>
    <t>FOR THE TEST YEAR ENDING DECEMBER 31, 2021</t>
  </si>
  <si>
    <t>Calendar_18_20.DLSav</t>
  </si>
  <si>
    <t>Calendar_18_20.Monday</t>
  </si>
  <si>
    <t>Calendar_18_20.Tuesday</t>
  </si>
  <si>
    <t>Calendar_18_20.Wednesday</t>
  </si>
  <si>
    <t>Calendar_18_20.Thursday</t>
  </si>
  <si>
    <t>Calendar_18_20.Friday</t>
  </si>
  <si>
    <t>Calendar_18_20.Saturday</t>
  </si>
  <si>
    <t>Calendar_18_20.MLK</t>
  </si>
  <si>
    <t>Calendar_18_20.PresDay</t>
  </si>
  <si>
    <t>Calendar_18_20.MemDay</t>
  </si>
  <si>
    <t>Calendar_18_20.LaborDay</t>
  </si>
  <si>
    <t>Calendar_18_20.Thanks</t>
  </si>
  <si>
    <t>Calendar_18_20.FriAThanks</t>
  </si>
  <si>
    <t>Calendar_18_20.XMasWkB4</t>
  </si>
  <si>
    <t>Calendar_18_20.XMasEve</t>
  </si>
  <si>
    <t>Calendar_18_20.XMasDay</t>
  </si>
  <si>
    <t>Calendar_18_20.NYEve</t>
  </si>
  <si>
    <t>Calendar_18_20.NYDay</t>
  </si>
  <si>
    <t>Calendar_18_20.XMasLights</t>
  </si>
  <si>
    <t>RESDD_18_20.ResHDD40</t>
  </si>
  <si>
    <t>RESDD_18_20.ResHDD45</t>
  </si>
  <si>
    <t>RESDD_18_20.ResHDD55</t>
  </si>
  <si>
    <t>RESDD_18_20.ResHDD60</t>
  </si>
  <si>
    <t>RESDD_18_20.ResHDD65</t>
  </si>
  <si>
    <t>RESDD_18_20.ResCDD65</t>
  </si>
  <si>
    <t>RESDD_18_20.ResCDD70</t>
  </si>
  <si>
    <t>RESDD_18_20.ResCDD75</t>
  </si>
  <si>
    <t>RESDD_18_20.ResCDD80</t>
  </si>
  <si>
    <t>Model Statistics</t>
  </si>
  <si>
    <t>Calendar_18_20.GoodFri</t>
  </si>
  <si>
    <t>Calendar_18_20.July4th</t>
  </si>
  <si>
    <t>Calendar_18_20.XMasWk</t>
  </si>
  <si>
    <t>GSSDD_18_20.GSSHDD40</t>
  </si>
  <si>
    <t>GSSDD_18_20.GSSHDD55</t>
  </si>
  <si>
    <t>GSSDD_18_20.GSSHDD60</t>
  </si>
  <si>
    <t>GSSDD_18_20.GSSCDD65</t>
  </si>
  <si>
    <t>GSSDD_18_20.GSSCDD70</t>
  </si>
  <si>
    <t>GSSDD_18_20.GSSCDD75</t>
  </si>
  <si>
    <t>GSSDD_18_20.GSSCDD85</t>
  </si>
  <si>
    <t>AR(20)</t>
  </si>
  <si>
    <t>AR(21)</t>
  </si>
  <si>
    <t>AR(22)</t>
  </si>
  <si>
    <t>RESDD_18_20.ResHDD50</t>
  </si>
  <si>
    <t>RESDD_18_20.ResCDD85</t>
  </si>
  <si>
    <t>GSSDD_18_20.GSSHDD45</t>
  </si>
  <si>
    <t>GSSDD_18_20.GSSHDD50</t>
  </si>
  <si>
    <t>GSSDD_18_20.GSSHDD65</t>
  </si>
  <si>
    <t>GSSDD_18_20.GSSCDD80</t>
  </si>
  <si>
    <t>GSLDD_18_20.GSLHDD45</t>
  </si>
  <si>
    <t>GSLDD_18_20.GSLHDD55</t>
  </si>
  <si>
    <t>GSLDD_18_20.GSLCDD60</t>
  </si>
  <si>
    <t>GSLDD_18_20.GSLCDD65</t>
  </si>
  <si>
    <t>GSLDD_18_20.GSLCDD70</t>
  </si>
  <si>
    <t>GSLDD_18_20.GSLCDD75</t>
  </si>
  <si>
    <t>GSLDD_18_20.GSLHDD40</t>
  </si>
  <si>
    <t>GSLDD_18_20.GSLHDD50</t>
  </si>
  <si>
    <t>GSLDD_18_20.GSLHDD60</t>
  </si>
  <si>
    <t>GSLDD_18_20.GSLCDD80</t>
  </si>
  <si>
    <t>GSLDD_18_20.GSLCDD85</t>
  </si>
  <si>
    <t>GPDDD_18_20.GPDCDD55</t>
  </si>
  <si>
    <t>GPDDD_18_20.GPDCDD70</t>
  </si>
  <si>
    <t>GPDDD_18_20.GPDCDD60</t>
  </si>
  <si>
    <t>GPDDD_18_20.GPDCDD65</t>
  </si>
  <si>
    <t>GPDDD_18_20.GPDCDD80</t>
  </si>
  <si>
    <t>GPDDD_18_20.GPDCDD85</t>
  </si>
  <si>
    <t>Substation Spline</t>
  </si>
  <si>
    <t>Substation Spline Model</t>
  </si>
  <si>
    <t>SUBSDMWH</t>
  </si>
  <si>
    <t>GSBDD_18_20.GSBCDD50</t>
  </si>
  <si>
    <t>GSBDD_18_20.GSBCDD70</t>
  </si>
  <si>
    <t>GSBDD_18_20.GSBCDD85</t>
  </si>
  <si>
    <t>Substation Spline (B)</t>
  </si>
  <si>
    <t>Substation Spline (B) Model</t>
  </si>
  <si>
    <t>GSBDD_18_20.GSBCDD55</t>
  </si>
  <si>
    <t>GSBDD_18_20.GSBCDD60</t>
  </si>
  <si>
    <t>GSBDD_18_20.GSBCDD65</t>
  </si>
  <si>
    <t>GSBDD_18_20.GSBCDD75</t>
  </si>
  <si>
    <t>GSBDD_18_20.GSBCDD80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</si>
</sst>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00"/>
    <numFmt numFmtId="165" formatCode="0.0000"/>
    <numFmt numFmtId="166" formatCode="mmm\-yyyy"/>
    <numFmt numFmtId="167" formatCode="[$-409]mmmm\ d\,\ yyyy;@"/>
    <numFmt numFmtId="168" formatCode="#,##0.0000"/>
    <numFmt numFmtId="169" formatCode="#,##0.000"/>
    <numFmt numFmtId="170" formatCode="0.0"/>
  </numFmts>
  <fonts count="8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 val="single"/>
      <sz val="9"/>
      <name val="Arial"/>
      <family val="2"/>
    </font>
    <font>
      <b/>
      <sz val="12"/>
      <name val="Arial"/>
      <family val="2"/>
    </font>
    <font>
      <sz val="9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 quotePrefix="1">
      <alignment horizontal="center"/>
    </xf>
    <xf numFmtId="10" fontId="0" fillId="0" borderId="0" xfId="0" applyNumberFormat="1"/>
    <xf numFmtId="166" fontId="4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0" fontId="3" fillId="0" borderId="0" xfId="0" applyNumberFormat="1" applyFont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right"/>
    </xf>
    <xf numFmtId="1" fontId="0" fillId="0" borderId="0" xfId="0" applyNumberFormat="1"/>
    <xf numFmtId="167" fontId="4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165" fontId="0" fillId="0" borderId="0" xfId="0" applyNumberFormat="1"/>
    <xf numFmtId="0" fontId="3" fillId="0" borderId="0" xfId="0" applyFont="1" applyFill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15" applyNumberFormat="1" applyFont="1"/>
    <xf numFmtId="4" fontId="0" fillId="0" borderId="0" xfId="0" applyNumberFormat="1"/>
    <xf numFmtId="2" fontId="0" fillId="0" borderId="0" xfId="0" applyNumberFormat="1"/>
    <xf numFmtId="0" fontId="0" fillId="0" borderId="0" xfId="0" applyFont="1" applyFill="1" applyAlignment="1">
      <alignment horizontal="left" vertical="center"/>
    </xf>
    <xf numFmtId="0" fontId="0" fillId="0" borderId="0" xfId="0" applyFont="1"/>
    <xf numFmtId="170" fontId="0" fillId="0" borderId="0" xfId="0" applyNumberFormat="1"/>
    <xf numFmtId="0" fontId="3" fillId="2" borderId="0" xfId="0" applyFont="1" applyFill="1" applyAlignment="1">
      <alignment horizontal="left" vertical="center"/>
    </xf>
    <xf numFmtId="1" fontId="0" fillId="0" borderId="0" xfId="18" applyNumberFormat="1" applyFont="1"/>
    <xf numFmtId="164" fontId="0" fillId="0" borderId="0" xfId="15" applyNumberFormat="1" applyFont="1"/>
    <xf numFmtId="3" fontId="0" fillId="0" borderId="0" xfId="15" applyNumberFormat="1" applyFont="1"/>
    <xf numFmtId="169" fontId="0" fillId="0" borderId="0" xfId="15" applyNumberFormat="1" applyFont="1"/>
    <xf numFmtId="164" fontId="0" fillId="0" borderId="0" xfId="18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 applyAlignment="1">
      <alignment horizont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externalLink" Target="externalLinks/externalLink1.xml" /><Relationship Id="rId25" Type="http://schemas.openxmlformats.org/officeDocument/2006/relationships/externalLink" Target="externalLinks/externalLink2.xml" /><Relationship Id="rId26" Type="http://schemas.openxmlformats.org/officeDocument/2006/relationships/externalLink" Target="externalLinks/externalLink3.xml" /><Relationship Id="rId27" Type="http://schemas.openxmlformats.org/officeDocument/2006/relationships/calcChain" Target="calcChain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Relationship Id="rId4" Type="http://schemas.openxmlformats.org/officeDocument/2006/relationships/worksheet" Target="worksheets/sheet3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9</xdr:col>
      <xdr:colOff>191499</xdr:colOff>
      <xdr:row>36</xdr:row>
      <xdr:rowOff>151867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1885950"/>
          <a:ext cx="7086600" cy="414337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9</xdr:col>
      <xdr:colOff>481059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086600" cy="414337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105650" cy="41433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105650" cy="4143375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105650" cy="4143375"/>
        </a:xfrm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9</xdr:col>
      <xdr:colOff>31479</xdr:colOff>
      <xdr:row>36</xdr:row>
      <xdr:rowOff>151867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150" y="1885950"/>
          <a:ext cx="7048500" cy="4143375"/>
        </a:xfrm>
        <a:prstGeom prst="rect"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9</xdr:col>
      <xdr:colOff>77199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058025" cy="4143375"/>
        </a:xfrm>
        <a:prstGeom prst="rect"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10</xdr:col>
      <xdr:colOff>183879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105650" cy="4143375"/>
        </a:xfrm>
        <a:prstGeom prst="rect"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9</xdr:col>
      <xdr:colOff>511539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086600" cy="4143375"/>
        </a:xfrm>
        <a:prstGeom prst="rect"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9</xdr:col>
      <xdr:colOff>511539</xdr:colOff>
      <xdr:row>36</xdr:row>
      <xdr:rowOff>151867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1885950"/>
          <a:ext cx="7086600" cy="4143375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DistFiles\5.2%20Example%20Actua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printerSettings" Target="../printerSettings/printerSettings20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F80"/>
  <sheetViews>
    <sheetView tabSelected="1"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22.5714285714286" bestFit="1" customWidth="1"/>
    <col min="4" max="5" width="9.28571428571429" bestFit="1" customWidth="1"/>
    <col min="6" max="6" width="9.28571428571429" customWidth="1"/>
  </cols>
  <sheetData>
    <row r="1" spans="1:6" s="1" customFormat="1" ht="15.6">
      <c r="A1" s="6"/>
      <c r="B1" s="37" t="s">
        <v>90</v>
      </c>
      <c r="C1" s="37"/>
      <c r="D1" s="37"/>
      <c r="E1" s="37"/>
      <c r="F1" s="37"/>
    </row>
    <row r="2" spans="1:6" s="1" customFormat="1" ht="15.6">
      <c r="A2" s="6"/>
      <c r="B2" s="37" t="s">
        <v>88</v>
      </c>
      <c r="C2" s="37"/>
      <c r="D2" s="37"/>
      <c r="E2" s="37"/>
      <c r="F2" s="37"/>
    </row>
    <row r="3" spans="1:6" s="1" customFormat="1" ht="15.6">
      <c r="A3" s="6"/>
      <c r="B3" s="37" t="s">
        <v>89</v>
      </c>
      <c r="C3" s="37"/>
      <c r="D3" s="37"/>
      <c r="E3" s="37"/>
      <c r="F3" s="37"/>
    </row>
    <row r="4" spans="1:6" s="1" customFormat="1" ht="15.6">
      <c r="A4" s="6"/>
      <c r="B4" s="37" t="s">
        <v>91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">
        <v>64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48</v>
      </c>
    </row>
    <row r="11" spans="1:3" s="1" customFormat="1" ht="12">
      <c r="A11" s="6">
        <f>+A10+1</f>
        <v>2</v>
      </c>
      <c r="B11" s="3" t="s">
        <v>35</v>
      </c>
      <c r="C11" s="3"/>
    </row>
    <row r="12" spans="1:3" s="1" customFormat="1" ht="12">
      <c r="A12" s="6">
        <f t="shared" si="0" ref="A12:A80">+A11+1</f>
        <v>3</v>
      </c>
      <c r="B12" s="3" t="s">
        <v>6</v>
      </c>
      <c r="C12" s="3" t="s">
        <v>65</v>
      </c>
    </row>
    <row r="13" spans="1:3" s="1" customFormat="1" ht="12">
      <c r="A13" s="6">
        <f t="shared" si="0"/>
        <v>4</v>
      </c>
      <c r="B13" s="3" t="s">
        <v>7</v>
      </c>
      <c r="C13" s="17"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86138.925000000003</v>
      </c>
      <c r="D17">
        <v>3082.9349999999999</v>
      </c>
      <c r="E17">
        <v>27.940999999999999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-3331.0619999999999</v>
      </c>
      <c r="D18">
        <v>1639.162</v>
      </c>
      <c r="E18">
        <v>-2.032</v>
      </c>
      <c r="F18" s="9">
        <v>0.0424</v>
      </c>
    </row>
    <row r="19" spans="1:6" ht="13.2">
      <c r="A19" s="6">
        <f t="shared" si="0"/>
        <v>10</v>
      </c>
      <c r="B19" t="s">
        <v>93</v>
      </c>
      <c r="C19">
        <v>-6077.6319999999996</v>
      </c>
      <c r="D19">
        <v>519.68600000000004</v>
      </c>
      <c r="E19">
        <v>-11.695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-6407.2799999999997</v>
      </c>
      <c r="D20">
        <v>630.28700000000003</v>
      </c>
      <c r="E20">
        <v>-10.166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-5849.6769999999997</v>
      </c>
      <c r="D21">
        <v>650.30200000000002</v>
      </c>
      <c r="E21">
        <v>-8.9949999999999992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-5547.7929999999997</v>
      </c>
      <c r="D22">
        <v>651.99800000000005</v>
      </c>
      <c r="E22">
        <v>-8.5090000000000003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-8280.8670000000002</v>
      </c>
      <c r="D23">
        <v>634.03800000000001</v>
      </c>
      <c r="E23">
        <v>-13.061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-3571.4859999999999</v>
      </c>
      <c r="D24">
        <v>502.67599999999999</v>
      </c>
      <c r="E24">
        <v>-7.1050000000000004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9616.1190000000006</v>
      </c>
      <c r="D25">
        <v>3001.0390000000002</v>
      </c>
      <c r="E25">
        <v>3.2040000000000002</v>
      </c>
      <c r="F25" s="9">
        <v>0.0014</v>
      </c>
    </row>
    <row r="26" spans="1:6" ht="13.2">
      <c r="A26" s="6">
        <f t="shared" si="0"/>
        <v>17</v>
      </c>
      <c r="B26" t="s">
        <v>100</v>
      </c>
      <c r="C26">
        <v>-7757.5249999999996</v>
      </c>
      <c r="D26">
        <v>2989.4839999999999</v>
      </c>
      <c r="E26">
        <v>-2.5950000000000002</v>
      </c>
      <c r="F26" s="9">
        <v>0.0095999999999999992</v>
      </c>
    </row>
    <row r="27" spans="1:6" ht="13.2">
      <c r="A27" s="6">
        <f t="shared" si="0"/>
        <v>18</v>
      </c>
      <c r="B27" t="s">
        <v>101</v>
      </c>
      <c r="C27">
        <v>7467.6419999999998</v>
      </c>
      <c r="D27">
        <v>2953.308</v>
      </c>
      <c r="E27">
        <v>2.5289999999999999</v>
      </c>
      <c r="F27" s="9">
        <v>0.011599999999999999</v>
      </c>
    </row>
    <row r="28" spans="1:6" ht="13.2">
      <c r="A28" s="6">
        <f t="shared" si="0"/>
        <v>19</v>
      </c>
      <c r="B28" t="s">
        <v>102</v>
      </c>
      <c r="C28">
        <v>8351.5139999999992</v>
      </c>
      <c r="D28">
        <v>2956.9059999999999</v>
      </c>
      <c r="E28">
        <v>2.8239999999999998</v>
      </c>
      <c r="F28" s="9">
        <v>0.0047999999999999996</v>
      </c>
    </row>
    <row r="29" spans="1:6" ht="13.2">
      <c r="A29" s="6">
        <f t="shared" si="0"/>
        <v>20</v>
      </c>
      <c r="B29" t="s">
        <v>103</v>
      </c>
      <c r="C29">
        <v>9459.5859999999993</v>
      </c>
      <c r="D29">
        <v>3213.4340000000002</v>
      </c>
      <c r="E29">
        <v>2.944</v>
      </c>
      <c r="F29" s="9">
        <v>0.0033</v>
      </c>
    </row>
    <row r="30" spans="1:6" ht="13.2">
      <c r="A30" s="6">
        <f t="shared" si="0"/>
        <v>21</v>
      </c>
      <c r="B30" t="s">
        <v>104</v>
      </c>
      <c r="C30">
        <v>4704.0510000000004</v>
      </c>
      <c r="D30">
        <v>3226.3820000000001</v>
      </c>
      <c r="E30">
        <v>1.458</v>
      </c>
      <c r="F30" s="9">
        <v>0.1452</v>
      </c>
    </row>
    <row r="31" spans="1:6" ht="13.2">
      <c r="A31" s="6">
        <f t="shared" si="0"/>
        <v>22</v>
      </c>
      <c r="B31" t="s">
        <v>105</v>
      </c>
      <c r="C31">
        <v>7770.2179999999998</v>
      </c>
      <c r="D31">
        <v>4366.6930000000002</v>
      </c>
      <c r="E31">
        <v>1.7789999999999999</v>
      </c>
      <c r="F31" s="9">
        <v>0.075499999999999998</v>
      </c>
    </row>
    <row r="32" spans="1:6" ht="13.2">
      <c r="A32" s="6">
        <f t="shared" si="0"/>
        <v>23</v>
      </c>
      <c r="B32" t="s">
        <v>106</v>
      </c>
      <c r="C32">
        <v>13539.007</v>
      </c>
      <c r="D32">
        <v>3703.9259999999999</v>
      </c>
      <c r="E32">
        <v>3.6549999999999998</v>
      </c>
      <c r="F32" s="9">
        <v>0.00029999999999999997</v>
      </c>
    </row>
    <row r="33" spans="1:6" ht="13.2">
      <c r="A33" s="6">
        <f t="shared" si="0"/>
        <v>24</v>
      </c>
      <c r="B33" t="s">
        <v>107</v>
      </c>
      <c r="C33">
        <v>7163.473</v>
      </c>
      <c r="D33">
        <v>3357.0729999999999</v>
      </c>
      <c r="E33">
        <v>2.1339999999999999</v>
      </c>
      <c r="F33" s="9">
        <v>0.033099999999999997</v>
      </c>
    </row>
    <row r="34" spans="1:6" ht="13.2">
      <c r="A34" s="6">
        <f t="shared" si="0"/>
        <v>25</v>
      </c>
      <c r="B34" t="s">
        <v>108</v>
      </c>
      <c r="C34">
        <v>9295.8639999999996</v>
      </c>
      <c r="D34">
        <v>3344.4839999999999</v>
      </c>
      <c r="E34">
        <v>2.7789999999999999</v>
      </c>
      <c r="F34" s="9">
        <v>0.0054999999999999997</v>
      </c>
    </row>
    <row r="35" spans="1:6" ht="13.2">
      <c r="A35" s="6">
        <f t="shared" si="0"/>
        <v>26</v>
      </c>
      <c r="B35" t="s">
        <v>109</v>
      </c>
      <c r="C35">
        <v>8530.8889999999992</v>
      </c>
      <c r="D35">
        <v>3893.4349999999999</v>
      </c>
      <c r="E35">
        <v>2.1909999999999998</v>
      </c>
      <c r="F35" s="9">
        <v>0.0287</v>
      </c>
    </row>
    <row r="36" spans="1:6" ht="13.2">
      <c r="A36" s="6">
        <f t="shared" si="0"/>
        <v>27</v>
      </c>
      <c r="B36" t="s">
        <v>110</v>
      </c>
      <c r="C36">
        <v>157.76599999999999</v>
      </c>
      <c r="D36">
        <v>117.288</v>
      </c>
      <c r="E36">
        <v>1.345</v>
      </c>
      <c r="F36" s="9">
        <v>0.1789</v>
      </c>
    </row>
    <row r="37" spans="1:6" ht="13.2">
      <c r="A37" s="6">
        <f t="shared" si="0"/>
        <v>28</v>
      </c>
      <c r="B37" t="s">
        <v>38</v>
      </c>
      <c r="C37">
        <v>-3715.0900000000001</v>
      </c>
      <c r="D37">
        <v>1941.0530000000001</v>
      </c>
      <c r="E37">
        <v>-1.9139999999999999</v>
      </c>
      <c r="F37" s="9">
        <v>0.055899999999999998</v>
      </c>
    </row>
    <row r="38" spans="1:6" ht="13.2">
      <c r="A38" s="6">
        <f t="shared" si="0"/>
        <v>29</v>
      </c>
      <c r="B38" t="s">
        <v>39</v>
      </c>
      <c r="C38">
        <v>-8904.3490000000002</v>
      </c>
      <c r="D38">
        <v>2056.2719999999999</v>
      </c>
      <c r="E38">
        <v>-4.3300000000000001</v>
      </c>
      <c r="F38" s="9">
        <v>0</v>
      </c>
    </row>
    <row r="39" spans="1:6" ht="13.2">
      <c r="A39" s="6">
        <f t="shared" si="0"/>
        <v>30</v>
      </c>
      <c r="B39" t="s">
        <v>40</v>
      </c>
      <c r="C39">
        <v>-4244.2640000000001</v>
      </c>
      <c r="D39">
        <v>1935.6220000000001</v>
      </c>
      <c r="E39">
        <v>-2.1930000000000001</v>
      </c>
      <c r="F39" s="9">
        <v>0.028500000000000001</v>
      </c>
    </row>
    <row r="40" spans="1:6" ht="13.2">
      <c r="A40" s="6">
        <f t="shared" si="0"/>
        <v>31</v>
      </c>
      <c r="B40" t="s">
        <v>42</v>
      </c>
      <c r="C40">
        <v>7152.9129999999996</v>
      </c>
      <c r="D40">
        <v>1939.2719999999999</v>
      </c>
      <c r="E40">
        <v>3.6880000000000002</v>
      </c>
      <c r="F40" s="9">
        <v>0.00020000000000000001</v>
      </c>
    </row>
    <row r="41" spans="1:6" ht="13.2">
      <c r="A41" s="6">
        <f t="shared" si="0"/>
        <v>32</v>
      </c>
      <c r="B41" t="s">
        <v>43</v>
      </c>
      <c r="C41">
        <v>11453.669</v>
      </c>
      <c r="D41">
        <v>2157.674</v>
      </c>
      <c r="E41">
        <v>5.3079999999999998</v>
      </c>
      <c r="F41" s="9">
        <v>0</v>
      </c>
    </row>
    <row r="42" spans="1:6" ht="13.2">
      <c r="A42" s="6">
        <f t="shared" si="0"/>
        <v>33</v>
      </c>
      <c r="B42" t="s">
        <v>44</v>
      </c>
      <c r="C42">
        <v>8144.6819999999998</v>
      </c>
      <c r="D42">
        <v>1969.501</v>
      </c>
      <c r="E42">
        <v>4.1349999999999998</v>
      </c>
      <c r="F42" s="9">
        <v>0</v>
      </c>
    </row>
    <row r="43" spans="1:6" ht="13.2">
      <c r="A43" s="6">
        <f t="shared" si="0"/>
        <v>34</v>
      </c>
      <c r="B43" t="s">
        <v>52</v>
      </c>
      <c r="C43">
        <v>-3340.2240000000002</v>
      </c>
      <c r="D43">
        <v>1897.348</v>
      </c>
      <c r="E43">
        <v>-1.76</v>
      </c>
      <c r="F43" s="9">
        <v>0.078600000000000003</v>
      </c>
    </row>
    <row r="44" spans="1:6" ht="13.2">
      <c r="A44" s="6">
        <f t="shared" si="0"/>
        <v>35</v>
      </c>
      <c r="B44" t="s">
        <v>46</v>
      </c>
      <c r="C44">
        <v>-6220.2759999999998</v>
      </c>
      <c r="D44">
        <v>2349.8159999999998</v>
      </c>
      <c r="E44">
        <v>-2.6469999999999998</v>
      </c>
      <c r="F44" s="9">
        <v>0.0082000000000000007</v>
      </c>
    </row>
    <row r="45" spans="1:6" ht="13.2">
      <c r="A45" s="6">
        <f t="shared" si="0"/>
        <v>36</v>
      </c>
      <c r="B45" t="s">
        <v>47</v>
      </c>
      <c r="C45">
        <v>-5229.8770000000004</v>
      </c>
      <c r="D45">
        <v>2444.152</v>
      </c>
      <c r="E45">
        <v>-2.1400000000000001</v>
      </c>
      <c r="F45" s="9">
        <v>0.032599999999999997</v>
      </c>
    </row>
    <row r="46" spans="1:6" ht="13.2">
      <c r="A46" s="6">
        <f t="shared" si="0"/>
        <v>37</v>
      </c>
      <c r="B46" t="s">
        <v>81</v>
      </c>
      <c r="C46" s="22">
        <v>1942.866</v>
      </c>
      <c r="D46">
        <v>985.53499999999997</v>
      </c>
      <c r="E46" s="22">
        <v>1.9710000000000001</v>
      </c>
      <c r="F46" s="9">
        <v>0.048899999999999999</v>
      </c>
    </row>
    <row r="47" spans="1:6" ht="13.2">
      <c r="A47" s="6">
        <f t="shared" si="0"/>
        <v>38</v>
      </c>
      <c r="B47" t="s">
        <v>111</v>
      </c>
      <c r="C47" s="22">
        <v>1234.77</v>
      </c>
      <c r="D47">
        <v>387.09399999999999</v>
      </c>
      <c r="E47" s="22">
        <v>3.1899999999999999</v>
      </c>
      <c r="F47" s="9">
        <v>0.0015</v>
      </c>
    </row>
    <row r="48" spans="1:6" ht="13.2">
      <c r="A48" s="6">
        <f t="shared" si="0"/>
        <v>39</v>
      </c>
      <c r="B48" t="s">
        <v>112</v>
      </c>
      <c r="C48" s="22">
        <v>880.41899999999998</v>
      </c>
      <c r="D48">
        <v>299.70699999999999</v>
      </c>
      <c r="E48" s="22">
        <v>2.9380000000000002</v>
      </c>
      <c r="F48" s="9">
        <v>0.0033999999999999998</v>
      </c>
    </row>
    <row r="49" spans="1:6" ht="13.2">
      <c r="A49" s="6">
        <f t="shared" si="0"/>
        <v>40</v>
      </c>
      <c r="B49" t="s">
        <v>113</v>
      </c>
      <c r="C49" s="22">
        <v>1896.28</v>
      </c>
      <c r="D49">
        <v>256.16699999999997</v>
      </c>
      <c r="E49" s="22">
        <v>7.4029999999999996</v>
      </c>
      <c r="F49" s="9">
        <v>0</v>
      </c>
    </row>
    <row r="50" spans="1:6" ht="13.2">
      <c r="A50" s="6">
        <f t="shared" si="0"/>
        <v>41</v>
      </c>
      <c r="B50" t="s">
        <v>114</v>
      </c>
      <c r="C50" s="22">
        <v>988.327</v>
      </c>
      <c r="D50">
        <v>359.72800000000001</v>
      </c>
      <c r="E50" s="22">
        <v>2.7469999999999999</v>
      </c>
      <c r="F50" s="9">
        <v>0.0061000000000000004</v>
      </c>
    </row>
    <row r="51" spans="1:6" ht="13.2">
      <c r="A51" s="6">
        <f t="shared" si="0"/>
        <v>42</v>
      </c>
      <c r="B51" s="28" t="s">
        <v>115</v>
      </c>
      <c r="C51" s="22">
        <v>408.43000000000001</v>
      </c>
      <c r="D51">
        <v>216.565</v>
      </c>
      <c r="E51" s="22">
        <v>1.8859999999999999</v>
      </c>
      <c r="F51" s="9">
        <v>0.0596</v>
      </c>
    </row>
    <row r="52" spans="1:6" ht="13.2">
      <c r="A52" s="6">
        <f t="shared" si="0"/>
        <v>43</v>
      </c>
      <c r="B52" s="28" t="s">
        <v>116</v>
      </c>
      <c r="C52" s="22">
        <v>1462.0719999999999</v>
      </c>
      <c r="D52">
        <v>228.00800000000001</v>
      </c>
      <c r="E52" s="22">
        <v>6.4119999999999999</v>
      </c>
      <c r="F52" s="9">
        <v>0</v>
      </c>
    </row>
    <row r="53" spans="1:6" ht="13.2">
      <c r="A53" s="6">
        <f t="shared" si="0"/>
        <v>44</v>
      </c>
      <c r="B53" s="28" t="s">
        <v>117</v>
      </c>
      <c r="C53" s="22">
        <v>2075.154</v>
      </c>
      <c r="D53">
        <v>409.47399999999999</v>
      </c>
      <c r="E53" s="22">
        <v>5.0679999999999996</v>
      </c>
      <c r="F53" s="9">
        <v>0</v>
      </c>
    </row>
    <row r="54" spans="1:6" ht="13.2">
      <c r="A54" s="6">
        <f t="shared" si="0"/>
        <v>45</v>
      </c>
      <c r="B54" s="28" t="s">
        <v>118</v>
      </c>
      <c r="C54" s="22">
        <v>1562.961</v>
      </c>
      <c r="D54">
        <v>389.28699999999998</v>
      </c>
      <c r="E54" s="22">
        <v>4.0149999999999997</v>
      </c>
      <c r="F54" s="9">
        <v>0.00010000000000000001</v>
      </c>
    </row>
    <row r="55" spans="1:6" ht="13.2">
      <c r="A55" s="6">
        <f t="shared" si="0"/>
        <v>46</v>
      </c>
      <c r="B55" s="28" t="s">
        <v>119</v>
      </c>
      <c r="C55" s="22">
        <v>486.46899999999999</v>
      </c>
      <c r="D55">
        <v>296.99200000000002</v>
      </c>
      <c r="E55" s="22">
        <v>1.6379999999999999</v>
      </c>
      <c r="F55" s="9">
        <v>0.1017</v>
      </c>
    </row>
    <row r="56" spans="1:6" ht="13.2">
      <c r="A56" s="6">
        <f t="shared" si="0"/>
        <v>47</v>
      </c>
      <c r="B56" s="28" t="s">
        <v>31</v>
      </c>
      <c r="C56" s="22">
        <v>0.499</v>
      </c>
      <c r="D56">
        <v>0.032000000000000001</v>
      </c>
      <c r="E56" s="22">
        <v>15.821</v>
      </c>
      <c r="F56" s="9">
        <v>0</v>
      </c>
    </row>
    <row r="57" spans="1:6" ht="13.2">
      <c r="A57" s="6">
        <f t="shared" si="0"/>
        <v>48</v>
      </c>
      <c r="B57" s="28" t="s">
        <v>32</v>
      </c>
      <c r="C57" s="22">
        <v>-0.01</v>
      </c>
      <c r="D57">
        <v>0.035000000000000003</v>
      </c>
      <c r="E57" s="22">
        <v>-0.29099999999999998</v>
      </c>
      <c r="F57" s="9">
        <v>0.77129999999999999</v>
      </c>
    </row>
    <row r="58" spans="1:6" ht="13.2">
      <c r="A58" s="6">
        <f t="shared" si="0"/>
        <v>49</v>
      </c>
      <c r="B58" s="28" t="s">
        <v>33</v>
      </c>
      <c r="C58" s="22">
        <v>0.062</v>
      </c>
      <c r="D58">
        <v>0.035000000000000003</v>
      </c>
      <c r="E58" s="22">
        <v>1.8</v>
      </c>
      <c r="F58" s="9">
        <v>0.072099999999999997</v>
      </c>
    </row>
    <row r="59" spans="1:6" ht="13.2">
      <c r="A59" s="6">
        <f t="shared" si="0"/>
        <v>50</v>
      </c>
      <c r="B59" s="28" t="s">
        <v>34</v>
      </c>
      <c r="C59" s="22">
        <v>0.084000000000000005</v>
      </c>
      <c r="D59">
        <v>0.035000000000000003</v>
      </c>
      <c r="E59" s="22">
        <v>2.4169999999999998</v>
      </c>
      <c r="F59" s="9">
        <v>0.015800000000000002</v>
      </c>
    </row>
    <row r="60" spans="1:6" ht="13.2">
      <c r="A60" s="6">
        <f t="shared" si="0"/>
        <v>51</v>
      </c>
      <c r="B60" s="28" t="s">
        <v>36</v>
      </c>
      <c r="C60" s="22">
        <v>-0.0030000000000000001</v>
      </c>
      <c r="D60">
        <v>0.035000000000000003</v>
      </c>
      <c r="E60" s="22">
        <v>-0.092999999999999999</v>
      </c>
      <c r="F60" s="9">
        <v>0.92569999999999997</v>
      </c>
    </row>
    <row r="61" spans="1:6" ht="13.2">
      <c r="A61" s="6">
        <f t="shared" si="0"/>
        <v>52</v>
      </c>
      <c r="B61" s="28" t="s">
        <v>49</v>
      </c>
      <c r="C61" s="22">
        <v>0.070999999999999994</v>
      </c>
      <c r="D61">
        <v>0.035000000000000003</v>
      </c>
      <c r="E61" s="22">
        <v>2.0459999999999998</v>
      </c>
      <c r="F61" s="9">
        <v>0.041000000000000002</v>
      </c>
    </row>
    <row r="62" spans="1:6" ht="13.2">
      <c r="A62" s="6">
        <f t="shared" si="0"/>
        <v>53</v>
      </c>
      <c r="B62" s="28" t="s">
        <v>50</v>
      </c>
      <c r="C62" s="22">
        <v>-0.010999999999999999</v>
      </c>
      <c r="D62">
        <v>0.035000000000000003</v>
      </c>
      <c r="E62" s="22">
        <v>-0.30599999999999999</v>
      </c>
      <c r="F62" s="9">
        <v>0.75960000000000005</v>
      </c>
    </row>
    <row r="63" spans="1:6" ht="13.2">
      <c r="A63" s="6">
        <f t="shared" si="0"/>
        <v>54</v>
      </c>
      <c r="B63" s="28" t="s">
        <v>66</v>
      </c>
      <c r="C63" s="22">
        <v>0.098000000000000004</v>
      </c>
      <c r="D63">
        <v>0.031</v>
      </c>
      <c r="E63" s="22">
        <v>3.1499999999999999</v>
      </c>
      <c r="F63" s="9">
        <v>0.0016999999999999999</v>
      </c>
    </row>
    <row r="64" spans="1:1" ht="13.2">
      <c r="A64" s="6">
        <f t="shared" si="0"/>
        <v>55</v>
      </c>
    </row>
    <row r="65" spans="1:2" ht="13.2">
      <c r="A65" s="6">
        <f t="shared" si="0"/>
        <v>56</v>
      </c>
      <c r="B65" s="31" t="s">
        <v>120</v>
      </c>
    </row>
    <row r="66" spans="1:3" ht="13.2">
      <c r="A66" s="6">
        <f t="shared" si="0"/>
        <v>57</v>
      </c>
      <c r="B66" s="29" t="s">
        <v>30</v>
      </c>
      <c r="C66" s="16">
        <v>1088</v>
      </c>
    </row>
    <row r="67" spans="1:6" ht="13.2">
      <c r="A67" s="6">
        <f t="shared" si="0"/>
        <v>58</v>
      </c>
      <c r="B67" s="29" t="s">
        <v>10</v>
      </c>
      <c r="C67" s="16">
        <v>1041</v>
      </c>
      <c r="F67" s="9"/>
    </row>
    <row r="68" spans="1:6" ht="13.2">
      <c r="A68" s="6">
        <f t="shared" si="0"/>
        <v>59</v>
      </c>
      <c r="B68" s="29" t="s">
        <v>12</v>
      </c>
      <c r="C68" s="22">
        <v>0.97999999999999998</v>
      </c>
      <c r="F68" s="9"/>
    </row>
    <row r="69" spans="1:6" ht="13.2">
      <c r="A69" s="6">
        <f t="shared" si="0"/>
        <v>60</v>
      </c>
      <c r="B69" s="29" t="s">
        <v>13</v>
      </c>
      <c r="C69" s="22">
        <v>0.97899999999999998</v>
      </c>
      <c r="F69" s="9"/>
    </row>
    <row r="70" spans="1:6" ht="13.2">
      <c r="A70" s="6">
        <f t="shared" si="0"/>
        <v>61</v>
      </c>
      <c r="B70" s="29" t="s">
        <v>15</v>
      </c>
      <c r="C70" s="16">
        <v>1112.298</v>
      </c>
      <c r="F70" s="9"/>
    </row>
    <row r="71" spans="1:6" ht="13.2">
      <c r="A71" s="6">
        <f t="shared" si="0"/>
        <v>62</v>
      </c>
      <c r="B71" s="29" t="s">
        <v>16</v>
      </c>
      <c r="C71" s="23">
        <v>0</v>
      </c>
      <c r="F71" s="9"/>
    </row>
    <row r="72" spans="1:3" ht="13.2">
      <c r="A72" s="6">
        <f t="shared" si="0"/>
        <v>63</v>
      </c>
      <c r="B72" s="29" t="s">
        <v>17</v>
      </c>
      <c r="C72" s="16">
        <v>1660906471863.1499</v>
      </c>
    </row>
    <row r="73" spans="1:6" ht="13.2">
      <c r="A73" s="6">
        <f t="shared" si="0"/>
        <v>64</v>
      </c>
      <c r="B73" s="29" t="s">
        <v>18</v>
      </c>
      <c r="C73" s="16">
        <v>33792246314.060001</v>
      </c>
      <c r="F73" s="9"/>
    </row>
    <row r="74" spans="1:6" ht="13.2">
      <c r="A74" s="6">
        <f t="shared" si="0"/>
        <v>65</v>
      </c>
      <c r="B74" s="29" t="s">
        <v>19</v>
      </c>
      <c r="C74" s="16">
        <v>32461331.710000001</v>
      </c>
      <c r="F74" s="9"/>
    </row>
    <row r="75" spans="1:6" ht="13.2">
      <c r="A75" s="6">
        <f t="shared" si="0"/>
        <v>66</v>
      </c>
      <c r="B75" s="29" t="s">
        <v>20</v>
      </c>
      <c r="C75" s="26">
        <v>5697.4799999999996</v>
      </c>
      <c r="F75" s="9"/>
    </row>
    <row r="76" spans="1:3" ht="13.2">
      <c r="A76" s="6">
        <f t="shared" si="0"/>
        <v>67</v>
      </c>
      <c r="B76" s="29" t="s">
        <v>9</v>
      </c>
      <c r="C76" s="26">
        <v>4229.5500000000002</v>
      </c>
    </row>
    <row r="77" spans="1:3" ht="13.2">
      <c r="A77" s="6">
        <f t="shared" si="0"/>
        <v>68</v>
      </c>
      <c r="B77" t="s">
        <v>11</v>
      </c>
      <c r="C77" s="9">
        <v>0.039100000000000003</v>
      </c>
    </row>
    <row r="78" spans="1:3" ht="13.2">
      <c r="A78" s="6">
        <f t="shared" si="0"/>
        <v>69</v>
      </c>
      <c r="B78" t="s">
        <v>14</v>
      </c>
      <c r="C78">
        <v>2.0049999999999999</v>
      </c>
    </row>
    <row r="79" spans="1:3" ht="13.2">
      <c r="A79" s="6">
        <f t="shared" si="0"/>
        <v>70</v>
      </c>
      <c r="B79" t="s">
        <v>21</v>
      </c>
      <c r="C79">
        <v>12.34</v>
      </c>
    </row>
    <row r="80" spans="1:3" ht="13.2">
      <c r="A80" s="6">
        <f t="shared" si="0"/>
        <v>71</v>
      </c>
      <c r="B80" t="s">
        <v>22</v>
      </c>
      <c r="C80">
        <v>0.97589999999999999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1" r:id="rId1"/>
  <headerFooter alignWithMargins="0">
    <oddHeader>&amp;RWP/II-H-5.2/6
Page &amp;P of 20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">
    <pageSetUpPr fitToPage="1"/>
  </sheetPr>
  <dimension ref="A1:J45"/>
  <sheetViews>
    <sheetView workbookViewId="0" topLeftCell="A1"/>
  </sheetViews>
  <sheetFormatPr defaultRowHeight="13.5"/>
  <cols>
    <col min="1" max="1" width="9.57142857142857" customWidth="1"/>
    <col min="2" max="2" width="26.8571428571429" bestFit="1" customWidth="1"/>
    <col min="3" max="3" width="14.1428571428571" customWidth="1"/>
    <col min="4" max="4" width="12.4285714285714" customWidth="1"/>
    <col min="5" max="5" width="11.1428571428571" customWidth="1"/>
    <col min="6" max="6" width="11" customWidth="1"/>
    <col min="7" max="7" width="9.57142857142857" customWidth="1"/>
  </cols>
  <sheetData>
    <row r="1" spans="1:10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</row>
    <row r="2" spans="1:10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</row>
    <row r="3" spans="1:10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</row>
    <row r="4" spans="1:10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</row>
    <row r="5" spans="1:1" s="1" customFormat="1" ht="11.4">
      <c r="A5" s="6"/>
    </row>
    <row r="6" spans="1:10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0" s="1" customFormat="1" ht="13.2">
      <c r="A10" s="6">
        <v>1</v>
      </c>
      <c r="B10" s="38" t="s">
        <v>51</v>
      </c>
      <c r="C10" s="39"/>
      <c r="D10" s="39"/>
      <c r="E10" s="39"/>
      <c r="F10" s="39"/>
      <c r="G10" s="39"/>
      <c r="H10" s="39"/>
      <c r="I10" s="39"/>
      <c r="J10" s="39"/>
    </row>
    <row r="11" spans="1:10" s="1" customFormat="1" ht="13.2">
      <c r="A11" s="6">
        <f t="shared" si="0" ref="A11:A37">+A10+1</f>
        <v>2</v>
      </c>
      <c r="B11" s="38" t="s">
        <v>35</v>
      </c>
      <c r="C11" s="39"/>
      <c r="D11" s="39"/>
      <c r="E11" s="39"/>
      <c r="F11" s="39"/>
      <c r="G11" s="39"/>
      <c r="H11" s="39"/>
      <c r="I11" s="39"/>
      <c r="J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6" ht="13.2">
      <c r="A40" s="6"/>
      <c r="F40" s="2"/>
    </row>
    <row r="41" spans="1:1" ht="13.2">
      <c r="A41" s="6"/>
    </row>
    <row r="42" spans="1:1" ht="13.2">
      <c r="A42" s="6"/>
    </row>
    <row r="43" spans="1:7" ht="13.2">
      <c r="A43" s="6"/>
      <c r="C43" s="9"/>
      <c r="G43" s="9"/>
    </row>
    <row r="44" spans="1:1" ht="13.2">
      <c r="A44" s="6"/>
    </row>
    <row r="45" spans="1:1" ht="13.2">
      <c r="A45" s="6"/>
    </row>
  </sheetData>
  <mergeCells count="8">
    <mergeCell ref="B10:J10"/>
    <mergeCell ref="B11:J11"/>
    <mergeCell ref="B8:F8"/>
    <mergeCell ref="B1:J1"/>
    <mergeCell ref="B2:J2"/>
    <mergeCell ref="B3:J3"/>
    <mergeCell ref="B4:J4"/>
    <mergeCell ref="B6:J6"/>
  </mergeCells>
  <printOptions horizontalCentered="1"/>
  <pageMargins left="0.83" right="0.78" top="1.5" bottom="1" header="1" footer="0.5"/>
  <pageSetup orientation="portrait" scale="73" r:id="rId2"/>
  <headerFooter alignWithMargins="0">
    <oddHeader>&amp;RWP/II-H-5.2/6
Page &amp;P of 20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pageSetUpPr fitToPage="1"/>
  </sheetPr>
  <dimension ref="A1:F91"/>
  <sheetViews>
    <sheetView workbookViewId="0" topLeftCell="A1"/>
  </sheetViews>
  <sheetFormatPr defaultRowHeight="13.5"/>
  <cols>
    <col min="2" max="2" width="28.7142857142857" customWidth="1"/>
    <col min="3" max="3" width="19.2857142857143" customWidth="1"/>
    <col min="4" max="4" width="12.2857142857143" customWidth="1"/>
    <col min="5" max="5" width="10.5714285714286" customWidth="1"/>
    <col min="6" max="6" width="10.7142857142857" customWidth="1"/>
  </cols>
  <sheetData>
    <row r="1" spans="1:6" s="1" customFormat="1" ht="15.6">
      <c r="A1" s="18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54</v>
      </c>
    </row>
    <row r="11" spans="1:3" s="1" customFormat="1" ht="12">
      <c r="A11" s="6">
        <f>+A10+1</f>
        <v>2</v>
      </c>
      <c r="B11" s="3" t="str">
        <f>+'RES Spline Model'!B11</f>
        <v>After Corrective Procedures for Autocorrelation</v>
      </c>
      <c r="C11" s="3"/>
    </row>
    <row r="12" spans="1:3" s="1" customFormat="1" ht="12">
      <c r="A12" s="6">
        <f t="shared" si="0" ref="A12:A80">+A11+1</f>
        <v>3</v>
      </c>
      <c r="B12" s="3" t="s">
        <v>6</v>
      </c>
      <c r="C12" s="3" t="s">
        <v>78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4400.0299999999997</v>
      </c>
      <c r="D17">
        <v>79.942999999999998</v>
      </c>
      <c r="E17">
        <v>55.039000000000001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-90.670000000000002</v>
      </c>
      <c r="D18">
        <v>44.610999999999997</v>
      </c>
      <c r="E18">
        <v>-2.032</v>
      </c>
      <c r="F18" s="9">
        <v>0.0424</v>
      </c>
    </row>
    <row r="19" spans="1:6" ht="13.2">
      <c r="A19" s="6">
        <f t="shared" si="0"/>
        <v>10</v>
      </c>
      <c r="B19" t="s">
        <v>93</v>
      </c>
      <c r="C19">
        <v>460.65199999999999</v>
      </c>
      <c r="D19">
        <v>21.254999999999999</v>
      </c>
      <c r="E19">
        <v>21.672999999999998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512.40700000000004</v>
      </c>
      <c r="D20">
        <v>29.529</v>
      </c>
      <c r="E20">
        <v>17.353000000000002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553.96799999999996</v>
      </c>
      <c r="D21">
        <v>32.213999999999999</v>
      </c>
      <c r="E21">
        <v>17.196999999999999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559.88699999999994</v>
      </c>
      <c r="D22">
        <v>32.223999999999997</v>
      </c>
      <c r="E22">
        <v>17.375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518.59199999999998</v>
      </c>
      <c r="D23">
        <v>29.571000000000002</v>
      </c>
      <c r="E23">
        <v>17.536999999999999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194.07300000000001</v>
      </c>
      <c r="D24">
        <v>21.123000000000001</v>
      </c>
      <c r="E24">
        <v>9.1880000000000006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118.848</v>
      </c>
      <c r="D25">
        <v>63.142000000000003</v>
      </c>
      <c r="E25">
        <v>1.8819999999999999</v>
      </c>
      <c r="F25" s="9">
        <v>0.060100000000000001</v>
      </c>
    </row>
    <row r="26" spans="1:6" ht="13.2">
      <c r="A26" s="6">
        <f t="shared" si="0"/>
        <v>17</v>
      </c>
      <c r="B26" t="s">
        <v>100</v>
      </c>
      <c r="C26">
        <v>-171.739</v>
      </c>
      <c r="D26">
        <v>52.902000000000001</v>
      </c>
      <c r="E26">
        <v>-3.246</v>
      </c>
      <c r="F26" s="9">
        <v>0.0011999999999999999</v>
      </c>
    </row>
    <row r="27" spans="1:6" ht="13.2">
      <c r="A27" s="6">
        <f t="shared" si="0"/>
        <v>18</v>
      </c>
      <c r="B27" t="s">
        <v>121</v>
      </c>
      <c r="C27">
        <v>-113.063</v>
      </c>
      <c r="D27">
        <v>51.779000000000003</v>
      </c>
      <c r="E27">
        <v>-2.1840000000000002</v>
      </c>
      <c r="F27" s="9">
        <v>0.0292</v>
      </c>
    </row>
    <row r="28" spans="1:6" ht="13.2">
      <c r="A28" s="6">
        <f t="shared" si="0"/>
        <v>19</v>
      </c>
      <c r="B28" t="s">
        <v>101</v>
      </c>
      <c r="C28">
        <v>-391.88900000000001</v>
      </c>
      <c r="D28">
        <v>51.625999999999998</v>
      </c>
      <c r="E28">
        <v>-7.5910000000000002</v>
      </c>
      <c r="F28" s="9">
        <v>0</v>
      </c>
    </row>
    <row r="29" spans="1:6" ht="13.2">
      <c r="A29" s="6">
        <f t="shared" si="0"/>
        <v>20</v>
      </c>
      <c r="B29" t="s">
        <v>122</v>
      </c>
      <c r="C29">
        <v>-426.96699999999998</v>
      </c>
      <c r="D29">
        <v>51.792999999999999</v>
      </c>
      <c r="E29">
        <v>-8.2439999999999998</v>
      </c>
      <c r="F29" s="9">
        <v>0</v>
      </c>
    </row>
    <row r="30" spans="1:6" ht="13.2">
      <c r="A30" s="6">
        <f t="shared" si="0"/>
        <v>21</v>
      </c>
      <c r="B30" t="s">
        <v>102</v>
      </c>
      <c r="C30">
        <v>-431.93799999999999</v>
      </c>
      <c r="D30">
        <v>52.066000000000002</v>
      </c>
      <c r="E30">
        <v>-8.2959999999999994</v>
      </c>
      <c r="F30" s="9">
        <v>0</v>
      </c>
    </row>
    <row r="31" spans="1:6" ht="13.2">
      <c r="A31" s="6">
        <f t="shared" si="0"/>
        <v>22</v>
      </c>
      <c r="B31" t="s">
        <v>103</v>
      </c>
      <c r="C31">
        <v>-355.21499999999997</v>
      </c>
      <c r="D31">
        <v>61.279000000000003</v>
      </c>
      <c r="E31">
        <v>-5.7969999999999997</v>
      </c>
      <c r="F31" s="9">
        <v>0</v>
      </c>
    </row>
    <row r="32" spans="1:6" ht="13.2">
      <c r="A32" s="6">
        <f t="shared" si="0"/>
        <v>23</v>
      </c>
      <c r="B32" t="s">
        <v>104</v>
      </c>
      <c r="C32">
        <v>-202.471</v>
      </c>
      <c r="D32">
        <v>61.378999999999998</v>
      </c>
      <c r="E32">
        <v>-3.2989999999999999</v>
      </c>
      <c r="F32" s="9">
        <v>0.001</v>
      </c>
    </row>
    <row r="33" spans="1:6" ht="13.2">
      <c r="A33" s="6">
        <f t="shared" si="0"/>
        <v>24</v>
      </c>
      <c r="B33" t="s">
        <v>106</v>
      </c>
      <c r="C33">
        <v>-400.416</v>
      </c>
      <c r="D33">
        <v>72.796000000000006</v>
      </c>
      <c r="E33">
        <v>-5.5010000000000003</v>
      </c>
      <c r="F33" s="9">
        <v>0</v>
      </c>
    </row>
    <row r="34" spans="1:6" ht="13.2">
      <c r="A34" s="6">
        <f t="shared" si="0"/>
        <v>25</v>
      </c>
      <c r="B34" t="s">
        <v>107</v>
      </c>
      <c r="C34">
        <v>-592.36900000000003</v>
      </c>
      <c r="D34">
        <v>69.977000000000004</v>
      </c>
      <c r="E34">
        <v>-8.4649999999999999</v>
      </c>
      <c r="F34" s="9">
        <v>0</v>
      </c>
    </row>
    <row r="35" spans="1:6" ht="13.2">
      <c r="A35" s="6">
        <f t="shared" si="0"/>
        <v>26</v>
      </c>
      <c r="B35" t="s">
        <v>123</v>
      </c>
      <c r="C35">
        <v>-303.54000000000002</v>
      </c>
      <c r="D35">
        <v>100.119</v>
      </c>
      <c r="E35">
        <v>-3.032</v>
      </c>
      <c r="F35" s="9">
        <v>0.0025000000000000001</v>
      </c>
    </row>
    <row r="36" spans="1:6" ht="13.2">
      <c r="A36" s="6">
        <f t="shared" si="0"/>
        <v>27</v>
      </c>
      <c r="B36" t="s">
        <v>108</v>
      </c>
      <c r="C36">
        <v>-92.674000000000007</v>
      </c>
      <c r="D36">
        <v>66.567999999999998</v>
      </c>
      <c r="E36">
        <v>-1.3919999999999999</v>
      </c>
      <c r="F36" s="9">
        <v>0.16420000000000001</v>
      </c>
    </row>
    <row r="37" spans="1:6" ht="13.2">
      <c r="A37" s="6">
        <f t="shared" si="0"/>
        <v>28</v>
      </c>
      <c r="B37" t="s">
        <v>109</v>
      </c>
      <c r="C37">
        <v>-495.39999999999998</v>
      </c>
      <c r="D37">
        <v>76.314999999999998</v>
      </c>
      <c r="E37">
        <v>-6.492</v>
      </c>
      <c r="F37" s="9">
        <v>0</v>
      </c>
    </row>
    <row r="38" spans="1:6" ht="13.2">
      <c r="A38" s="6">
        <f t="shared" si="0"/>
        <v>29</v>
      </c>
      <c r="B38" t="s">
        <v>39</v>
      </c>
      <c r="C38">
        <v>-165.06899999999999</v>
      </c>
      <c r="D38">
        <v>53.347999999999999</v>
      </c>
      <c r="E38">
        <v>-3.0939999999999999</v>
      </c>
      <c r="F38" s="9">
        <v>0.002</v>
      </c>
    </row>
    <row r="39" spans="1:6" ht="13.2">
      <c r="A39" s="6">
        <f t="shared" si="0"/>
        <v>30</v>
      </c>
      <c r="B39" t="s">
        <v>40</v>
      </c>
      <c r="C39">
        <v>-365.54000000000002</v>
      </c>
      <c r="D39">
        <v>64.387</v>
      </c>
      <c r="E39">
        <v>-5.6769999999999996</v>
      </c>
      <c r="F39" s="9">
        <v>0</v>
      </c>
    </row>
    <row r="40" spans="1:6" ht="13.2">
      <c r="A40" s="6">
        <f t="shared" si="0"/>
        <v>31</v>
      </c>
      <c r="B40" t="s">
        <v>41</v>
      </c>
      <c r="C40">
        <v>-358.13999999999999</v>
      </c>
      <c r="D40">
        <v>64.477000000000004</v>
      </c>
      <c r="E40">
        <v>-5.5549999999999997</v>
      </c>
      <c r="F40" s="9">
        <v>0</v>
      </c>
    </row>
    <row r="41" spans="1:6" ht="13.2">
      <c r="A41" s="6">
        <f t="shared" si="0"/>
        <v>32</v>
      </c>
      <c r="B41" t="s">
        <v>42</v>
      </c>
      <c r="C41">
        <v>-111.84</v>
      </c>
      <c r="D41">
        <v>52.783000000000001</v>
      </c>
      <c r="E41">
        <v>-2.1190000000000002</v>
      </c>
      <c r="F41" s="9">
        <v>0.034299999999999997</v>
      </c>
    </row>
    <row r="42" spans="1:6" ht="13.2">
      <c r="A42" s="6">
        <f t="shared" si="0"/>
        <v>33</v>
      </c>
      <c r="B42" t="s">
        <v>45</v>
      </c>
      <c r="C42">
        <v>-139.041</v>
      </c>
      <c r="D42">
        <v>54.640999999999998</v>
      </c>
      <c r="E42">
        <v>-2.5449999999999999</v>
      </c>
      <c r="F42" s="9">
        <v>0.011100000000000001</v>
      </c>
    </row>
    <row r="43" spans="1:6" ht="13.2">
      <c r="A43" s="6">
        <f t="shared" si="0"/>
        <v>34</v>
      </c>
      <c r="B43" t="s">
        <v>52</v>
      </c>
      <c r="C43">
        <v>-109.235</v>
      </c>
      <c r="D43">
        <v>67.921000000000006</v>
      </c>
      <c r="E43">
        <v>-1.6080000000000001</v>
      </c>
      <c r="F43" s="9">
        <v>0.1081</v>
      </c>
    </row>
    <row r="44" spans="1:6" ht="13.2">
      <c r="A44" s="6">
        <f t="shared" si="0"/>
        <v>35</v>
      </c>
      <c r="B44" t="s">
        <v>46</v>
      </c>
      <c r="C44">
        <v>-195.59899999999999</v>
      </c>
      <c r="D44">
        <v>73.844999999999999</v>
      </c>
      <c r="E44">
        <v>-2.649</v>
      </c>
      <c r="F44" s="9">
        <v>0.0082000000000000007</v>
      </c>
    </row>
    <row r="45" spans="1:6" ht="13.2">
      <c r="A45" s="6">
        <f t="shared" si="0"/>
        <v>36</v>
      </c>
      <c r="B45" t="s">
        <v>47</v>
      </c>
      <c r="C45">
        <v>-129.68100000000001</v>
      </c>
      <c r="D45">
        <v>72.212000000000003</v>
      </c>
      <c r="E45">
        <v>-1.796</v>
      </c>
      <c r="F45" s="9">
        <v>0.072800000000000004</v>
      </c>
    </row>
    <row r="46" spans="1:6" ht="13.2">
      <c r="A46" s="6">
        <f t="shared" si="0"/>
        <v>37</v>
      </c>
      <c r="B46" t="s">
        <v>136</v>
      </c>
      <c r="C46">
        <v>17.353000000000002</v>
      </c>
      <c r="D46">
        <v>3.6789999999999998</v>
      </c>
      <c r="E46">
        <v>4.7169999999999996</v>
      </c>
      <c r="F46" s="9">
        <v>0</v>
      </c>
    </row>
    <row r="47" spans="1:6" ht="13.2">
      <c r="A47" s="6">
        <f t="shared" si="0"/>
        <v>38</v>
      </c>
      <c r="B47" t="s">
        <v>125</v>
      </c>
      <c r="C47">
        <v>13.441000000000001</v>
      </c>
      <c r="D47">
        <v>4.1699999999999999</v>
      </c>
      <c r="E47">
        <v>3.2229999999999999</v>
      </c>
      <c r="F47" s="9">
        <v>0.0012999999999999999</v>
      </c>
    </row>
    <row r="48" spans="1:6" ht="13.2">
      <c r="A48" s="6">
        <f t="shared" si="0"/>
        <v>39</v>
      </c>
      <c r="B48" t="s">
        <v>126</v>
      </c>
      <c r="C48">
        <v>18.439</v>
      </c>
      <c r="D48">
        <v>2.9249999999999998</v>
      </c>
      <c r="E48">
        <v>6.3040000000000003</v>
      </c>
      <c r="F48" s="9">
        <v>0</v>
      </c>
    </row>
    <row r="49" spans="1:6" ht="13.2">
      <c r="A49" s="6">
        <f t="shared" si="0"/>
        <v>40</v>
      </c>
      <c r="B49" t="s">
        <v>127</v>
      </c>
      <c r="C49">
        <v>15.156000000000001</v>
      </c>
      <c r="D49" s="30">
        <v>3.556</v>
      </c>
      <c r="E49">
        <v>4.2619999999999996</v>
      </c>
      <c r="F49" s="9">
        <v>0</v>
      </c>
    </row>
    <row r="50" spans="1:6" ht="13.2">
      <c r="A50" s="6">
        <f t="shared" si="0"/>
        <v>41</v>
      </c>
      <c r="B50" t="s">
        <v>128</v>
      </c>
      <c r="C50">
        <v>22.431999999999999</v>
      </c>
      <c r="D50">
        <v>6.718</v>
      </c>
      <c r="E50">
        <v>3.339</v>
      </c>
      <c r="F50" s="9">
        <v>0.00089999999999999998</v>
      </c>
    </row>
    <row r="51" spans="1:6" ht="13.2">
      <c r="A51" s="6">
        <f t="shared" si="0"/>
        <v>42</v>
      </c>
      <c r="B51" t="s">
        <v>129</v>
      </c>
      <c r="C51">
        <v>25.370999999999999</v>
      </c>
      <c r="D51">
        <v>5.6529999999999996</v>
      </c>
      <c r="E51">
        <v>4.4880000000000004</v>
      </c>
      <c r="F51" s="9">
        <v>0</v>
      </c>
    </row>
    <row r="52" spans="1:6" ht="13.2">
      <c r="A52" s="6">
        <f t="shared" si="0"/>
        <v>43</v>
      </c>
      <c r="B52" t="s">
        <v>130</v>
      </c>
      <c r="C52" s="22">
        <v>20.015000000000001</v>
      </c>
      <c r="D52" s="22">
        <v>7.0709999999999997</v>
      </c>
      <c r="E52">
        <v>2.831</v>
      </c>
      <c r="F52" s="9">
        <v>0.0047000000000000002</v>
      </c>
    </row>
    <row r="53" spans="1:6" ht="13.2">
      <c r="A53" s="6">
        <f t="shared" si="0"/>
        <v>44</v>
      </c>
      <c r="B53" t="s">
        <v>31</v>
      </c>
      <c r="C53" s="22">
        <v>0.80000000000000004</v>
      </c>
      <c r="D53" s="22">
        <v>0.031</v>
      </c>
      <c r="E53">
        <v>25.861000000000001</v>
      </c>
      <c r="F53" s="9">
        <v>0</v>
      </c>
    </row>
    <row r="54" spans="1:6" ht="13.2">
      <c r="A54" s="6">
        <f t="shared" si="0"/>
        <v>45</v>
      </c>
      <c r="B54" t="s">
        <v>32</v>
      </c>
      <c r="C54" s="22">
        <v>-0.13200000000000001</v>
      </c>
      <c r="D54" s="22">
        <v>0.040000000000000001</v>
      </c>
      <c r="E54">
        <v>-3.3170000000000002</v>
      </c>
      <c r="F54" s="9">
        <v>0.001</v>
      </c>
    </row>
    <row r="55" spans="1:6" ht="13.2">
      <c r="A55" s="6">
        <f t="shared" si="0"/>
        <v>46</v>
      </c>
      <c r="B55" t="s">
        <v>33</v>
      </c>
      <c r="C55" s="22">
        <v>0.099000000000000005</v>
      </c>
      <c r="D55" s="22">
        <v>0.040000000000000001</v>
      </c>
      <c r="E55">
        <v>2.4860000000000002</v>
      </c>
      <c r="F55" s="9">
        <v>0.013100000000000001</v>
      </c>
    </row>
    <row r="56" spans="1:6" ht="13.2">
      <c r="A56" s="6">
        <f t="shared" si="0"/>
        <v>47</v>
      </c>
      <c r="B56" t="s">
        <v>34</v>
      </c>
      <c r="C56" s="22">
        <v>0.031</v>
      </c>
      <c r="D56" s="22">
        <v>0.040000000000000001</v>
      </c>
      <c r="E56">
        <v>0.77600000000000002</v>
      </c>
      <c r="F56" s="9">
        <v>0.43780000000000002</v>
      </c>
    </row>
    <row r="57" spans="1:6" ht="13.2">
      <c r="A57" s="6">
        <f t="shared" si="0"/>
        <v>48</v>
      </c>
      <c r="B57" t="s">
        <v>36</v>
      </c>
      <c r="C57" s="22">
        <v>-0.017999999999999999</v>
      </c>
      <c r="D57" s="22">
        <v>0.040000000000000001</v>
      </c>
      <c r="E57">
        <v>-0.442</v>
      </c>
      <c r="F57" s="9">
        <v>0.6583</v>
      </c>
    </row>
    <row r="58" spans="1:6" ht="13.2">
      <c r="A58" s="6">
        <f t="shared" si="0"/>
        <v>49</v>
      </c>
      <c r="B58" t="s">
        <v>49</v>
      </c>
      <c r="C58" s="22">
        <v>-0.027</v>
      </c>
      <c r="D58" s="22">
        <v>0.040000000000000001</v>
      </c>
      <c r="E58">
        <v>-0.67500000000000004</v>
      </c>
      <c r="F58" s="9">
        <v>0.49969999999999998</v>
      </c>
    </row>
    <row r="59" spans="1:6" ht="13.2">
      <c r="A59" s="6">
        <f t="shared" si="0"/>
        <v>50</v>
      </c>
      <c r="B59" t="s">
        <v>50</v>
      </c>
      <c r="C59" s="22">
        <v>0.20599999999999999</v>
      </c>
      <c r="D59" s="22">
        <v>0.040000000000000001</v>
      </c>
      <c r="E59">
        <v>5.2130000000000001</v>
      </c>
      <c r="F59" s="9">
        <v>0</v>
      </c>
    </row>
    <row r="60" spans="1:6" ht="13.2">
      <c r="A60" s="6">
        <f t="shared" si="0"/>
        <v>51</v>
      </c>
      <c r="B60" t="s">
        <v>66</v>
      </c>
      <c r="C60" s="22">
        <v>-0.107</v>
      </c>
      <c r="D60" s="22">
        <v>0.040000000000000001</v>
      </c>
      <c r="E60">
        <v>-2.6920000000000002</v>
      </c>
      <c r="F60" s="9">
        <v>0.0071999999999999998</v>
      </c>
    </row>
    <row r="61" spans="1:6" ht="13.2">
      <c r="A61" s="6">
        <f t="shared" si="0"/>
        <v>52</v>
      </c>
      <c r="B61" t="s">
        <v>67</v>
      </c>
      <c r="C61" s="22">
        <v>0.035000000000000003</v>
      </c>
      <c r="D61" s="22">
        <v>0.040000000000000001</v>
      </c>
      <c r="E61">
        <v>0.89100000000000001</v>
      </c>
      <c r="F61" s="14">
        <v>0.37319999999999998</v>
      </c>
    </row>
    <row r="62" spans="1:6" ht="13.2">
      <c r="A62" s="6">
        <f t="shared" si="0"/>
        <v>53</v>
      </c>
      <c r="B62" s="28" t="s">
        <v>68</v>
      </c>
      <c r="C62" s="22">
        <v>0.012</v>
      </c>
      <c r="D62" s="22">
        <v>0.039</v>
      </c>
      <c r="E62">
        <v>0.29299999999999998</v>
      </c>
      <c r="F62" s="14">
        <v>0.76990000000000003</v>
      </c>
    </row>
    <row r="63" spans="1:6" ht="13.2">
      <c r="A63" s="6">
        <f t="shared" si="0"/>
        <v>54</v>
      </c>
      <c r="B63" t="s">
        <v>69</v>
      </c>
      <c r="C63" s="22">
        <v>-0.035000000000000003</v>
      </c>
      <c r="D63" s="22">
        <v>0.039</v>
      </c>
      <c r="E63">
        <v>-0.89200000000000002</v>
      </c>
      <c r="F63" s="14">
        <v>0.37269999999999998</v>
      </c>
    </row>
    <row r="64" spans="1:6" ht="13.2">
      <c r="A64" s="6">
        <f t="shared" si="0"/>
        <v>55</v>
      </c>
      <c r="B64" t="s">
        <v>70</v>
      </c>
      <c r="C64" s="22">
        <v>-0.012</v>
      </c>
      <c r="D64" s="22">
        <v>0.039</v>
      </c>
      <c r="E64">
        <v>-0.30099999999999999</v>
      </c>
      <c r="F64" s="14">
        <v>0.76380000000000003</v>
      </c>
    </row>
    <row r="65" spans="1:6" ht="13.2">
      <c r="A65" s="6">
        <f t="shared" si="0"/>
        <v>56</v>
      </c>
      <c r="B65" t="s">
        <v>71</v>
      </c>
      <c r="C65" s="22">
        <v>0.021000000000000001</v>
      </c>
      <c r="D65" s="22">
        <v>0.040000000000000001</v>
      </c>
      <c r="E65">
        <v>0.53000000000000003</v>
      </c>
      <c r="F65" s="14">
        <v>0.59650000000000003</v>
      </c>
    </row>
    <row r="66" spans="1:6" ht="13.2">
      <c r="A66" s="6">
        <f t="shared" si="0"/>
        <v>57</v>
      </c>
      <c r="B66" t="s">
        <v>72</v>
      </c>
      <c r="C66" s="22">
        <v>0.155</v>
      </c>
      <c r="D66" s="22">
        <v>0.040000000000000001</v>
      </c>
      <c r="E66">
        <v>3.9180000000000001</v>
      </c>
      <c r="F66" s="9">
        <v>0.00010000000000000001</v>
      </c>
    </row>
    <row r="67" spans="1:6" ht="13.2">
      <c r="A67" s="6">
        <f t="shared" si="0"/>
        <v>58</v>
      </c>
      <c r="B67" t="s">
        <v>73</v>
      </c>
      <c r="C67" s="22">
        <v>-0.11</v>
      </c>
      <c r="D67" s="22">
        <v>0.040000000000000001</v>
      </c>
      <c r="E67">
        <v>-2.7730000000000001</v>
      </c>
      <c r="F67" s="9">
        <v>0.0057000000000000002</v>
      </c>
    </row>
    <row r="68" spans="1:6" ht="13.2">
      <c r="A68" s="6">
        <f t="shared" si="0"/>
        <v>59</v>
      </c>
      <c r="B68" t="s">
        <v>74</v>
      </c>
      <c r="C68" s="22">
        <v>0.002</v>
      </c>
      <c r="D68" s="22">
        <v>0.040000000000000001</v>
      </c>
      <c r="E68">
        <v>0.063</v>
      </c>
      <c r="F68" s="9">
        <v>0.94979999999999998</v>
      </c>
    </row>
    <row r="69" spans="1:6" ht="13.2">
      <c r="A69" s="6">
        <f t="shared" si="0"/>
        <v>60</v>
      </c>
      <c r="B69" t="s">
        <v>75</v>
      </c>
      <c r="C69" s="22">
        <v>-0.064000000000000001</v>
      </c>
      <c r="D69" s="22">
        <v>0.039</v>
      </c>
      <c r="E69">
        <v>-1.6319999999999999</v>
      </c>
      <c r="F69" s="9">
        <v>0.10299999999999999</v>
      </c>
    </row>
    <row r="70" spans="1:6" ht="13.2">
      <c r="A70" s="6">
        <f t="shared" si="0"/>
        <v>61</v>
      </c>
      <c r="B70" t="s">
        <v>76</v>
      </c>
      <c r="C70" s="22">
        <v>0.035999999999999997</v>
      </c>
      <c r="D70" s="22">
        <v>0.040000000000000001</v>
      </c>
      <c r="E70">
        <v>0.89500000000000002</v>
      </c>
      <c r="F70" s="9">
        <v>0.37119999999999997</v>
      </c>
    </row>
    <row r="71" spans="1:6" ht="13.2">
      <c r="A71" s="6">
        <f t="shared" si="0"/>
        <v>62</v>
      </c>
      <c r="B71" t="s">
        <v>77</v>
      </c>
      <c r="C71" s="22">
        <v>0.048000000000000001</v>
      </c>
      <c r="D71" s="22">
        <v>0.040000000000000001</v>
      </c>
      <c r="E71">
        <v>1.2050000000000001</v>
      </c>
      <c r="F71" s="9">
        <v>0.22839999999999999</v>
      </c>
    </row>
    <row r="72" spans="1:6" ht="13.2">
      <c r="A72" s="6">
        <f t="shared" si="0"/>
        <v>63</v>
      </c>
      <c r="B72" t="s">
        <v>131</v>
      </c>
      <c r="C72" s="22">
        <v>0.056000000000000001</v>
      </c>
      <c r="D72" s="22">
        <v>0.040000000000000001</v>
      </c>
      <c r="E72">
        <v>1.399</v>
      </c>
      <c r="F72" s="9">
        <v>0.16220000000000001</v>
      </c>
    </row>
    <row r="73" spans="1:6" ht="13.2">
      <c r="A73" s="6">
        <f t="shared" si="0"/>
        <v>64</v>
      </c>
      <c r="B73" t="s">
        <v>132</v>
      </c>
      <c r="C73" s="22">
        <v>0.124</v>
      </c>
      <c r="D73" s="22">
        <v>0.039</v>
      </c>
      <c r="E73">
        <v>3.1579999999999999</v>
      </c>
      <c r="F73" s="9">
        <v>0.0016999999999999999</v>
      </c>
    </row>
    <row r="74" spans="1:6" ht="13.2">
      <c r="A74" s="6">
        <f t="shared" si="0"/>
        <v>65</v>
      </c>
      <c r="B74" t="s">
        <v>133</v>
      </c>
      <c r="C74" s="22">
        <v>-0.17699999999999999</v>
      </c>
      <c r="D74" s="22">
        <v>0.029999999999999999</v>
      </c>
      <c r="E74">
        <v>-5.859</v>
      </c>
      <c r="F74" s="9">
        <v>0</v>
      </c>
    </row>
    <row r="75" spans="1:6" ht="13.2">
      <c r="A75" s="6">
        <f t="shared" si="0"/>
        <v>66</v>
      </c>
      <c r="C75" s="22"/>
      <c r="D75" s="22"/>
      <c r="F75" s="9"/>
    </row>
    <row r="76" spans="1:2" ht="13.2">
      <c r="A76" s="6">
        <f t="shared" si="0"/>
        <v>67</v>
      </c>
      <c r="B76" s="5" t="s">
        <v>120</v>
      </c>
    </row>
    <row r="77" spans="1:3" ht="13.2">
      <c r="A77" s="6">
        <f t="shared" si="0"/>
        <v>68</v>
      </c>
      <c r="B77" t="s">
        <v>30</v>
      </c>
      <c r="C77">
        <v>1074</v>
      </c>
    </row>
    <row r="78" spans="1:6" ht="13.2">
      <c r="A78" s="6">
        <f t="shared" si="0"/>
        <v>69</v>
      </c>
      <c r="B78" t="s">
        <v>10</v>
      </c>
      <c r="C78">
        <v>1016</v>
      </c>
      <c r="F78" s="9"/>
    </row>
    <row r="79" spans="1:6" ht="13.2">
      <c r="A79" s="6">
        <f t="shared" si="0"/>
        <v>70</v>
      </c>
      <c r="B79" t="s">
        <v>12</v>
      </c>
      <c r="C79" s="22">
        <v>0.96799999999999997</v>
      </c>
      <c r="F79" s="9"/>
    </row>
    <row r="80" spans="1:6" ht="13.2">
      <c r="A80" s="6">
        <f t="shared" si="0"/>
        <v>71</v>
      </c>
      <c r="B80" t="s">
        <v>13</v>
      </c>
      <c r="C80" s="24">
        <v>0.96599999999999997</v>
      </c>
      <c r="F80" s="9"/>
    </row>
    <row r="81" spans="1:6" ht="13.2">
      <c r="A81" s="6">
        <f t="shared" si="1" ref="A81:A91">+A80+1</f>
        <v>72</v>
      </c>
      <c r="B81" t="s">
        <v>15</v>
      </c>
      <c r="C81" s="16">
        <v>540.32299999999998</v>
      </c>
      <c r="F81" s="9"/>
    </row>
    <row r="82" spans="1:6" ht="13.2">
      <c r="A82" s="6">
        <f t="shared" si="1"/>
        <v>73</v>
      </c>
      <c r="B82" t="s">
        <v>16</v>
      </c>
      <c r="C82" s="19">
        <v>0</v>
      </c>
      <c r="F82" s="9"/>
    </row>
    <row r="83" spans="1:3" ht="13.2">
      <c r="A83" s="6">
        <f t="shared" si="1"/>
        <v>74</v>
      </c>
      <c r="B83" t="s">
        <v>17</v>
      </c>
      <c r="C83" s="21">
        <v>450058979.69999999</v>
      </c>
    </row>
    <row r="84" spans="1:6" ht="13.2">
      <c r="A84" s="6">
        <f t="shared" si="1"/>
        <v>75</v>
      </c>
      <c r="B84" t="s">
        <v>18</v>
      </c>
      <c r="C84" s="21">
        <v>14846862</v>
      </c>
      <c r="F84" s="9"/>
    </row>
    <row r="85" spans="1:6" ht="13.2">
      <c r="A85" s="6">
        <f t="shared" si="1"/>
        <v>76</v>
      </c>
      <c r="B85" t="s">
        <v>19</v>
      </c>
      <c r="C85" s="21">
        <v>14613.049999999999</v>
      </c>
      <c r="F85" s="9"/>
    </row>
    <row r="86" spans="1:6" ht="13.2">
      <c r="A86" s="6">
        <f t="shared" si="1"/>
        <v>77</v>
      </c>
      <c r="B86" t="s">
        <v>20</v>
      </c>
      <c r="C86">
        <v>120.88</v>
      </c>
      <c r="F86" s="9"/>
    </row>
    <row r="87" spans="1:3" ht="13.2">
      <c r="A87" s="6">
        <f t="shared" si="1"/>
        <v>78</v>
      </c>
      <c r="B87" t="s">
        <v>9</v>
      </c>
      <c r="C87">
        <v>89.790000000000006</v>
      </c>
    </row>
    <row r="88" spans="1:3" ht="13.2">
      <c r="A88" s="6">
        <f t="shared" si="1"/>
        <v>79</v>
      </c>
      <c r="B88" t="s">
        <v>11</v>
      </c>
      <c r="C88" s="9">
        <v>0.017899999999999999</v>
      </c>
    </row>
    <row r="89" spans="1:3" ht="13.2">
      <c r="A89" s="6">
        <f t="shared" si="1"/>
        <v>80</v>
      </c>
      <c r="B89" t="s">
        <v>14</v>
      </c>
      <c r="C89">
        <v>1.994</v>
      </c>
    </row>
    <row r="90" spans="1:3" ht="13.2">
      <c r="A90" s="6">
        <f t="shared" si="1"/>
        <v>81</v>
      </c>
      <c r="B90" t="s">
        <v>21</v>
      </c>
      <c r="C90">
        <v>10.970000000000001</v>
      </c>
    </row>
    <row r="91" spans="1:3" ht="13.2">
      <c r="A91" s="6">
        <f t="shared" si="1"/>
        <v>82</v>
      </c>
      <c r="B91" t="s">
        <v>22</v>
      </c>
      <c r="C91">
        <v>0.98919999999999997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54" r:id="rId1"/>
  <headerFooter alignWithMargins="0">
    <oddHeader>&amp;RWP/II-H-5.2/6
Page &amp;P of 20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7">
    <pageSetUpPr fitToPage="1"/>
  </sheetPr>
  <dimension ref="A1:J45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  <col min="8" max="8" width="13.4285714285714" customWidth="1"/>
  </cols>
  <sheetData>
    <row r="1" spans="1:10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</row>
    <row r="2" spans="1:10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</row>
    <row r="3" spans="1:10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</row>
    <row r="4" spans="1:10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</row>
    <row r="5" spans="1:1" s="1" customFormat="1" ht="11.4">
      <c r="A5" s="6"/>
    </row>
    <row r="6" spans="1:10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0" s="1" customFormat="1" ht="13.2">
      <c r="A10" s="6">
        <v>1</v>
      </c>
      <c r="B10" s="38" t="s">
        <v>55</v>
      </c>
      <c r="C10" s="39"/>
      <c r="D10" s="39"/>
      <c r="E10" s="39"/>
      <c r="F10" s="39"/>
      <c r="G10" s="39"/>
      <c r="H10" s="39"/>
      <c r="I10" s="39"/>
      <c r="J10" s="39"/>
    </row>
    <row r="11" spans="1:10" s="1" customFormat="1" ht="13.2">
      <c r="A11" s="6">
        <f t="shared" si="0" ref="A11:A37">+A10+1</f>
        <v>2</v>
      </c>
      <c r="B11" s="38" t="str">
        <f>+'RES Spline Graph'!B11:H11</f>
        <v>After Corrective Procedures for Autocorrelation</v>
      </c>
      <c r="C11" s="39"/>
      <c r="D11" s="39"/>
      <c r="E11" s="39"/>
      <c r="F11" s="39"/>
      <c r="G11" s="39"/>
      <c r="H11" s="39"/>
      <c r="I11" s="39"/>
      <c r="J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6" ht="13.2">
      <c r="A40" s="6"/>
      <c r="F40" s="2"/>
    </row>
    <row r="41" spans="1:1" ht="13.2">
      <c r="A41" s="6"/>
    </row>
    <row r="42" spans="1:1" ht="13.2">
      <c r="A42" s="6"/>
    </row>
    <row r="43" spans="1:7" ht="13.2">
      <c r="A43" s="6"/>
      <c r="C43" s="9"/>
      <c r="G43" s="9"/>
    </row>
    <row r="44" spans="1:1" ht="13.2">
      <c r="A44" s="6"/>
    </row>
    <row r="45" spans="1:1" ht="13.2">
      <c r="A45" s="6"/>
    </row>
  </sheetData>
  <mergeCells count="8">
    <mergeCell ref="B10:J10"/>
    <mergeCell ref="B11:J11"/>
    <mergeCell ref="B8:F8"/>
    <mergeCell ref="B1:J1"/>
    <mergeCell ref="B2:J2"/>
    <mergeCell ref="B3:J3"/>
    <mergeCell ref="B4:J4"/>
    <mergeCell ref="B6:J6"/>
  </mergeCells>
  <printOptions horizontalCentered="1"/>
  <pageMargins left="0.83" right="0.78" top="1.5" bottom="1" header="1" footer="0.5"/>
  <pageSetup orientation="portrait" scale="76" r:id="rId2"/>
  <headerFooter alignWithMargins="0">
    <oddHeader>&amp;RWP/II-H-5.2/6
Page &amp;P of 20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">
    <pageSetUpPr fitToPage="1"/>
  </sheetPr>
  <dimension ref="A1:F79"/>
  <sheetViews>
    <sheetView workbookViewId="0" topLeftCell="A32"/>
  </sheetViews>
  <sheetFormatPr defaultRowHeight="13.5"/>
  <cols>
    <col min="2" max="2" width="24.4285714285714" customWidth="1"/>
    <col min="3" max="3" width="18" customWidth="1"/>
    <col min="4" max="4" width="10.2857142857143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56</v>
      </c>
    </row>
    <row r="11" spans="1:3" s="1" customFormat="1" ht="12">
      <c r="A11" s="6">
        <f>+A10+1</f>
        <v>2</v>
      </c>
      <c r="B11" s="3" t="str">
        <f>+'RES Spline Model'!B11</f>
        <v>After Corrective Procedures for Autocorrelation</v>
      </c>
      <c r="C11" s="3"/>
    </row>
    <row r="12" spans="1:3" s="1" customFormat="1" ht="12">
      <c r="A12" s="6">
        <f t="shared" si="0" ref="A12:A75">+A11+1</f>
        <v>3</v>
      </c>
      <c r="B12" s="3" t="s">
        <v>6</v>
      </c>
      <c r="C12" s="3" t="s">
        <v>82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107015.546</v>
      </c>
      <c r="D17">
        <v>7293.8710000000001</v>
      </c>
      <c r="E17">
        <v>14.672000000000001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-1871.5150000000001</v>
      </c>
      <c r="D18">
        <v>1094.8910000000001</v>
      </c>
      <c r="E18">
        <v>-1.7090000000000001</v>
      </c>
      <c r="F18" s="9">
        <v>0.0877</v>
      </c>
    </row>
    <row r="19" spans="1:6" ht="13.2">
      <c r="A19" s="6">
        <f t="shared" si="0"/>
        <v>10</v>
      </c>
      <c r="B19" t="s">
        <v>93</v>
      </c>
      <c r="C19">
        <v>20859.366999999998</v>
      </c>
      <c r="D19">
        <v>297.762</v>
      </c>
      <c r="E19">
        <v>70.054000000000002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22225.522000000001</v>
      </c>
      <c r="D20">
        <v>398.71699999999998</v>
      </c>
      <c r="E20">
        <v>55.743000000000002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23029.762999999999</v>
      </c>
      <c r="D21">
        <v>414.79700000000003</v>
      </c>
      <c r="E21">
        <v>55.520000000000003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22817.795999999998</v>
      </c>
      <c r="D22">
        <v>414.79599999999999</v>
      </c>
      <c r="E22">
        <v>55.009999999999998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20521.406999999999</v>
      </c>
      <c r="D23">
        <v>400.10300000000001</v>
      </c>
      <c r="E23">
        <v>51.289999999999999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5694.6210000000001</v>
      </c>
      <c r="D24">
        <v>291.94600000000003</v>
      </c>
      <c r="E24">
        <v>19.506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-2403.636</v>
      </c>
      <c r="D25">
        <v>1309.6120000000001</v>
      </c>
      <c r="E25">
        <v>-1.835</v>
      </c>
      <c r="F25" s="9">
        <v>0.066699999999999995</v>
      </c>
    </row>
    <row r="26" spans="1:6" ht="13.2">
      <c r="A26" s="6">
        <f t="shared" si="0"/>
        <v>17</v>
      </c>
      <c r="B26" t="s">
        <v>100</v>
      </c>
      <c r="C26">
        <v>-7309.616</v>
      </c>
      <c r="D26">
        <v>1297.5989999999999</v>
      </c>
      <c r="E26">
        <v>-5.633</v>
      </c>
      <c r="F26" s="9">
        <v>0</v>
      </c>
    </row>
    <row r="27" spans="1:6" ht="13.2">
      <c r="A27" s="6">
        <f t="shared" si="0"/>
        <v>18</v>
      </c>
      <c r="B27" t="s">
        <v>121</v>
      </c>
      <c r="C27">
        <v>-6366.0879999999997</v>
      </c>
      <c r="D27">
        <v>1290.057</v>
      </c>
      <c r="E27">
        <v>-4.9349999999999996</v>
      </c>
      <c r="F27" s="9">
        <v>0</v>
      </c>
    </row>
    <row r="28" spans="1:6" ht="13.2">
      <c r="A28" s="6">
        <f t="shared" si="0"/>
        <v>19</v>
      </c>
      <c r="B28" t="s">
        <v>101</v>
      </c>
      <c r="C28">
        <v>-18357.560000000001</v>
      </c>
      <c r="D28">
        <v>1281.845</v>
      </c>
      <c r="E28">
        <v>-14.321</v>
      </c>
      <c r="F28" s="9">
        <v>0</v>
      </c>
    </row>
    <row r="29" spans="1:6" ht="13.2">
      <c r="A29" s="6">
        <f t="shared" si="0"/>
        <v>20</v>
      </c>
      <c r="B29" t="s">
        <v>122</v>
      </c>
      <c r="C29">
        <v>-16307.608</v>
      </c>
      <c r="D29">
        <v>1269.0519999999999</v>
      </c>
      <c r="E29">
        <v>-12.85</v>
      </c>
      <c r="F29" s="9">
        <v>0</v>
      </c>
    </row>
    <row r="30" spans="1:6" ht="13.2">
      <c r="A30" s="6">
        <f t="shared" si="0"/>
        <v>21</v>
      </c>
      <c r="B30" t="s">
        <v>102</v>
      </c>
      <c r="C30">
        <v>-20749.150000000001</v>
      </c>
      <c r="D30">
        <v>1281.5</v>
      </c>
      <c r="E30">
        <v>-16.190999999999999</v>
      </c>
      <c r="F30" s="9">
        <v>0</v>
      </c>
    </row>
    <row r="31" spans="1:6" ht="13.2">
      <c r="A31" s="6">
        <f t="shared" si="0"/>
        <v>22</v>
      </c>
      <c r="B31" t="s">
        <v>103</v>
      </c>
      <c r="C31">
        <v>-20051.080999999998</v>
      </c>
      <c r="D31">
        <v>1453.7539999999999</v>
      </c>
      <c r="E31">
        <v>-13.792999999999999</v>
      </c>
      <c r="F31" s="9">
        <v>0</v>
      </c>
    </row>
    <row r="32" spans="1:6" ht="13.2">
      <c r="A32" s="6">
        <f t="shared" si="0"/>
        <v>23</v>
      </c>
      <c r="B32" t="s">
        <v>104</v>
      </c>
      <c r="C32">
        <v>-11216.618</v>
      </c>
      <c r="D32">
        <v>1456.2439999999999</v>
      </c>
      <c r="E32">
        <v>-7.702</v>
      </c>
      <c r="F32" s="9">
        <v>0</v>
      </c>
    </row>
    <row r="33" spans="1:6" ht="13.2">
      <c r="A33" s="6">
        <f t="shared" si="0"/>
        <v>24</v>
      </c>
      <c r="B33" t="s">
        <v>106</v>
      </c>
      <c r="C33">
        <v>-17190.960999999999</v>
      </c>
      <c r="D33">
        <v>2087.797</v>
      </c>
      <c r="E33">
        <v>-8.234</v>
      </c>
      <c r="F33" s="9">
        <v>0</v>
      </c>
    </row>
    <row r="34" spans="1:6" ht="13.2">
      <c r="A34" s="6">
        <f t="shared" si="0"/>
        <v>25</v>
      </c>
      <c r="B34" t="s">
        <v>107</v>
      </c>
      <c r="C34">
        <v>-27299.715</v>
      </c>
      <c r="D34">
        <v>1755.4860000000001</v>
      </c>
      <c r="E34">
        <v>-15.551</v>
      </c>
      <c r="F34" s="9">
        <v>0</v>
      </c>
    </row>
    <row r="35" spans="1:6" ht="13.2">
      <c r="A35" s="6">
        <f t="shared" si="0"/>
        <v>26</v>
      </c>
      <c r="B35" t="s">
        <v>123</v>
      </c>
      <c r="C35">
        <v>-12781.727999999999</v>
      </c>
      <c r="D35">
        <v>2371.2240000000002</v>
      </c>
      <c r="E35">
        <v>-5.3899999999999997</v>
      </c>
      <c r="F35" s="9">
        <v>0</v>
      </c>
    </row>
    <row r="36" spans="1:6" ht="13.2">
      <c r="A36" s="6">
        <f t="shared" si="0"/>
        <v>27</v>
      </c>
      <c r="B36" t="s">
        <v>108</v>
      </c>
      <c r="C36">
        <v>-10142.025</v>
      </c>
      <c r="D36">
        <v>1579.634</v>
      </c>
      <c r="E36">
        <v>-6.4199999999999999</v>
      </c>
      <c r="F36" s="9">
        <v>0</v>
      </c>
    </row>
    <row r="37" spans="1:6" ht="13.2">
      <c r="A37" s="6">
        <f t="shared" si="0"/>
        <v>28</v>
      </c>
      <c r="B37" t="s">
        <v>109</v>
      </c>
      <c r="C37">
        <v>-24367.364000000001</v>
      </c>
      <c r="D37">
        <v>1832.989</v>
      </c>
      <c r="E37">
        <v>-13.294000000000001</v>
      </c>
      <c r="F37" s="9">
        <v>0</v>
      </c>
    </row>
    <row r="38" spans="1:6" ht="13.2">
      <c r="A38" s="6">
        <f t="shared" si="0"/>
        <v>29</v>
      </c>
      <c r="B38" t="s">
        <v>110</v>
      </c>
      <c r="C38">
        <v>224.362</v>
      </c>
      <c r="D38">
        <v>73.078999999999994</v>
      </c>
      <c r="E38">
        <v>3.0699999999999998</v>
      </c>
      <c r="F38" s="9">
        <v>0.0022000000000000001</v>
      </c>
    </row>
    <row r="39" spans="1:6" ht="13.2">
      <c r="A39" s="6">
        <f t="shared" si="0"/>
        <v>30</v>
      </c>
      <c r="B39" t="s">
        <v>38</v>
      </c>
      <c r="C39">
        <v>-4088.1199999999999</v>
      </c>
      <c r="D39">
        <v>1050.979</v>
      </c>
      <c r="E39">
        <v>-3.8900000000000001</v>
      </c>
      <c r="F39" s="9">
        <v>0.00010000000000000001</v>
      </c>
    </row>
    <row r="40" spans="1:6" ht="13.2">
      <c r="A40" s="6">
        <f t="shared" si="0"/>
        <v>31</v>
      </c>
      <c r="B40" t="s">
        <v>40</v>
      </c>
      <c r="C40">
        <v>2625.779</v>
      </c>
      <c r="D40">
        <v>1060.3430000000001</v>
      </c>
      <c r="E40">
        <v>2.476</v>
      </c>
      <c r="F40" s="9">
        <v>0.013400000000000001</v>
      </c>
    </row>
    <row r="41" spans="1:6" ht="13.2">
      <c r="A41" s="6">
        <f t="shared" si="0"/>
        <v>32</v>
      </c>
      <c r="B41" t="s">
        <v>42</v>
      </c>
      <c r="C41">
        <v>2443.7869999999998</v>
      </c>
      <c r="D41">
        <v>1206.816</v>
      </c>
      <c r="E41">
        <v>2.0249999999999999</v>
      </c>
      <c r="F41" s="9">
        <v>0.043099999999999999</v>
      </c>
    </row>
    <row r="42" spans="1:6" ht="13.2">
      <c r="A42" s="6">
        <f t="shared" si="0"/>
        <v>33</v>
      </c>
      <c r="B42" t="s">
        <v>43</v>
      </c>
      <c r="C42">
        <v>4759.0290000000005</v>
      </c>
      <c r="D42">
        <v>1204.942</v>
      </c>
      <c r="E42">
        <v>3.9500000000000002</v>
      </c>
      <c r="F42" s="9">
        <v>0.00010000000000000001</v>
      </c>
    </row>
    <row r="43" spans="1:6" ht="13.2">
      <c r="A43" s="6">
        <f t="shared" si="0"/>
        <v>34</v>
      </c>
      <c r="B43" t="s">
        <v>45</v>
      </c>
      <c r="C43">
        <v>-3900.5810000000001</v>
      </c>
      <c r="D43">
        <v>1062.627</v>
      </c>
      <c r="E43">
        <v>-3.6709999999999998</v>
      </c>
      <c r="F43" s="9">
        <v>0.00029999999999999997</v>
      </c>
    </row>
    <row r="44" spans="1:6" ht="13.2">
      <c r="A44" s="6">
        <f t="shared" si="0"/>
        <v>35</v>
      </c>
      <c r="B44" t="s">
        <v>46</v>
      </c>
      <c r="C44">
        <v>-3266.9830000000002</v>
      </c>
      <c r="D44">
        <v>1375.2829999999999</v>
      </c>
      <c r="E44">
        <v>-2.375</v>
      </c>
      <c r="F44" s="9">
        <v>0.0177</v>
      </c>
    </row>
    <row r="45" spans="1:6" ht="13.2">
      <c r="A45" s="6">
        <f t="shared" si="0"/>
        <v>36</v>
      </c>
      <c r="B45" t="s">
        <v>47</v>
      </c>
      <c r="C45">
        <v>-1961.4090000000001</v>
      </c>
      <c r="D45">
        <v>1614.962</v>
      </c>
      <c r="E45">
        <v>-1.2150000000000001</v>
      </c>
      <c r="F45" s="9">
        <v>0.2248</v>
      </c>
    </row>
    <row r="46" spans="1:6" ht="13.2">
      <c r="A46" s="6">
        <f t="shared" si="0"/>
        <v>37</v>
      </c>
      <c r="B46" t="s">
        <v>81</v>
      </c>
      <c r="C46">
        <v>-4813.0410000000002</v>
      </c>
      <c r="D46">
        <v>2601.2399999999998</v>
      </c>
      <c r="E46">
        <v>-1.8500000000000001</v>
      </c>
      <c r="F46" s="9">
        <v>0.064600000000000005</v>
      </c>
    </row>
    <row r="47" spans="1:6" ht="13.2">
      <c r="A47" s="6">
        <f t="shared" si="0"/>
        <v>38</v>
      </c>
      <c r="B47" t="s">
        <v>140</v>
      </c>
      <c r="C47">
        <v>632.77499999999998</v>
      </c>
      <c r="D47">
        <v>75.524000000000001</v>
      </c>
      <c r="E47">
        <v>8.3780000000000001</v>
      </c>
      <c r="F47" s="9">
        <v>0</v>
      </c>
    </row>
    <row r="48" spans="1:6" ht="13.2">
      <c r="A48" s="6">
        <f t="shared" si="0"/>
        <v>39</v>
      </c>
      <c r="B48" t="s">
        <v>141</v>
      </c>
      <c r="C48" s="22">
        <v>530.55600000000004</v>
      </c>
      <c r="D48">
        <v>40.177</v>
      </c>
      <c r="E48">
        <v>13.206</v>
      </c>
      <c r="F48" s="9">
        <v>0</v>
      </c>
    </row>
    <row r="49" spans="1:6" ht="13.2">
      <c r="A49" s="6">
        <f t="shared" si="0"/>
        <v>40</v>
      </c>
      <c r="B49" t="s">
        <v>142</v>
      </c>
      <c r="C49" s="22">
        <v>523.00999999999999</v>
      </c>
      <c r="D49">
        <v>79.397999999999996</v>
      </c>
      <c r="E49">
        <v>6.5869999999999997</v>
      </c>
      <c r="F49" s="9">
        <v>0</v>
      </c>
    </row>
    <row r="50" spans="1:6" ht="13.2">
      <c r="A50" s="6">
        <f t="shared" si="0"/>
        <v>41</v>
      </c>
      <c r="B50" t="s">
        <v>143</v>
      </c>
      <c r="C50" s="22">
        <v>346.22500000000002</v>
      </c>
      <c r="D50">
        <v>153.92599999999999</v>
      </c>
      <c r="E50">
        <v>2.2490000000000001</v>
      </c>
      <c r="F50" s="9">
        <v>0.0247</v>
      </c>
    </row>
    <row r="51" spans="1:6" ht="13.2">
      <c r="A51" s="6">
        <f t="shared" si="0"/>
        <v>42</v>
      </c>
      <c r="B51" t="s">
        <v>144</v>
      </c>
      <c r="C51" s="22">
        <v>676.20699999999999</v>
      </c>
      <c r="D51">
        <v>172.98400000000001</v>
      </c>
      <c r="E51">
        <v>3.9089999999999998</v>
      </c>
      <c r="F51" s="9">
        <v>0.00010000000000000001</v>
      </c>
    </row>
    <row r="52" spans="1:6" ht="13.2">
      <c r="A52" s="6">
        <f t="shared" si="0"/>
        <v>43</v>
      </c>
      <c r="B52" t="s">
        <v>145</v>
      </c>
      <c r="C52" s="22">
        <v>476.74599999999998</v>
      </c>
      <c r="D52">
        <v>124.92</v>
      </c>
      <c r="E52">
        <v>3.8159999999999998</v>
      </c>
      <c r="F52" s="9">
        <v>0.00020000000000000001</v>
      </c>
    </row>
    <row r="53" spans="1:6" ht="13.2">
      <c r="A53" s="6">
        <f t="shared" si="0"/>
        <v>44</v>
      </c>
      <c r="B53" t="s">
        <v>31</v>
      </c>
      <c r="C53" s="22">
        <v>0.749</v>
      </c>
      <c r="D53">
        <v>0.031</v>
      </c>
      <c r="E53">
        <v>23.974</v>
      </c>
      <c r="F53" s="9">
        <v>0</v>
      </c>
    </row>
    <row r="54" spans="1:6" ht="13.2">
      <c r="A54" s="6">
        <f t="shared" si="0"/>
        <v>45</v>
      </c>
      <c r="B54" t="s">
        <v>32</v>
      </c>
      <c r="C54" s="22">
        <v>-0.001</v>
      </c>
      <c r="D54">
        <v>0.039</v>
      </c>
      <c r="E54">
        <v>-0.035999999999999997</v>
      </c>
      <c r="F54" s="9">
        <v>0.97170000000000001</v>
      </c>
    </row>
    <row r="55" spans="1:6" ht="13.2">
      <c r="A55" s="6">
        <f t="shared" si="0"/>
        <v>46</v>
      </c>
      <c r="B55" t="s">
        <v>33</v>
      </c>
      <c r="C55" s="22">
        <v>0.094</v>
      </c>
      <c r="D55">
        <v>0.039</v>
      </c>
      <c r="E55">
        <v>2.4129999999999998</v>
      </c>
      <c r="F55" s="9">
        <v>0.016</v>
      </c>
    </row>
    <row r="56" spans="1:6" ht="13.2">
      <c r="A56" s="6">
        <f t="shared" si="0"/>
        <v>47</v>
      </c>
      <c r="B56" t="s">
        <v>34</v>
      </c>
      <c r="C56" s="22">
        <v>-0.043999999999999997</v>
      </c>
      <c r="D56">
        <v>0.039</v>
      </c>
      <c r="E56">
        <v>-1.131</v>
      </c>
      <c r="F56" s="9">
        <v>0.25819999999999999</v>
      </c>
    </row>
    <row r="57" spans="1:6" ht="13.2">
      <c r="A57" s="6">
        <f t="shared" si="0"/>
        <v>48</v>
      </c>
      <c r="B57" t="s">
        <v>36</v>
      </c>
      <c r="C57" s="22">
        <v>0.0050000000000000001</v>
      </c>
      <c r="D57">
        <v>0.039</v>
      </c>
      <c r="E57">
        <v>0.127</v>
      </c>
      <c r="F57" s="9">
        <v>0.89880000000000004</v>
      </c>
    </row>
    <row r="58" spans="1:6" ht="13.2">
      <c r="A58" s="6">
        <f t="shared" si="0"/>
        <v>49</v>
      </c>
      <c r="B58" t="s">
        <v>49</v>
      </c>
      <c r="C58" s="22">
        <v>0.107</v>
      </c>
      <c r="D58">
        <v>0.039</v>
      </c>
      <c r="E58">
        <v>2.746</v>
      </c>
      <c r="F58" s="9">
        <v>0.0061000000000000004</v>
      </c>
    </row>
    <row r="59" spans="1:6" ht="13.2">
      <c r="A59" s="6">
        <f t="shared" si="0"/>
        <v>50</v>
      </c>
      <c r="B59" t="s">
        <v>50</v>
      </c>
      <c r="C59" s="22">
        <v>0.151</v>
      </c>
      <c r="D59">
        <v>0.039</v>
      </c>
      <c r="E59">
        <v>3.8940000000000001</v>
      </c>
      <c r="F59" s="9">
        <v>0.00010000000000000001</v>
      </c>
    </row>
    <row r="60" spans="1:6" ht="13.2">
      <c r="A60" s="6">
        <f t="shared" si="0"/>
        <v>51</v>
      </c>
      <c r="B60" t="s">
        <v>66</v>
      </c>
      <c r="C60" s="22">
        <v>-0.052999999999999998</v>
      </c>
      <c r="D60">
        <v>0.039</v>
      </c>
      <c r="E60">
        <v>-1.3440000000000001</v>
      </c>
      <c r="F60" s="9">
        <v>0.1792</v>
      </c>
    </row>
    <row r="61" spans="1:6" ht="13.2">
      <c r="A61" s="6">
        <f t="shared" si="0"/>
        <v>52</v>
      </c>
      <c r="B61" s="28" t="s">
        <v>67</v>
      </c>
      <c r="C61" s="22">
        <v>-0.123</v>
      </c>
      <c r="D61">
        <v>0.039</v>
      </c>
      <c r="E61">
        <v>-3.133</v>
      </c>
      <c r="F61" s="9">
        <v>0.0018</v>
      </c>
    </row>
    <row r="62" spans="1:6" ht="13.2">
      <c r="A62" s="6">
        <f t="shared" si="0"/>
        <v>53</v>
      </c>
      <c r="B62" t="s">
        <v>68</v>
      </c>
      <c r="C62" s="22">
        <v>0.076999999999999999</v>
      </c>
      <c r="D62">
        <v>0.031</v>
      </c>
      <c r="E62">
        <v>2.4289999999999998</v>
      </c>
      <c r="F62" s="9">
        <v>0.015299999999999999</v>
      </c>
    </row>
    <row r="63" spans="1:1" ht="13.2">
      <c r="A63" s="6">
        <f t="shared" si="0"/>
        <v>54</v>
      </c>
    </row>
    <row r="64" spans="1:2" ht="13.2">
      <c r="A64" s="6">
        <f t="shared" si="0"/>
        <v>55</v>
      </c>
      <c r="B64" s="4" t="s">
        <v>120</v>
      </c>
    </row>
    <row r="65" spans="1:3" ht="13.2">
      <c r="A65" s="6">
        <f t="shared" si="0"/>
        <v>56</v>
      </c>
      <c r="B65" t="s">
        <v>30</v>
      </c>
      <c r="C65">
        <v>1086</v>
      </c>
    </row>
    <row r="66" spans="1:6" ht="13.2">
      <c r="A66" s="6">
        <f t="shared" si="0"/>
        <v>57</v>
      </c>
      <c r="B66" t="s">
        <v>10</v>
      </c>
      <c r="C66">
        <v>1040</v>
      </c>
      <c r="F66" s="9"/>
    </row>
    <row r="67" spans="1:6" ht="13.2">
      <c r="A67" s="6">
        <f t="shared" si="0"/>
        <v>58</v>
      </c>
      <c r="B67" t="s">
        <v>12</v>
      </c>
      <c r="C67" s="22">
        <v>0.98499999999999999</v>
      </c>
      <c r="F67" s="9"/>
    </row>
    <row r="68" spans="1:6" ht="13.2">
      <c r="A68" s="6">
        <f t="shared" si="0"/>
        <v>59</v>
      </c>
      <c r="B68" t="s">
        <v>13</v>
      </c>
      <c r="C68" s="36">
        <v>0.98399999999999999</v>
      </c>
      <c r="F68" s="9"/>
    </row>
    <row r="69" spans="1:6" ht="13.2">
      <c r="A69" s="6">
        <f t="shared" si="0"/>
        <v>60</v>
      </c>
      <c r="B69" t="s">
        <v>15</v>
      </c>
      <c r="C69" s="32">
        <v>1470.7750000000001</v>
      </c>
      <c r="F69" s="9"/>
    </row>
    <row r="70" spans="1:6" ht="13.2">
      <c r="A70" s="6">
        <f t="shared" si="0"/>
        <v>61</v>
      </c>
      <c r="B70" t="s">
        <v>16</v>
      </c>
      <c r="C70" s="23">
        <v>0</v>
      </c>
      <c r="F70" s="9"/>
    </row>
    <row r="71" spans="1:3" ht="13.2">
      <c r="A71" s="6">
        <f t="shared" si="0"/>
        <v>62</v>
      </c>
      <c r="B71" t="s">
        <v>17</v>
      </c>
      <c r="C71" s="21">
        <v>521533816727.57001</v>
      </c>
    </row>
    <row r="72" spans="1:6" ht="13.2">
      <c r="A72" s="6">
        <f t="shared" si="0"/>
        <v>63</v>
      </c>
      <c r="B72" t="s">
        <v>18</v>
      </c>
      <c r="C72" s="21">
        <v>8195151092.1199999</v>
      </c>
      <c r="F72" s="9"/>
    </row>
    <row r="73" spans="1:6" ht="13.2">
      <c r="A73" s="6">
        <f t="shared" si="0"/>
        <v>64</v>
      </c>
      <c r="B73" t="s">
        <v>19</v>
      </c>
      <c r="C73" s="21">
        <v>7879952.9699999997</v>
      </c>
      <c r="F73" s="9"/>
    </row>
    <row r="74" spans="1:6" ht="13.2">
      <c r="A74" s="6">
        <f t="shared" si="0"/>
        <v>65</v>
      </c>
      <c r="B74" t="s">
        <v>20</v>
      </c>
      <c r="C74" s="26">
        <v>2807.1300000000001</v>
      </c>
      <c r="F74" s="9"/>
    </row>
    <row r="75" spans="1:3" ht="13.2">
      <c r="A75" s="6">
        <f t="shared" si="0"/>
        <v>66</v>
      </c>
      <c r="B75" t="s">
        <v>9</v>
      </c>
      <c r="C75" s="26">
        <v>2126.1700000000001</v>
      </c>
    </row>
    <row r="76" spans="1:3" ht="13.2">
      <c r="A76" s="6">
        <f t="shared" si="1" ref="A76:A79">+A75+1</f>
        <v>67</v>
      </c>
      <c r="B76" t="s">
        <v>11</v>
      </c>
      <c r="C76" s="9">
        <v>0.0177</v>
      </c>
    </row>
    <row r="77" spans="1:3" ht="13.2">
      <c r="A77" s="6">
        <f t="shared" si="1"/>
        <v>68</v>
      </c>
      <c r="B77" t="s">
        <v>14</v>
      </c>
      <c r="C77" s="22">
        <v>2</v>
      </c>
    </row>
    <row r="78" spans="1:3" ht="13.2">
      <c r="A78" s="6">
        <f t="shared" si="1"/>
        <v>69</v>
      </c>
      <c r="B78" t="s">
        <v>21</v>
      </c>
      <c r="C78">
        <v>16.210000000000001</v>
      </c>
    </row>
    <row r="79" spans="1:3" ht="13.2">
      <c r="A79" s="6">
        <f t="shared" si="1"/>
        <v>70</v>
      </c>
      <c r="B79" t="s">
        <v>22</v>
      </c>
      <c r="C79">
        <v>0.88019999999999998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2" r:id="rId1"/>
  <headerFooter alignWithMargins="0">
    <oddHeader>&amp;RWP/II-H-5.2/6
Page &amp;P of 20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8">
    <pageSetUpPr fitToPage="1"/>
  </sheetPr>
  <dimension ref="A1:K45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</cols>
  <sheetData>
    <row r="1" spans="1:11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  <c r="K1" s="39"/>
    </row>
    <row r="2" spans="1:11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  <c r="K2" s="39"/>
    </row>
    <row r="3" spans="1:11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  <c r="K3" s="39"/>
    </row>
    <row r="4" spans="1:11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  <c r="K4" s="39"/>
    </row>
    <row r="5" spans="1:1" s="1" customFormat="1" ht="11.4">
      <c r="A5" s="6"/>
    </row>
    <row r="6" spans="1:11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  <c r="K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1" s="1" customFormat="1" ht="13.2">
      <c r="A10" s="6">
        <v>1</v>
      </c>
      <c r="B10" s="38" t="s">
        <v>62</v>
      </c>
      <c r="C10" s="39"/>
      <c r="D10" s="39"/>
      <c r="E10" s="39"/>
      <c r="F10" s="39"/>
      <c r="G10" s="39"/>
      <c r="H10" s="39"/>
      <c r="I10" s="39"/>
      <c r="J10" s="39"/>
      <c r="K10" s="39"/>
    </row>
    <row r="11" spans="1:11" s="1" customFormat="1" ht="13.2">
      <c r="A11" s="6">
        <f t="shared" si="0" ref="A11:A37">+A10+1</f>
        <v>2</v>
      </c>
      <c r="B11" s="38" t="str">
        <f>+'RES Spline Graph'!B11:H11</f>
        <v>After Corrective Procedures for Autocorrelation</v>
      </c>
      <c r="C11" s="39"/>
      <c r="D11" s="39"/>
      <c r="E11" s="39"/>
      <c r="F11" s="39"/>
      <c r="G11" s="39"/>
      <c r="H11" s="39"/>
      <c r="I11" s="39"/>
      <c r="J11" s="39"/>
      <c r="K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6" ht="13.2">
      <c r="A40" s="6"/>
      <c r="F40" s="2"/>
    </row>
    <row r="41" spans="1:1" ht="13.2">
      <c r="A41" s="6"/>
    </row>
    <row r="42" spans="1:1" ht="13.2">
      <c r="A42" s="6"/>
    </row>
    <row r="43" spans="1:7" ht="13.2">
      <c r="A43" s="6"/>
      <c r="C43" s="9"/>
      <c r="G43" s="9"/>
    </row>
    <row r="44" spans="1:1" ht="13.2">
      <c r="A44" s="6"/>
    </row>
    <row r="45" spans="1:1" ht="13.2">
      <c r="A45" s="6"/>
    </row>
  </sheetData>
  <mergeCells count="8">
    <mergeCell ref="B10:K10"/>
    <mergeCell ref="B11:K11"/>
    <mergeCell ref="B8:F8"/>
    <mergeCell ref="B1:K1"/>
    <mergeCell ref="B2:K2"/>
    <mergeCell ref="B3:K3"/>
    <mergeCell ref="B4:K4"/>
    <mergeCell ref="B6:K6"/>
  </mergeCells>
  <printOptions horizontalCentered="1"/>
  <pageMargins left="0.83" right="0.78" top="1.5" bottom="1" header="1" footer="0.5"/>
  <pageSetup orientation="portrait" scale="73" r:id="rId2"/>
  <headerFooter alignWithMargins="0">
    <oddHeader>&amp;RWP/II-H-5.2/6
Page &amp;P of 20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">
    <pageSetUpPr fitToPage="1"/>
  </sheetPr>
  <dimension ref="A1:F74"/>
  <sheetViews>
    <sheetView workbookViewId="0" topLeftCell="A1"/>
  </sheetViews>
  <sheetFormatPr defaultRowHeight="13.5"/>
  <cols>
    <col min="2" max="2" width="28.1428571428571" customWidth="1"/>
    <col min="3" max="3" width="17.1428571428571" customWidth="1"/>
    <col min="4" max="4" width="11.7142857142857" customWidth="1"/>
    <col min="5" max="5" width="12.5714285714286" customWidth="1"/>
    <col min="6" max="6" width="14.7142857142857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83</v>
      </c>
    </row>
    <row r="11" spans="1:3" s="1" customFormat="1" ht="12">
      <c r="A11" s="6">
        <f>+A10+1</f>
        <v>2</v>
      </c>
      <c r="B11" s="3" t="str">
        <f>+'RES Spline Model'!B11</f>
        <v>After Corrective Procedures for Autocorrelation</v>
      </c>
      <c r="C11" s="3"/>
    </row>
    <row r="12" spans="1:3" s="1" customFormat="1" ht="12">
      <c r="A12" s="6">
        <f t="shared" si="0" ref="A12:A74">+A11+1</f>
        <v>3</v>
      </c>
      <c r="B12" s="3" t="s">
        <v>6</v>
      </c>
      <c r="C12" s="3" t="s">
        <v>84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39076.142999999996</v>
      </c>
      <c r="D17">
        <v>813.60699999999997</v>
      </c>
      <c r="E17">
        <v>48.027999999999999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-872.35199999999998</v>
      </c>
      <c r="D18">
        <v>242.923</v>
      </c>
      <c r="E18">
        <v>-3.5910000000000002</v>
      </c>
      <c r="F18" s="9">
        <v>0.00040000000000000002</v>
      </c>
    </row>
    <row r="19" spans="1:6" ht="13.2">
      <c r="A19" s="6">
        <f t="shared" si="0"/>
        <v>10</v>
      </c>
      <c r="B19" t="s">
        <v>93</v>
      </c>
      <c r="C19">
        <v>2557.518</v>
      </c>
      <c r="D19">
        <v>53.807000000000002</v>
      </c>
      <c r="E19">
        <v>47.530999999999999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3071.1999999999998</v>
      </c>
      <c r="D20">
        <v>66.489999999999995</v>
      </c>
      <c r="E20">
        <v>46.189999999999998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3085.973</v>
      </c>
      <c r="D21">
        <v>68.938000000000002</v>
      </c>
      <c r="E21">
        <v>44.764000000000003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3116.7629999999999</v>
      </c>
      <c r="D22">
        <v>69.113</v>
      </c>
      <c r="E22">
        <v>45.097000000000001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2889.223</v>
      </c>
      <c r="D23">
        <v>67.019999999999996</v>
      </c>
      <c r="E23">
        <v>43.109999999999999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1161.8910000000001</v>
      </c>
      <c r="D24">
        <v>52.837000000000003</v>
      </c>
      <c r="E24">
        <v>21.989999999999998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-812.82899999999995</v>
      </c>
      <c r="D25">
        <v>276.55500000000001</v>
      </c>
      <c r="E25">
        <v>-2.9390000000000001</v>
      </c>
      <c r="F25" s="9">
        <v>0.0033999999999999998</v>
      </c>
    </row>
    <row r="26" spans="1:6" ht="13.2">
      <c r="A26" s="6">
        <f t="shared" si="0"/>
        <v>17</v>
      </c>
      <c r="B26" t="s">
        <v>121</v>
      </c>
      <c r="C26">
        <v>-410.77699999999999</v>
      </c>
      <c r="D26">
        <v>277.47199999999998</v>
      </c>
      <c r="E26">
        <v>-1.48</v>
      </c>
      <c r="F26" s="9">
        <v>0.1391</v>
      </c>
    </row>
    <row r="27" spans="1:6" ht="13.2">
      <c r="A27" s="6">
        <f t="shared" si="0"/>
        <v>18</v>
      </c>
      <c r="B27" t="s">
        <v>101</v>
      </c>
      <c r="C27">
        <v>-2901.8890000000001</v>
      </c>
      <c r="D27">
        <v>276.96100000000001</v>
      </c>
      <c r="E27">
        <v>-10.478</v>
      </c>
      <c r="F27" s="9">
        <v>0</v>
      </c>
    </row>
    <row r="28" spans="1:6" ht="13.2">
      <c r="A28" s="6">
        <f t="shared" si="0"/>
        <v>19</v>
      </c>
      <c r="B28" t="s">
        <v>122</v>
      </c>
      <c r="C28">
        <v>-2398.616</v>
      </c>
      <c r="D28">
        <v>274.363</v>
      </c>
      <c r="E28">
        <v>-8.7420000000000009</v>
      </c>
      <c r="F28" s="9">
        <v>0</v>
      </c>
    </row>
    <row r="29" spans="1:6" ht="13.2">
      <c r="A29" s="6">
        <f t="shared" si="0"/>
        <v>20</v>
      </c>
      <c r="B29" t="s">
        <v>102</v>
      </c>
      <c r="C29">
        <v>-2431.1410000000001</v>
      </c>
      <c r="D29">
        <v>276.96100000000001</v>
      </c>
      <c r="E29">
        <v>-8.7780000000000005</v>
      </c>
      <c r="F29" s="9">
        <v>0</v>
      </c>
    </row>
    <row r="30" spans="1:6" ht="13.2">
      <c r="A30" s="6">
        <f t="shared" si="0"/>
        <v>21</v>
      </c>
      <c r="B30" t="s">
        <v>103</v>
      </c>
      <c r="C30">
        <v>-3429.9160000000002</v>
      </c>
      <c r="D30">
        <v>315.22800000000001</v>
      </c>
      <c r="E30">
        <v>-10.881</v>
      </c>
      <c r="F30" s="9">
        <v>0</v>
      </c>
    </row>
    <row r="31" spans="1:6" ht="13.2">
      <c r="A31" s="6">
        <f t="shared" si="0"/>
        <v>22</v>
      </c>
      <c r="B31" t="s">
        <v>104</v>
      </c>
      <c r="C31">
        <v>-2775.3670000000002</v>
      </c>
      <c r="D31">
        <v>315.23200000000003</v>
      </c>
      <c r="E31">
        <v>-8.8040000000000003</v>
      </c>
      <c r="F31" s="9">
        <v>0</v>
      </c>
    </row>
    <row r="32" spans="1:6" ht="13.2">
      <c r="A32" s="6">
        <f t="shared" si="0"/>
        <v>23</v>
      </c>
      <c r="B32" t="s">
        <v>106</v>
      </c>
      <c r="C32">
        <v>-2178.5189999999998</v>
      </c>
      <c r="D32">
        <v>458.935</v>
      </c>
      <c r="E32">
        <v>-4.7469999999999999</v>
      </c>
      <c r="F32" s="9">
        <v>0</v>
      </c>
    </row>
    <row r="33" spans="1:6" ht="13.2">
      <c r="A33" s="6">
        <f t="shared" si="0"/>
        <v>24</v>
      </c>
      <c r="B33" t="s">
        <v>107</v>
      </c>
      <c r="C33">
        <v>-3729.846</v>
      </c>
      <c r="D33">
        <v>379.73500000000001</v>
      </c>
      <c r="E33">
        <v>-9.8219999999999992</v>
      </c>
      <c r="F33" s="9">
        <v>0</v>
      </c>
    </row>
    <row r="34" spans="1:6" ht="13.2">
      <c r="A34" s="6">
        <f t="shared" si="0"/>
        <v>25</v>
      </c>
      <c r="B34" t="s">
        <v>123</v>
      </c>
      <c r="C34">
        <v>-2282.607</v>
      </c>
      <c r="D34">
        <v>515.42200000000003</v>
      </c>
      <c r="E34">
        <v>-4.4290000000000003</v>
      </c>
      <c r="F34" s="9">
        <v>0</v>
      </c>
    </row>
    <row r="35" spans="1:6" ht="13.2">
      <c r="A35" s="6">
        <f t="shared" si="0"/>
        <v>26</v>
      </c>
      <c r="B35" t="s">
        <v>108</v>
      </c>
      <c r="C35">
        <v>-1618.259</v>
      </c>
      <c r="D35">
        <v>349.33499999999998</v>
      </c>
      <c r="E35">
        <v>-4.6319999999999997</v>
      </c>
      <c r="F35" s="9">
        <v>0</v>
      </c>
    </row>
    <row r="36" spans="1:6" ht="13.2">
      <c r="A36" s="6">
        <f t="shared" si="0"/>
        <v>27</v>
      </c>
      <c r="B36" t="s">
        <v>109</v>
      </c>
      <c r="C36">
        <v>-3765.335</v>
      </c>
      <c r="D36">
        <v>412.226</v>
      </c>
      <c r="E36">
        <v>-9.1340000000000003</v>
      </c>
      <c r="F36" s="9">
        <v>0</v>
      </c>
    </row>
    <row r="37" spans="1:6" ht="13.2">
      <c r="A37" s="6">
        <f t="shared" si="0"/>
        <v>28</v>
      </c>
      <c r="B37" t="s">
        <v>110</v>
      </c>
      <c r="C37">
        <v>72.709999999999994</v>
      </c>
      <c r="D37">
        <v>16.385000000000002</v>
      </c>
      <c r="E37">
        <v>4.4379999999999997</v>
      </c>
      <c r="F37" s="9">
        <v>0</v>
      </c>
    </row>
    <row r="38" spans="1:6" ht="13.2">
      <c r="A38" s="6">
        <f t="shared" si="0"/>
        <v>29</v>
      </c>
      <c r="B38" t="s">
        <v>38</v>
      </c>
      <c r="C38">
        <v>-758.702</v>
      </c>
      <c r="D38">
        <v>313.79399999999998</v>
      </c>
      <c r="E38">
        <v>-2.4180000000000001</v>
      </c>
      <c r="F38" s="9">
        <v>0.015800000000000002</v>
      </c>
    </row>
    <row r="39" spans="1:6" ht="13.2">
      <c r="A39" s="6">
        <f t="shared" si="0"/>
        <v>30</v>
      </c>
      <c r="B39" t="s">
        <v>39</v>
      </c>
      <c r="C39">
        <v>-950.03300000000002</v>
      </c>
      <c r="D39">
        <v>424.44</v>
      </c>
      <c r="E39">
        <v>-2.238</v>
      </c>
      <c r="F39" s="9">
        <v>0.025399999999999999</v>
      </c>
    </row>
    <row r="40" spans="1:6" ht="13.2">
      <c r="A40" s="6">
        <f t="shared" si="0"/>
        <v>31</v>
      </c>
      <c r="B40" t="s">
        <v>40</v>
      </c>
      <c r="C40">
        <v>-702.62300000000005</v>
      </c>
      <c r="D40">
        <v>495.07499999999999</v>
      </c>
      <c r="E40">
        <v>-1.419</v>
      </c>
      <c r="F40" s="9">
        <v>0.15609999999999999</v>
      </c>
    </row>
    <row r="41" spans="1:6" ht="13.2">
      <c r="A41" s="6">
        <f t="shared" si="0"/>
        <v>32</v>
      </c>
      <c r="B41" t="s">
        <v>41</v>
      </c>
      <c r="C41">
        <v>-1545.8489999999999</v>
      </c>
      <c r="D41">
        <v>543.74300000000005</v>
      </c>
      <c r="E41">
        <v>-2.843</v>
      </c>
      <c r="F41" s="9">
        <v>0.0045999999999999999</v>
      </c>
    </row>
    <row r="42" spans="1:6" ht="13.2">
      <c r="A42" s="6">
        <f t="shared" si="0"/>
        <v>33</v>
      </c>
      <c r="B42" t="s">
        <v>42</v>
      </c>
      <c r="C42">
        <v>-1331.24</v>
      </c>
      <c r="D42">
        <v>576.88900000000001</v>
      </c>
      <c r="E42">
        <v>-2.3079999999999998</v>
      </c>
      <c r="F42" s="9">
        <v>0.0212</v>
      </c>
    </row>
    <row r="43" spans="1:6" ht="13.2">
      <c r="A43" s="6">
        <f t="shared" si="0"/>
        <v>34</v>
      </c>
      <c r="B43" t="s">
        <v>43</v>
      </c>
      <c r="C43">
        <v>-1169.529</v>
      </c>
      <c r="D43">
        <v>595.08900000000006</v>
      </c>
      <c r="E43">
        <v>-1.9650000000000001</v>
      </c>
      <c r="F43" s="9">
        <v>0.049599999999999998</v>
      </c>
    </row>
    <row r="44" spans="1:6" ht="13.2">
      <c r="A44" s="6">
        <f t="shared" si="0"/>
        <v>35</v>
      </c>
      <c r="B44" t="s">
        <v>44</v>
      </c>
      <c r="C44">
        <v>-1569.134</v>
      </c>
      <c r="D44">
        <v>602.07399999999996</v>
      </c>
      <c r="E44">
        <v>-2.6059999999999999</v>
      </c>
      <c r="F44" s="9">
        <v>0.0092999999999999992</v>
      </c>
    </row>
    <row r="45" spans="1:6" ht="13.2">
      <c r="A45" s="6">
        <f t="shared" si="0"/>
        <v>36</v>
      </c>
      <c r="B45" t="s">
        <v>45</v>
      </c>
      <c r="C45">
        <v>-1635.8399999999999</v>
      </c>
      <c r="D45">
        <v>595.36000000000001</v>
      </c>
      <c r="E45">
        <v>-2.7480000000000002</v>
      </c>
      <c r="F45" s="9">
        <v>0.0061000000000000004</v>
      </c>
    </row>
    <row r="46" spans="1:6" ht="13.2">
      <c r="A46" s="6">
        <f t="shared" si="0"/>
        <v>37</v>
      </c>
      <c r="B46" t="s">
        <v>52</v>
      </c>
      <c r="C46">
        <v>-1954.778</v>
      </c>
      <c r="D46">
        <v>577.24400000000003</v>
      </c>
      <c r="E46">
        <v>-3.3860000000000001</v>
      </c>
      <c r="F46" s="9">
        <v>0.00080000000000000004</v>
      </c>
    </row>
    <row r="47" spans="1:6" ht="13.2">
      <c r="A47" s="6">
        <f t="shared" si="0"/>
        <v>38</v>
      </c>
      <c r="B47" t="s">
        <v>46</v>
      </c>
      <c r="C47">
        <v>-2419.2640000000001</v>
      </c>
      <c r="D47">
        <v>536.952</v>
      </c>
      <c r="E47">
        <v>-4.5060000000000002</v>
      </c>
      <c r="F47" s="9">
        <v>0</v>
      </c>
    </row>
    <row r="48" spans="1:6" ht="13.2">
      <c r="A48" s="6">
        <f t="shared" si="0"/>
        <v>39</v>
      </c>
      <c r="B48" t="s">
        <v>47</v>
      </c>
      <c r="C48">
        <v>-2503.9740000000002</v>
      </c>
      <c r="D48">
        <v>483.11500000000001</v>
      </c>
      <c r="E48">
        <v>-5.1829999999999998</v>
      </c>
      <c r="F48" s="9">
        <v>0</v>
      </c>
    </row>
    <row r="49" spans="1:6" ht="13.2">
      <c r="A49" s="6">
        <f t="shared" si="0"/>
        <v>40</v>
      </c>
      <c r="B49" t="s">
        <v>151</v>
      </c>
      <c r="C49">
        <v>58.095999999999997</v>
      </c>
      <c r="D49">
        <v>6.1989999999999998</v>
      </c>
      <c r="E49">
        <v>9.3719999999999999</v>
      </c>
      <c r="F49" s="9">
        <v>0</v>
      </c>
    </row>
    <row r="50" spans="1:6" ht="13.2">
      <c r="A50" s="6">
        <f t="shared" si="0"/>
        <v>41</v>
      </c>
      <c r="B50" t="s">
        <v>152</v>
      </c>
      <c r="C50">
        <v>78.013999999999996</v>
      </c>
      <c r="D50">
        <v>11.776</v>
      </c>
      <c r="E50">
        <v>6.625</v>
      </c>
      <c r="F50" s="9">
        <v>0</v>
      </c>
    </row>
    <row r="51" spans="1:6" ht="13.2">
      <c r="A51" s="6">
        <f t="shared" si="0"/>
        <v>42</v>
      </c>
      <c r="B51" t="s">
        <v>31</v>
      </c>
      <c r="C51">
        <v>0.76700000000000002</v>
      </c>
      <c r="D51">
        <v>0.031</v>
      </c>
      <c r="E51">
        <v>24.792999999999999</v>
      </c>
      <c r="F51" s="9">
        <v>0</v>
      </c>
    </row>
    <row r="52" spans="1:6" ht="13.2">
      <c r="A52" s="6">
        <f t="shared" si="0"/>
        <v>43</v>
      </c>
      <c r="B52" t="s">
        <v>32</v>
      </c>
      <c r="C52">
        <v>0.001</v>
      </c>
      <c r="D52">
        <v>0.039</v>
      </c>
      <c r="E52">
        <v>0.019</v>
      </c>
      <c r="F52" s="9">
        <v>0.98499999999999999</v>
      </c>
    </row>
    <row r="53" spans="1:6" ht="13.2">
      <c r="A53" s="6">
        <f t="shared" si="0"/>
        <v>44</v>
      </c>
      <c r="B53" t="s">
        <v>33</v>
      </c>
      <c r="C53">
        <v>0.096000000000000002</v>
      </c>
      <c r="D53">
        <v>0.039</v>
      </c>
      <c r="E53">
        <v>2.4670000000000001</v>
      </c>
      <c r="F53" s="9">
        <v>0.0138</v>
      </c>
    </row>
    <row r="54" spans="1:6" ht="13.2">
      <c r="A54" s="6">
        <f t="shared" si="0"/>
        <v>45</v>
      </c>
      <c r="B54" t="s">
        <v>34</v>
      </c>
      <c r="C54">
        <v>0.016</v>
      </c>
      <c r="D54">
        <v>0.039</v>
      </c>
      <c r="E54">
        <v>0.40000000000000002</v>
      </c>
      <c r="F54" s="9">
        <v>0.68910000000000005</v>
      </c>
    </row>
    <row r="55" spans="1:6" ht="13.2">
      <c r="A55" s="6">
        <f t="shared" si="0"/>
        <v>46</v>
      </c>
      <c r="B55" s="28" t="s">
        <v>36</v>
      </c>
      <c r="C55">
        <v>-0.02</v>
      </c>
      <c r="D55">
        <v>0.040000000000000001</v>
      </c>
      <c r="E55">
        <v>-0.501</v>
      </c>
      <c r="F55" s="9">
        <v>0.61619999999999997</v>
      </c>
    </row>
    <row r="56" spans="1:6" ht="13.2">
      <c r="A56" s="6">
        <f t="shared" si="0"/>
        <v>47</v>
      </c>
      <c r="B56" s="28" t="s">
        <v>49</v>
      </c>
      <c r="C56">
        <v>0.019</v>
      </c>
      <c r="D56">
        <v>0.039</v>
      </c>
      <c r="E56">
        <v>0.47899999999999998</v>
      </c>
      <c r="F56" s="9">
        <v>0.63239999999999996</v>
      </c>
    </row>
    <row r="57" spans="1:6" ht="13.2">
      <c r="A57" s="6">
        <f t="shared" si="0"/>
        <v>48</v>
      </c>
      <c r="B57" s="28" t="s">
        <v>50</v>
      </c>
      <c r="C57">
        <v>0.095000000000000001</v>
      </c>
      <c r="D57">
        <v>0.031</v>
      </c>
      <c r="E57">
        <v>3.0990000000000002</v>
      </c>
      <c r="F57" s="9">
        <v>0.002</v>
      </c>
    </row>
    <row r="58" spans="1:6" ht="13.2">
      <c r="A58" s="6">
        <f t="shared" si="0"/>
        <v>49</v>
      </c>
      <c r="F58" s="12"/>
    </row>
    <row r="59" spans="1:6" ht="13.2">
      <c r="A59" s="6">
        <f t="shared" si="0"/>
        <v>50</v>
      </c>
      <c r="B59" s="4" t="s">
        <v>120</v>
      </c>
      <c r="F59" s="12"/>
    </row>
    <row r="60" spans="1:6" ht="13.2">
      <c r="A60" s="6">
        <f t="shared" si="0"/>
        <v>51</v>
      </c>
      <c r="B60" t="s">
        <v>30</v>
      </c>
      <c r="C60">
        <v>1089</v>
      </c>
      <c r="F60" s="9"/>
    </row>
    <row r="61" spans="1:6" ht="13.2">
      <c r="A61" s="6">
        <f t="shared" si="0"/>
        <v>52</v>
      </c>
      <c r="B61" t="s">
        <v>10</v>
      </c>
      <c r="C61">
        <v>1048</v>
      </c>
      <c r="F61" s="9"/>
    </row>
    <row r="62" spans="1:6" ht="13.2">
      <c r="A62" s="6">
        <f t="shared" si="0"/>
        <v>53</v>
      </c>
      <c r="B62" t="s">
        <v>12</v>
      </c>
      <c r="C62" s="22">
        <v>0.95299999999999996</v>
      </c>
      <c r="F62" s="9"/>
    </row>
    <row r="63" spans="1:6" ht="13.2">
      <c r="A63" s="6">
        <f t="shared" si="0"/>
        <v>54</v>
      </c>
      <c r="B63" t="s">
        <v>13</v>
      </c>
      <c r="C63" s="22">
        <v>0.95099999999999996</v>
      </c>
      <c r="F63" s="9"/>
    </row>
    <row r="64" spans="1:6" ht="13.2">
      <c r="A64" s="6">
        <f t="shared" si="0"/>
        <v>55</v>
      </c>
      <c r="B64" t="s">
        <v>15</v>
      </c>
      <c r="C64" s="16">
        <v>527.70600000000002</v>
      </c>
      <c r="F64" s="9"/>
    </row>
    <row r="65" spans="1:6" ht="13.2">
      <c r="A65" s="6">
        <f t="shared" si="0"/>
        <v>56</v>
      </c>
      <c r="B65" t="s">
        <v>16</v>
      </c>
      <c r="C65" s="19">
        <v>0</v>
      </c>
      <c r="F65" s="9"/>
    </row>
    <row r="66" spans="1:3" ht="13.2">
      <c r="A66" s="6">
        <f t="shared" si="0"/>
        <v>57</v>
      </c>
      <c r="B66" t="s">
        <v>17</v>
      </c>
      <c r="C66" s="16">
        <v>7661546776.3500004</v>
      </c>
    </row>
    <row r="67" spans="1:6" ht="13.2">
      <c r="A67" s="6">
        <f t="shared" si="0"/>
        <v>58</v>
      </c>
      <c r="B67" t="s">
        <v>18</v>
      </c>
      <c r="C67" s="16">
        <v>380387120.54000002</v>
      </c>
      <c r="F67" s="9"/>
    </row>
    <row r="68" spans="1:6" ht="13.2">
      <c r="A68" s="6">
        <f t="shared" si="0"/>
        <v>59</v>
      </c>
      <c r="B68" t="s">
        <v>19</v>
      </c>
      <c r="C68" s="16">
        <v>362964.81</v>
      </c>
      <c r="F68" s="9"/>
    </row>
    <row r="69" spans="1:6" ht="13.2">
      <c r="A69" s="6">
        <f t="shared" si="0"/>
        <v>60</v>
      </c>
      <c r="B69" t="s">
        <v>20</v>
      </c>
      <c r="C69">
        <v>602.47000000000003</v>
      </c>
      <c r="F69" s="9"/>
    </row>
    <row r="70" spans="1:3" ht="13.2">
      <c r="A70" s="6">
        <f t="shared" si="0"/>
        <v>61</v>
      </c>
      <c r="B70" t="s">
        <v>9</v>
      </c>
      <c r="C70" s="27">
        <v>452.19999999999999</v>
      </c>
    </row>
    <row r="71" spans="1:3" ht="13.2">
      <c r="A71" s="6">
        <f t="shared" si="0"/>
        <v>62</v>
      </c>
      <c r="B71" t="s">
        <v>11</v>
      </c>
      <c r="C71" s="9">
        <v>0.0112</v>
      </c>
    </row>
    <row r="72" spans="1:3" ht="13.2">
      <c r="A72" s="6">
        <f t="shared" si="0"/>
        <v>63</v>
      </c>
      <c r="B72" t="s">
        <v>14</v>
      </c>
      <c r="C72">
        <v>2.0009999999999999</v>
      </c>
    </row>
    <row r="73" spans="1:3" ht="13.2">
      <c r="A73" s="6">
        <f t="shared" si="0"/>
        <v>64</v>
      </c>
      <c r="B73" t="s">
        <v>21</v>
      </c>
      <c r="C73">
        <v>11.16</v>
      </c>
    </row>
    <row r="74" spans="1:3" ht="13.2">
      <c r="A74" s="6">
        <f t="shared" si="0"/>
        <v>65</v>
      </c>
      <c r="B74" t="s">
        <v>22</v>
      </c>
      <c r="C74">
        <v>0.98780000000000001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7" r:id="rId1"/>
  <headerFooter alignWithMargins="0">
    <oddHeader>&amp;RWP/II-H-5.2/6
Page &amp;P of 20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9">
    <pageSetUpPr fitToPage="1"/>
  </sheetPr>
  <dimension ref="A1:K49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</cols>
  <sheetData>
    <row r="1" spans="1:11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  <c r="K1" s="39"/>
    </row>
    <row r="2" spans="1:11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  <c r="K2" s="39"/>
    </row>
    <row r="3" spans="1:11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  <c r="K3" s="39"/>
    </row>
    <row r="4" spans="1:11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  <c r="K4" s="39"/>
    </row>
    <row r="5" spans="1:1" s="1" customFormat="1" ht="11.4">
      <c r="A5" s="6"/>
    </row>
    <row r="6" spans="1:11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  <c r="K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1" s="1" customFormat="1" ht="13.2">
      <c r="A10" s="6">
        <v>1</v>
      </c>
      <c r="B10" s="38" t="s">
        <v>85</v>
      </c>
      <c r="C10" s="39"/>
      <c r="D10" s="39"/>
      <c r="E10" s="39"/>
      <c r="F10" s="39"/>
      <c r="G10" s="39"/>
      <c r="H10" s="39"/>
      <c r="I10" s="39"/>
      <c r="J10" s="39"/>
      <c r="K10" s="39"/>
    </row>
    <row r="11" spans="1:11" s="1" customFormat="1" ht="13.2">
      <c r="A11" s="6">
        <f t="shared" si="0" ref="A11:A37">+A10+1</f>
        <v>2</v>
      </c>
      <c r="B11" s="38" t="str">
        <f>+'RES Spline Graph'!B11:H11</f>
        <v>After Corrective Procedures for Autocorrelation</v>
      </c>
      <c r="C11" s="39"/>
      <c r="D11" s="39"/>
      <c r="E11" s="39"/>
      <c r="F11" s="39"/>
      <c r="G11" s="39"/>
      <c r="H11" s="39"/>
      <c r="I11" s="39"/>
      <c r="J11" s="39"/>
      <c r="K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1" ht="13.2">
      <c r="A33" s="6">
        <f t="shared" si="0"/>
        <v>24</v>
      </c>
    </row>
    <row r="34" spans="1:2" ht="13.2">
      <c r="A34" s="6">
        <f t="shared" si="0"/>
        <v>25</v>
      </c>
      <c r="B34" s="20"/>
    </row>
    <row r="35" spans="1:6" ht="13.2">
      <c r="A35" s="6">
        <f t="shared" si="0"/>
        <v>26</v>
      </c>
      <c r="F35" s="2"/>
    </row>
    <row r="36" spans="1:6" ht="13.2">
      <c r="A36" s="6">
        <f t="shared" si="0"/>
        <v>27</v>
      </c>
      <c r="F36" s="1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12"/>
    </row>
    <row r="40" spans="1:6" ht="13.2">
      <c r="A40" s="6"/>
      <c r="F40" s="2"/>
    </row>
    <row r="41" spans="1:6" ht="13.2">
      <c r="A41" s="6"/>
      <c r="F41" s="2"/>
    </row>
    <row r="42" spans="1:6" ht="13.2">
      <c r="A42" s="6"/>
      <c r="F42" s="2"/>
    </row>
    <row r="43" spans="1:6" ht="13.2">
      <c r="A43" s="6"/>
      <c r="F43" s="2"/>
    </row>
    <row r="44" spans="1:6" ht="13.2">
      <c r="A44" s="6"/>
      <c r="F44" s="2"/>
    </row>
    <row r="45" spans="1:1" ht="13.2">
      <c r="A45" s="6"/>
    </row>
    <row r="46" spans="1:1" ht="13.2">
      <c r="A46" s="6"/>
    </row>
    <row r="47" spans="1:7" ht="13.2">
      <c r="A47" s="6"/>
      <c r="C47" s="9"/>
      <c r="G47" s="9"/>
    </row>
    <row r="48" spans="1:1" ht="13.2">
      <c r="A48" s="6"/>
    </row>
    <row r="49" spans="1:1" ht="13.2">
      <c r="A49" s="6"/>
    </row>
  </sheetData>
  <mergeCells count="8">
    <mergeCell ref="B10:K10"/>
    <mergeCell ref="B11:K11"/>
    <mergeCell ref="B8:F8"/>
    <mergeCell ref="B1:K1"/>
    <mergeCell ref="B2:K2"/>
    <mergeCell ref="B3:K3"/>
    <mergeCell ref="B4:K4"/>
    <mergeCell ref="B6:K6"/>
  </mergeCells>
  <printOptions horizontalCentered="1"/>
  <pageMargins left="0.83" right="0.78" top="1.5" bottom="1" header="1" footer="0.5"/>
  <pageSetup orientation="portrait" scale="73" r:id="rId2"/>
  <headerFooter alignWithMargins="0">
    <oddHeader>&amp;RWP/II-H-5.2/6
Page &amp;P of 20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65"/>
  <sheetViews>
    <sheetView workbookViewId="0" topLeftCell="A6"/>
  </sheetViews>
  <sheetFormatPr defaultRowHeight="13.5"/>
  <cols>
    <col min="2" max="2" width="28.1428571428571" customWidth="1"/>
    <col min="3" max="3" width="17.1428571428571" customWidth="1"/>
    <col min="4" max="4" width="11.7142857142857" customWidth="1"/>
    <col min="5" max="5" width="12.5714285714286" customWidth="1"/>
    <col min="6" max="6" width="14.7142857142857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157</v>
      </c>
    </row>
    <row r="11" spans="1:3" s="1" customFormat="1" ht="12">
      <c r="A11" s="6">
        <f>+A10+1</f>
        <v>2</v>
      </c>
      <c r="B11" s="3" t="str">
        <f>+'RES Spline Model'!B11</f>
        <v>After Corrective Procedures for Autocorrelation</v>
      </c>
      <c r="C11" s="3"/>
    </row>
    <row r="12" spans="1:3" s="1" customFormat="1" ht="12">
      <c r="A12" s="6">
        <f t="shared" si="0" ref="A12:A65">+A11+1</f>
        <v>3</v>
      </c>
      <c r="B12" s="3" t="s">
        <v>6</v>
      </c>
      <c r="C12" s="3" t="s">
        <v>159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9368.9130000000005</v>
      </c>
      <c r="D17">
        <v>523.61599999999999</v>
      </c>
      <c r="E17">
        <v>17.893000000000001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-207.541</v>
      </c>
      <c r="D18">
        <v>91.906999999999996</v>
      </c>
      <c r="E18">
        <v>-2.258</v>
      </c>
      <c r="F18" s="9">
        <v>0.0241</v>
      </c>
    </row>
    <row r="19" spans="1:6" ht="13.2">
      <c r="A19" s="6">
        <f t="shared" si="0"/>
        <v>10</v>
      </c>
      <c r="B19" t="s">
        <v>93</v>
      </c>
      <c r="C19">
        <v>202.392</v>
      </c>
      <c r="D19">
        <v>23.731000000000002</v>
      </c>
      <c r="E19">
        <v>8.5280000000000005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211.518</v>
      </c>
      <c r="D20">
        <v>29.285</v>
      </c>
      <c r="E20">
        <v>7.2229999999999999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200.40000000000001</v>
      </c>
      <c r="D21">
        <v>30.652000000000001</v>
      </c>
      <c r="E21">
        <v>6.5380000000000003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200.964</v>
      </c>
      <c r="D22">
        <v>30.635999999999999</v>
      </c>
      <c r="E22">
        <v>6.5599999999999996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222.56299999999999</v>
      </c>
      <c r="D23">
        <v>29.347999999999999</v>
      </c>
      <c r="E23">
        <v>7.5839999999999996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102.45399999999999</v>
      </c>
      <c r="D24">
        <v>23.614000000000001</v>
      </c>
      <c r="E24">
        <v>4.3390000000000004</v>
      </c>
      <c r="F24" s="9">
        <v>0</v>
      </c>
    </row>
    <row r="25" spans="1:6" ht="13.2">
      <c r="A25" s="6">
        <f t="shared" si="0"/>
        <v>16</v>
      </c>
      <c r="B25" t="s">
        <v>101</v>
      </c>
      <c r="C25">
        <v>-168.58799999999999</v>
      </c>
      <c r="D25">
        <v>134.13300000000001</v>
      </c>
      <c r="E25">
        <v>-1.2569999999999999</v>
      </c>
      <c r="F25" s="9">
        <v>0.20910000000000001</v>
      </c>
    </row>
    <row r="26" spans="1:6" ht="13.2">
      <c r="A26" s="6">
        <f t="shared" si="0"/>
        <v>17</v>
      </c>
      <c r="B26" t="s">
        <v>107</v>
      </c>
      <c r="C26">
        <v>-300.00099999999998</v>
      </c>
      <c r="D26">
        <v>132.987</v>
      </c>
      <c r="E26">
        <v>-2.2559999999999998</v>
      </c>
      <c r="F26" s="9">
        <v>0.024299999999999999</v>
      </c>
    </row>
    <row r="27" spans="1:6" ht="13.2">
      <c r="A27" s="6">
        <f t="shared" si="0"/>
        <v>18</v>
      </c>
      <c r="B27" t="s">
        <v>109</v>
      </c>
      <c r="C27">
        <v>-424.16800000000001</v>
      </c>
      <c r="D27">
        <v>162.86099999999999</v>
      </c>
      <c r="E27">
        <v>-2.6040000000000001</v>
      </c>
      <c r="F27" s="9">
        <v>0.0092999999999999992</v>
      </c>
    </row>
    <row r="28" spans="1:6" ht="13.2">
      <c r="A28" s="6">
        <f t="shared" si="0"/>
        <v>19</v>
      </c>
      <c r="B28" t="s">
        <v>40</v>
      </c>
      <c r="C28">
        <v>310.63799999999998</v>
      </c>
      <c r="D28">
        <v>95.406999999999996</v>
      </c>
      <c r="E28">
        <v>3.2559999999999998</v>
      </c>
      <c r="F28" s="9">
        <v>0.0011999999999999999</v>
      </c>
    </row>
    <row r="29" spans="1:6" ht="13.2">
      <c r="A29" s="6">
        <f t="shared" si="0"/>
        <v>20</v>
      </c>
      <c r="B29" t="s">
        <v>43</v>
      </c>
      <c r="C29">
        <v>189.88499999999999</v>
      </c>
      <c r="D29">
        <v>115.196</v>
      </c>
      <c r="E29">
        <v>1.6479999999999999</v>
      </c>
      <c r="F29" s="9">
        <v>0.099599999999999994</v>
      </c>
    </row>
    <row r="30" spans="1:6" ht="13.2">
      <c r="A30" s="6">
        <f t="shared" si="0"/>
        <v>21</v>
      </c>
      <c r="B30" t="s">
        <v>44</v>
      </c>
      <c r="C30">
        <v>378.38099999999997</v>
      </c>
      <c r="D30">
        <v>131.477</v>
      </c>
      <c r="E30">
        <v>2.8780000000000001</v>
      </c>
      <c r="F30" s="9">
        <v>0.0041000000000000003</v>
      </c>
    </row>
    <row r="31" spans="1:6" ht="13.2">
      <c r="A31" s="6">
        <f t="shared" si="0"/>
        <v>22</v>
      </c>
      <c r="B31" t="s">
        <v>45</v>
      </c>
      <c r="C31">
        <v>185.791</v>
      </c>
      <c r="D31">
        <v>113.907</v>
      </c>
      <c r="E31">
        <v>1.631</v>
      </c>
      <c r="F31" s="9">
        <v>0.1032</v>
      </c>
    </row>
    <row r="32" spans="1:6" ht="13.2">
      <c r="A32" s="6">
        <f t="shared" si="0"/>
        <v>23</v>
      </c>
      <c r="B32" t="s">
        <v>81</v>
      </c>
      <c r="C32">
        <v>1445.0989999999999</v>
      </c>
      <c r="D32">
        <v>183.958</v>
      </c>
      <c r="E32">
        <v>7.8559999999999999</v>
      </c>
      <c r="F32" s="9">
        <v>0</v>
      </c>
    </row>
    <row r="33" spans="1:6" ht="13.2">
      <c r="A33" s="6">
        <f t="shared" si="0"/>
        <v>24</v>
      </c>
      <c r="B33" t="s">
        <v>160</v>
      </c>
      <c r="C33">
        <v>14.089</v>
      </c>
      <c r="D33">
        <v>2.2930000000000001</v>
      </c>
      <c r="E33">
        <v>6.1440000000000001</v>
      </c>
      <c r="F33" s="9">
        <v>0</v>
      </c>
    </row>
    <row r="34" spans="1:6" ht="13.2">
      <c r="A34" s="6">
        <f t="shared" si="0"/>
        <v>25</v>
      </c>
      <c r="B34" t="s">
        <v>161</v>
      </c>
      <c r="C34">
        <v>21.437999999999999</v>
      </c>
      <c r="D34">
        <v>5.4109999999999996</v>
      </c>
      <c r="E34">
        <v>3.9620000000000002</v>
      </c>
      <c r="F34" s="9">
        <v>0.00010000000000000001</v>
      </c>
    </row>
    <row r="35" spans="1:6" ht="13.2">
      <c r="A35" s="6">
        <f t="shared" si="0"/>
        <v>26</v>
      </c>
      <c r="B35" t="s">
        <v>162</v>
      </c>
      <c r="C35">
        <v>-28.896000000000001</v>
      </c>
      <c r="D35">
        <v>13.574</v>
      </c>
      <c r="E35">
        <v>-2.129</v>
      </c>
      <c r="F35" s="9">
        <v>0.033500000000000002</v>
      </c>
    </row>
    <row r="36" spans="1:6" ht="13.2">
      <c r="A36" s="6">
        <f t="shared" si="0"/>
        <v>27</v>
      </c>
      <c r="B36" t="s">
        <v>31</v>
      </c>
      <c r="C36">
        <v>0.64100000000000001</v>
      </c>
      <c r="D36">
        <v>0.031</v>
      </c>
      <c r="E36">
        <v>20.792999999999999</v>
      </c>
      <c r="F36" s="9">
        <v>0</v>
      </c>
    </row>
    <row r="37" spans="1:6" ht="13.2">
      <c r="A37" s="6">
        <f t="shared" si="0"/>
        <v>28</v>
      </c>
      <c r="B37" t="s">
        <v>32</v>
      </c>
      <c r="C37">
        <v>0.012</v>
      </c>
      <c r="D37">
        <v>0.036999999999999998</v>
      </c>
      <c r="E37">
        <v>0.33100000000000002</v>
      </c>
      <c r="F37" s="9">
        <v>0.74060000000000004</v>
      </c>
    </row>
    <row r="38" spans="1:6" ht="13.2">
      <c r="A38" s="6">
        <f t="shared" si="0"/>
        <v>29</v>
      </c>
      <c r="B38" t="s">
        <v>33</v>
      </c>
      <c r="C38">
        <v>0.11</v>
      </c>
      <c r="D38">
        <v>0.036999999999999998</v>
      </c>
      <c r="E38">
        <v>3.0150000000000001</v>
      </c>
      <c r="F38" s="9">
        <v>0.0025999999999999999</v>
      </c>
    </row>
    <row r="39" spans="1:6" ht="13.2">
      <c r="A39" s="6">
        <f t="shared" si="0"/>
        <v>30</v>
      </c>
      <c r="B39" t="s">
        <v>34</v>
      </c>
      <c r="C39">
        <v>-0.02</v>
      </c>
      <c r="D39">
        <v>0.036999999999999998</v>
      </c>
      <c r="E39">
        <v>-0.55600000000000005</v>
      </c>
      <c r="F39" s="9">
        <v>0.57799999999999996</v>
      </c>
    </row>
    <row r="40" spans="1:6" ht="13.2">
      <c r="A40" s="6">
        <f t="shared" si="0"/>
        <v>31</v>
      </c>
      <c r="B40" t="s">
        <v>36</v>
      </c>
      <c r="C40">
        <v>0.047</v>
      </c>
      <c r="D40">
        <v>0.036999999999999998</v>
      </c>
      <c r="E40">
        <v>1.29</v>
      </c>
      <c r="F40" s="9">
        <v>0.19750000000000001</v>
      </c>
    </row>
    <row r="41" spans="1:6" ht="13.2">
      <c r="A41" s="6">
        <f t="shared" si="0"/>
        <v>32</v>
      </c>
      <c r="B41" t="s">
        <v>49</v>
      </c>
      <c r="C41">
        <v>0.01</v>
      </c>
      <c r="D41">
        <v>0.036999999999999998</v>
      </c>
      <c r="E41">
        <v>0.28299999999999997</v>
      </c>
      <c r="F41" s="9">
        <v>0.77710000000000001</v>
      </c>
    </row>
    <row r="42" spans="1:6" ht="13.2">
      <c r="A42" s="6">
        <f t="shared" si="0"/>
        <v>33</v>
      </c>
      <c r="B42" t="s">
        <v>50</v>
      </c>
      <c r="C42">
        <v>0.014999999999999999</v>
      </c>
      <c r="D42">
        <v>0.036999999999999998</v>
      </c>
      <c r="E42">
        <v>0.41899999999999998</v>
      </c>
      <c r="F42" s="9">
        <v>0.67510000000000003</v>
      </c>
    </row>
    <row r="43" spans="1:6" ht="13.2">
      <c r="A43" s="6">
        <f t="shared" si="0"/>
        <v>34</v>
      </c>
      <c r="B43" t="s">
        <v>66</v>
      </c>
      <c r="C43">
        <v>0.029999999999999999</v>
      </c>
      <c r="D43">
        <v>0.036999999999999998</v>
      </c>
      <c r="E43">
        <v>0.82199999999999995</v>
      </c>
      <c r="F43" s="9">
        <v>0.41149999999999998</v>
      </c>
    </row>
    <row r="44" spans="1:6" ht="13.2">
      <c r="A44" s="6">
        <f t="shared" si="0"/>
        <v>35</v>
      </c>
      <c r="B44" t="s">
        <v>67</v>
      </c>
      <c r="C44">
        <v>0.010999999999999999</v>
      </c>
      <c r="D44">
        <v>0.036999999999999998</v>
      </c>
      <c r="E44">
        <v>0.312</v>
      </c>
      <c r="F44" s="9">
        <v>0.75519999999999998</v>
      </c>
    </row>
    <row r="45" spans="1:6" ht="13.2">
      <c r="A45" s="6">
        <f t="shared" si="0"/>
        <v>36</v>
      </c>
      <c r="B45" t="s">
        <v>68</v>
      </c>
      <c r="C45">
        <v>0.021999999999999999</v>
      </c>
      <c r="D45">
        <v>0.036999999999999998</v>
      </c>
      <c r="E45">
        <v>0.59199999999999997</v>
      </c>
      <c r="F45" s="9">
        <v>0.55369999999999997</v>
      </c>
    </row>
    <row r="46" spans="1:6" ht="13.2">
      <c r="A46" s="6">
        <f t="shared" si="0"/>
        <v>37</v>
      </c>
      <c r="B46" t="s">
        <v>69</v>
      </c>
      <c r="C46">
        <v>0.012999999999999999</v>
      </c>
      <c r="D46">
        <v>0.036999999999999998</v>
      </c>
      <c r="E46">
        <v>0.35299999999999998</v>
      </c>
      <c r="F46" s="9">
        <v>0.72409999999999997</v>
      </c>
    </row>
    <row r="47" spans="1:6" ht="13.2">
      <c r="A47" s="6">
        <f t="shared" si="0"/>
        <v>38</v>
      </c>
      <c r="B47" t="s">
        <v>70</v>
      </c>
      <c r="C47">
        <v>0.012</v>
      </c>
      <c r="D47">
        <v>0.036999999999999998</v>
      </c>
      <c r="E47">
        <v>0.34200000000000003</v>
      </c>
      <c r="F47" s="9">
        <v>0.73260000000000003</v>
      </c>
    </row>
    <row r="48" spans="1:6" ht="13.2">
      <c r="A48" s="6">
        <f t="shared" si="0"/>
        <v>39</v>
      </c>
      <c r="B48" t="s">
        <v>71</v>
      </c>
      <c r="C48">
        <v>0.039</v>
      </c>
      <c r="D48">
        <v>0.031</v>
      </c>
      <c r="E48">
        <v>1.278</v>
      </c>
      <c r="F48" s="9">
        <v>0.2014</v>
      </c>
    </row>
    <row r="49" spans="1:6" ht="13.2">
      <c r="A49" s="6">
        <f t="shared" si="0"/>
        <v>40</v>
      </c>
      <c r="F49" s="12"/>
    </row>
    <row r="50" spans="1:6" ht="13.2">
      <c r="A50" s="6">
        <f t="shared" si="0"/>
        <v>41</v>
      </c>
      <c r="B50" s="4" t="s">
        <v>120</v>
      </c>
      <c r="F50" s="12"/>
    </row>
    <row r="51" spans="1:6" ht="13.2">
      <c r="A51" s="6">
        <f t="shared" si="0"/>
        <v>42</v>
      </c>
      <c r="B51" t="s">
        <v>30</v>
      </c>
      <c r="C51">
        <v>1083</v>
      </c>
      <c r="F51" s="9"/>
    </row>
    <row r="52" spans="1:6" ht="13.2">
      <c r="A52" s="6">
        <f t="shared" si="0"/>
        <v>43</v>
      </c>
      <c r="B52" t="s">
        <v>10</v>
      </c>
      <c r="C52" s="16">
        <v>1051</v>
      </c>
      <c r="F52" s="9"/>
    </row>
    <row r="53" spans="1:6" ht="13.2">
      <c r="A53" s="6">
        <f t="shared" si="0"/>
        <v>44</v>
      </c>
      <c r="B53" t="s">
        <v>12</v>
      </c>
      <c r="C53" s="22">
        <v>0.96899999999999997</v>
      </c>
      <c r="F53" s="9"/>
    </row>
    <row r="54" spans="1:6" ht="13.2">
      <c r="A54" s="6">
        <f t="shared" si="0"/>
        <v>45</v>
      </c>
      <c r="B54" t="s">
        <v>13</v>
      </c>
      <c r="C54" s="22">
        <v>0.96799999999999997</v>
      </c>
      <c r="F54" s="9"/>
    </row>
    <row r="55" spans="1:6" ht="13.2">
      <c r="A55" s="6">
        <f t="shared" si="0"/>
        <v>46</v>
      </c>
      <c r="B55" t="s">
        <v>15</v>
      </c>
      <c r="C55" s="16">
        <v>1057.1410000000001</v>
      </c>
      <c r="F55" s="9"/>
    </row>
    <row r="56" spans="1:6" ht="13.2">
      <c r="A56" s="6">
        <f t="shared" si="0"/>
        <v>47</v>
      </c>
      <c r="B56" t="s">
        <v>16</v>
      </c>
      <c r="C56" s="19">
        <v>0</v>
      </c>
      <c r="F56" s="9"/>
    </row>
    <row r="57" spans="1:3" ht="13.2">
      <c r="A57" s="6">
        <f t="shared" si="0"/>
        <v>48</v>
      </c>
      <c r="B57" t="s">
        <v>17</v>
      </c>
      <c r="C57" s="21">
        <v>2492066894.1300001</v>
      </c>
    </row>
    <row r="58" spans="1:6" ht="13.2">
      <c r="A58" s="6">
        <f t="shared" si="0"/>
        <v>49</v>
      </c>
      <c r="B58" t="s">
        <v>18</v>
      </c>
      <c r="C58" s="21">
        <v>79922247.25</v>
      </c>
      <c r="F58" s="9"/>
    </row>
    <row r="59" spans="1:6" ht="13.2">
      <c r="A59" s="6">
        <f t="shared" si="0"/>
        <v>50</v>
      </c>
      <c r="B59" t="s">
        <v>19</v>
      </c>
      <c r="C59" s="21">
        <v>76044</v>
      </c>
      <c r="F59" s="9"/>
    </row>
    <row r="60" spans="1:6" ht="13.2">
      <c r="A60" s="6">
        <f t="shared" si="0"/>
        <v>51</v>
      </c>
      <c r="B60" t="s">
        <v>20</v>
      </c>
      <c r="C60">
        <v>275.75999999999999</v>
      </c>
      <c r="F60" s="9"/>
    </row>
    <row r="61" spans="1:3" ht="13.2">
      <c r="A61" s="6">
        <f t="shared" si="0"/>
        <v>52</v>
      </c>
      <c r="B61" t="s">
        <v>9</v>
      </c>
      <c r="C61">
        <v>205.25</v>
      </c>
    </row>
    <row r="62" spans="1:3" ht="13.2">
      <c r="A62" s="6">
        <f t="shared" si="0"/>
        <v>53</v>
      </c>
      <c r="B62" t="s">
        <v>11</v>
      </c>
      <c r="C62" s="9">
        <v>0.015400000000000001</v>
      </c>
    </row>
    <row r="63" spans="1:3" ht="13.2">
      <c r="A63" s="6">
        <f t="shared" si="0"/>
        <v>54</v>
      </c>
      <c r="B63" t="s">
        <v>14</v>
      </c>
      <c r="C63">
        <v>1.998</v>
      </c>
    </row>
    <row r="64" spans="1:3" ht="13.2">
      <c r="A64" s="6">
        <f t="shared" si="0"/>
        <v>55</v>
      </c>
      <c r="B64" t="s">
        <v>21</v>
      </c>
      <c r="C64">
        <v>11.050000000000001</v>
      </c>
    </row>
    <row r="65" spans="1:3" ht="13.2">
      <c r="A65" s="6">
        <f t="shared" si="0"/>
        <v>56</v>
      </c>
      <c r="B65" t="s">
        <v>22</v>
      </c>
      <c r="C65">
        <v>0.98860000000000003</v>
      </c>
    </row>
  </sheetData>
  <mergeCells count="6">
    <mergeCell ref="B8:F8"/>
    <mergeCell ref="B1:F1"/>
    <mergeCell ref="B2:F2"/>
    <mergeCell ref="B3:F3"/>
    <mergeCell ref="B4:F4"/>
    <mergeCell ref="B6:F6"/>
  </mergeCells>
  <printOptions horizontalCentered="1"/>
  <pageMargins left="0.83" right="0.78" top="1.5" bottom="1" header="1" footer="0.5"/>
  <pageSetup orientation="portrait" scale="76" r:id="rId1"/>
  <headerFooter alignWithMargins="0">
    <oddHeader>&amp;RWP/II-H-5.2/6
Page &amp;P of 20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K49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</cols>
  <sheetData>
    <row r="1" spans="1:11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  <c r="K1" s="39"/>
    </row>
    <row r="2" spans="1:11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  <c r="K2" s="39"/>
    </row>
    <row r="3" spans="1:11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  <c r="K3" s="39"/>
    </row>
    <row r="4" spans="1:11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  <c r="K4" s="39"/>
    </row>
    <row r="5" spans="1:1" s="1" customFormat="1" ht="11.4">
      <c r="A5" s="6"/>
    </row>
    <row r="6" spans="1:11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  <c r="K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1" s="1" customFormat="1" ht="13.2">
      <c r="A10" s="6">
        <v>1</v>
      </c>
      <c r="B10" s="38" t="s">
        <v>158</v>
      </c>
      <c r="C10" s="39"/>
      <c r="D10" s="39"/>
      <c r="E10" s="39"/>
      <c r="F10" s="39"/>
      <c r="G10" s="39"/>
      <c r="H10" s="39"/>
      <c r="I10" s="39"/>
      <c r="J10" s="39"/>
      <c r="K10" s="39"/>
    </row>
    <row r="11" spans="1:11" s="1" customFormat="1" ht="13.2">
      <c r="A11" s="6">
        <f t="shared" si="0" ref="A11:A37">+A10+1</f>
        <v>2</v>
      </c>
      <c r="B11" s="38" t="str">
        <f>+'RES Spline Graph'!B11:H11</f>
        <v>After Corrective Procedures for Autocorrelation</v>
      </c>
      <c r="C11" s="39"/>
      <c r="D11" s="39"/>
      <c r="E11" s="39"/>
      <c r="F11" s="39"/>
      <c r="G11" s="39"/>
      <c r="H11" s="39"/>
      <c r="I11" s="39"/>
      <c r="J11" s="39"/>
      <c r="K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1" ht="13.2">
      <c r="A33" s="6">
        <f t="shared" si="0"/>
        <v>24</v>
      </c>
    </row>
    <row r="34" spans="1:2" ht="13.2">
      <c r="A34" s="6">
        <f t="shared" si="0"/>
        <v>25</v>
      </c>
      <c r="B34" s="20"/>
    </row>
    <row r="35" spans="1:6" ht="13.2">
      <c r="A35" s="6">
        <f t="shared" si="0"/>
        <v>26</v>
      </c>
      <c r="F35" s="2"/>
    </row>
    <row r="36" spans="1:6" ht="13.2">
      <c r="A36" s="6">
        <f t="shared" si="0"/>
        <v>27</v>
      </c>
      <c r="F36" s="1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12"/>
    </row>
    <row r="40" spans="1:6" ht="13.2">
      <c r="A40" s="6"/>
      <c r="F40" s="2"/>
    </row>
    <row r="41" spans="1:6" ht="13.2">
      <c r="A41" s="6"/>
      <c r="F41" s="2"/>
    </row>
    <row r="42" spans="1:6" ht="13.2">
      <c r="A42" s="6"/>
      <c r="F42" s="2"/>
    </row>
    <row r="43" spans="1:6" ht="13.2">
      <c r="A43" s="6"/>
      <c r="F43" s="2"/>
    </row>
    <row r="44" spans="1:6" ht="13.2">
      <c r="A44" s="6"/>
      <c r="F44" s="2"/>
    </row>
    <row r="45" spans="1:1" ht="13.2">
      <c r="A45" s="6"/>
    </row>
    <row r="46" spans="1:1" ht="13.2">
      <c r="A46" s="6"/>
    </row>
    <row r="47" spans="1:7" ht="13.2">
      <c r="A47" s="6"/>
      <c r="C47" s="9"/>
      <c r="G47" s="9"/>
    </row>
    <row r="48" spans="1:1" ht="13.2">
      <c r="A48" s="6"/>
    </row>
    <row r="49" spans="1:1" ht="13.2">
      <c r="A49" s="6"/>
    </row>
  </sheetData>
  <mergeCells count="8">
    <mergeCell ref="B10:K10"/>
    <mergeCell ref="B11:K11"/>
    <mergeCell ref="B1:K1"/>
    <mergeCell ref="B2:K2"/>
    <mergeCell ref="B3:K3"/>
    <mergeCell ref="B4:K4"/>
    <mergeCell ref="B6:K6"/>
    <mergeCell ref="B8:F8"/>
  </mergeCells>
  <printOptions horizontalCentered="1"/>
  <pageMargins left="0.83" right="0.78" top="1.5" bottom="1" header="1" footer="0.5"/>
  <pageSetup orientation="portrait" scale="73" r:id="rId2"/>
  <headerFooter alignWithMargins="0">
    <oddHeader>&amp;RWP/II-H-5.2/6
Page &amp;P of 20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">
    <pageSetUpPr fitToPage="1"/>
  </sheetPr>
  <dimension ref="A1:F79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20.1428571428571" bestFit="1" customWidth="1"/>
    <col min="4" max="5" width="9.28571428571429" bestFit="1" customWidth="1"/>
    <col min="6" max="6" width="9.28571428571429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57</v>
      </c>
    </row>
    <row r="11" spans="1:3" s="1" customFormat="1" ht="12">
      <c r="A11" s="6">
        <f t="shared" si="0" ref="A11:A42">+A10+1</f>
        <v>2</v>
      </c>
      <c r="B11" s="3" t="s">
        <v>53</v>
      </c>
      <c r="C11" s="3"/>
    </row>
    <row r="12" spans="1:3" s="1" customFormat="1" ht="12">
      <c r="A12" s="6">
        <f t="shared" si="0"/>
        <v>3</v>
      </c>
      <c r="B12" s="3" t="s">
        <v>6</v>
      </c>
      <c r="C12" s="3" t="s">
        <v>65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85417.520999999993</v>
      </c>
      <c r="D17">
        <v>1502.0060000000001</v>
      </c>
      <c r="E17">
        <v>56.869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-4891.04</v>
      </c>
      <c r="D18">
        <v>1436.633</v>
      </c>
      <c r="E18">
        <v>-3.4049999999999998</v>
      </c>
      <c r="F18" s="9">
        <v>0.00069999999999999999</v>
      </c>
    </row>
    <row r="19" spans="1:6" ht="13.2">
      <c r="A19" s="6">
        <f t="shared" si="0"/>
        <v>10</v>
      </c>
      <c r="B19" t="s">
        <v>93</v>
      </c>
      <c r="C19">
        <v>-6278.3400000000001</v>
      </c>
      <c r="D19">
        <v>800.12300000000005</v>
      </c>
      <c r="E19">
        <v>-7.8470000000000004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-6649.8959999999997</v>
      </c>
      <c r="D20">
        <v>783.02300000000002</v>
      </c>
      <c r="E20">
        <v>-8.4930000000000003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-6090.5029999999997</v>
      </c>
      <c r="D21">
        <v>783.45500000000004</v>
      </c>
      <c r="E21">
        <v>-7.774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-5565.5230000000001</v>
      </c>
      <c r="D22">
        <v>786.72699999999998</v>
      </c>
      <c r="E22">
        <v>-7.0739999999999998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-8313.1350000000002</v>
      </c>
      <c r="D23">
        <v>793.48199999999997</v>
      </c>
      <c r="E23">
        <v>-10.477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-3527.317</v>
      </c>
      <c r="D24">
        <v>779.99199999999996</v>
      </c>
      <c r="E24">
        <v>-4.5220000000000002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10829.206</v>
      </c>
      <c r="D25">
        <v>4141.6800000000003</v>
      </c>
      <c r="E25">
        <v>2.6150000000000002</v>
      </c>
      <c r="F25" s="9">
        <v>0.0091000000000000004</v>
      </c>
    </row>
    <row r="26" spans="1:6" ht="13.2">
      <c r="A26" s="6">
        <f t="shared" si="0"/>
        <v>17</v>
      </c>
      <c r="B26" t="s">
        <v>100</v>
      </c>
      <c r="C26">
        <v>-9497.0419999999995</v>
      </c>
      <c r="D26">
        <v>4104.1899999999996</v>
      </c>
      <c r="E26">
        <v>-2.3140000000000001</v>
      </c>
      <c r="F26" s="9">
        <v>0.020799999999999999</v>
      </c>
    </row>
    <row r="27" spans="1:6" ht="13.2">
      <c r="A27" s="6">
        <f t="shared" si="0"/>
        <v>18</v>
      </c>
      <c r="B27" t="s">
        <v>121</v>
      </c>
      <c r="C27">
        <v>2785.3600000000001</v>
      </c>
      <c r="D27">
        <v>4078.4989999999998</v>
      </c>
      <c r="E27">
        <v>0.68300000000000005</v>
      </c>
      <c r="F27" s="9">
        <v>0.49480000000000002</v>
      </c>
    </row>
    <row r="28" spans="1:6" ht="13.2">
      <c r="A28" s="6">
        <f t="shared" si="0"/>
        <v>19</v>
      </c>
      <c r="B28" t="s">
        <v>101</v>
      </c>
      <c r="C28">
        <v>10162.255999999999</v>
      </c>
      <c r="D28">
        <v>4089.3429999999998</v>
      </c>
      <c r="E28">
        <v>2.4849999999999999</v>
      </c>
      <c r="F28" s="9">
        <v>0.013100000000000001</v>
      </c>
    </row>
    <row r="29" spans="1:6" ht="13.2">
      <c r="A29" s="6">
        <f t="shared" si="0"/>
        <v>20</v>
      </c>
      <c r="B29" t="s">
        <v>122</v>
      </c>
      <c r="C29">
        <v>4070.7060000000001</v>
      </c>
      <c r="D29">
        <v>4061.4690000000001</v>
      </c>
      <c r="E29">
        <v>1.002</v>
      </c>
      <c r="F29" s="9">
        <v>0.31640000000000001</v>
      </c>
    </row>
    <row r="30" spans="1:6" ht="13.2">
      <c r="A30" s="6">
        <f t="shared" si="0"/>
        <v>21</v>
      </c>
      <c r="B30" t="s">
        <v>102</v>
      </c>
      <c r="C30">
        <v>11434.051</v>
      </c>
      <c r="D30">
        <v>4082.1900000000001</v>
      </c>
      <c r="E30">
        <v>2.8010000000000002</v>
      </c>
      <c r="F30" s="9">
        <v>0.0051999999999999998</v>
      </c>
    </row>
    <row r="31" spans="1:6" ht="13.2">
      <c r="A31" s="6">
        <f t="shared" si="0"/>
        <v>22</v>
      </c>
      <c r="B31" t="s">
        <v>103</v>
      </c>
      <c r="C31">
        <v>9250.1560000000009</v>
      </c>
      <c r="D31">
        <v>4086.0900000000001</v>
      </c>
      <c r="E31">
        <v>2.2639999999999998</v>
      </c>
      <c r="F31" s="9">
        <v>0.023800000000000002</v>
      </c>
    </row>
    <row r="32" spans="1:6" ht="13.2">
      <c r="A32" s="6">
        <f t="shared" si="0"/>
        <v>23</v>
      </c>
      <c r="B32" t="s">
        <v>104</v>
      </c>
      <c r="C32">
        <v>6301.4309999999996</v>
      </c>
      <c r="D32">
        <v>4090.1080000000002</v>
      </c>
      <c r="E32">
        <v>1.5409999999999999</v>
      </c>
      <c r="F32" s="9">
        <v>0.1237</v>
      </c>
    </row>
    <row r="33" spans="1:6" ht="13.2">
      <c r="A33" s="6">
        <f t="shared" si="0"/>
        <v>24</v>
      </c>
      <c r="B33" t="s">
        <v>105</v>
      </c>
      <c r="C33">
        <v>4315.3980000000001</v>
      </c>
      <c r="D33">
        <v>4600.5879999999997</v>
      </c>
      <c r="E33">
        <v>0.93799999999999994</v>
      </c>
      <c r="F33" s="9">
        <v>0.34839999999999999</v>
      </c>
    </row>
    <row r="34" spans="1:6" ht="13.2">
      <c r="A34" s="6">
        <f t="shared" si="0"/>
        <v>25</v>
      </c>
      <c r="B34" t="s">
        <v>106</v>
      </c>
      <c r="C34">
        <v>14584.159</v>
      </c>
      <c r="D34">
        <v>4207.1660000000002</v>
      </c>
      <c r="E34">
        <v>3.4670000000000001</v>
      </c>
      <c r="F34" s="9">
        <v>0.00059999999999999995</v>
      </c>
    </row>
    <row r="35" spans="1:6" ht="13.2">
      <c r="A35" s="6">
        <f t="shared" si="0"/>
        <v>26</v>
      </c>
      <c r="B35" t="s">
        <v>107</v>
      </c>
      <c r="C35">
        <v>10719.967000000001</v>
      </c>
      <c r="D35">
        <v>4228.4840000000004</v>
      </c>
      <c r="E35">
        <v>2.5350000000000001</v>
      </c>
      <c r="F35" s="9">
        <v>0.0114</v>
      </c>
    </row>
    <row r="36" spans="1:6" ht="13.2">
      <c r="A36" s="6">
        <f t="shared" si="0"/>
        <v>27</v>
      </c>
      <c r="B36" t="s">
        <v>123</v>
      </c>
      <c r="C36">
        <v>2517.223</v>
      </c>
      <c r="D36">
        <v>4900.6610000000001</v>
      </c>
      <c r="E36">
        <v>0.51400000000000001</v>
      </c>
      <c r="F36" s="9">
        <v>0.60760000000000003</v>
      </c>
    </row>
    <row r="37" spans="1:6" ht="13.2">
      <c r="A37" s="6">
        <f t="shared" si="0"/>
        <v>28</v>
      </c>
      <c r="B37" t="s">
        <v>108</v>
      </c>
      <c r="C37">
        <v>10800.428</v>
      </c>
      <c r="D37">
        <v>4213.1289999999999</v>
      </c>
      <c r="E37">
        <v>2.5640000000000001</v>
      </c>
      <c r="F37" s="9">
        <v>0.010500000000000001</v>
      </c>
    </row>
    <row r="38" spans="1:6" ht="13.2">
      <c r="A38" s="6">
        <f t="shared" si="0"/>
        <v>29</v>
      </c>
      <c r="B38" t="s">
        <v>109</v>
      </c>
      <c r="C38">
        <v>3128.1149999999998</v>
      </c>
      <c r="D38">
        <v>4144.4080000000004</v>
      </c>
      <c r="E38">
        <v>0.755</v>
      </c>
      <c r="F38" s="9">
        <v>0.45050000000000001</v>
      </c>
    </row>
    <row r="39" spans="1:6" ht="13.2">
      <c r="A39" s="6">
        <f t="shared" si="0"/>
        <v>30</v>
      </c>
      <c r="B39" t="s">
        <v>110</v>
      </c>
      <c r="C39">
        <v>334.161</v>
      </c>
      <c r="D39">
        <v>95.116</v>
      </c>
      <c r="E39">
        <v>3.5129999999999999</v>
      </c>
      <c r="F39" s="9">
        <v>0.00050000000000000001</v>
      </c>
    </row>
    <row r="40" spans="1:6" ht="13.2">
      <c r="A40" s="6">
        <f t="shared" si="0"/>
        <v>31</v>
      </c>
      <c r="B40" t="s">
        <v>38</v>
      </c>
      <c r="C40">
        <v>-2803.078</v>
      </c>
      <c r="D40">
        <v>1069.777</v>
      </c>
      <c r="E40">
        <v>-2.6200000000000001</v>
      </c>
      <c r="F40" s="9">
        <v>0.0088999999999999999</v>
      </c>
    </row>
    <row r="41" spans="1:6" ht="13.2">
      <c r="A41" s="6">
        <f t="shared" si="0"/>
        <v>32</v>
      </c>
      <c r="B41" t="s">
        <v>39</v>
      </c>
      <c r="C41">
        <v>-10179.267</v>
      </c>
      <c r="D41">
        <v>1498.6410000000001</v>
      </c>
      <c r="E41">
        <v>-6.7919999999999998</v>
      </c>
      <c r="F41" s="9">
        <v>0</v>
      </c>
    </row>
    <row r="42" spans="1:6" ht="13.2">
      <c r="A42" s="6">
        <f t="shared" si="0"/>
        <v>33</v>
      </c>
      <c r="B42" t="s">
        <v>40</v>
      </c>
      <c r="C42">
        <v>-7173.1210000000001</v>
      </c>
      <c r="D42">
        <v>1813.348</v>
      </c>
      <c r="E42">
        <v>-3.956</v>
      </c>
      <c r="F42" s="9">
        <v>0.00010000000000000001</v>
      </c>
    </row>
    <row r="43" spans="1:6" ht="13.2">
      <c r="A43" s="6">
        <f t="shared" si="1" ref="A43:A61">+A42+1</f>
        <v>34</v>
      </c>
      <c r="B43" t="s">
        <v>41</v>
      </c>
      <c r="C43">
        <v>-731.25</v>
      </c>
      <c r="D43">
        <v>1928.258</v>
      </c>
      <c r="E43">
        <v>-0.379</v>
      </c>
      <c r="F43" s="9">
        <v>0.7046</v>
      </c>
    </row>
    <row r="44" spans="1:6" ht="13.2">
      <c r="A44" s="6">
        <f t="shared" si="1"/>
        <v>35</v>
      </c>
      <c r="B44" t="s">
        <v>42</v>
      </c>
      <c r="C44">
        <v>6813.1329999999998</v>
      </c>
      <c r="D44">
        <v>2047.422</v>
      </c>
      <c r="E44">
        <v>3.3279999999999998</v>
      </c>
      <c r="F44" s="9">
        <v>0.00089999999999999998</v>
      </c>
    </row>
    <row r="45" spans="1:6" ht="13.2">
      <c r="A45" s="6">
        <f t="shared" si="1"/>
        <v>36</v>
      </c>
      <c r="B45" t="s">
        <v>43</v>
      </c>
      <c r="C45">
        <v>10249.458000000001</v>
      </c>
      <c r="D45">
        <v>2124.607</v>
      </c>
      <c r="E45">
        <v>4.8239999999999998</v>
      </c>
      <c r="F45" s="9">
        <v>0</v>
      </c>
    </row>
    <row r="46" spans="1:6" ht="13.2">
      <c r="A46" s="6">
        <f t="shared" si="1"/>
        <v>37</v>
      </c>
      <c r="B46" t="s">
        <v>44</v>
      </c>
      <c r="C46">
        <v>8245.6350000000002</v>
      </c>
      <c r="D46">
        <v>2123.7820000000002</v>
      </c>
      <c r="E46">
        <v>3.883</v>
      </c>
      <c r="F46" s="9">
        <v>0.00010000000000000001</v>
      </c>
    </row>
    <row r="47" spans="1:6" ht="13.2">
      <c r="A47" s="6">
        <f t="shared" si="1"/>
        <v>38</v>
      </c>
      <c r="B47" t="s">
        <v>45</v>
      </c>
      <c r="C47">
        <v>-725.46000000000004</v>
      </c>
      <c r="D47">
        <v>1977.1900000000001</v>
      </c>
      <c r="E47">
        <v>-0.36699999999999999</v>
      </c>
      <c r="F47" s="9">
        <v>0.71379999999999999</v>
      </c>
    </row>
    <row r="48" spans="1:6" ht="13.2">
      <c r="A48" s="6">
        <f t="shared" si="1"/>
        <v>39</v>
      </c>
      <c r="B48" t="s">
        <v>52</v>
      </c>
      <c r="C48">
        <v>-5624.2619999999997</v>
      </c>
      <c r="D48">
        <v>1815.1179999999999</v>
      </c>
      <c r="E48">
        <v>-3.0990000000000002</v>
      </c>
      <c r="F48" s="9">
        <v>0.002</v>
      </c>
    </row>
    <row r="49" spans="1:6" ht="13.2">
      <c r="A49" s="6">
        <f t="shared" si="1"/>
        <v>40</v>
      </c>
      <c r="B49" t="s">
        <v>46</v>
      </c>
      <c r="C49">
        <v>-8633.5200000000004</v>
      </c>
      <c r="D49">
        <v>1114.4929999999999</v>
      </c>
      <c r="E49">
        <v>-7.7469999999999999</v>
      </c>
      <c r="F49" s="9">
        <v>0</v>
      </c>
    </row>
    <row r="50" spans="1:6" ht="13.2">
      <c r="A50" s="6">
        <f t="shared" si="1"/>
        <v>41</v>
      </c>
      <c r="B50" t="s">
        <v>47</v>
      </c>
      <c r="C50">
        <v>-8228.2459999999992</v>
      </c>
      <c r="D50">
        <v>1580.848</v>
      </c>
      <c r="E50">
        <v>-5.2050000000000001</v>
      </c>
      <c r="F50" s="9">
        <v>0</v>
      </c>
    </row>
    <row r="51" spans="1:6" ht="13.2">
      <c r="A51" s="6">
        <f t="shared" si="1"/>
        <v>42</v>
      </c>
      <c r="B51" t="s">
        <v>81</v>
      </c>
      <c r="C51">
        <v>1804.7639999999999</v>
      </c>
      <c r="D51">
        <v>258.505</v>
      </c>
      <c r="E51">
        <v>6.9820000000000002</v>
      </c>
      <c r="F51" s="9">
        <v>0</v>
      </c>
    </row>
    <row r="52" spans="1:6" ht="13.2">
      <c r="A52" s="6">
        <f t="shared" si="1"/>
        <v>43</v>
      </c>
      <c r="B52" t="s">
        <v>111</v>
      </c>
      <c r="C52">
        <v>1490.1890000000001</v>
      </c>
      <c r="D52">
        <v>468.78800000000001</v>
      </c>
      <c r="E52">
        <v>3.1789999999999998</v>
      </c>
      <c r="F52" s="9">
        <v>0.0015</v>
      </c>
    </row>
    <row r="53" spans="1:6" ht="13.2">
      <c r="A53" s="6">
        <f t="shared" si="1"/>
        <v>44</v>
      </c>
      <c r="B53" t="s">
        <v>112</v>
      </c>
      <c r="C53">
        <v>927.154</v>
      </c>
      <c r="D53">
        <v>610.91899999999998</v>
      </c>
      <c r="E53">
        <v>1.518</v>
      </c>
      <c r="F53" s="9">
        <v>0.12939999999999999</v>
      </c>
    </row>
    <row r="54" spans="1:6" ht="13.2">
      <c r="A54" s="6">
        <f t="shared" si="1"/>
        <v>45</v>
      </c>
      <c r="B54" t="s">
        <v>134</v>
      </c>
      <c r="C54">
        <v>157.97900000000001</v>
      </c>
      <c r="D54">
        <v>590.97000000000003</v>
      </c>
      <c r="E54">
        <v>0.26700000000000002</v>
      </c>
      <c r="F54" s="9">
        <v>0.7893</v>
      </c>
    </row>
    <row r="55" spans="1:6" ht="13.2">
      <c r="A55" s="6">
        <f t="shared" si="1"/>
        <v>46</v>
      </c>
      <c r="B55" t="s">
        <v>113</v>
      </c>
      <c r="C55">
        <v>1765.25</v>
      </c>
      <c r="D55">
        <v>535.33000000000004</v>
      </c>
      <c r="E55">
        <v>3.298</v>
      </c>
      <c r="F55" s="9">
        <v>0.001</v>
      </c>
    </row>
    <row r="56" spans="1:6" ht="13.2">
      <c r="A56" s="6">
        <f t="shared" si="1"/>
        <v>47</v>
      </c>
      <c r="B56" t="s">
        <v>114</v>
      </c>
      <c r="C56">
        <v>1162.9500000000001</v>
      </c>
      <c r="D56">
        <v>528.452</v>
      </c>
      <c r="E56">
        <v>2.2010000000000001</v>
      </c>
      <c r="F56" s="9">
        <v>0.028000000000000001</v>
      </c>
    </row>
    <row r="57" spans="1:6" ht="13.2">
      <c r="A57" s="6">
        <f t="shared" si="1"/>
        <v>48</v>
      </c>
      <c r="B57" t="s">
        <v>115</v>
      </c>
      <c r="C57">
        <v>449.608</v>
      </c>
      <c r="D57">
        <v>296.14499999999998</v>
      </c>
      <c r="E57">
        <v>1.518</v>
      </c>
      <c r="F57" s="9">
        <v>0.1293</v>
      </c>
    </row>
    <row r="58" spans="1:6" ht="13.2">
      <c r="A58" s="6">
        <f t="shared" si="1"/>
        <v>49</v>
      </c>
      <c r="B58" t="s">
        <v>116</v>
      </c>
      <c r="C58">
        <v>1939.2360000000001</v>
      </c>
      <c r="D58">
        <v>304.79899999999998</v>
      </c>
      <c r="E58">
        <v>6.3620000000000001</v>
      </c>
      <c r="F58" s="9">
        <v>0</v>
      </c>
    </row>
    <row r="59" spans="1:6" ht="13.2">
      <c r="A59" s="6">
        <f t="shared" si="1"/>
        <v>50</v>
      </c>
      <c r="B59" t="s">
        <v>117</v>
      </c>
      <c r="C59">
        <v>1964.117</v>
      </c>
      <c r="D59">
        <v>535.51700000000005</v>
      </c>
      <c r="E59">
        <v>3.6680000000000001</v>
      </c>
      <c r="F59" s="9">
        <v>0.00029999999999999997</v>
      </c>
    </row>
    <row r="60" spans="1:6" ht="13.2">
      <c r="A60" s="6">
        <f t="shared" si="1"/>
        <v>51</v>
      </c>
      <c r="B60" t="s">
        <v>118</v>
      </c>
      <c r="C60">
        <v>1414.752</v>
      </c>
      <c r="D60">
        <v>507.28399999999999</v>
      </c>
      <c r="E60">
        <v>2.7890000000000001</v>
      </c>
      <c r="F60" s="9">
        <v>0.0054000000000000003</v>
      </c>
    </row>
    <row r="61" spans="1:6" ht="13.2">
      <c r="A61" s="6">
        <f t="shared" si="1"/>
        <v>52</v>
      </c>
      <c r="B61" t="s">
        <v>119</v>
      </c>
      <c r="C61">
        <v>282.35500000000002</v>
      </c>
      <c r="D61">
        <v>453.49000000000001</v>
      </c>
      <c r="E61">
        <v>0.623</v>
      </c>
      <c r="F61" s="9">
        <v>0.53369999999999995</v>
      </c>
    </row>
    <row r="62" spans="1:6" ht="13.2">
      <c r="A62" s="6">
        <f>+A61+1</f>
        <v>53</v>
      </c>
      <c r="B62" t="s">
        <v>135</v>
      </c>
      <c r="C62">
        <v>-74.263999999999996</v>
      </c>
      <c r="D62">
        <v>417.214</v>
      </c>
      <c r="E62">
        <v>-0.17799999999999999</v>
      </c>
      <c r="F62" s="9">
        <v>0.85870000000000002</v>
      </c>
    </row>
    <row r="63" spans="1:6" ht="13.2">
      <c r="A63" s="6">
        <f t="shared" si="2" ref="A63:A79">+A62+1</f>
        <v>54</v>
      </c>
      <c r="F63" s="9"/>
    </row>
    <row r="64" spans="1:2" ht="13.2">
      <c r="A64" s="6">
        <f t="shared" si="2"/>
        <v>55</v>
      </c>
      <c r="B64" s="4" t="s">
        <v>120</v>
      </c>
    </row>
    <row r="65" spans="1:6" ht="13.2">
      <c r="A65" s="6">
        <f t="shared" si="2"/>
        <v>56</v>
      </c>
      <c r="B65" t="s">
        <v>30</v>
      </c>
      <c r="C65" s="16">
        <v>1096</v>
      </c>
      <c r="F65" s="12"/>
    </row>
    <row r="66" spans="1:6" ht="13.2">
      <c r="A66" s="6">
        <f t="shared" si="2"/>
        <v>57</v>
      </c>
      <c r="B66" t="s">
        <v>10</v>
      </c>
      <c r="C66" s="16">
        <v>1050</v>
      </c>
      <c r="F66" s="9"/>
    </row>
    <row r="67" spans="1:6" ht="13.2">
      <c r="A67" s="6">
        <f t="shared" si="2"/>
        <v>58</v>
      </c>
      <c r="B67" t="s">
        <v>12</v>
      </c>
      <c r="C67" s="22">
        <v>0.97099999999999997</v>
      </c>
      <c r="F67" s="9"/>
    </row>
    <row r="68" spans="1:6" ht="13.2">
      <c r="A68" s="6">
        <f t="shared" si="2"/>
        <v>59</v>
      </c>
      <c r="B68" t="s">
        <v>13</v>
      </c>
      <c r="C68" s="24">
        <v>0.96999999999999997</v>
      </c>
      <c r="F68" s="9"/>
    </row>
    <row r="69" spans="1:6" ht="13.2">
      <c r="A69" s="6">
        <f t="shared" si="2"/>
        <v>60</v>
      </c>
      <c r="B69" t="s">
        <v>15</v>
      </c>
      <c r="C69" s="16">
        <v>792.43799999999999</v>
      </c>
      <c r="F69" s="9"/>
    </row>
    <row r="70" spans="1:6" ht="13.2">
      <c r="A70" s="6">
        <f t="shared" si="2"/>
        <v>61</v>
      </c>
      <c r="B70" t="s">
        <v>16</v>
      </c>
      <c r="C70" s="19">
        <v>0</v>
      </c>
      <c r="F70" s="9"/>
    </row>
    <row r="71" spans="1:3" ht="13.2">
      <c r="A71" s="6">
        <f t="shared" si="2"/>
        <v>62</v>
      </c>
      <c r="B71" t="s">
        <v>17</v>
      </c>
      <c r="C71" s="21">
        <v>1682835399052.6101</v>
      </c>
    </row>
    <row r="72" spans="1:6" ht="13.2">
      <c r="A72" s="6">
        <f t="shared" si="2"/>
        <v>63</v>
      </c>
      <c r="B72" t="s">
        <v>18</v>
      </c>
      <c r="C72" s="21">
        <v>49551066998.910004</v>
      </c>
      <c r="F72" s="9"/>
    </row>
    <row r="73" spans="1:6" ht="13.2">
      <c r="A73" s="6">
        <f t="shared" si="2"/>
        <v>64</v>
      </c>
      <c r="B73" t="s">
        <v>19</v>
      </c>
      <c r="C73" s="21">
        <v>47191492.380000003</v>
      </c>
      <c r="F73" s="9"/>
    </row>
    <row r="74" spans="1:6" ht="13.2">
      <c r="A74" s="6">
        <f t="shared" si="2"/>
        <v>65</v>
      </c>
      <c r="B74" t="s">
        <v>20</v>
      </c>
      <c r="C74" s="26">
        <v>6869.6099999999997</v>
      </c>
      <c r="F74" s="9"/>
    </row>
    <row r="75" spans="1:3" ht="13.2">
      <c r="A75" s="6">
        <f t="shared" si="2"/>
        <v>66</v>
      </c>
      <c r="B75" t="s">
        <v>9</v>
      </c>
      <c r="C75" s="27">
        <v>5273.6700000000001</v>
      </c>
    </row>
    <row r="76" spans="1:3" ht="13.2">
      <c r="A76" s="6">
        <f t="shared" si="2"/>
        <v>67</v>
      </c>
      <c r="B76" t="s">
        <v>11</v>
      </c>
      <c r="C76" s="9">
        <v>0.047399999999999998</v>
      </c>
    </row>
    <row r="77" spans="1:3" ht="13.2">
      <c r="A77" s="6">
        <f t="shared" si="2"/>
        <v>68</v>
      </c>
      <c r="B77" t="s">
        <v>14</v>
      </c>
      <c r="C77">
        <v>1.0409999999999999</v>
      </c>
    </row>
    <row r="78" spans="1:3" ht="13.2">
      <c r="A78" s="6">
        <f t="shared" si="2"/>
        <v>69</v>
      </c>
      <c r="B78" t="s">
        <v>21</v>
      </c>
      <c r="C78">
        <v>1119.0799999999999</v>
      </c>
    </row>
    <row r="79" spans="1:3" ht="13.2">
      <c r="A79" s="6">
        <f t="shared" si="2"/>
        <v>70</v>
      </c>
      <c r="B79" t="s">
        <v>22</v>
      </c>
      <c r="C79" s="19">
        <v>0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2" r:id="rId1"/>
  <headerFooter alignWithMargins="0">
    <oddHeader>&amp;RWP/II-H-5.2/6
Page &amp;P of 20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0">
    <pageSetUpPr fitToPage="1"/>
  </sheetPr>
  <dimension ref="A1:I45"/>
  <sheetViews>
    <sheetView workbookViewId="0" topLeftCell="A1"/>
  </sheetViews>
  <sheetFormatPr defaultRowHeight="13.5"/>
  <cols>
    <col min="1" max="1" width="12.2857142857143" customWidth="1"/>
    <col min="2" max="2" width="26.8571428571429" bestFit="1" customWidth="1"/>
    <col min="3" max="3" width="12.5714285714286" customWidth="1"/>
    <col min="4" max="4" width="11.2857142857143" customWidth="1"/>
    <col min="5" max="5" width="12.7142857142857" customWidth="1"/>
    <col min="6" max="6" width="11" customWidth="1"/>
    <col min="7" max="7" width="10.8571428571429" customWidth="1"/>
    <col min="9" max="9" width="10.8571428571429" customWidth="1"/>
    <col min="10" max="10" width="12" customWidth="1"/>
  </cols>
  <sheetData>
    <row r="1" spans="1:9" s="1" customFormat="1" ht="15.6">
      <c r="A1" s="6"/>
      <c r="B1" s="37" t="str">
        <f>+'RES Spline Model'!B1:F1</f>
        <v>2022 RATE CASE</v>
      </c>
      <c r="C1" s="37"/>
      <c r="D1" s="37"/>
      <c r="E1" s="37"/>
      <c r="F1" s="37"/>
      <c r="G1" s="40"/>
      <c r="H1" s="40"/>
      <c r="I1" s="11"/>
    </row>
    <row r="2" spans="1:9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  <c r="G2" s="40"/>
      <c r="H2" s="40"/>
      <c r="I2" s="11"/>
    </row>
    <row r="3" spans="1:9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  <c r="G3" s="40"/>
      <c r="H3" s="40"/>
      <c r="I3" s="11"/>
    </row>
    <row r="4" spans="1:9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  <c r="G4" s="40"/>
      <c r="H4" s="40"/>
      <c r="I4" s="11"/>
    </row>
    <row r="5" spans="1:1" s="1" customFormat="1" ht="11.4">
      <c r="A5" s="6"/>
    </row>
    <row r="6" spans="1:9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  <c r="G6" s="40"/>
      <c r="H6" s="40"/>
      <c r="I6" s="11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8" s="1" customFormat="1" ht="13.2">
      <c r="A10" s="6">
        <v>1</v>
      </c>
      <c r="B10" s="38" t="s">
        <v>58</v>
      </c>
      <c r="C10" s="40"/>
      <c r="D10" s="40"/>
      <c r="E10" s="40"/>
      <c r="F10" s="40"/>
      <c r="G10" s="40"/>
      <c r="H10" s="40"/>
    </row>
    <row r="11" spans="1:7" s="1" customFormat="1" ht="13.2">
      <c r="A11" s="6">
        <f t="shared" si="0" ref="A11:A37">+A10+1</f>
        <v>2</v>
      </c>
      <c r="B11" s="38" t="s">
        <v>53</v>
      </c>
      <c r="C11" s="39"/>
      <c r="D11" s="39"/>
      <c r="E11" s="39"/>
      <c r="F11" s="39"/>
      <c r="G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6" ht="13.2">
      <c r="A40" s="6"/>
      <c r="F40" s="2"/>
    </row>
    <row r="41" spans="1:1" ht="13.2">
      <c r="A41" s="6"/>
    </row>
    <row r="42" spans="1:1" ht="13.2">
      <c r="A42" s="6"/>
    </row>
    <row r="43" spans="1:7" ht="13.2">
      <c r="A43" s="6"/>
      <c r="C43" s="9"/>
      <c r="G43" s="9"/>
    </row>
    <row r="44" spans="1:1" ht="13.2">
      <c r="A44" s="6"/>
    </row>
    <row r="45" spans="1:1" ht="13.2">
      <c r="A45" s="6"/>
    </row>
  </sheetData>
  <mergeCells count="8">
    <mergeCell ref="B10:H10"/>
    <mergeCell ref="B11:G11"/>
    <mergeCell ref="B1:H1"/>
    <mergeCell ref="B2:H2"/>
    <mergeCell ref="B3:H3"/>
    <mergeCell ref="B4:H4"/>
    <mergeCell ref="B6:H6"/>
    <mergeCell ref="B8:F8"/>
  </mergeCells>
  <printOptions horizontalCentered="1"/>
  <pageMargins left="0.83" right="0.78" top="1.5" bottom="1" header="1" footer="0.5"/>
  <pageSetup orientation="portrait" scale="69" r:id="rId2"/>
  <headerFooter alignWithMargins="0">
    <oddHeader>&amp;RWP/II-H-5.2/6
Page &amp;P of 20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1">
    <pageSetUpPr fitToPage="1"/>
  </sheetPr>
  <dimension ref="A1:F79"/>
  <sheetViews>
    <sheetView workbookViewId="0" topLeftCell="A1"/>
  </sheetViews>
  <sheetFormatPr defaultRowHeight="13.5"/>
  <cols>
    <col min="2" max="2" width="28.4285714285714" customWidth="1"/>
    <col min="3" max="3" width="18.8571428571429" customWidth="1"/>
    <col min="4" max="4" width="12.2857142857143" customWidth="1"/>
    <col min="5" max="5" width="12.1428571428571" customWidth="1"/>
    <col min="6" max="6" width="14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59</v>
      </c>
    </row>
    <row r="11" spans="1:3" s="1" customFormat="1" ht="12">
      <c r="A11" s="6">
        <f t="shared" si="0" ref="A11:A42">+A10+1</f>
        <v>2</v>
      </c>
      <c r="B11" s="3" t="s">
        <v>53</v>
      </c>
      <c r="C11" s="3"/>
    </row>
    <row r="12" spans="1:3" s="1" customFormat="1" ht="12">
      <c r="A12" s="6">
        <f t="shared" si="0"/>
        <v>3</v>
      </c>
      <c r="B12" s="3" t="s">
        <v>6</v>
      </c>
      <c r="C12" s="3" t="s">
        <v>78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4541.1909999999998</v>
      </c>
      <c r="D17">
        <v>41.448999999999998</v>
      </c>
      <c r="E17">
        <v>109.562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-135.19399999999999</v>
      </c>
      <c r="D18">
        <v>39.588999999999999</v>
      </c>
      <c r="E18">
        <v>-3.415</v>
      </c>
      <c r="F18" s="9">
        <v>0.00069999999999999999</v>
      </c>
    </row>
    <row r="19" spans="1:6" ht="13.2">
      <c r="A19" s="6">
        <f t="shared" si="0"/>
        <v>10</v>
      </c>
      <c r="B19" t="s">
        <v>93</v>
      </c>
      <c r="C19">
        <v>469.84800000000001</v>
      </c>
      <c r="D19">
        <v>22.027999999999999</v>
      </c>
      <c r="E19">
        <v>21.329000000000001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526.68899999999996</v>
      </c>
      <c r="D20">
        <v>21.568999999999999</v>
      </c>
      <c r="E20">
        <v>24.419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567.09699999999998</v>
      </c>
      <c r="D21">
        <v>21.574000000000002</v>
      </c>
      <c r="E21">
        <v>26.286000000000001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577.36800000000005</v>
      </c>
      <c r="D22">
        <v>21.666</v>
      </c>
      <c r="E22">
        <v>26.649000000000001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530.52700000000004</v>
      </c>
      <c r="D23">
        <v>21.849</v>
      </c>
      <c r="E23">
        <v>24.280999999999999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193.608</v>
      </c>
      <c r="D24">
        <v>21.483000000000001</v>
      </c>
      <c r="E24">
        <v>9.0120000000000005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143.982</v>
      </c>
      <c r="D25">
        <v>113.557</v>
      </c>
      <c r="E25">
        <v>1.268</v>
      </c>
      <c r="F25" s="9">
        <v>0.20510000000000001</v>
      </c>
    </row>
    <row r="26" spans="1:6" ht="13.2">
      <c r="A26" s="6">
        <f t="shared" si="0"/>
        <v>17</v>
      </c>
      <c r="B26" t="s">
        <v>100</v>
      </c>
      <c r="C26">
        <v>-181.13900000000001</v>
      </c>
      <c r="D26">
        <v>113.047</v>
      </c>
      <c r="E26">
        <v>-1.6020000000000001</v>
      </c>
      <c r="F26" s="9">
        <v>0.1094</v>
      </c>
    </row>
    <row r="27" spans="1:6" ht="13.2">
      <c r="A27" s="6">
        <f t="shared" si="0"/>
        <v>18</v>
      </c>
      <c r="B27" t="s">
        <v>121</v>
      </c>
      <c r="C27">
        <v>-148.03200000000001</v>
      </c>
      <c r="D27">
        <v>112.399</v>
      </c>
      <c r="E27">
        <v>-1.317</v>
      </c>
      <c r="F27" s="9">
        <v>0.18809999999999999</v>
      </c>
    </row>
    <row r="28" spans="1:6" ht="13.2">
      <c r="A28" s="6">
        <f t="shared" si="0"/>
        <v>19</v>
      </c>
      <c r="B28" t="s">
        <v>101</v>
      </c>
      <c r="C28">
        <v>-382.75799999999998</v>
      </c>
      <c r="D28">
        <v>112.64</v>
      </c>
      <c r="E28">
        <v>-3.3980000000000001</v>
      </c>
      <c r="F28" s="9">
        <v>0.00069999999999999999</v>
      </c>
    </row>
    <row r="29" spans="1:6" ht="13.2">
      <c r="A29" s="6">
        <f t="shared" si="0"/>
        <v>20</v>
      </c>
      <c r="B29" t="s">
        <v>122</v>
      </c>
      <c r="C29">
        <v>-397.882</v>
      </c>
      <c r="D29">
        <v>111.928</v>
      </c>
      <c r="E29">
        <v>-3.5550000000000002</v>
      </c>
      <c r="F29" s="9">
        <v>0.00040000000000000002</v>
      </c>
    </row>
    <row r="30" spans="1:6" ht="13.2">
      <c r="A30" s="6">
        <f t="shared" si="0"/>
        <v>21</v>
      </c>
      <c r="B30" t="s">
        <v>102</v>
      </c>
      <c r="C30">
        <v>-396.66699999999997</v>
      </c>
      <c r="D30">
        <v>112.447</v>
      </c>
      <c r="E30">
        <v>-3.528</v>
      </c>
      <c r="F30" s="9">
        <v>0.00050000000000000001</v>
      </c>
    </row>
    <row r="31" spans="1:6" ht="13.2">
      <c r="A31" s="6">
        <f t="shared" si="0"/>
        <v>22</v>
      </c>
      <c r="B31" t="s">
        <v>103</v>
      </c>
      <c r="C31">
        <v>-453.16500000000002</v>
      </c>
      <c r="D31">
        <v>112.53400000000001</v>
      </c>
      <c r="E31">
        <v>-4.0270000000000001</v>
      </c>
      <c r="F31" s="9">
        <v>0.00010000000000000001</v>
      </c>
    </row>
    <row r="32" spans="1:6" ht="13.2">
      <c r="A32" s="6">
        <f t="shared" si="0"/>
        <v>23</v>
      </c>
      <c r="B32" t="s">
        <v>104</v>
      </c>
      <c r="C32">
        <v>-139.096</v>
      </c>
      <c r="D32">
        <v>112.734</v>
      </c>
      <c r="E32">
        <v>-1.234</v>
      </c>
      <c r="F32" s="9">
        <v>0.2175</v>
      </c>
    </row>
    <row r="33" spans="1:6" ht="13.2">
      <c r="A33" s="6">
        <f t="shared" si="0"/>
        <v>24</v>
      </c>
      <c r="B33" t="s">
        <v>105</v>
      </c>
      <c r="C33">
        <v>-185.52099999999999</v>
      </c>
      <c r="D33">
        <v>126.881</v>
      </c>
      <c r="E33">
        <v>-1.462</v>
      </c>
      <c r="F33" s="9">
        <v>0.14399999999999999</v>
      </c>
    </row>
    <row r="34" spans="1:6" ht="13.2">
      <c r="A34" s="6">
        <f t="shared" si="0"/>
        <v>25</v>
      </c>
      <c r="B34" t="s">
        <v>106</v>
      </c>
      <c r="C34">
        <v>-360.584</v>
      </c>
      <c r="D34">
        <v>115.90900000000001</v>
      </c>
      <c r="E34">
        <v>-3.1110000000000002</v>
      </c>
      <c r="F34" s="9">
        <v>0.0019</v>
      </c>
    </row>
    <row r="35" spans="1:6" ht="13.2">
      <c r="A35" s="6">
        <f t="shared" si="0"/>
        <v>26</v>
      </c>
      <c r="B35" t="s">
        <v>107</v>
      </c>
      <c r="C35">
        <v>-545.71900000000005</v>
      </c>
      <c r="D35">
        <v>116.518</v>
      </c>
      <c r="E35">
        <v>-4.6840000000000002</v>
      </c>
      <c r="F35" s="15">
        <v>0</v>
      </c>
    </row>
    <row r="36" spans="1:6" ht="13.2">
      <c r="A36" s="6">
        <f t="shared" si="0"/>
        <v>27</v>
      </c>
      <c r="B36" t="s">
        <v>123</v>
      </c>
      <c r="C36">
        <v>-288.17399999999998</v>
      </c>
      <c r="D36">
        <v>135.02000000000001</v>
      </c>
      <c r="E36">
        <v>-2.1339999999999999</v>
      </c>
      <c r="F36" s="14">
        <v>0.033000000000000002</v>
      </c>
    </row>
    <row r="37" spans="1:6" ht="13.2">
      <c r="A37" s="6">
        <f t="shared" si="0"/>
        <v>28</v>
      </c>
      <c r="B37" t="s">
        <v>108</v>
      </c>
      <c r="C37">
        <v>-10.438000000000001</v>
      </c>
      <c r="D37">
        <v>116.03</v>
      </c>
      <c r="E37">
        <v>-0.089999999999999997</v>
      </c>
      <c r="F37" s="14">
        <v>0.92830000000000001</v>
      </c>
    </row>
    <row r="38" spans="1:6" ht="13.2">
      <c r="A38" s="6">
        <f t="shared" si="0"/>
        <v>29</v>
      </c>
      <c r="B38" t="s">
        <v>109</v>
      </c>
      <c r="C38">
        <v>-575.774</v>
      </c>
      <c r="D38">
        <v>114.58799999999999</v>
      </c>
      <c r="E38">
        <v>-5.0250000000000004</v>
      </c>
      <c r="F38" s="14">
        <v>0</v>
      </c>
    </row>
    <row r="39" spans="1:6" ht="13.2">
      <c r="A39" s="6">
        <f t="shared" si="0"/>
        <v>30</v>
      </c>
      <c r="B39" t="s">
        <v>110</v>
      </c>
      <c r="C39">
        <v>4.8419999999999996</v>
      </c>
      <c r="D39">
        <v>2.621</v>
      </c>
      <c r="E39">
        <v>1.847</v>
      </c>
      <c r="F39" s="14">
        <v>0.065100000000000005</v>
      </c>
    </row>
    <row r="40" spans="1:6" ht="13.2">
      <c r="A40" s="6">
        <f t="shared" si="0"/>
        <v>31</v>
      </c>
      <c r="B40" t="s">
        <v>38</v>
      </c>
      <c r="C40">
        <v>60.701000000000001</v>
      </c>
      <c r="D40">
        <v>29.469999999999999</v>
      </c>
      <c r="E40">
        <v>2.0600000000000001</v>
      </c>
      <c r="F40" s="14">
        <v>0.039699999999999999</v>
      </c>
    </row>
    <row r="41" spans="1:6" ht="13.2">
      <c r="A41" s="6">
        <f t="shared" si="0"/>
        <v>32</v>
      </c>
      <c r="B41" t="s">
        <v>39</v>
      </c>
      <c r="C41">
        <v>-205.93799999999999</v>
      </c>
      <c r="D41">
        <v>41.353000000000002</v>
      </c>
      <c r="E41">
        <v>-4.9800000000000004</v>
      </c>
      <c r="F41" s="14">
        <v>0</v>
      </c>
    </row>
    <row r="42" spans="1:6" ht="13.2">
      <c r="A42" s="6">
        <f t="shared" si="0"/>
        <v>33</v>
      </c>
      <c r="B42" t="s">
        <v>40</v>
      </c>
      <c r="C42">
        <v>-454.62700000000001</v>
      </c>
      <c r="D42">
        <v>50.052999999999997</v>
      </c>
      <c r="E42">
        <v>-9.0830000000000002</v>
      </c>
      <c r="F42" s="14">
        <v>0</v>
      </c>
    </row>
    <row r="43" spans="1:6" ht="13.2">
      <c r="A43" s="6">
        <f t="shared" si="1" ref="A43:A79">+A42+1</f>
        <v>34</v>
      </c>
      <c r="B43" t="s">
        <v>41</v>
      </c>
      <c r="C43">
        <v>-370.80900000000003</v>
      </c>
      <c r="D43">
        <v>53.287999999999997</v>
      </c>
      <c r="E43">
        <v>-6.9589999999999996</v>
      </c>
      <c r="F43" s="14">
        <v>0</v>
      </c>
    </row>
    <row r="44" spans="1:6" ht="13.2">
      <c r="A44" s="6">
        <f t="shared" si="1"/>
        <v>35</v>
      </c>
      <c r="B44" t="s">
        <v>42</v>
      </c>
      <c r="C44">
        <v>-166.90899999999999</v>
      </c>
      <c r="D44">
        <v>56.616</v>
      </c>
      <c r="E44">
        <v>-2.948</v>
      </c>
      <c r="F44" s="14">
        <v>0.0033</v>
      </c>
    </row>
    <row r="45" spans="1:6" ht="13.2">
      <c r="A45" s="6">
        <f t="shared" si="1"/>
        <v>36</v>
      </c>
      <c r="B45" t="s">
        <v>43</v>
      </c>
      <c r="C45">
        <v>-98.947000000000003</v>
      </c>
      <c r="D45">
        <v>58.731000000000002</v>
      </c>
      <c r="E45">
        <v>-1.6850000000000001</v>
      </c>
      <c r="F45" s="14">
        <v>0.092299999999999993</v>
      </c>
    </row>
    <row r="46" spans="1:6" ht="13.2">
      <c r="A46" s="6">
        <f t="shared" si="1"/>
        <v>37</v>
      </c>
      <c r="B46" t="s">
        <v>44</v>
      </c>
      <c r="C46">
        <v>-12.762000000000001</v>
      </c>
      <c r="D46">
        <v>58.747</v>
      </c>
      <c r="E46">
        <v>-0.217</v>
      </c>
      <c r="F46" s="14">
        <v>0.82809999999999995</v>
      </c>
    </row>
    <row r="47" spans="1:6" ht="13.2">
      <c r="A47" s="6">
        <f t="shared" si="1"/>
        <v>38</v>
      </c>
      <c r="B47" t="s">
        <v>45</v>
      </c>
      <c r="C47">
        <v>-88.073999999999998</v>
      </c>
      <c r="D47">
        <v>54.536999999999999</v>
      </c>
      <c r="E47">
        <v>-1.615</v>
      </c>
      <c r="F47" s="14">
        <v>0.1066</v>
      </c>
    </row>
    <row r="48" spans="1:6" ht="13.2">
      <c r="A48" s="6">
        <f t="shared" si="1"/>
        <v>39</v>
      </c>
      <c r="B48" t="s">
        <v>52</v>
      </c>
      <c r="C48">
        <v>-108.051</v>
      </c>
      <c r="D48">
        <v>50.07</v>
      </c>
      <c r="E48">
        <v>-2.1579999999999999</v>
      </c>
      <c r="F48" s="14">
        <v>0.031099999999999999</v>
      </c>
    </row>
    <row r="49" spans="1:6" ht="13.2">
      <c r="A49" s="6">
        <f t="shared" si="1"/>
        <v>40</v>
      </c>
      <c r="B49" t="s">
        <v>46</v>
      </c>
      <c r="C49">
        <v>-243.46199999999999</v>
      </c>
      <c r="D49">
        <v>30.725999999999999</v>
      </c>
      <c r="E49">
        <v>-7.9240000000000004</v>
      </c>
      <c r="F49" s="14">
        <v>0</v>
      </c>
    </row>
    <row r="50" spans="1:6" ht="13.2">
      <c r="A50" s="6">
        <f t="shared" si="1"/>
        <v>41</v>
      </c>
      <c r="B50" t="s">
        <v>47</v>
      </c>
      <c r="C50">
        <v>-98.326999999999998</v>
      </c>
      <c r="D50">
        <v>43.576000000000001</v>
      </c>
      <c r="E50">
        <v>-2.2559999999999998</v>
      </c>
      <c r="F50" s="14">
        <v>0.024199999999999999</v>
      </c>
    </row>
    <row r="51" spans="1:6" ht="13.2">
      <c r="A51" s="6">
        <f t="shared" si="1"/>
        <v>42</v>
      </c>
      <c r="B51" t="s">
        <v>81</v>
      </c>
      <c r="C51">
        <v>-100.09999999999999</v>
      </c>
      <c r="D51">
        <v>7.1100000000000003</v>
      </c>
      <c r="E51">
        <v>-14.077999999999999</v>
      </c>
      <c r="F51" s="14">
        <v>0</v>
      </c>
    </row>
    <row r="52" spans="1:6" ht="13.2">
      <c r="A52" s="6">
        <f t="shared" si="1"/>
        <v>43</v>
      </c>
      <c r="B52" t="s">
        <v>124</v>
      </c>
      <c r="C52">
        <v>17.806000000000001</v>
      </c>
      <c r="D52">
        <v>12.975</v>
      </c>
      <c r="E52">
        <v>1.3720000000000001</v>
      </c>
      <c r="F52" s="14">
        <v>0.17030000000000001</v>
      </c>
    </row>
    <row r="53" spans="1:6" ht="13.2">
      <c r="A53" s="6">
        <f t="shared" si="1"/>
        <v>44</v>
      </c>
      <c r="B53" t="s">
        <v>136</v>
      </c>
      <c r="C53">
        <v>27.303000000000001</v>
      </c>
      <c r="D53">
        <v>16.797000000000001</v>
      </c>
      <c r="E53">
        <v>1.625</v>
      </c>
      <c r="F53" s="14">
        <v>0.10440000000000001</v>
      </c>
    </row>
    <row r="54" spans="1:6" ht="13.2">
      <c r="A54" s="6">
        <f t="shared" si="1"/>
        <v>45</v>
      </c>
      <c r="B54" t="s">
        <v>137</v>
      </c>
      <c r="C54">
        <v>-2.0459999999999998</v>
      </c>
      <c r="D54">
        <v>16.268000000000001</v>
      </c>
      <c r="E54">
        <v>-0.126</v>
      </c>
      <c r="F54" s="14">
        <v>0.89990000000000003</v>
      </c>
    </row>
    <row r="55" spans="1:6" ht="13.2">
      <c r="A55" s="6">
        <f t="shared" si="1"/>
        <v>46</v>
      </c>
      <c r="B55" t="s">
        <v>125</v>
      </c>
      <c r="C55">
        <v>10.077999999999999</v>
      </c>
      <c r="D55">
        <v>14.694000000000001</v>
      </c>
      <c r="E55">
        <v>0.68600000000000005</v>
      </c>
      <c r="F55" s="14">
        <v>0.4929</v>
      </c>
    </row>
    <row r="56" spans="1:6" ht="13.2">
      <c r="A56" s="6">
        <f t="shared" si="1"/>
        <v>47</v>
      </c>
      <c r="B56" t="s">
        <v>126</v>
      </c>
      <c r="C56">
        <v>25.372</v>
      </c>
      <c r="D56">
        <v>14.365</v>
      </c>
      <c r="E56">
        <v>1.766</v>
      </c>
      <c r="F56" s="14">
        <v>0.077700000000000005</v>
      </c>
    </row>
    <row r="57" spans="1:6" ht="13.2">
      <c r="A57" s="6">
        <f t="shared" si="1"/>
        <v>48</v>
      </c>
      <c r="B57" t="s">
        <v>138</v>
      </c>
      <c r="C57">
        <v>-0.26400000000000001</v>
      </c>
      <c r="D57">
        <v>8.0820000000000007</v>
      </c>
      <c r="E57">
        <v>-0.033000000000000002</v>
      </c>
      <c r="F57" s="14">
        <v>0.97399999999999998</v>
      </c>
    </row>
    <row r="58" spans="1:6" ht="13.2">
      <c r="A58" s="6">
        <f t="shared" si="1"/>
        <v>49</v>
      </c>
      <c r="B58" t="s">
        <v>127</v>
      </c>
      <c r="C58">
        <v>18.867999999999999</v>
      </c>
      <c r="D58">
        <v>8.4199999999999999</v>
      </c>
      <c r="E58">
        <v>2.2410000000000001</v>
      </c>
      <c r="F58" s="14">
        <v>0.0252</v>
      </c>
    </row>
    <row r="59" spans="1:6" ht="13.2">
      <c r="A59" s="6">
        <f t="shared" si="1"/>
        <v>50</v>
      </c>
      <c r="B59" t="s">
        <v>128</v>
      </c>
      <c r="C59">
        <v>23.280000000000001</v>
      </c>
      <c r="D59">
        <v>14.73</v>
      </c>
      <c r="E59">
        <v>1.5800000000000001</v>
      </c>
      <c r="F59" s="14">
        <v>0.1143</v>
      </c>
    </row>
    <row r="60" spans="1:6" ht="13.2">
      <c r="A60" s="6">
        <f t="shared" si="1"/>
        <v>51</v>
      </c>
      <c r="B60" t="s">
        <v>129</v>
      </c>
      <c r="C60">
        <v>58.741</v>
      </c>
      <c r="D60">
        <v>13.942</v>
      </c>
      <c r="E60">
        <v>4.2130000000000001</v>
      </c>
      <c r="F60" s="14">
        <v>0</v>
      </c>
    </row>
    <row r="61" spans="1:6" ht="13.2">
      <c r="A61" s="6">
        <f t="shared" si="1"/>
        <v>52</v>
      </c>
      <c r="B61" t="s">
        <v>139</v>
      </c>
      <c r="C61">
        <v>2.4849999999999999</v>
      </c>
      <c r="D61">
        <v>12.57</v>
      </c>
      <c r="E61">
        <v>0.19800000000000001</v>
      </c>
      <c r="F61" s="14">
        <v>0.84330000000000005</v>
      </c>
    </row>
    <row r="62" spans="1:6" ht="13.2">
      <c r="A62" s="6">
        <f t="shared" si="1"/>
        <v>53</v>
      </c>
      <c r="B62" t="s">
        <v>130</v>
      </c>
      <c r="C62">
        <v>-13.255000000000001</v>
      </c>
      <c r="D62">
        <v>11.887000000000001</v>
      </c>
      <c r="E62">
        <v>-1.115</v>
      </c>
      <c r="F62" s="14">
        <v>0.2651</v>
      </c>
    </row>
    <row r="63" spans="1:6" ht="13.2">
      <c r="A63" s="6">
        <f t="shared" si="1"/>
        <v>54</v>
      </c>
      <c r="F63" s="12"/>
    </row>
    <row r="64" spans="1:6" ht="13.2">
      <c r="A64" s="6">
        <f t="shared" si="1"/>
        <v>55</v>
      </c>
      <c r="B64" s="4" t="s">
        <v>120</v>
      </c>
      <c r="F64" s="12"/>
    </row>
    <row r="65" spans="1:6" ht="13.2">
      <c r="A65" s="6">
        <f t="shared" si="1"/>
        <v>56</v>
      </c>
      <c r="B65" t="s">
        <v>30</v>
      </c>
      <c r="C65" s="16">
        <v>1096</v>
      </c>
      <c r="F65" s="9"/>
    </row>
    <row r="66" spans="1:6" ht="13.2">
      <c r="A66" s="6">
        <f t="shared" si="1"/>
        <v>57</v>
      </c>
      <c r="B66" t="s">
        <v>10</v>
      </c>
      <c r="C66" s="16">
        <v>1050</v>
      </c>
      <c r="F66" s="9"/>
    </row>
    <row r="67" spans="1:6" ht="13.2">
      <c r="A67" s="6">
        <f t="shared" si="1"/>
        <v>58</v>
      </c>
      <c r="B67" t="s">
        <v>12</v>
      </c>
      <c r="C67" s="22">
        <v>0.92400000000000004</v>
      </c>
      <c r="F67" s="9"/>
    </row>
    <row r="68" spans="1:6" ht="13.2">
      <c r="A68" s="6">
        <f t="shared" si="1"/>
        <v>59</v>
      </c>
      <c r="B68" t="s">
        <v>13</v>
      </c>
      <c r="C68" s="24">
        <v>0.92000000000000004</v>
      </c>
      <c r="F68" s="9"/>
    </row>
    <row r="69" spans="1:6" ht="13.2">
      <c r="A69" s="6">
        <f t="shared" si="1"/>
        <v>60</v>
      </c>
      <c r="B69" t="s">
        <v>15</v>
      </c>
      <c r="C69" s="16">
        <v>281.77300000000002</v>
      </c>
      <c r="F69" s="9"/>
    </row>
    <row r="70" spans="1:6" ht="13.2">
      <c r="A70" s="6">
        <f t="shared" si="1"/>
        <v>61</v>
      </c>
      <c r="B70" t="s">
        <v>16</v>
      </c>
      <c r="C70" s="19">
        <v>0</v>
      </c>
      <c r="F70" s="9"/>
    </row>
    <row r="71" spans="1:3" ht="13.2">
      <c r="A71" s="6">
        <f t="shared" si="1"/>
        <v>62</v>
      </c>
      <c r="B71" t="s">
        <v>17</v>
      </c>
      <c r="C71" s="16">
        <v>454048581.12</v>
      </c>
    </row>
    <row r="72" spans="1:6" ht="13.2">
      <c r="A72" s="6">
        <f t="shared" si="1"/>
        <v>63</v>
      </c>
      <c r="B72" t="s">
        <v>18</v>
      </c>
      <c r="C72" s="16">
        <v>37599308.789999999</v>
      </c>
      <c r="F72" s="9"/>
    </row>
    <row r="73" spans="1:6" ht="13.2">
      <c r="A73" s="6">
        <f t="shared" si="1"/>
        <v>64</v>
      </c>
      <c r="B73" t="s">
        <v>19</v>
      </c>
      <c r="C73" s="16">
        <v>35808.870000000003</v>
      </c>
      <c r="F73" s="9"/>
    </row>
    <row r="74" spans="1:6" ht="13.2">
      <c r="A74" s="6">
        <f t="shared" si="1"/>
        <v>65</v>
      </c>
      <c r="B74" t="s">
        <v>20</v>
      </c>
      <c r="C74">
        <v>189.22999999999999</v>
      </c>
      <c r="F74" s="9"/>
    </row>
    <row r="75" spans="1:3" ht="13.2">
      <c r="A75" s="6">
        <f t="shared" si="1"/>
        <v>66</v>
      </c>
      <c r="B75" t="s">
        <v>9</v>
      </c>
      <c r="C75" s="27">
        <v>147.38</v>
      </c>
    </row>
    <row r="76" spans="1:3" ht="13.2">
      <c r="A76" s="6">
        <f t="shared" si="1"/>
        <v>67</v>
      </c>
      <c r="B76" t="s">
        <v>11</v>
      </c>
      <c r="C76" s="9">
        <v>0.0293</v>
      </c>
    </row>
    <row r="77" spans="1:3" ht="13.2">
      <c r="A77" s="6">
        <f t="shared" si="1"/>
        <v>68</v>
      </c>
      <c r="B77" t="s">
        <v>14</v>
      </c>
      <c r="C77">
        <v>0.72099999999999997</v>
      </c>
    </row>
    <row r="78" spans="1:3" ht="13.2">
      <c r="A78" s="6">
        <f t="shared" si="1"/>
        <v>69</v>
      </c>
      <c r="B78" t="s">
        <v>21</v>
      </c>
      <c r="C78">
        <v>1762.21</v>
      </c>
    </row>
    <row r="79" spans="1:3" ht="13.2">
      <c r="A79" s="6">
        <f t="shared" si="1"/>
        <v>70</v>
      </c>
      <c r="B79" t="s">
        <v>22</v>
      </c>
      <c r="C79" s="19">
        <v>0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2" r:id="rId1"/>
  <headerFooter alignWithMargins="0">
    <oddHeader>&amp;RWP/II-H-5.2/6
Page &amp;P of 20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2">
    <pageSetUpPr fitToPage="1"/>
  </sheetPr>
  <dimension ref="A1:I45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4" width="10.7142857142857" customWidth="1"/>
    <col min="5" max="5" width="11.2857142857143" customWidth="1"/>
    <col min="6" max="6" width="10.5714285714286" customWidth="1"/>
    <col min="7" max="7" width="10.2857142857143" customWidth="1"/>
    <col min="8" max="8" width="13.2857142857143" customWidth="1"/>
  </cols>
  <sheetData>
    <row r="1" spans="1:9" s="1" customFormat="1" ht="15.6">
      <c r="A1" s="6"/>
      <c r="B1" s="37" t="str">
        <f>+'RES Spline Model'!B1:F1</f>
        <v>2022 RATE CASE</v>
      </c>
      <c r="C1" s="37"/>
      <c r="D1" s="37"/>
      <c r="E1" s="37"/>
      <c r="F1" s="37"/>
      <c r="G1" s="40"/>
      <c r="H1" s="40"/>
      <c r="I1" s="11"/>
    </row>
    <row r="2" spans="1:9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  <c r="G2" s="40"/>
      <c r="H2" s="40"/>
      <c r="I2" s="11"/>
    </row>
    <row r="3" spans="1:9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  <c r="G3" s="40"/>
      <c r="H3" s="40"/>
      <c r="I3" s="11"/>
    </row>
    <row r="4" spans="1:9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  <c r="G4" s="40"/>
      <c r="H4" s="40"/>
      <c r="I4" s="11"/>
    </row>
    <row r="5" spans="1:1" s="1" customFormat="1" ht="11.4">
      <c r="A5" s="6"/>
    </row>
    <row r="6" spans="1:9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  <c r="G6" s="40"/>
      <c r="H6" s="40"/>
      <c r="I6" s="11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8" s="1" customFormat="1" ht="13.2">
      <c r="A10" s="6">
        <v>1</v>
      </c>
      <c r="B10" s="38" t="s">
        <v>60</v>
      </c>
      <c r="C10" s="40"/>
      <c r="D10" s="40"/>
      <c r="E10" s="40"/>
      <c r="F10" s="40"/>
      <c r="G10" s="40"/>
      <c r="H10" s="40"/>
    </row>
    <row r="11" spans="1:8" s="1" customFormat="1" ht="13.2">
      <c r="A11" s="6">
        <f t="shared" si="0" ref="A11:A37">+A10+1</f>
        <v>2</v>
      </c>
      <c r="B11" s="38" t="s">
        <v>53</v>
      </c>
      <c r="C11" s="39"/>
      <c r="D11" s="39"/>
      <c r="E11" s="39"/>
      <c r="F11" s="39"/>
      <c r="G11" s="39"/>
      <c r="H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6" ht="13.2">
      <c r="A40" s="6"/>
      <c r="F40" s="2"/>
    </row>
    <row r="41" spans="1:1" ht="13.2">
      <c r="A41" s="6"/>
    </row>
    <row r="42" spans="1:1" ht="13.2">
      <c r="A42" s="6"/>
    </row>
    <row r="43" spans="1:7" ht="13.2">
      <c r="A43" s="6"/>
      <c r="C43" s="9"/>
      <c r="G43" s="9"/>
    </row>
    <row r="44" spans="1:1" ht="13.2">
      <c r="A44" s="6"/>
    </row>
    <row r="45" spans="1:1" ht="13.2">
      <c r="A45" s="6"/>
    </row>
  </sheetData>
  <mergeCells count="8">
    <mergeCell ref="B10:H10"/>
    <mergeCell ref="B8:F8"/>
    <mergeCell ref="B6:H6"/>
    <mergeCell ref="B11:H11"/>
    <mergeCell ref="B1:H1"/>
    <mergeCell ref="B2:H2"/>
    <mergeCell ref="B3:H3"/>
    <mergeCell ref="B4:H4"/>
  </mergeCells>
  <printOptions horizontalCentered="1"/>
  <pageMargins left="0.83" right="0.78" top="1.5" bottom="1" header="1" footer="0.5"/>
  <pageSetup orientation="portrait" scale="73" r:id="rId2"/>
  <headerFooter alignWithMargins="0">
    <oddHeader>&amp;RWP/II-H-5.2/6
Page &amp;P of 20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3">
    <pageSetUpPr fitToPage="1"/>
  </sheetPr>
  <dimension ref="A1:F79"/>
  <sheetViews>
    <sheetView workbookViewId="0" topLeftCell="A1"/>
  </sheetViews>
  <sheetFormatPr defaultRowHeight="13.5"/>
  <cols>
    <col min="2" max="2" width="24.5714285714286" customWidth="1"/>
    <col min="3" max="3" width="16.7142857142857" customWidth="1"/>
    <col min="4" max="4" width="11.4285714285714" customWidth="1"/>
    <col min="5" max="5" width="11.8571428571429" customWidth="1"/>
    <col min="6" max="6" width="11.5714285714286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61</v>
      </c>
    </row>
    <row r="11" spans="1:3" s="1" customFormat="1" ht="12">
      <c r="A11" s="6">
        <f t="shared" si="0" ref="A11:A42">+A10+1</f>
        <v>2</v>
      </c>
      <c r="B11" s="3" t="s">
        <v>53</v>
      </c>
      <c r="C11" s="3"/>
    </row>
    <row r="12" spans="1:3" s="1" customFormat="1" ht="12">
      <c r="A12" s="6">
        <f t="shared" si="0"/>
        <v>3</v>
      </c>
      <c r="B12" s="3" t="s">
        <v>6</v>
      </c>
      <c r="C12" s="3" t="s">
        <v>80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102794.082</v>
      </c>
      <c r="D17">
        <v>1064.329</v>
      </c>
      <c r="E17">
        <v>96.581000000000003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-4706.2259999999997</v>
      </c>
      <c r="D18">
        <v>1050.701</v>
      </c>
      <c r="E18">
        <v>-4.4790000000000001</v>
      </c>
      <c r="F18" s="9">
        <v>0</v>
      </c>
    </row>
    <row r="19" spans="1:6" ht="13.2">
      <c r="A19" s="6">
        <f t="shared" si="0"/>
        <v>10</v>
      </c>
      <c r="B19" t="s">
        <v>93</v>
      </c>
      <c r="C19">
        <v>21083.129000000001</v>
      </c>
      <c r="D19">
        <v>584.89999999999998</v>
      </c>
      <c r="E19">
        <v>36.045999999999999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22313.449000000001</v>
      </c>
      <c r="D20">
        <v>572.71400000000006</v>
      </c>
      <c r="E20">
        <v>38.960999999999999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23037.725999999999</v>
      </c>
      <c r="D21">
        <v>572.85299999999995</v>
      </c>
      <c r="E21">
        <v>40.216000000000001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23009.116000000002</v>
      </c>
      <c r="D22">
        <v>575.30399999999997</v>
      </c>
      <c r="E22">
        <v>39.994999999999997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20787.503000000001</v>
      </c>
      <c r="D23">
        <v>580.16899999999998</v>
      </c>
      <c r="E23">
        <v>35.829999999999998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5664.5349999999999</v>
      </c>
      <c r="D24">
        <v>570.28899999999999</v>
      </c>
      <c r="E24">
        <v>9.9329999999999998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-2060.8049999999998</v>
      </c>
      <c r="D25">
        <v>3028.7570000000001</v>
      </c>
      <c r="E25">
        <v>-0.68000000000000005</v>
      </c>
      <c r="F25" s="9">
        <v>0.49640000000000001</v>
      </c>
    </row>
    <row r="26" spans="1:6" ht="13.2">
      <c r="A26" s="6">
        <f t="shared" si="0"/>
        <v>17</v>
      </c>
      <c r="B26" t="s">
        <v>100</v>
      </c>
      <c r="C26">
        <v>-7683.9989999999998</v>
      </c>
      <c r="D26">
        <v>3000.4520000000002</v>
      </c>
      <c r="E26">
        <v>-2.5609999999999999</v>
      </c>
      <c r="F26" s="9">
        <v>0.0106</v>
      </c>
    </row>
    <row r="27" spans="1:6" ht="13.2">
      <c r="A27" s="6">
        <f t="shared" si="0"/>
        <v>18</v>
      </c>
      <c r="B27" t="s">
        <v>121</v>
      </c>
      <c r="C27">
        <v>-7735.848</v>
      </c>
      <c r="D27">
        <v>2981.2130000000002</v>
      </c>
      <c r="E27">
        <v>-2.5950000000000002</v>
      </c>
      <c r="F27" s="9">
        <v>0.0095999999999999992</v>
      </c>
    </row>
    <row r="28" spans="1:6" ht="13.2">
      <c r="A28" s="6">
        <f t="shared" si="0"/>
        <v>19</v>
      </c>
      <c r="B28" t="s">
        <v>101</v>
      </c>
      <c r="C28">
        <v>-19266.362000000001</v>
      </c>
      <c r="D28">
        <v>2989.6889999999999</v>
      </c>
      <c r="E28">
        <v>-6.444</v>
      </c>
      <c r="F28" s="9">
        <v>0</v>
      </c>
    </row>
    <row r="29" spans="1:6" ht="13.2">
      <c r="A29" s="6">
        <f t="shared" si="0"/>
        <v>20</v>
      </c>
      <c r="B29" t="s">
        <v>122</v>
      </c>
      <c r="C29">
        <v>-21475.618999999999</v>
      </c>
      <c r="D29">
        <v>2970.6080000000002</v>
      </c>
      <c r="E29">
        <v>-7.2290000000000001</v>
      </c>
      <c r="F29" s="9">
        <v>0</v>
      </c>
    </row>
    <row r="30" spans="1:6" ht="13.2">
      <c r="A30" s="6">
        <f t="shared" si="0"/>
        <v>21</v>
      </c>
      <c r="B30" t="s">
        <v>102</v>
      </c>
      <c r="C30">
        <v>-22389.184000000001</v>
      </c>
      <c r="D30">
        <v>2984.6770000000001</v>
      </c>
      <c r="E30">
        <v>-7.5010000000000003</v>
      </c>
      <c r="F30" s="9">
        <v>0</v>
      </c>
    </row>
    <row r="31" spans="1:6" ht="13.2">
      <c r="A31" s="6">
        <f t="shared" si="0"/>
        <v>22</v>
      </c>
      <c r="B31" t="s">
        <v>103</v>
      </c>
      <c r="C31">
        <v>-28313.151999999998</v>
      </c>
      <c r="D31">
        <v>2987.7710000000002</v>
      </c>
      <c r="E31">
        <v>-9.4760000000000009</v>
      </c>
      <c r="F31" s="9">
        <v>0</v>
      </c>
    </row>
    <row r="32" spans="1:6" ht="13.2">
      <c r="A32" s="6">
        <f t="shared" si="0"/>
        <v>23</v>
      </c>
      <c r="B32" t="s">
        <v>104</v>
      </c>
      <c r="C32">
        <v>-17876.295999999998</v>
      </c>
      <c r="D32">
        <v>2989.7469999999998</v>
      </c>
      <c r="E32">
        <v>-5.9790000000000001</v>
      </c>
      <c r="F32" s="9">
        <v>0</v>
      </c>
    </row>
    <row r="33" spans="1:6" ht="13.2">
      <c r="A33" s="6">
        <f t="shared" si="0"/>
        <v>24</v>
      </c>
      <c r="B33" t="s">
        <v>105</v>
      </c>
      <c r="C33">
        <v>-4183.768</v>
      </c>
      <c r="D33">
        <v>3362.7629999999999</v>
      </c>
      <c r="E33">
        <v>-1.244</v>
      </c>
      <c r="F33" s="9">
        <v>0.2137</v>
      </c>
    </row>
    <row r="34" spans="1:6" ht="13.2">
      <c r="A34" s="6">
        <f t="shared" si="0"/>
        <v>25</v>
      </c>
      <c r="B34" t="s">
        <v>106</v>
      </c>
      <c r="C34">
        <v>-19620.163</v>
      </c>
      <c r="D34">
        <v>3076.9670000000001</v>
      </c>
      <c r="E34">
        <v>-6.3760000000000003</v>
      </c>
      <c r="F34" s="9">
        <v>0</v>
      </c>
    </row>
    <row r="35" spans="1:6" ht="13.2">
      <c r="A35" s="6">
        <f t="shared" si="0"/>
        <v>26</v>
      </c>
      <c r="B35" t="s">
        <v>107</v>
      </c>
      <c r="C35">
        <v>-29934.163</v>
      </c>
      <c r="D35">
        <v>3091.7919999999999</v>
      </c>
      <c r="E35">
        <v>-9.6820000000000004</v>
      </c>
      <c r="F35" s="9">
        <v>0</v>
      </c>
    </row>
    <row r="36" spans="1:6" ht="13.2">
      <c r="A36" s="6">
        <f t="shared" si="0"/>
        <v>27</v>
      </c>
      <c r="B36" t="s">
        <v>123</v>
      </c>
      <c r="C36">
        <v>-17175.834999999999</v>
      </c>
      <c r="D36">
        <v>3583.145</v>
      </c>
      <c r="E36">
        <v>-4.7939999999999996</v>
      </c>
      <c r="F36" s="9">
        <v>0</v>
      </c>
    </row>
    <row r="37" spans="1:6" ht="13.2">
      <c r="A37" s="6">
        <f t="shared" si="0"/>
        <v>28</v>
      </c>
      <c r="B37" t="s">
        <v>108</v>
      </c>
      <c r="C37">
        <v>-12527.004000000001</v>
      </c>
      <c r="D37">
        <v>3080.0140000000001</v>
      </c>
      <c r="E37">
        <v>-4.0670000000000002</v>
      </c>
      <c r="F37" s="9">
        <v>0.00010000000000000001</v>
      </c>
    </row>
    <row r="38" spans="1:6" ht="13.2">
      <c r="A38" s="6">
        <f t="shared" si="0"/>
        <v>29</v>
      </c>
      <c r="B38" t="s">
        <v>109</v>
      </c>
      <c r="C38">
        <v>-27638.636999999999</v>
      </c>
      <c r="D38">
        <v>3032.3040000000001</v>
      </c>
      <c r="E38">
        <v>-9.1150000000000002</v>
      </c>
      <c r="F38" s="9">
        <v>0</v>
      </c>
    </row>
    <row r="39" spans="1:6" ht="13.2">
      <c r="A39" s="6">
        <f t="shared" si="0"/>
        <v>30</v>
      </c>
      <c r="B39" t="s">
        <v>110</v>
      </c>
      <c r="C39">
        <v>244.40199999999999</v>
      </c>
      <c r="D39">
        <v>69.513999999999996</v>
      </c>
      <c r="E39">
        <v>3.516</v>
      </c>
      <c r="F39" s="9">
        <v>0.00050000000000000001</v>
      </c>
    </row>
    <row r="40" spans="1:6" ht="13.2">
      <c r="A40" s="6">
        <f t="shared" si="0"/>
        <v>31</v>
      </c>
      <c r="B40" t="s">
        <v>38</v>
      </c>
      <c r="C40">
        <v>-3101.0540000000001</v>
      </c>
      <c r="D40">
        <v>782.58699999999999</v>
      </c>
      <c r="E40">
        <v>-3.9630000000000001</v>
      </c>
      <c r="F40" s="9">
        <v>0.00010000000000000001</v>
      </c>
    </row>
    <row r="41" spans="1:6" ht="13.2">
      <c r="A41" s="6">
        <f t="shared" si="0"/>
        <v>32</v>
      </c>
      <c r="B41" t="s">
        <v>39</v>
      </c>
      <c r="C41">
        <v>-3647.127</v>
      </c>
      <c r="D41">
        <v>1096.7249999999999</v>
      </c>
      <c r="E41">
        <v>-3.3250000000000002</v>
      </c>
      <c r="F41" s="9">
        <v>0.00089999999999999998</v>
      </c>
    </row>
    <row r="42" spans="1:6" ht="13.2">
      <c r="A42" s="6">
        <f t="shared" si="0"/>
        <v>33</v>
      </c>
      <c r="B42" t="s">
        <v>40</v>
      </c>
      <c r="C42">
        <v>-1593.9949999999999</v>
      </c>
      <c r="D42">
        <v>1326.5050000000001</v>
      </c>
      <c r="E42">
        <v>-1.202</v>
      </c>
      <c r="F42" s="9">
        <v>0.2298</v>
      </c>
    </row>
    <row r="43" spans="1:6" ht="13.2">
      <c r="A43" s="6">
        <f t="shared" si="1" ref="A43:A79">+A42+1</f>
        <v>34</v>
      </c>
      <c r="B43" t="s">
        <v>41</v>
      </c>
      <c r="C43">
        <v>275.31099999999998</v>
      </c>
      <c r="D43">
        <v>1410.2280000000001</v>
      </c>
      <c r="E43">
        <v>0.19500000000000001</v>
      </c>
      <c r="F43" s="9">
        <v>0.84530000000000005</v>
      </c>
    </row>
    <row r="44" spans="1:6" ht="13.2">
      <c r="A44" s="6">
        <f t="shared" si="1"/>
        <v>35</v>
      </c>
      <c r="B44" t="s">
        <v>42</v>
      </c>
      <c r="C44">
        <v>1884.9860000000001</v>
      </c>
      <c r="D44">
        <v>1496.4849999999999</v>
      </c>
      <c r="E44">
        <v>1.26</v>
      </c>
      <c r="F44" s="9">
        <v>0.20810000000000001</v>
      </c>
    </row>
    <row r="45" spans="1:6" ht="13.2">
      <c r="A45" s="6">
        <f t="shared" si="1"/>
        <v>36</v>
      </c>
      <c r="B45" t="s">
        <v>43</v>
      </c>
      <c r="C45">
        <v>3841.665</v>
      </c>
      <c r="D45">
        <v>1552.2840000000001</v>
      </c>
      <c r="E45">
        <v>2.4750000000000001</v>
      </c>
      <c r="F45" s="9">
        <v>0.0135</v>
      </c>
    </row>
    <row r="46" spans="1:6" ht="13.2">
      <c r="A46" s="6">
        <f t="shared" si="1"/>
        <v>37</v>
      </c>
      <c r="B46" t="s">
        <v>44</v>
      </c>
      <c r="C46">
        <v>6815.9849999999997</v>
      </c>
      <c r="D46">
        <v>1550.549</v>
      </c>
      <c r="E46">
        <v>4.3959999999999999</v>
      </c>
      <c r="F46" s="9">
        <v>0</v>
      </c>
    </row>
    <row r="47" spans="1:6" ht="13.2">
      <c r="A47" s="6">
        <f t="shared" si="1"/>
        <v>38</v>
      </c>
      <c r="B47" t="s">
        <v>45</v>
      </c>
      <c r="C47">
        <v>6166.9709999999995</v>
      </c>
      <c r="D47">
        <v>1445.1110000000001</v>
      </c>
      <c r="E47">
        <v>4.2670000000000003</v>
      </c>
      <c r="F47" s="9">
        <v>0</v>
      </c>
    </row>
    <row r="48" spans="1:6" ht="13.2">
      <c r="A48" s="6">
        <f t="shared" si="1"/>
        <v>39</v>
      </c>
      <c r="B48" t="s">
        <v>52</v>
      </c>
      <c r="C48">
        <v>5381.3159999999998</v>
      </c>
      <c r="D48">
        <v>1327.8119999999999</v>
      </c>
      <c r="E48">
        <v>4.0529999999999999</v>
      </c>
      <c r="F48" s="9">
        <v>0.00010000000000000001</v>
      </c>
    </row>
    <row r="49" spans="1:6" ht="13.2">
      <c r="A49" s="6">
        <f t="shared" si="1"/>
        <v>40</v>
      </c>
      <c r="B49" t="s">
        <v>46</v>
      </c>
      <c r="C49">
        <v>-2556.2469999999998</v>
      </c>
      <c r="D49">
        <v>815.673</v>
      </c>
      <c r="E49">
        <v>-3.1339999999999999</v>
      </c>
      <c r="F49" s="9">
        <v>0.0018</v>
      </c>
    </row>
    <row r="50" spans="1:6" ht="13.2">
      <c r="A50" s="6">
        <f t="shared" si="1"/>
        <v>41</v>
      </c>
      <c r="B50" t="s">
        <v>47</v>
      </c>
      <c r="C50">
        <v>-4324.4499999999998</v>
      </c>
      <c r="D50">
        <v>1155.598</v>
      </c>
      <c r="E50">
        <v>-3.742</v>
      </c>
      <c r="F50" s="9">
        <v>0.00020000000000000001</v>
      </c>
    </row>
    <row r="51" spans="1:6" ht="13.2">
      <c r="A51" s="6">
        <f t="shared" si="1"/>
        <v>42</v>
      </c>
      <c r="B51" t="s">
        <v>81</v>
      </c>
      <c r="C51">
        <v>-4016.6100000000001</v>
      </c>
      <c r="D51">
        <v>188.97399999999999</v>
      </c>
      <c r="E51">
        <v>-21.254999999999999</v>
      </c>
      <c r="F51" s="9">
        <v>0</v>
      </c>
    </row>
    <row r="52" spans="1:6" ht="13.2">
      <c r="A52" s="6">
        <f t="shared" si="1"/>
        <v>43</v>
      </c>
      <c r="B52" t="s">
        <v>146</v>
      </c>
      <c r="C52">
        <v>65.031999999999996</v>
      </c>
      <c r="D52">
        <v>341.45400000000001</v>
      </c>
      <c r="E52">
        <v>0.19</v>
      </c>
      <c r="F52" s="9">
        <v>0.84899999999999998</v>
      </c>
    </row>
    <row r="53" spans="1:6" ht="13.2">
      <c r="A53" s="6">
        <f t="shared" si="1"/>
        <v>44</v>
      </c>
      <c r="B53" t="s">
        <v>140</v>
      </c>
      <c r="C53">
        <v>420.41000000000002</v>
      </c>
      <c r="D53">
        <v>446.71800000000002</v>
      </c>
      <c r="E53">
        <v>0.94099999999999995</v>
      </c>
      <c r="F53" s="9">
        <v>0.34689999999999999</v>
      </c>
    </row>
    <row r="54" spans="1:6" ht="13.2">
      <c r="A54" s="6">
        <f t="shared" si="1"/>
        <v>45</v>
      </c>
      <c r="B54" t="s">
        <v>147</v>
      </c>
      <c r="C54">
        <v>166.983</v>
      </c>
      <c r="D54">
        <v>436.69400000000002</v>
      </c>
      <c r="E54">
        <v>0.38200000000000001</v>
      </c>
      <c r="F54" s="9">
        <v>0.70230000000000004</v>
      </c>
    </row>
    <row r="55" spans="1:6" ht="13.2">
      <c r="A55" s="6">
        <f t="shared" si="1"/>
        <v>46</v>
      </c>
      <c r="B55" t="s">
        <v>141</v>
      </c>
      <c r="C55">
        <v>648.66600000000005</v>
      </c>
      <c r="D55">
        <v>395.887</v>
      </c>
      <c r="E55">
        <v>1.639</v>
      </c>
      <c r="F55" s="9">
        <v>0.1016</v>
      </c>
    </row>
    <row r="56" spans="1:6" ht="13.2">
      <c r="A56" s="6">
        <f t="shared" si="1"/>
        <v>47</v>
      </c>
      <c r="B56" t="s">
        <v>148</v>
      </c>
      <c r="C56">
        <v>-61.244999999999997</v>
      </c>
      <c r="D56">
        <v>214</v>
      </c>
      <c r="E56">
        <v>-0.28599999999999998</v>
      </c>
      <c r="F56" s="9">
        <v>0.77480000000000004</v>
      </c>
    </row>
    <row r="57" spans="1:6" ht="13.2">
      <c r="A57" s="6">
        <f t="shared" si="1"/>
        <v>48</v>
      </c>
      <c r="B57" t="s">
        <v>142</v>
      </c>
      <c r="C57">
        <v>669.25800000000004</v>
      </c>
      <c r="D57">
        <v>217.92599999999999</v>
      </c>
      <c r="E57">
        <v>3.0710000000000002</v>
      </c>
      <c r="F57" s="9">
        <v>0.0022000000000000001</v>
      </c>
    </row>
    <row r="58" spans="1:6" ht="13.2">
      <c r="A58" s="6">
        <f t="shared" si="1"/>
        <v>49</v>
      </c>
      <c r="B58" t="s">
        <v>143</v>
      </c>
      <c r="C58">
        <v>84.596000000000004</v>
      </c>
      <c r="D58">
        <v>396.69999999999999</v>
      </c>
      <c r="E58">
        <v>0.213</v>
      </c>
      <c r="F58" s="9">
        <v>0.83120000000000005</v>
      </c>
    </row>
    <row r="59" spans="1:6" ht="13.2">
      <c r="A59" s="6">
        <f t="shared" si="1"/>
        <v>50</v>
      </c>
      <c r="B59" t="s">
        <v>144</v>
      </c>
      <c r="C59">
        <v>1515.383</v>
      </c>
      <c r="D59">
        <v>394.01999999999998</v>
      </c>
      <c r="E59">
        <v>3.8460000000000001</v>
      </c>
      <c r="F59" s="9">
        <v>0.00010000000000000001</v>
      </c>
    </row>
    <row r="60" spans="1:6" ht="13.2">
      <c r="A60" s="6">
        <f t="shared" si="1"/>
        <v>51</v>
      </c>
      <c r="B60" t="s">
        <v>145</v>
      </c>
      <c r="C60">
        <v>119.063</v>
      </c>
      <c r="D60">
        <v>370.221</v>
      </c>
      <c r="E60">
        <v>0.32200000000000001</v>
      </c>
      <c r="F60" s="9">
        <v>0.74780000000000002</v>
      </c>
    </row>
    <row r="61" spans="1:6" ht="13.2">
      <c r="A61" s="6">
        <f t="shared" si="1"/>
        <v>52</v>
      </c>
      <c r="B61" t="s">
        <v>149</v>
      </c>
      <c r="C61">
        <v>188.31399999999999</v>
      </c>
      <c r="D61">
        <v>331.60899999999998</v>
      </c>
      <c r="E61">
        <v>0.56799999999999995</v>
      </c>
      <c r="F61" s="9">
        <v>0.57020000000000004</v>
      </c>
    </row>
    <row r="62" spans="1:6" ht="13.2">
      <c r="A62" s="6">
        <f t="shared" si="1"/>
        <v>53</v>
      </c>
      <c r="B62" t="s">
        <v>150</v>
      </c>
      <c r="C62">
        <v>-711.03999999999996</v>
      </c>
      <c r="D62">
        <v>302.49099999999999</v>
      </c>
      <c r="E62">
        <v>-2.351</v>
      </c>
      <c r="F62" s="9">
        <v>0.0189</v>
      </c>
    </row>
    <row r="63" spans="1:6" ht="13.2">
      <c r="A63" s="6">
        <f t="shared" si="1"/>
        <v>54</v>
      </c>
      <c r="F63" s="9"/>
    </row>
    <row r="64" spans="1:6" ht="13.2">
      <c r="A64" s="6">
        <f t="shared" si="1"/>
        <v>55</v>
      </c>
      <c r="B64" s="4" t="s">
        <v>120</v>
      </c>
      <c r="F64" s="9"/>
    </row>
    <row r="65" spans="1:6" ht="13.2">
      <c r="A65" s="6">
        <f t="shared" si="1"/>
        <v>56</v>
      </c>
      <c r="B65" t="s">
        <v>30</v>
      </c>
      <c r="C65">
        <v>1096</v>
      </c>
      <c r="F65" s="9"/>
    </row>
    <row r="66" spans="1:6" ht="13.2">
      <c r="A66" s="6">
        <f t="shared" si="1"/>
        <v>57</v>
      </c>
      <c r="B66" t="s">
        <v>10</v>
      </c>
      <c r="C66" s="16">
        <v>1050</v>
      </c>
      <c r="F66" s="9"/>
    </row>
    <row r="67" spans="1:6" ht="13.2">
      <c r="A67" s="6">
        <f t="shared" si="1"/>
        <v>58</v>
      </c>
      <c r="B67" t="s">
        <v>12</v>
      </c>
      <c r="C67" s="22">
        <v>0.94999999999999996</v>
      </c>
      <c r="F67" s="9"/>
    </row>
    <row r="68" spans="1:6" ht="13.2">
      <c r="A68" s="6">
        <f t="shared" si="1"/>
        <v>59</v>
      </c>
      <c r="B68" t="s">
        <v>13</v>
      </c>
      <c r="C68" s="24">
        <v>0.94799999999999995</v>
      </c>
      <c r="F68" s="9"/>
    </row>
    <row r="69" spans="1:6" ht="13.2">
      <c r="A69" s="6">
        <f t="shared" si="1"/>
        <v>60</v>
      </c>
      <c r="B69" t="s">
        <v>15</v>
      </c>
      <c r="C69" s="16">
        <v>445.632</v>
      </c>
      <c r="F69" s="9"/>
    </row>
    <row r="70" spans="1:6" ht="13.2">
      <c r="A70" s="6">
        <f t="shared" si="1"/>
        <v>61</v>
      </c>
      <c r="B70" t="s">
        <v>16</v>
      </c>
      <c r="C70" s="19">
        <v>0</v>
      </c>
      <c r="F70" s="9"/>
    </row>
    <row r="71" spans="1:3" ht="13.2">
      <c r="A71" s="6">
        <f t="shared" si="1"/>
        <v>62</v>
      </c>
      <c r="B71" t="s">
        <v>17</v>
      </c>
      <c r="C71" s="16">
        <v>505903153789.81</v>
      </c>
    </row>
    <row r="72" spans="1:6" ht="13.2">
      <c r="A72" s="6">
        <f t="shared" si="1"/>
        <v>63</v>
      </c>
      <c r="B72" t="s">
        <v>18</v>
      </c>
      <c r="C72" s="16">
        <v>26489147849.209999</v>
      </c>
      <c r="F72" s="9"/>
    </row>
    <row r="73" spans="1:6" ht="13.2">
      <c r="A73" s="6">
        <f t="shared" si="1"/>
        <v>64</v>
      </c>
      <c r="B73" t="s">
        <v>19</v>
      </c>
      <c r="C73" s="16">
        <v>25227759.859999999</v>
      </c>
      <c r="F73" s="9"/>
    </row>
    <row r="74" spans="1:6" ht="13.2">
      <c r="A74" s="6">
        <f t="shared" si="1"/>
        <v>65</v>
      </c>
      <c r="B74" t="s">
        <v>20</v>
      </c>
      <c r="C74" s="26">
        <v>5022.7200000000003</v>
      </c>
      <c r="F74" s="9"/>
    </row>
    <row r="75" spans="1:3" ht="13.2">
      <c r="A75" s="6">
        <f t="shared" si="1"/>
        <v>66</v>
      </c>
      <c r="B75" t="s">
        <v>9</v>
      </c>
      <c r="C75" s="27">
        <v>3966.02</v>
      </c>
    </row>
    <row r="76" spans="1:3" ht="13.2">
      <c r="A76" s="6">
        <f t="shared" si="1"/>
        <v>67</v>
      </c>
      <c r="B76" t="s">
        <v>11</v>
      </c>
      <c r="C76" s="9">
        <v>0.032800000000000003</v>
      </c>
    </row>
    <row r="77" spans="1:3" ht="13.2">
      <c r="A77" s="6">
        <f t="shared" si="1"/>
        <v>68</v>
      </c>
      <c r="B77" t="s">
        <v>14</v>
      </c>
      <c r="C77">
        <v>0.48399999999999999</v>
      </c>
    </row>
    <row r="78" spans="1:3" ht="13.2">
      <c r="A78" s="6">
        <f t="shared" si="1"/>
        <v>69</v>
      </c>
      <c r="B78" t="s">
        <v>21</v>
      </c>
      <c r="C78">
        <v>5514.3699999999999</v>
      </c>
    </row>
    <row r="79" spans="1:3" ht="13.2">
      <c r="A79" s="6">
        <f t="shared" si="1"/>
        <v>70</v>
      </c>
      <c r="B79" t="s">
        <v>22</v>
      </c>
      <c r="C79" s="19">
        <v>0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2" r:id="rId1"/>
  <headerFooter alignWithMargins="0">
    <oddHeader>&amp;RWP/II-H-5.2/6
Page &amp;P of 20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4">
    <pageSetUpPr fitToPage="1"/>
  </sheetPr>
  <dimension ref="A1:K49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</cols>
  <sheetData>
    <row r="1" spans="1:11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  <c r="K1" s="39"/>
    </row>
    <row r="2" spans="1:11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  <c r="K2" s="39"/>
    </row>
    <row r="3" spans="1:11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  <c r="K3" s="39"/>
    </row>
    <row r="4" spans="1:11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  <c r="K4" s="39"/>
    </row>
    <row r="5" spans="1:1" s="1" customFormat="1" ht="11.4">
      <c r="A5" s="6"/>
    </row>
    <row r="6" spans="1:11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  <c r="K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1" s="1" customFormat="1" ht="13.2">
      <c r="A10" s="6">
        <v>1</v>
      </c>
      <c r="B10" s="38" t="s">
        <v>63</v>
      </c>
      <c r="C10" s="39"/>
      <c r="D10" s="39"/>
      <c r="E10" s="39"/>
      <c r="F10" s="39"/>
      <c r="G10" s="39"/>
      <c r="H10" s="39"/>
      <c r="I10" s="39"/>
      <c r="J10" s="39"/>
      <c r="K10" s="39"/>
    </row>
    <row r="11" spans="1:11" s="1" customFormat="1" ht="13.2">
      <c r="A11" s="6">
        <f t="shared" si="0" ref="A11:A37">+A10+1</f>
        <v>2</v>
      </c>
      <c r="B11" s="38" t="s">
        <v>53</v>
      </c>
      <c r="C11" s="39"/>
      <c r="D11" s="39"/>
      <c r="E11" s="39"/>
      <c r="F11" s="39"/>
      <c r="G11" s="39"/>
      <c r="H11" s="39"/>
      <c r="I11" s="39"/>
      <c r="J11" s="39"/>
      <c r="K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1" ht="13.2">
      <c r="A33" s="6">
        <f t="shared" si="0"/>
        <v>24</v>
      </c>
    </row>
    <row r="34" spans="1:2" ht="13.2">
      <c r="A34" s="6">
        <f t="shared" si="0"/>
        <v>25</v>
      </c>
      <c r="B34" s="20"/>
    </row>
    <row r="35" spans="1:6" ht="13.2">
      <c r="A35" s="6">
        <f t="shared" si="0"/>
        <v>26</v>
      </c>
      <c r="F35" s="2"/>
    </row>
    <row r="36" spans="1:6" ht="13.2">
      <c r="A36" s="6">
        <f t="shared" si="0"/>
        <v>27</v>
      </c>
      <c r="F36" s="1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12"/>
    </row>
    <row r="40" spans="1:6" ht="13.2">
      <c r="A40" s="6"/>
      <c r="F40" s="2"/>
    </row>
    <row r="41" spans="1:6" ht="13.2">
      <c r="A41" s="6"/>
      <c r="F41" s="2"/>
    </row>
    <row r="42" spans="1:6" ht="13.2">
      <c r="A42" s="6"/>
      <c r="F42" s="2"/>
    </row>
    <row r="43" spans="1:6" ht="13.2">
      <c r="A43" s="6"/>
      <c r="F43" s="2"/>
    </row>
    <row r="44" spans="1:6" ht="13.2">
      <c r="A44" s="6"/>
      <c r="F44" s="2"/>
    </row>
    <row r="45" spans="1:1" ht="13.2">
      <c r="A45" s="6"/>
    </row>
    <row r="46" spans="1:1" ht="13.2">
      <c r="A46" s="6"/>
    </row>
    <row r="47" spans="1:7" ht="13.2">
      <c r="A47" s="6"/>
      <c r="C47" s="9"/>
      <c r="G47" s="9"/>
    </row>
    <row r="48" spans="1:1" ht="13.2">
      <c r="A48" s="6"/>
    </row>
    <row r="49" spans="1:1" ht="13.2">
      <c r="A49" s="6"/>
    </row>
  </sheetData>
  <mergeCells count="8">
    <mergeCell ref="B10:K10"/>
    <mergeCell ref="B11:K11"/>
    <mergeCell ref="B8:F8"/>
    <mergeCell ref="B1:K1"/>
    <mergeCell ref="B2:K2"/>
    <mergeCell ref="B3:K3"/>
    <mergeCell ref="B4:K4"/>
    <mergeCell ref="B6:K6"/>
  </mergeCells>
  <printOptions horizontalCentered="1"/>
  <pageMargins left="0.83" right="0.78" top="1.5" bottom="1" header="1" footer="0.5"/>
  <pageSetup orientation="portrait" scale="73" r:id="rId2"/>
  <headerFooter alignWithMargins="0">
    <oddHeader>&amp;RWP/II-H-5.2/6
Page &amp;P of 20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5">
    <pageSetUpPr fitToPage="1"/>
  </sheetPr>
  <dimension ref="A1:F74"/>
  <sheetViews>
    <sheetView workbookViewId="0" topLeftCell="A1"/>
  </sheetViews>
  <sheetFormatPr defaultRowHeight="13.5"/>
  <cols>
    <col min="2" max="2" width="26.7142857142857" customWidth="1"/>
    <col min="3" max="3" width="18" customWidth="1"/>
    <col min="4" max="4" width="13.5714285714286" customWidth="1"/>
    <col min="5" max="5" width="14.1428571428571" customWidth="1"/>
    <col min="6" max="6" width="15.5714285714286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86</v>
      </c>
    </row>
    <row r="11" spans="1:3" s="1" customFormat="1" ht="12">
      <c r="A11" s="6">
        <f t="shared" si="0" ref="A11:A42">+A10+1</f>
        <v>2</v>
      </c>
      <c r="B11" s="3" t="s">
        <v>53</v>
      </c>
      <c r="C11" s="3"/>
    </row>
    <row r="12" spans="1:3" s="1" customFormat="1" ht="12">
      <c r="A12" s="6">
        <f t="shared" si="0"/>
        <v>3</v>
      </c>
      <c r="B12" s="3" t="s">
        <v>6</v>
      </c>
      <c r="C12" s="3" t="s">
        <v>79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37922.133000000002</v>
      </c>
      <c r="D17">
        <v>287.73099999999999</v>
      </c>
      <c r="E17">
        <v>131.797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-279.29000000000002</v>
      </c>
      <c r="D18">
        <v>394.923</v>
      </c>
      <c r="E18">
        <v>-0.70699999999999996</v>
      </c>
      <c r="F18" s="9">
        <v>0.47960000000000003</v>
      </c>
    </row>
    <row r="19" spans="1:6" ht="13.2">
      <c r="A19" s="6">
        <f t="shared" si="0"/>
        <v>10</v>
      </c>
      <c r="B19" t="s">
        <v>93</v>
      </c>
      <c r="C19">
        <v>2537.0050000000001</v>
      </c>
      <c r="D19">
        <v>220.124</v>
      </c>
      <c r="E19">
        <v>11.525</v>
      </c>
      <c r="F19" s="9">
        <v>0</v>
      </c>
    </row>
    <row r="20" spans="1:6" ht="13.2">
      <c r="A20" s="6">
        <f t="shared" si="0"/>
        <v>11</v>
      </c>
      <c r="B20" t="s">
        <v>94</v>
      </c>
      <c r="C20">
        <v>3067.9250000000002</v>
      </c>
      <c r="D20">
        <v>215.197</v>
      </c>
      <c r="E20">
        <v>14.256</v>
      </c>
      <c r="F20" s="9">
        <v>0</v>
      </c>
    </row>
    <row r="21" spans="1:6" ht="13.2">
      <c r="A21" s="6">
        <f t="shared" si="0"/>
        <v>12</v>
      </c>
      <c r="B21" t="s">
        <v>95</v>
      </c>
      <c r="C21">
        <v>3096.0920000000001</v>
      </c>
      <c r="D21">
        <v>215.53</v>
      </c>
      <c r="E21">
        <v>14.365</v>
      </c>
      <c r="F21" s="9">
        <v>0</v>
      </c>
    </row>
    <row r="22" spans="1:6" ht="13.2">
      <c r="A22" s="6">
        <f t="shared" si="0"/>
        <v>13</v>
      </c>
      <c r="B22" t="s">
        <v>96</v>
      </c>
      <c r="C22">
        <v>3139.1399999999999</v>
      </c>
      <c r="D22">
        <v>216.75200000000001</v>
      </c>
      <c r="E22">
        <v>14.483000000000001</v>
      </c>
      <c r="F22" s="9">
        <v>0</v>
      </c>
    </row>
    <row r="23" spans="1:6" ht="13.2">
      <c r="A23" s="6">
        <f t="shared" si="0"/>
        <v>14</v>
      </c>
      <c r="B23" t="s">
        <v>97</v>
      </c>
      <c r="C23">
        <v>2934.2820000000002</v>
      </c>
      <c r="D23">
        <v>218.102</v>
      </c>
      <c r="E23">
        <v>13.454000000000001</v>
      </c>
      <c r="F23" s="9">
        <v>0</v>
      </c>
    </row>
    <row r="24" spans="1:6" ht="13.2">
      <c r="A24" s="6">
        <f t="shared" si="0"/>
        <v>15</v>
      </c>
      <c r="B24" t="s">
        <v>98</v>
      </c>
      <c r="C24">
        <v>1134.557</v>
      </c>
      <c r="D24">
        <v>214.827</v>
      </c>
      <c r="E24">
        <v>5.2809999999999997</v>
      </c>
      <c r="F24" s="9">
        <v>0</v>
      </c>
    </row>
    <row r="25" spans="1:6" ht="13.2">
      <c r="A25" s="6">
        <f t="shared" si="0"/>
        <v>16</v>
      </c>
      <c r="B25" t="s">
        <v>99</v>
      </c>
      <c r="C25">
        <v>-493.18900000000002</v>
      </c>
      <c r="D25">
        <v>1122.713</v>
      </c>
      <c r="E25">
        <v>-0.439</v>
      </c>
      <c r="F25" s="9">
        <v>0.66059999999999996</v>
      </c>
    </row>
    <row r="26" spans="1:6" ht="13.2">
      <c r="A26" s="6">
        <f t="shared" si="0"/>
        <v>17</v>
      </c>
      <c r="B26" t="s">
        <v>100</v>
      </c>
      <c r="C26">
        <v>379.53199999999998</v>
      </c>
      <c r="D26">
        <v>1127.9000000000001</v>
      </c>
      <c r="E26">
        <v>0.33600000000000002</v>
      </c>
      <c r="F26" s="9">
        <v>0.73660000000000003</v>
      </c>
    </row>
    <row r="27" spans="1:6" ht="13.2">
      <c r="A27" s="6">
        <f t="shared" si="0"/>
        <v>18</v>
      </c>
      <c r="B27" t="s">
        <v>121</v>
      </c>
      <c r="C27">
        <v>-848.59400000000005</v>
      </c>
      <c r="D27">
        <v>1126.2850000000001</v>
      </c>
      <c r="E27">
        <v>-0.753</v>
      </c>
      <c r="F27" s="9">
        <v>0.45129999999999998</v>
      </c>
    </row>
    <row r="28" spans="1:6" ht="13.2">
      <c r="A28" s="6">
        <f t="shared" si="0"/>
        <v>19</v>
      </c>
      <c r="B28" t="s">
        <v>101</v>
      </c>
      <c r="C28">
        <v>-2936.2449999999999</v>
      </c>
      <c r="D28">
        <v>1124.7449999999999</v>
      </c>
      <c r="E28">
        <v>-2.6110000000000002</v>
      </c>
      <c r="F28" s="9">
        <v>0.0091999999999999998</v>
      </c>
    </row>
    <row r="29" spans="1:6" ht="13.2">
      <c r="A29" s="6">
        <f t="shared" si="0"/>
        <v>20</v>
      </c>
      <c r="B29" t="s">
        <v>122</v>
      </c>
      <c r="C29">
        <v>-3440.5889999999999</v>
      </c>
      <c r="D29">
        <v>1116.385</v>
      </c>
      <c r="E29">
        <v>-3.0819999999999999</v>
      </c>
      <c r="F29" s="9">
        <v>0.0020999999999999999</v>
      </c>
    </row>
    <row r="30" spans="1:6" ht="13.2">
      <c r="A30" s="6">
        <f t="shared" si="0"/>
        <v>21</v>
      </c>
      <c r="B30" t="s">
        <v>102</v>
      </c>
      <c r="C30">
        <v>-2947.6509999999998</v>
      </c>
      <c r="D30">
        <v>1125.3030000000001</v>
      </c>
      <c r="E30">
        <v>-2.6190000000000002</v>
      </c>
      <c r="F30" s="9">
        <v>0.0088999999999999999</v>
      </c>
    </row>
    <row r="31" spans="1:6" ht="13.2">
      <c r="A31" s="6">
        <f t="shared" si="0"/>
        <v>22</v>
      </c>
      <c r="B31" t="s">
        <v>103</v>
      </c>
      <c r="C31">
        <v>-4825.0200000000004</v>
      </c>
      <c r="D31">
        <v>1124.6669999999999</v>
      </c>
      <c r="E31">
        <v>-4.29</v>
      </c>
      <c r="F31" s="9">
        <v>0</v>
      </c>
    </row>
    <row r="32" spans="1:6" ht="13.2">
      <c r="A32" s="6">
        <f t="shared" si="0"/>
        <v>23</v>
      </c>
      <c r="B32" t="s">
        <v>104</v>
      </c>
      <c r="C32">
        <v>-4514.6080000000002</v>
      </c>
      <c r="D32">
        <v>1124.25</v>
      </c>
      <c r="E32">
        <v>-4.016</v>
      </c>
      <c r="F32" s="9">
        <v>0.00010000000000000001</v>
      </c>
    </row>
    <row r="33" spans="1:6" ht="13.2">
      <c r="A33" s="6">
        <f t="shared" si="0"/>
        <v>24</v>
      </c>
      <c r="B33" t="s">
        <v>105</v>
      </c>
      <c r="C33">
        <v>1040.712</v>
      </c>
      <c r="D33">
        <v>1260.5429999999999</v>
      </c>
      <c r="E33">
        <v>0.82599999999999996</v>
      </c>
      <c r="F33" s="9">
        <v>0.40920000000000001</v>
      </c>
    </row>
    <row r="34" spans="1:6" ht="13.2">
      <c r="A34" s="6">
        <f t="shared" si="0"/>
        <v>25</v>
      </c>
      <c r="B34" t="s">
        <v>106</v>
      </c>
      <c r="C34">
        <v>-4258.4189999999999</v>
      </c>
      <c r="D34">
        <v>1158.4880000000001</v>
      </c>
      <c r="E34">
        <v>-3.6760000000000002</v>
      </c>
      <c r="F34" s="9">
        <v>0.00029999999999999997</v>
      </c>
    </row>
    <row r="35" spans="1:6" ht="13.2">
      <c r="A35" s="6">
        <f t="shared" si="0"/>
        <v>26</v>
      </c>
      <c r="B35" t="s">
        <v>107</v>
      </c>
      <c r="C35">
        <v>-6039.8990000000003</v>
      </c>
      <c r="D35">
        <v>1157.4390000000001</v>
      </c>
      <c r="E35">
        <v>-5.218</v>
      </c>
      <c r="F35" s="9">
        <v>0</v>
      </c>
    </row>
    <row r="36" spans="1:6" ht="13.2">
      <c r="A36" s="6">
        <f t="shared" si="0"/>
        <v>27</v>
      </c>
      <c r="B36" t="s">
        <v>123</v>
      </c>
      <c r="C36">
        <v>-3803.8499999999999</v>
      </c>
      <c r="D36">
        <v>1343.876</v>
      </c>
      <c r="E36">
        <v>-2.831</v>
      </c>
      <c r="F36" s="9">
        <v>0.0047000000000000002</v>
      </c>
    </row>
    <row r="37" spans="1:6" ht="13.2">
      <c r="A37" s="6">
        <f t="shared" si="0"/>
        <v>28</v>
      </c>
      <c r="B37" t="s">
        <v>108</v>
      </c>
      <c r="C37">
        <v>-2959.8339999999998</v>
      </c>
      <c r="D37">
        <v>1158.4739999999999</v>
      </c>
      <c r="E37">
        <v>-2.5550000000000002</v>
      </c>
      <c r="F37" s="9">
        <v>0.010800000000000001</v>
      </c>
    </row>
    <row r="38" spans="1:6" ht="13.2">
      <c r="A38" s="6">
        <f t="shared" si="0"/>
        <v>29</v>
      </c>
      <c r="B38" t="s">
        <v>109</v>
      </c>
      <c r="C38">
        <v>-4986.2849999999999</v>
      </c>
      <c r="D38">
        <v>1114.56</v>
      </c>
      <c r="E38">
        <v>-4.4740000000000002</v>
      </c>
      <c r="F38" s="9">
        <v>0</v>
      </c>
    </row>
    <row r="39" spans="1:6" ht="13.2">
      <c r="A39" s="6">
        <f t="shared" si="0"/>
        <v>30</v>
      </c>
      <c r="B39" t="s">
        <v>110</v>
      </c>
      <c r="C39">
        <v>9.9480000000000004</v>
      </c>
      <c r="D39">
        <v>26.009</v>
      </c>
      <c r="E39">
        <v>0.38200000000000001</v>
      </c>
      <c r="F39" s="9">
        <v>0.70220000000000005</v>
      </c>
    </row>
    <row r="40" spans="1:6" ht="13.2">
      <c r="A40" s="6">
        <f t="shared" si="0"/>
        <v>31</v>
      </c>
      <c r="B40" t="s">
        <v>38</v>
      </c>
      <c r="C40">
        <v>390.89400000000001</v>
      </c>
      <c r="D40">
        <v>293.28800000000001</v>
      </c>
      <c r="E40">
        <v>1.333</v>
      </c>
      <c r="F40" s="9">
        <v>0.18290000000000001</v>
      </c>
    </row>
    <row r="41" spans="1:6" ht="13.2">
      <c r="A41" s="6">
        <f t="shared" si="0"/>
        <v>32</v>
      </c>
      <c r="B41" t="s">
        <v>39</v>
      </c>
      <c r="C41">
        <v>2.6539999999999999</v>
      </c>
      <c r="D41">
        <v>408.54500000000002</v>
      </c>
      <c r="E41">
        <v>0.0060000000000000001</v>
      </c>
      <c r="F41" s="9">
        <v>0.99480000000000002</v>
      </c>
    </row>
    <row r="42" spans="1:6" ht="13.2">
      <c r="A42" s="6">
        <f t="shared" si="0"/>
        <v>33</v>
      </c>
      <c r="B42" t="s">
        <v>40</v>
      </c>
      <c r="C42">
        <v>73.605999999999995</v>
      </c>
      <c r="D42">
        <v>499.964</v>
      </c>
      <c r="E42">
        <v>0.14699999999999999</v>
      </c>
      <c r="F42" s="9">
        <v>0.88300000000000001</v>
      </c>
    </row>
    <row r="43" spans="1:6" ht="13.2">
      <c r="A43" s="6">
        <f t="shared" si="1" ref="A43:A74">+A42+1</f>
        <v>34</v>
      </c>
      <c r="B43" t="s">
        <v>41</v>
      </c>
      <c r="C43">
        <v>-1189.1579999999999</v>
      </c>
      <c r="D43">
        <v>531.36699999999996</v>
      </c>
      <c r="E43">
        <v>-2.238</v>
      </c>
      <c r="F43" s="9">
        <v>0.025399999999999999</v>
      </c>
    </row>
    <row r="44" spans="1:6" ht="13.2">
      <c r="A44" s="6">
        <f t="shared" si="1"/>
        <v>35</v>
      </c>
      <c r="B44" t="s">
        <v>42</v>
      </c>
      <c r="C44">
        <v>90.302000000000007</v>
      </c>
      <c r="D44">
        <v>564.16200000000003</v>
      </c>
      <c r="E44">
        <v>0.16</v>
      </c>
      <c r="F44" s="9">
        <v>0.87290000000000001</v>
      </c>
    </row>
    <row r="45" spans="1:6" ht="13.2">
      <c r="A45" s="6">
        <f t="shared" si="1"/>
        <v>36</v>
      </c>
      <c r="B45" t="s">
        <v>43</v>
      </c>
      <c r="C45">
        <v>275.17399999999998</v>
      </c>
      <c r="D45">
        <v>582.76499999999999</v>
      </c>
      <c r="E45">
        <v>0.47199999999999998</v>
      </c>
      <c r="F45" s="9">
        <v>0.63690000000000002</v>
      </c>
    </row>
    <row r="46" spans="1:6" ht="13.2">
      <c r="A46" s="6">
        <f t="shared" si="1"/>
        <v>37</v>
      </c>
      <c r="B46" t="s">
        <v>44</v>
      </c>
      <c r="C46">
        <v>549.00400000000002</v>
      </c>
      <c r="D46">
        <v>584.40499999999997</v>
      </c>
      <c r="E46">
        <v>0.93899999999999995</v>
      </c>
      <c r="F46" s="9">
        <v>0.34770000000000001</v>
      </c>
    </row>
    <row r="47" spans="1:6" ht="13.2">
      <c r="A47" s="6">
        <f t="shared" si="1"/>
        <v>38</v>
      </c>
      <c r="B47" t="s">
        <v>45</v>
      </c>
      <c r="C47">
        <v>769.05499999999995</v>
      </c>
      <c r="D47">
        <v>538.47900000000004</v>
      </c>
      <c r="E47">
        <v>1.4279999999999999</v>
      </c>
      <c r="F47" s="9">
        <v>0.1535</v>
      </c>
    </row>
    <row r="48" spans="1:6" ht="13.2">
      <c r="A48" s="6">
        <f t="shared" si="1"/>
        <v>39</v>
      </c>
      <c r="B48" t="s">
        <v>52</v>
      </c>
      <c r="C48">
        <v>-495.125</v>
      </c>
      <c r="D48">
        <v>497.96800000000002</v>
      </c>
      <c r="E48">
        <v>-0.99399999999999999</v>
      </c>
      <c r="F48" s="9">
        <v>0.32029999999999997</v>
      </c>
    </row>
    <row r="49" spans="1:6" ht="13.2">
      <c r="A49" s="6">
        <f t="shared" si="1"/>
        <v>40</v>
      </c>
      <c r="B49" t="s">
        <v>46</v>
      </c>
      <c r="C49">
        <v>-702.74599999999998</v>
      </c>
      <c r="D49">
        <v>304.411</v>
      </c>
      <c r="E49">
        <v>-2.3090000000000002</v>
      </c>
      <c r="F49" s="9">
        <v>0.021100000000000001</v>
      </c>
    </row>
    <row r="50" spans="1:6" ht="13.2">
      <c r="A50" s="6">
        <f t="shared" si="1"/>
        <v>41</v>
      </c>
      <c r="B50" t="s">
        <v>47</v>
      </c>
      <c r="C50">
        <v>-1377.6769999999999</v>
      </c>
      <c r="D50">
        <v>432.21899999999999</v>
      </c>
      <c r="E50">
        <v>-3.1869999999999998</v>
      </c>
      <c r="F50" s="9">
        <v>0.0015</v>
      </c>
    </row>
    <row r="51" spans="1:6" ht="13.2">
      <c r="A51" s="6">
        <f t="shared" si="1"/>
        <v>42</v>
      </c>
      <c r="B51" t="s">
        <v>81</v>
      </c>
      <c r="C51">
        <v>-145.09299999999999</v>
      </c>
      <c r="D51">
        <v>70.390000000000001</v>
      </c>
      <c r="E51">
        <v>-2.0609999999999999</v>
      </c>
      <c r="F51" s="9">
        <v>0.0395</v>
      </c>
    </row>
    <row r="52" spans="1:6" ht="13.2">
      <c r="A52" s="6">
        <f t="shared" si="1"/>
        <v>43</v>
      </c>
      <c r="B52" t="s">
        <v>151</v>
      </c>
      <c r="C52">
        <v>-19.981999999999999</v>
      </c>
      <c r="D52">
        <v>59.808</v>
      </c>
      <c r="E52">
        <v>-0.33400000000000002</v>
      </c>
      <c r="F52" s="9">
        <v>0.73839999999999995</v>
      </c>
    </row>
    <row r="53" spans="1:6" ht="13.2">
      <c r="A53" s="6">
        <f t="shared" si="1"/>
        <v>44</v>
      </c>
      <c r="B53" t="s">
        <v>153</v>
      </c>
      <c r="C53">
        <v>184.11099999999999</v>
      </c>
      <c r="D53">
        <v>132.76300000000001</v>
      </c>
      <c r="E53">
        <v>1.387</v>
      </c>
      <c r="F53" s="9">
        <v>0.1658</v>
      </c>
    </row>
    <row r="54" spans="1:6" ht="13.2">
      <c r="A54" s="6">
        <f t="shared" si="1"/>
        <v>45</v>
      </c>
      <c r="B54" t="s">
        <v>154</v>
      </c>
      <c r="C54">
        <v>-231.309</v>
      </c>
      <c r="D54">
        <v>148.672</v>
      </c>
      <c r="E54">
        <v>-1.5560000000000001</v>
      </c>
      <c r="F54" s="9">
        <v>0.1201</v>
      </c>
    </row>
    <row r="55" spans="1:6" ht="13.2">
      <c r="A55" s="6">
        <f t="shared" si="1"/>
        <v>46</v>
      </c>
      <c r="B55" t="s">
        <v>152</v>
      </c>
      <c r="C55">
        <v>265.47699999999998</v>
      </c>
      <c r="D55">
        <v>102.916</v>
      </c>
      <c r="E55">
        <v>2.5800000000000001</v>
      </c>
      <c r="F55" s="9">
        <v>0.01</v>
      </c>
    </row>
    <row r="56" spans="1:6" ht="13.2">
      <c r="A56" s="6">
        <f t="shared" si="1"/>
        <v>47</v>
      </c>
      <c r="B56" t="s">
        <v>155</v>
      </c>
      <c r="C56">
        <v>-159.161</v>
      </c>
      <c r="D56">
        <v>87.293000000000006</v>
      </c>
      <c r="E56">
        <v>-1.823</v>
      </c>
      <c r="F56" s="9">
        <v>0.068500000000000005</v>
      </c>
    </row>
    <row r="57" spans="1:6" ht="13.2">
      <c r="A57" s="6">
        <f t="shared" si="1"/>
        <v>48</v>
      </c>
      <c r="B57" t="s">
        <v>156</v>
      </c>
      <c r="C57">
        <v>144.22</v>
      </c>
      <c r="D57">
        <v>113.47499999999999</v>
      </c>
      <c r="E57">
        <v>1.2709999999999999</v>
      </c>
      <c r="F57" s="9">
        <v>0.20399999999999999</v>
      </c>
    </row>
    <row r="58" spans="1:6" ht="13.2">
      <c r="A58" s="6">
        <f t="shared" si="1"/>
        <v>49</v>
      </c>
      <c r="F58" s="9"/>
    </row>
    <row r="59" spans="1:2" ht="13.2">
      <c r="A59" s="6">
        <f t="shared" si="1"/>
        <v>50</v>
      </c>
      <c r="B59" s="4" t="s">
        <v>120</v>
      </c>
    </row>
    <row r="60" spans="1:6" ht="13.2">
      <c r="A60" s="6">
        <f t="shared" si="1"/>
        <v>51</v>
      </c>
      <c r="B60" t="s">
        <v>30</v>
      </c>
      <c r="C60" s="16">
        <v>1096</v>
      </c>
      <c r="F60" s="9"/>
    </row>
    <row r="61" spans="1:6" ht="13.2">
      <c r="A61" s="6">
        <f t="shared" si="1"/>
        <v>52</v>
      </c>
      <c r="B61" t="s">
        <v>10</v>
      </c>
      <c r="C61" s="16">
        <v>1055</v>
      </c>
      <c r="F61" s="9"/>
    </row>
    <row r="62" spans="1:6" ht="13.2">
      <c r="A62" s="6">
        <f t="shared" si="1"/>
        <v>53</v>
      </c>
      <c r="B62" t="s">
        <v>12</v>
      </c>
      <c r="C62" s="33">
        <v>0.53900000000000003</v>
      </c>
      <c r="F62" s="9"/>
    </row>
    <row r="63" spans="1:6" ht="13.2">
      <c r="A63" s="6">
        <f t="shared" si="1"/>
        <v>54</v>
      </c>
      <c r="B63" t="s">
        <v>13</v>
      </c>
      <c r="C63" s="22">
        <v>0.52200000000000002</v>
      </c>
      <c r="F63" s="9"/>
    </row>
    <row r="64" spans="1:6" ht="13.2">
      <c r="A64" s="6">
        <f t="shared" si="1"/>
        <v>55</v>
      </c>
      <c r="B64" t="s">
        <v>15</v>
      </c>
      <c r="C64" s="34">
        <v>30.838999999999999</v>
      </c>
      <c r="F64" s="9"/>
    </row>
    <row r="65" spans="1:6" ht="13.2">
      <c r="A65" s="6">
        <f t="shared" si="1"/>
        <v>56</v>
      </c>
      <c r="B65" t="s">
        <v>16</v>
      </c>
      <c r="C65" s="23">
        <v>0</v>
      </c>
      <c r="F65" s="9"/>
    </row>
    <row r="66" spans="1:3" ht="13.2">
      <c r="A66" s="6">
        <f t="shared" si="1"/>
        <v>57</v>
      </c>
      <c r="B66" t="s">
        <v>17</v>
      </c>
      <c r="C66" s="16">
        <v>4424963450.7600002</v>
      </c>
    </row>
    <row r="67" spans="1:6" ht="13.2">
      <c r="A67" s="6">
        <f t="shared" si="1"/>
        <v>58</v>
      </c>
      <c r="B67" t="s">
        <v>18</v>
      </c>
      <c r="C67" s="16">
        <v>3784498563.5500002</v>
      </c>
      <c r="F67" s="9"/>
    </row>
    <row r="68" spans="1:6" ht="13.2">
      <c r="A68" s="6">
        <f t="shared" si="1"/>
        <v>59</v>
      </c>
      <c r="B68" t="s">
        <v>19</v>
      </c>
      <c r="C68" s="16">
        <v>3587202.4300000002</v>
      </c>
      <c r="F68" s="9"/>
    </row>
    <row r="69" spans="1:6" ht="13.2">
      <c r="A69" s="6">
        <f t="shared" si="1"/>
        <v>60</v>
      </c>
      <c r="B69" t="s">
        <v>20</v>
      </c>
      <c r="C69" s="26">
        <v>1893.99</v>
      </c>
      <c r="F69" s="9"/>
    </row>
    <row r="70" spans="1:3" ht="13.2">
      <c r="A70" s="6">
        <f t="shared" si="1"/>
        <v>61</v>
      </c>
      <c r="B70" t="s">
        <v>9</v>
      </c>
      <c r="C70" s="27">
        <v>1571.23</v>
      </c>
    </row>
    <row r="71" spans="1:3" ht="13.2">
      <c r="A71" s="6">
        <f t="shared" si="1"/>
        <v>62</v>
      </c>
      <c r="B71" t="s">
        <v>11</v>
      </c>
      <c r="C71" s="9">
        <v>0.039</v>
      </c>
    </row>
    <row r="72" spans="1:3" ht="13.2">
      <c r="A72" s="6">
        <f t="shared" si="1"/>
        <v>63</v>
      </c>
      <c r="B72" t="s">
        <v>14</v>
      </c>
      <c r="C72">
        <v>0.14099999999999999</v>
      </c>
    </row>
    <row r="73" spans="1:3" ht="13.2">
      <c r="A73" s="6">
        <f t="shared" si="1"/>
        <v>64</v>
      </c>
      <c r="B73" t="s">
        <v>21</v>
      </c>
      <c r="C73">
        <v>15907.82</v>
      </c>
    </row>
    <row r="74" spans="1:3" ht="13.2">
      <c r="A74" s="6">
        <f t="shared" si="1"/>
        <v>65</v>
      </c>
      <c r="B74" t="s">
        <v>22</v>
      </c>
      <c r="C74" s="19">
        <v>0</v>
      </c>
    </row>
  </sheetData>
  <mergeCells count="6">
    <mergeCell ref="B6:F6"/>
    <mergeCell ref="B8:F8"/>
    <mergeCell ref="B1:F1"/>
    <mergeCell ref="B2:F2"/>
    <mergeCell ref="B3:F3"/>
    <mergeCell ref="B4:F4"/>
  </mergeCells>
  <printOptions horizontalCentered="1"/>
  <pageMargins left="0.83" right="0.78" top="1.5" bottom="1" header="1" footer="0.5"/>
  <pageSetup orientation="portrait" scale="67" r:id="rId1"/>
  <headerFooter alignWithMargins="0">
    <oddHeader>&amp;RWP/II-H-5.2/6
Page &amp;P of 20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6">
    <pageSetUpPr fitToPage="1"/>
  </sheetPr>
  <dimension ref="A1:J44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  <col min="8" max="8" width="13" customWidth="1"/>
  </cols>
  <sheetData>
    <row r="1" spans="1:10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</row>
    <row r="2" spans="1:10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</row>
    <row r="3" spans="1:10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</row>
    <row r="4" spans="1:10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</row>
    <row r="5" spans="1:1" s="1" customFormat="1" ht="11.4">
      <c r="A5" s="6"/>
    </row>
    <row r="6" spans="1:10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0" s="1" customFormat="1" ht="13.2">
      <c r="A10" s="6">
        <v>1</v>
      </c>
      <c r="B10" s="38" t="s">
        <v>87</v>
      </c>
      <c r="C10" s="39"/>
      <c r="D10" s="39"/>
      <c r="E10" s="39"/>
      <c r="F10" s="39"/>
      <c r="G10" s="39"/>
      <c r="H10" s="39"/>
      <c r="I10" s="39"/>
      <c r="J10" s="39"/>
    </row>
    <row r="11" spans="1:10" s="1" customFormat="1" ht="13.2">
      <c r="A11" s="6">
        <f t="shared" si="0" ref="A11:A37">+A10+1</f>
        <v>2</v>
      </c>
      <c r="B11" s="38" t="s">
        <v>53</v>
      </c>
      <c r="C11" s="39"/>
      <c r="D11" s="39"/>
      <c r="E11" s="39"/>
      <c r="F11" s="39"/>
      <c r="G11" s="39"/>
      <c r="H11" s="39"/>
      <c r="I11" s="39"/>
      <c r="J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1" ht="13.2">
      <c r="A40" s="6"/>
    </row>
    <row r="41" spans="1:1" ht="13.2">
      <c r="A41" s="6"/>
    </row>
    <row r="42" spans="1:7" ht="13.2">
      <c r="A42" s="6"/>
      <c r="C42" s="9"/>
      <c r="G42" s="9"/>
    </row>
    <row r="43" spans="1:1" ht="13.2">
      <c r="A43" s="6"/>
    </row>
    <row r="44" spans="1:1" ht="13.2">
      <c r="A44" s="6"/>
    </row>
  </sheetData>
  <mergeCells count="8">
    <mergeCell ref="B10:J10"/>
    <mergeCell ref="B11:J11"/>
    <mergeCell ref="B8:F8"/>
    <mergeCell ref="B1:J1"/>
    <mergeCell ref="B2:J2"/>
    <mergeCell ref="B3:J3"/>
    <mergeCell ref="B4:J4"/>
    <mergeCell ref="B6:J6"/>
  </mergeCells>
  <printOptions horizontalCentered="1"/>
  <pageMargins left="0.83" right="0.78" top="1.5" bottom="1" header="1" footer="0.5"/>
  <pageSetup orientation="portrait" scale="77" r:id="rId2"/>
  <headerFooter alignWithMargins="0">
    <oddHeader>&amp;RWP/II-H-5.2/6
Page &amp;P of 20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76"/>
  <sheetViews>
    <sheetView workbookViewId="0" topLeftCell="A1"/>
  </sheetViews>
  <sheetFormatPr defaultRowHeight="13.5"/>
  <cols>
    <col min="2" max="2" width="26.7142857142857" customWidth="1"/>
    <col min="3" max="3" width="18" customWidth="1"/>
    <col min="4" max="4" width="13.5714285714286" customWidth="1"/>
    <col min="5" max="5" width="14.1428571428571" customWidth="1"/>
    <col min="6" max="6" width="15.5714285714286" customWidth="1"/>
  </cols>
  <sheetData>
    <row r="1" spans="1:6" s="1" customFormat="1" ht="15.6">
      <c r="A1" s="6"/>
      <c r="B1" s="37" t="str">
        <f>+'RES Spline Model'!B1:F1</f>
        <v>2022 RATE CASE</v>
      </c>
      <c r="C1" s="37"/>
      <c r="D1" s="37"/>
      <c r="E1" s="37"/>
      <c r="F1" s="37"/>
    </row>
    <row r="2" spans="1:6" s="1" customFormat="1" ht="15.6">
      <c r="A2" s="6"/>
      <c r="B2" s="37" t="str">
        <f>+'RES Spline Model'!B2:F2</f>
        <v>ONCOR ELECTRIC DELIVERY COMPANY LLC</v>
      </c>
      <c r="C2" s="37"/>
      <c r="D2" s="37"/>
      <c r="E2" s="37"/>
      <c r="F2" s="37"/>
    </row>
    <row r="3" spans="1:6" s="1" customFormat="1" ht="15.6">
      <c r="A3" s="6"/>
      <c r="B3" s="37" t="str">
        <f>+'RES Spline Model'!B3:F3</f>
        <v>ADJUSTED WEATHER STATION DATA</v>
      </c>
      <c r="C3" s="37"/>
      <c r="D3" s="37"/>
      <c r="E3" s="37"/>
      <c r="F3" s="37"/>
    </row>
    <row r="4" spans="1:6" s="1" customFormat="1" ht="15.6">
      <c r="A4" s="6"/>
      <c r="B4" s="37" t="str">
        <f>+'RES Spline Model'!B4:F4</f>
        <v>FOR THE TEST YEAR ENDING DECEMBER 31, 2021</v>
      </c>
      <c r="C4" s="37"/>
      <c r="D4" s="37"/>
      <c r="E4" s="37"/>
      <c r="F4" s="37"/>
    </row>
    <row r="5" spans="1:1" s="1" customFormat="1" ht="11.4">
      <c r="A5" s="6"/>
    </row>
    <row r="6" spans="1:6" s="1" customFormat="1" ht="15.6">
      <c r="A6" s="6"/>
      <c r="B6" s="37" t="str">
        <f>+'RES Spline Model'!B6:F6</f>
        <v>SPONSOR: D. E. NELSON</v>
      </c>
      <c r="C6" s="37"/>
      <c r="D6" s="37"/>
      <c r="E6" s="37"/>
      <c r="F6" s="37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 t="s">
        <v>25</v>
      </c>
      <c r="C9" s="8" t="s">
        <v>26</v>
      </c>
      <c r="D9" s="8" t="s">
        <v>29</v>
      </c>
      <c r="E9" s="8" t="s">
        <v>27</v>
      </c>
      <c r="F9" s="8" t="s">
        <v>28</v>
      </c>
    </row>
    <row r="10" spans="1:3" s="1" customFormat="1" ht="12">
      <c r="A10" s="6">
        <v>1</v>
      </c>
      <c r="B10" s="3" t="s">
        <v>5</v>
      </c>
      <c r="C10" s="3" t="s">
        <v>163</v>
      </c>
    </row>
    <row r="11" spans="1:3" s="1" customFormat="1" ht="12">
      <c r="A11" s="6">
        <f t="shared" si="0" ref="A11:A75">+A10+1</f>
        <v>2</v>
      </c>
      <c r="B11" s="3" t="s">
        <v>53</v>
      </c>
      <c r="C11" s="3"/>
    </row>
    <row r="12" spans="1:3" s="1" customFormat="1" ht="12">
      <c r="A12" s="6">
        <f t="shared" si="0"/>
        <v>3</v>
      </c>
      <c r="B12" s="3" t="s">
        <v>6</v>
      </c>
      <c r="C12" s="3" t="s">
        <v>159</v>
      </c>
    </row>
    <row r="13" spans="1:3" s="1" customFormat="1" ht="12">
      <c r="A13" s="6">
        <f t="shared" si="0"/>
        <v>4</v>
      </c>
      <c r="B13" s="3" t="s">
        <v>7</v>
      </c>
      <c r="C13" s="17">
        <f>+'RES Spline Model'!C13</f>
        <v>43101</v>
      </c>
    </row>
    <row r="14" spans="1:3" s="1" customFormat="1" ht="12">
      <c r="A14" s="6">
        <f t="shared" si="0"/>
        <v>5</v>
      </c>
      <c r="B14" s="3" t="s">
        <v>8</v>
      </c>
      <c r="C14" s="17">
        <f>+'RES Spline Model'!C14</f>
        <v>44196</v>
      </c>
    </row>
    <row r="15" spans="1:1" s="1" customFormat="1" ht="11.4">
      <c r="A15" s="6">
        <f t="shared" si="0"/>
        <v>6</v>
      </c>
    </row>
    <row r="16" spans="1:6" s="1" customFormat="1" ht="11.4">
      <c r="A16" s="6">
        <f t="shared" si="0"/>
        <v>7</v>
      </c>
      <c r="B16" s="5" t="s">
        <v>0</v>
      </c>
      <c r="C16" s="5" t="s">
        <v>1</v>
      </c>
      <c r="D16" s="5" t="s">
        <v>2</v>
      </c>
      <c r="E16" s="5" t="s">
        <v>3</v>
      </c>
      <c r="F16" s="5" t="s">
        <v>4</v>
      </c>
    </row>
    <row r="17" spans="1:6" ht="13.2">
      <c r="A17" s="6">
        <f t="shared" si="0"/>
        <v>8</v>
      </c>
      <c r="B17" t="s">
        <v>37</v>
      </c>
      <c r="C17">
        <v>8530.2270000000008</v>
      </c>
      <c r="D17">
        <v>80.132999999999996</v>
      </c>
      <c r="E17">
        <v>106.45</v>
      </c>
      <c r="F17" s="9">
        <v>0</v>
      </c>
    </row>
    <row r="18" spans="1:6" ht="13.2">
      <c r="A18" s="6">
        <f t="shared" si="0"/>
        <v>9</v>
      </c>
      <c r="B18" t="s">
        <v>92</v>
      </c>
      <c r="C18">
        <v>-177.63900000000001</v>
      </c>
      <c r="D18">
        <v>108.048</v>
      </c>
      <c r="E18">
        <v>-1.6439999999999999</v>
      </c>
      <c r="F18" s="9">
        <v>0.10050000000000001</v>
      </c>
    </row>
    <row r="19" spans="1:6" ht="13.2">
      <c r="A19" s="6">
        <f t="shared" si="0"/>
        <v>10</v>
      </c>
      <c r="B19" t="s">
        <v>93</v>
      </c>
      <c r="C19">
        <v>228.01300000000001</v>
      </c>
      <c r="D19">
        <v>60.323999999999998</v>
      </c>
      <c r="E19">
        <v>3.7799999999999998</v>
      </c>
      <c r="F19" s="9">
        <v>0.00020000000000000001</v>
      </c>
    </row>
    <row r="20" spans="1:6" ht="13.2">
      <c r="A20" s="6">
        <f t="shared" si="0"/>
        <v>11</v>
      </c>
      <c r="B20" t="s">
        <v>94</v>
      </c>
      <c r="C20">
        <v>225.928</v>
      </c>
      <c r="D20">
        <v>58.978000000000002</v>
      </c>
      <c r="E20">
        <v>3.831</v>
      </c>
      <c r="F20" s="9">
        <v>0.00010000000000000001</v>
      </c>
    </row>
    <row r="21" spans="1:6" ht="13.2">
      <c r="A21" s="6">
        <f t="shared" si="0"/>
        <v>12</v>
      </c>
      <c r="B21" t="s">
        <v>95</v>
      </c>
      <c r="C21">
        <v>222.10900000000001</v>
      </c>
      <c r="D21">
        <v>59.006</v>
      </c>
      <c r="E21">
        <v>3.7639999999999998</v>
      </c>
      <c r="F21" s="9">
        <v>0.00020000000000000001</v>
      </c>
    </row>
    <row r="22" spans="1:6" ht="13.2">
      <c r="A22" s="6">
        <f t="shared" si="0"/>
        <v>13</v>
      </c>
      <c r="B22" t="s">
        <v>96</v>
      </c>
      <c r="C22">
        <v>221.24500000000001</v>
      </c>
      <c r="D22">
        <v>59.401000000000003</v>
      </c>
      <c r="E22">
        <v>3.7250000000000001</v>
      </c>
      <c r="F22" s="9">
        <v>0.00020000000000000001</v>
      </c>
    </row>
    <row r="23" spans="1:6" ht="13.2">
      <c r="A23" s="6">
        <f t="shared" si="0"/>
        <v>14</v>
      </c>
      <c r="B23" t="s">
        <v>97</v>
      </c>
      <c r="C23">
        <v>240.02500000000001</v>
      </c>
      <c r="D23">
        <v>59.688000000000002</v>
      </c>
      <c r="E23">
        <v>4.0209999999999999</v>
      </c>
      <c r="F23" s="9">
        <v>0.00010000000000000001</v>
      </c>
    </row>
    <row r="24" spans="1:6" ht="13.2">
      <c r="A24" s="6">
        <f t="shared" si="0"/>
        <v>15</v>
      </c>
      <c r="B24" t="s">
        <v>98</v>
      </c>
      <c r="C24">
        <v>104.62600000000001</v>
      </c>
      <c r="D24">
        <v>58.810000000000002</v>
      </c>
      <c r="E24">
        <v>1.7789999999999999</v>
      </c>
      <c r="F24" s="9">
        <v>0.075499999999999998</v>
      </c>
    </row>
    <row r="25" spans="1:6" ht="13.2">
      <c r="A25" s="6">
        <f t="shared" si="0"/>
        <v>16</v>
      </c>
      <c r="B25" t="s">
        <v>99</v>
      </c>
      <c r="C25">
        <v>-49.813000000000002</v>
      </c>
      <c r="D25">
        <v>307.25</v>
      </c>
      <c r="E25">
        <v>-0.16200000000000001</v>
      </c>
      <c r="F25" s="9">
        <v>0.87119999999999997</v>
      </c>
    </row>
    <row r="26" spans="1:6" ht="13.2">
      <c r="A26" s="6">
        <f t="shared" si="0"/>
        <v>17</v>
      </c>
      <c r="B26" t="s">
        <v>100</v>
      </c>
      <c r="C26">
        <v>-159.15299999999999</v>
      </c>
      <c r="D26">
        <v>308.51799999999997</v>
      </c>
      <c r="E26">
        <v>-0.51600000000000001</v>
      </c>
      <c r="F26" s="9">
        <v>0.60609999999999997</v>
      </c>
    </row>
    <row r="27" spans="1:6" ht="13.2">
      <c r="A27" s="6">
        <f t="shared" si="0"/>
        <v>18</v>
      </c>
      <c r="B27" t="s">
        <v>121</v>
      </c>
      <c r="C27">
        <v>136.892</v>
      </c>
      <c r="D27">
        <v>308.77800000000002</v>
      </c>
      <c r="E27">
        <v>0.443</v>
      </c>
      <c r="F27" s="9">
        <v>0.65759999999999996</v>
      </c>
    </row>
    <row r="28" spans="1:6" ht="13.2">
      <c r="A28" s="6">
        <f t="shared" si="0"/>
        <v>19</v>
      </c>
      <c r="B28" t="s">
        <v>101</v>
      </c>
      <c r="C28">
        <v>-186.643</v>
      </c>
      <c r="D28">
        <v>307.92599999999999</v>
      </c>
      <c r="E28">
        <v>-0.60599999999999998</v>
      </c>
      <c r="F28" s="9">
        <v>0.54459999999999997</v>
      </c>
    </row>
    <row r="29" spans="1:6" ht="13.2">
      <c r="A29" s="6">
        <f t="shared" si="0"/>
        <v>20</v>
      </c>
      <c r="B29" t="s">
        <v>122</v>
      </c>
      <c r="C29">
        <v>-310.863</v>
      </c>
      <c r="D29">
        <v>305.226</v>
      </c>
      <c r="E29">
        <v>-1.018</v>
      </c>
      <c r="F29" s="9">
        <v>0.30869999999999997</v>
      </c>
    </row>
    <row r="30" spans="1:6" ht="13.2">
      <c r="A30" s="6">
        <f t="shared" si="0"/>
        <v>21</v>
      </c>
      <c r="B30" t="s">
        <v>102</v>
      </c>
      <c r="C30">
        <v>-178.50999999999999</v>
      </c>
      <c r="D30">
        <v>307.95699999999999</v>
      </c>
      <c r="E30">
        <v>-0.57999999999999996</v>
      </c>
      <c r="F30" s="9">
        <v>0.56230000000000002</v>
      </c>
    </row>
    <row r="31" spans="1:6" ht="13.2">
      <c r="A31" s="6">
        <f t="shared" si="0"/>
        <v>22</v>
      </c>
      <c r="B31" t="s">
        <v>103</v>
      </c>
      <c r="C31">
        <v>-25.696999999999999</v>
      </c>
      <c r="D31">
        <v>307.86700000000002</v>
      </c>
      <c r="E31">
        <v>-0.083000000000000004</v>
      </c>
      <c r="F31" s="9">
        <v>0.9335</v>
      </c>
    </row>
    <row r="32" spans="1:6" ht="13.2">
      <c r="A32" s="6">
        <f t="shared" si="0"/>
        <v>23</v>
      </c>
      <c r="B32" t="s">
        <v>104</v>
      </c>
      <c r="C32">
        <v>-106.809</v>
      </c>
      <c r="D32">
        <v>308.65699999999998</v>
      </c>
      <c r="E32">
        <v>-0.34599999999999997</v>
      </c>
      <c r="F32" s="9">
        <v>0.72940000000000005</v>
      </c>
    </row>
    <row r="33" spans="1:6" ht="13.2">
      <c r="A33" s="6">
        <f t="shared" si="0"/>
        <v>24</v>
      </c>
      <c r="B33" t="s">
        <v>105</v>
      </c>
      <c r="C33">
        <v>-324.21100000000001</v>
      </c>
      <c r="D33">
        <v>345.63600000000002</v>
      </c>
      <c r="E33">
        <v>-0.93799999999999994</v>
      </c>
      <c r="F33" s="9">
        <v>0.34839999999999999</v>
      </c>
    </row>
    <row r="34" spans="1:6" ht="13.2">
      <c r="A34" s="6">
        <f t="shared" si="0"/>
        <v>25</v>
      </c>
      <c r="B34" t="s">
        <v>106</v>
      </c>
      <c r="C34">
        <v>-438.94900000000001</v>
      </c>
      <c r="D34">
        <v>317.04700000000003</v>
      </c>
      <c r="E34">
        <v>-1.3839999999999999</v>
      </c>
      <c r="F34" s="9">
        <v>0.16650000000000001</v>
      </c>
    </row>
    <row r="35" spans="1:6" ht="13.2">
      <c r="A35" s="6">
        <f t="shared" si="0"/>
        <v>26</v>
      </c>
      <c r="B35" t="s">
        <v>107</v>
      </c>
      <c r="C35">
        <v>-820.971</v>
      </c>
      <c r="D35">
        <v>317.73099999999999</v>
      </c>
      <c r="E35">
        <v>-2.5840000000000001</v>
      </c>
      <c r="F35" s="9">
        <v>0.0099000000000000008</v>
      </c>
    </row>
    <row r="36" spans="1:6" ht="13.2">
      <c r="A36" s="6">
        <f t="shared" si="0"/>
        <v>27</v>
      </c>
      <c r="B36" t="s">
        <v>123</v>
      </c>
      <c r="C36">
        <v>-758.58199999999999</v>
      </c>
      <c r="D36">
        <v>367.99799999999999</v>
      </c>
      <c r="E36">
        <v>-2.0609999999999999</v>
      </c>
      <c r="F36" s="9">
        <v>0.0395</v>
      </c>
    </row>
    <row r="37" spans="1:6" ht="13.2">
      <c r="A37" s="6">
        <f t="shared" si="0"/>
        <v>28</v>
      </c>
      <c r="B37" t="s">
        <v>108</v>
      </c>
      <c r="C37">
        <v>-342.40899999999999</v>
      </c>
      <c r="D37">
        <v>317.30799999999999</v>
      </c>
      <c r="E37">
        <v>-1.079</v>
      </c>
      <c r="F37" s="9">
        <v>0.28079999999999999</v>
      </c>
    </row>
    <row r="38" spans="1:6" ht="13.2">
      <c r="A38" s="6">
        <f t="shared" si="0"/>
        <v>29</v>
      </c>
      <c r="B38" t="s">
        <v>109</v>
      </c>
      <c r="C38">
        <v>-721.22400000000005</v>
      </c>
      <c r="D38">
        <v>305.22399999999999</v>
      </c>
      <c r="E38">
        <v>-2.363</v>
      </c>
      <c r="F38" s="9">
        <v>0.0183</v>
      </c>
    </row>
    <row r="39" spans="1:6" ht="13.2">
      <c r="A39" s="6">
        <f t="shared" si="0"/>
        <v>30</v>
      </c>
      <c r="B39" t="s">
        <v>110</v>
      </c>
      <c r="C39">
        <v>-3.8919999999999999</v>
      </c>
      <c r="D39">
        <v>7.1130000000000004</v>
      </c>
      <c r="E39">
        <v>-0.54700000000000004</v>
      </c>
      <c r="F39" s="9">
        <v>0.58440000000000003</v>
      </c>
    </row>
    <row r="40" spans="1:6" ht="13.2">
      <c r="A40" s="6">
        <f t="shared" si="0"/>
        <v>31</v>
      </c>
      <c r="B40" t="s">
        <v>38</v>
      </c>
      <c r="C40">
        <v>305.93599999999998</v>
      </c>
      <c r="D40">
        <v>80.379999999999995</v>
      </c>
      <c r="E40">
        <v>3.806</v>
      </c>
      <c r="F40" s="9">
        <v>0.00020000000000000001</v>
      </c>
    </row>
    <row r="41" spans="1:6" ht="13.2">
      <c r="A41" s="6">
        <f t="shared" si="0"/>
        <v>32</v>
      </c>
      <c r="B41" t="s">
        <v>39</v>
      </c>
      <c r="C41">
        <v>291.93000000000001</v>
      </c>
      <c r="D41">
        <v>113.194</v>
      </c>
      <c r="E41">
        <v>2.5790000000000002</v>
      </c>
      <c r="F41" s="9">
        <v>0.01</v>
      </c>
    </row>
    <row r="42" spans="1:6" ht="13.2">
      <c r="A42" s="6">
        <f t="shared" si="0"/>
        <v>33</v>
      </c>
      <c r="B42" t="s">
        <v>40</v>
      </c>
      <c r="C42">
        <v>528.62300000000005</v>
      </c>
      <c r="D42">
        <v>138.21299999999999</v>
      </c>
      <c r="E42">
        <v>3.8250000000000002</v>
      </c>
      <c r="F42" s="9">
        <v>0.00010000000000000001</v>
      </c>
    </row>
    <row r="43" spans="1:6" ht="13.2">
      <c r="A43" s="6">
        <f t="shared" si="0"/>
        <v>34</v>
      </c>
      <c r="B43" t="s">
        <v>41</v>
      </c>
      <c r="C43">
        <v>-28.785</v>
      </c>
      <c r="D43">
        <v>146.42599999999999</v>
      </c>
      <c r="E43">
        <v>-0.19700000000000001</v>
      </c>
      <c r="F43" s="9">
        <v>0.84419999999999995</v>
      </c>
    </row>
    <row r="44" spans="1:6" ht="13.2">
      <c r="A44" s="6">
        <f t="shared" si="0"/>
        <v>35</v>
      </c>
      <c r="B44" t="s">
        <v>42</v>
      </c>
      <c r="C44">
        <v>82.195999999999998</v>
      </c>
      <c r="D44">
        <v>155.22399999999999</v>
      </c>
      <c r="E44">
        <v>0.53000000000000003</v>
      </c>
      <c r="F44" s="9">
        <v>0.59660000000000002</v>
      </c>
    </row>
    <row r="45" spans="1:6" ht="13.2">
      <c r="A45" s="6">
        <f t="shared" si="0"/>
        <v>36</v>
      </c>
      <c r="B45" t="s">
        <v>43</v>
      </c>
      <c r="C45">
        <v>245.839</v>
      </c>
      <c r="D45">
        <v>160.12000000000001</v>
      </c>
      <c r="E45">
        <v>1.5349999999999999</v>
      </c>
      <c r="F45" s="9">
        <v>0.125</v>
      </c>
    </row>
    <row r="46" spans="1:6" ht="13.2">
      <c r="A46" s="6">
        <f t="shared" si="0"/>
        <v>37</v>
      </c>
      <c r="B46" t="s">
        <v>44</v>
      </c>
      <c r="C46">
        <v>778.54399999999998</v>
      </c>
      <c r="D46">
        <v>160.71600000000001</v>
      </c>
      <c r="E46">
        <v>4.8440000000000003</v>
      </c>
      <c r="F46" s="9">
        <v>0</v>
      </c>
    </row>
    <row r="47" spans="1:6" ht="13.2">
      <c r="A47" s="6">
        <f t="shared" si="0"/>
        <v>38</v>
      </c>
      <c r="B47" t="s">
        <v>45</v>
      </c>
      <c r="C47">
        <v>859.37199999999996</v>
      </c>
      <c r="D47">
        <v>148.14500000000001</v>
      </c>
      <c r="E47">
        <v>5.8010000000000002</v>
      </c>
      <c r="F47" s="9">
        <v>0</v>
      </c>
    </row>
    <row r="48" spans="1:6" ht="13.2">
      <c r="A48" s="6">
        <f t="shared" si="0"/>
        <v>39</v>
      </c>
      <c r="B48" t="s">
        <v>52</v>
      </c>
      <c r="C48">
        <v>631.74800000000005</v>
      </c>
      <c r="D48">
        <v>137.18299999999999</v>
      </c>
      <c r="E48">
        <v>4.6050000000000004</v>
      </c>
      <c r="F48" s="9">
        <v>0</v>
      </c>
    </row>
    <row r="49" spans="1:6" ht="13.2">
      <c r="A49" s="6">
        <f t="shared" si="0"/>
        <v>40</v>
      </c>
      <c r="B49" t="s">
        <v>46</v>
      </c>
      <c r="C49">
        <v>541.04399999999998</v>
      </c>
      <c r="D49">
        <v>83.954999999999998</v>
      </c>
      <c r="E49">
        <v>6.444</v>
      </c>
      <c r="F49" s="9">
        <v>0</v>
      </c>
    </row>
    <row r="50" spans="1:6" ht="13.2">
      <c r="A50" s="6">
        <f t="shared" si="0"/>
        <v>41</v>
      </c>
      <c r="B50" t="s">
        <v>47</v>
      </c>
      <c r="C50">
        <v>450.29700000000003</v>
      </c>
      <c r="D50">
        <v>118.229</v>
      </c>
      <c r="E50">
        <v>3.8090000000000002</v>
      </c>
      <c r="F50" s="9">
        <v>0.00020000000000000001</v>
      </c>
    </row>
    <row r="51" spans="1:6" ht="13.2">
      <c r="A51" s="6">
        <f t="shared" si="0"/>
        <v>42</v>
      </c>
      <c r="B51" t="s">
        <v>81</v>
      </c>
      <c r="C51">
        <v>1569.0989999999999</v>
      </c>
      <c r="D51">
        <v>19.236000000000001</v>
      </c>
      <c r="E51">
        <v>81.569000000000003</v>
      </c>
      <c r="F51" s="9">
        <v>0</v>
      </c>
    </row>
    <row r="52" spans="1:6" ht="13.2">
      <c r="A52" s="6">
        <f t="shared" si="0"/>
        <v>43</v>
      </c>
      <c r="B52" t="s">
        <v>160</v>
      </c>
      <c r="C52">
        <v>39.722999999999999</v>
      </c>
      <c r="D52">
        <v>16.161999999999999</v>
      </c>
      <c r="E52">
        <v>2.4580000000000002</v>
      </c>
      <c r="F52" s="9">
        <v>0.0141</v>
      </c>
    </row>
    <row r="53" spans="1:6" ht="13.2">
      <c r="A53" s="6">
        <f t="shared" si="0"/>
        <v>44</v>
      </c>
      <c r="B53" t="s">
        <v>165</v>
      </c>
      <c r="C53">
        <v>-16.164999999999999</v>
      </c>
      <c r="D53">
        <v>35.002000000000002</v>
      </c>
      <c r="E53">
        <v>-0.46200000000000002</v>
      </c>
      <c r="F53" s="9">
        <v>0.64429999999999998</v>
      </c>
    </row>
    <row r="54" spans="1:6" ht="13.2">
      <c r="A54" s="6">
        <f t="shared" si="0"/>
        <v>45</v>
      </c>
      <c r="B54" t="s">
        <v>166</v>
      </c>
      <c r="C54">
        <v>-26.696999999999999</v>
      </c>
      <c r="D54">
        <v>42.249000000000002</v>
      </c>
      <c r="E54">
        <v>-0.63200000000000001</v>
      </c>
      <c r="F54" s="9">
        <v>0.52759999999999996</v>
      </c>
    </row>
    <row r="55" spans="1:6" ht="13.2">
      <c r="A55" s="6">
        <f t="shared" si="0"/>
        <v>46</v>
      </c>
      <c r="B55" t="s">
        <v>167</v>
      </c>
      <c r="C55">
        <v>30.846</v>
      </c>
      <c r="D55">
        <v>43.975000000000001</v>
      </c>
      <c r="E55">
        <v>0.70099999999999996</v>
      </c>
      <c r="F55" s="9">
        <v>0.48320000000000002</v>
      </c>
    </row>
    <row r="56" spans="1:6" ht="13.2">
      <c r="A56" s="6">
        <f t="shared" si="0"/>
        <v>47</v>
      </c>
      <c r="B56" t="s">
        <v>161</v>
      </c>
      <c r="C56">
        <v>-4.173</v>
      </c>
      <c r="D56">
        <v>41.615000000000002</v>
      </c>
      <c r="E56">
        <v>-0.10000000000000001</v>
      </c>
      <c r="F56" s="9">
        <v>0.92010000000000003</v>
      </c>
    </row>
    <row r="57" spans="1:6" ht="13.2">
      <c r="A57" s="6">
        <f t="shared" si="0"/>
        <v>48</v>
      </c>
      <c r="B57" t="s">
        <v>168</v>
      </c>
      <c r="C57">
        <v>32.591000000000001</v>
      </c>
      <c r="D57">
        <v>37.369999999999997</v>
      </c>
      <c r="E57">
        <v>0.872</v>
      </c>
      <c r="F57" s="9">
        <v>0.38329999999999997</v>
      </c>
    </row>
    <row r="58" spans="1:6" ht="13.2">
      <c r="A58" s="6">
        <f t="shared" si="0"/>
        <v>49</v>
      </c>
      <c r="B58" t="s">
        <v>169</v>
      </c>
      <c r="C58">
        <v>14.590999999999999</v>
      </c>
      <c r="D58">
        <v>33.728000000000002</v>
      </c>
      <c r="E58">
        <v>0.433</v>
      </c>
      <c r="F58" s="9">
        <v>0.66539999999999999</v>
      </c>
    </row>
    <row r="59" spans="1:6" ht="13.2">
      <c r="A59" s="6">
        <f t="shared" si="0"/>
        <v>50</v>
      </c>
      <c r="B59" t="s">
        <v>162</v>
      </c>
      <c r="C59">
        <v>-64.885999999999996</v>
      </c>
      <c r="D59">
        <v>31.959</v>
      </c>
      <c r="E59">
        <v>-2.0299999999999998</v>
      </c>
      <c r="F59" s="9">
        <v>0.042599999999999999</v>
      </c>
    </row>
    <row r="60" spans="1:6" ht="13.2">
      <c r="A60" s="6">
        <f t="shared" si="0"/>
        <v>51</v>
      </c>
      <c r="F60" s="9"/>
    </row>
    <row r="61" spans="1:2" ht="13.2">
      <c r="A61" s="6">
        <f t="shared" si="0"/>
        <v>52</v>
      </c>
      <c r="B61" s="4" t="s">
        <v>120</v>
      </c>
    </row>
    <row r="62" spans="1:6" ht="13.2">
      <c r="A62" s="6">
        <f t="shared" si="0"/>
        <v>53</v>
      </c>
      <c r="B62" t="s">
        <v>30</v>
      </c>
      <c r="C62" s="16">
        <v>1096</v>
      </c>
      <c r="F62" s="9"/>
    </row>
    <row r="63" spans="1:6" ht="13.2">
      <c r="A63" s="6">
        <f t="shared" si="0"/>
        <v>54</v>
      </c>
      <c r="B63" t="s">
        <v>10</v>
      </c>
      <c r="C63" s="25">
        <v>1053</v>
      </c>
      <c r="F63" s="9"/>
    </row>
    <row r="64" spans="1:6" ht="13.2">
      <c r="A64" s="6">
        <f t="shared" si="0"/>
        <v>55</v>
      </c>
      <c r="B64" t="s">
        <v>12</v>
      </c>
      <c r="C64" s="22">
        <v>0.89800000000000002</v>
      </c>
      <c r="F64" s="9"/>
    </row>
    <row r="65" spans="1:6" ht="13.2">
      <c r="A65" s="6">
        <f t="shared" si="0"/>
        <v>56</v>
      </c>
      <c r="B65" t="s">
        <v>13</v>
      </c>
      <c r="C65" s="35">
        <v>0.89400000000000002</v>
      </c>
      <c r="F65" s="9"/>
    </row>
    <row r="66" spans="1:6" ht="13.2">
      <c r="A66" s="6">
        <f t="shared" si="0"/>
        <v>57</v>
      </c>
      <c r="B66" t="s">
        <v>15</v>
      </c>
      <c r="C66" s="16">
        <v>221.03100000000001</v>
      </c>
      <c r="F66" s="9"/>
    </row>
    <row r="67" spans="1:6" ht="13.2">
      <c r="A67" s="6">
        <f t="shared" si="0"/>
        <v>58</v>
      </c>
      <c r="B67" t="s">
        <v>16</v>
      </c>
      <c r="C67" s="19">
        <v>0</v>
      </c>
      <c r="F67" s="9"/>
    </row>
    <row r="68" spans="1:3" ht="13.2">
      <c r="A68" s="6">
        <f t="shared" si="0"/>
        <v>59</v>
      </c>
      <c r="B68" t="s">
        <v>17</v>
      </c>
      <c r="C68" s="16">
        <v>2493154057.79</v>
      </c>
    </row>
    <row r="69" spans="1:6" ht="13.2">
      <c r="A69" s="6">
        <f t="shared" si="0"/>
        <v>60</v>
      </c>
      <c r="B69" t="s">
        <v>18</v>
      </c>
      <c r="C69" s="16">
        <v>282797731.04000002</v>
      </c>
      <c r="F69" s="9"/>
    </row>
    <row r="70" spans="1:6" ht="13.2">
      <c r="A70" s="6">
        <f t="shared" si="0"/>
        <v>61</v>
      </c>
      <c r="B70" t="s">
        <v>19</v>
      </c>
      <c r="C70" s="16">
        <v>268563.84999999998</v>
      </c>
      <c r="F70" s="9"/>
    </row>
    <row r="71" spans="1:6" ht="13.2">
      <c r="A71" s="6">
        <f t="shared" si="0"/>
        <v>62</v>
      </c>
      <c r="B71" t="s">
        <v>20</v>
      </c>
      <c r="C71">
        <v>518.23000000000002</v>
      </c>
      <c r="F71" s="9"/>
    </row>
    <row r="72" spans="1:3" ht="13.2">
      <c r="A72" s="6">
        <f t="shared" si="0"/>
        <v>63</v>
      </c>
      <c r="B72" t="s">
        <v>9</v>
      </c>
      <c r="C72" s="27">
        <v>410.30000000000001</v>
      </c>
    </row>
    <row r="73" spans="1:3" ht="13.2">
      <c r="A73" s="6">
        <f t="shared" si="0"/>
        <v>64</v>
      </c>
      <c r="B73" t="s">
        <v>11</v>
      </c>
      <c r="C73" s="9">
        <v>0.0309</v>
      </c>
    </row>
    <row r="74" spans="1:3" ht="13.2">
      <c r="A74" s="6">
        <f t="shared" si="0"/>
        <v>65</v>
      </c>
      <c r="B74" t="s">
        <v>14</v>
      </c>
      <c r="C74" s="22">
        <v>0.37</v>
      </c>
    </row>
    <row r="75" spans="1:3" ht="13.2">
      <c r="A75" s="6">
        <f t="shared" si="0"/>
        <v>66</v>
      </c>
      <c r="B75" t="s">
        <v>21</v>
      </c>
      <c r="C75">
        <v>7742.6499999999996</v>
      </c>
    </row>
    <row r="76" spans="1:3" ht="13.2">
      <c r="A76" s="6">
        <f t="shared" si="1" ref="A76">+A75+1</f>
        <v>67</v>
      </c>
      <c r="B76" t="s">
        <v>22</v>
      </c>
      <c r="C76" s="19">
        <v>0</v>
      </c>
    </row>
  </sheetData>
  <mergeCells count="6">
    <mergeCell ref="B8:F8"/>
    <mergeCell ref="B1:F1"/>
    <mergeCell ref="B2:F2"/>
    <mergeCell ref="B3:F3"/>
    <mergeCell ref="B4:F4"/>
    <mergeCell ref="B6:F6"/>
  </mergeCells>
  <printOptions horizontalCentered="1"/>
  <pageMargins left="0.83" right="0.78" top="1.5" bottom="1" header="1" footer="0.5"/>
  <pageSetup orientation="portrait" scale="65" r:id="rId1"/>
  <headerFooter alignWithMargins="0">
    <oddHeader>&amp;RWP/II-H-5.2/6
Page &amp;P of 20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J44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  <col min="8" max="8" width="13" customWidth="1"/>
  </cols>
  <sheetData>
    <row r="1" spans="1:10" s="1" customFormat="1" ht="15.6">
      <c r="A1" s="6"/>
      <c r="B1" s="37" t="str">
        <f>+'RES Spline Model'!B1:F1</f>
        <v>2022 RATE CASE</v>
      </c>
      <c r="C1" s="39"/>
      <c r="D1" s="39"/>
      <c r="E1" s="39"/>
      <c r="F1" s="39"/>
      <c r="G1" s="39"/>
      <c r="H1" s="39"/>
      <c r="I1" s="39"/>
      <c r="J1" s="39"/>
    </row>
    <row r="2" spans="1:10" s="1" customFormat="1" ht="15.6">
      <c r="A2" s="6"/>
      <c r="B2" s="37" t="str">
        <f>+'RES Spline Model'!B2:F2</f>
        <v>ONCOR ELECTRIC DELIVERY COMPANY LLC</v>
      </c>
      <c r="C2" s="39"/>
      <c r="D2" s="39"/>
      <c r="E2" s="39"/>
      <c r="F2" s="39"/>
      <c r="G2" s="39"/>
      <c r="H2" s="39"/>
      <c r="I2" s="39"/>
      <c r="J2" s="39"/>
    </row>
    <row r="3" spans="1:10" s="1" customFormat="1" ht="15.6">
      <c r="A3" s="6"/>
      <c r="B3" s="37" t="str">
        <f>+'RES Spline Model'!B3:F3</f>
        <v>ADJUSTED WEATHER STATION DATA</v>
      </c>
      <c r="C3" s="39"/>
      <c r="D3" s="39"/>
      <c r="E3" s="39"/>
      <c r="F3" s="39"/>
      <c r="G3" s="39"/>
      <c r="H3" s="39"/>
      <c r="I3" s="39"/>
      <c r="J3" s="39"/>
    </row>
    <row r="4" spans="1:10" s="1" customFormat="1" ht="15.6">
      <c r="A4" s="6"/>
      <c r="B4" s="37" t="str">
        <f>+'RES Spline Model'!B4:F4</f>
        <v>FOR THE TEST YEAR ENDING DECEMBER 31, 2021</v>
      </c>
      <c r="C4" s="39"/>
      <c r="D4" s="39"/>
      <c r="E4" s="39"/>
      <c r="F4" s="39"/>
      <c r="G4" s="39"/>
      <c r="H4" s="39"/>
      <c r="I4" s="39"/>
      <c r="J4" s="39"/>
    </row>
    <row r="5" spans="1:1" s="1" customFormat="1" ht="11.4">
      <c r="A5" s="6"/>
    </row>
    <row r="6" spans="1:10" s="1" customFormat="1" ht="15.6">
      <c r="A6" s="6"/>
      <c r="B6" s="37" t="str">
        <f>+'RES Spline Model'!B6:F6</f>
        <v>SPONSOR: D. E. NELSON</v>
      </c>
      <c r="C6" s="39"/>
      <c r="D6" s="39"/>
      <c r="E6" s="39"/>
      <c r="F6" s="39"/>
      <c r="G6" s="39"/>
      <c r="H6" s="39"/>
      <c r="I6" s="39"/>
      <c r="J6" s="39"/>
    </row>
    <row r="8" spans="1:6" s="1" customFormat="1" ht="12">
      <c r="A8" s="6" t="s">
        <v>23</v>
      </c>
      <c r="B8" s="38"/>
      <c r="C8" s="38"/>
      <c r="D8" s="38"/>
      <c r="E8" s="38"/>
      <c r="F8" s="38"/>
    </row>
    <row r="9" spans="1:6" s="1" customFormat="1" ht="11.4">
      <c r="A9" s="7" t="s">
        <v>24</v>
      </c>
      <c r="B9" s="8"/>
      <c r="C9" s="8"/>
      <c r="D9" s="8"/>
      <c r="E9" s="8"/>
      <c r="F9" s="8"/>
    </row>
    <row r="10" spans="1:10" s="1" customFormat="1" ht="13.2">
      <c r="A10" s="6">
        <v>1</v>
      </c>
      <c r="B10" s="38" t="s">
        <v>164</v>
      </c>
      <c r="C10" s="39"/>
      <c r="D10" s="39"/>
      <c r="E10" s="39"/>
      <c r="F10" s="39"/>
      <c r="G10" s="39"/>
      <c r="H10" s="39"/>
      <c r="I10" s="39"/>
      <c r="J10" s="39"/>
    </row>
    <row r="11" spans="1:10" s="1" customFormat="1" ht="13.2">
      <c r="A11" s="6">
        <f t="shared" si="0" ref="A11:A37">+A10+1</f>
        <v>2</v>
      </c>
      <c r="B11" s="38" t="s">
        <v>53</v>
      </c>
      <c r="C11" s="39"/>
      <c r="D11" s="39"/>
      <c r="E11" s="39"/>
      <c r="F11" s="39"/>
      <c r="G11" s="39"/>
      <c r="H11" s="39"/>
      <c r="I11" s="39"/>
      <c r="J11" s="39"/>
    </row>
    <row r="12" spans="1:3" s="1" customFormat="1" ht="12">
      <c r="A12" s="6">
        <f t="shared" si="0"/>
        <v>3</v>
      </c>
      <c r="B12" s="3"/>
      <c r="C12" s="10"/>
    </row>
    <row r="13" spans="1:3" s="1" customFormat="1" ht="12">
      <c r="A13" s="6">
        <f t="shared" si="0"/>
        <v>4</v>
      </c>
      <c r="B13" s="3"/>
      <c r="C13" s="10"/>
    </row>
    <row r="14" spans="1:1" s="1" customFormat="1" ht="11.4">
      <c r="A14" s="6">
        <f t="shared" si="0"/>
        <v>5</v>
      </c>
    </row>
    <row r="15" spans="1:6" s="1" customFormat="1" ht="11.4">
      <c r="A15" s="6">
        <f t="shared" si="0"/>
        <v>6</v>
      </c>
      <c r="B15" s="13"/>
      <c r="C15" s="13"/>
      <c r="D15" s="13"/>
      <c r="E15" s="13"/>
      <c r="F15" s="13"/>
    </row>
    <row r="16" spans="1:6" ht="13.2">
      <c r="A16" s="6">
        <f t="shared" si="0"/>
        <v>7</v>
      </c>
      <c r="F16" s="9"/>
    </row>
    <row r="17" spans="1:6" ht="13.2">
      <c r="A17" s="6">
        <f t="shared" si="0"/>
        <v>8</v>
      </c>
      <c r="F17" s="9"/>
    </row>
    <row r="18" spans="1:6" ht="13.2">
      <c r="A18" s="6">
        <f t="shared" si="0"/>
        <v>9</v>
      </c>
      <c r="F18" s="9"/>
    </row>
    <row r="19" spans="1:6" ht="13.2">
      <c r="A19" s="6">
        <f t="shared" si="0"/>
        <v>10</v>
      </c>
      <c r="F19" s="9"/>
    </row>
    <row r="20" spans="1:6" ht="13.2">
      <c r="A20" s="6">
        <f t="shared" si="0"/>
        <v>11</v>
      </c>
      <c r="F20" s="9"/>
    </row>
    <row r="21" spans="1:6" ht="13.2">
      <c r="A21" s="6">
        <f t="shared" si="0"/>
        <v>12</v>
      </c>
      <c r="F21" s="9"/>
    </row>
    <row r="22" spans="1:6" ht="13.2">
      <c r="A22" s="6">
        <f t="shared" si="0"/>
        <v>13</v>
      </c>
      <c r="F22" s="9"/>
    </row>
    <row r="23" spans="1:6" ht="13.2">
      <c r="A23" s="6">
        <f t="shared" si="0"/>
        <v>14</v>
      </c>
      <c r="F23" s="9"/>
    </row>
    <row r="24" spans="1:6" ht="13.2">
      <c r="A24" s="6">
        <f t="shared" si="0"/>
        <v>15</v>
      </c>
      <c r="F24" s="9"/>
    </row>
    <row r="25" spans="1:6" ht="13.2">
      <c r="A25" s="6">
        <f t="shared" si="0"/>
        <v>16</v>
      </c>
      <c r="F25" s="9"/>
    </row>
    <row r="26" spans="1:6" ht="13.2">
      <c r="A26" s="6">
        <f t="shared" si="0"/>
        <v>17</v>
      </c>
      <c r="F26" s="9"/>
    </row>
    <row r="27" spans="1:6" ht="13.2">
      <c r="A27" s="6">
        <f t="shared" si="0"/>
        <v>18</v>
      </c>
      <c r="F27" s="9"/>
    </row>
    <row r="28" spans="1:6" ht="13.2">
      <c r="A28" s="6">
        <f t="shared" si="0"/>
        <v>19</v>
      </c>
      <c r="F28" s="9"/>
    </row>
    <row r="29" spans="1:6" ht="13.2">
      <c r="A29" s="6">
        <f t="shared" si="0"/>
        <v>20</v>
      </c>
      <c r="F29" s="9"/>
    </row>
    <row r="30" spans="1:6" ht="13.2">
      <c r="A30" s="6">
        <f t="shared" si="0"/>
        <v>21</v>
      </c>
      <c r="F30" s="9"/>
    </row>
    <row r="31" spans="1:6" ht="13.2">
      <c r="A31" s="6">
        <f t="shared" si="0"/>
        <v>22</v>
      </c>
      <c r="F31" s="9"/>
    </row>
    <row r="32" spans="1:6" ht="13.2">
      <c r="A32" s="6">
        <f t="shared" si="0"/>
        <v>23</v>
      </c>
      <c r="F32" s="9"/>
    </row>
    <row r="33" spans="1:6" ht="13.2">
      <c r="A33" s="6">
        <f t="shared" si="0"/>
        <v>24</v>
      </c>
      <c r="F33" s="12"/>
    </row>
    <row r="34" spans="1:6" ht="13.2">
      <c r="A34" s="6">
        <f t="shared" si="0"/>
        <v>25</v>
      </c>
      <c r="F34" s="2"/>
    </row>
    <row r="35" spans="1:6" ht="13.2">
      <c r="A35" s="6">
        <f t="shared" si="0"/>
        <v>26</v>
      </c>
      <c r="F35" s="12"/>
    </row>
    <row r="36" spans="1:6" ht="13.2">
      <c r="A36" s="6">
        <f t="shared" si="0"/>
        <v>27</v>
      </c>
      <c r="F36" s="2"/>
    </row>
    <row r="37" spans="1:6" ht="13.2">
      <c r="A37" s="6">
        <f t="shared" si="0"/>
        <v>28</v>
      </c>
      <c r="F37" s="2"/>
    </row>
    <row r="38" spans="1:6" ht="13.2">
      <c r="A38" s="6"/>
      <c r="F38" s="2"/>
    </row>
    <row r="39" spans="1:6" ht="13.2">
      <c r="A39" s="6"/>
      <c r="F39" s="2"/>
    </row>
    <row r="40" spans="1:1" ht="13.2">
      <c r="A40" s="6"/>
    </row>
    <row r="41" spans="1:1" ht="13.2">
      <c r="A41" s="6"/>
    </row>
    <row r="42" spans="1:7" ht="13.2">
      <c r="A42" s="6"/>
      <c r="C42" s="9"/>
      <c r="G42" s="9"/>
    </row>
    <row r="43" spans="1:1" ht="13.2">
      <c r="A43" s="6"/>
    </row>
    <row r="44" spans="1:1" ht="13.2">
      <c r="A44" s="6"/>
    </row>
  </sheetData>
  <mergeCells count="8">
    <mergeCell ref="B10:J10"/>
    <mergeCell ref="B11:J11"/>
    <mergeCell ref="B1:J1"/>
    <mergeCell ref="B2:J2"/>
    <mergeCell ref="B3:J3"/>
    <mergeCell ref="B4:J4"/>
    <mergeCell ref="B6:J6"/>
    <mergeCell ref="B8:F8"/>
  </mergeCells>
  <printOptions horizontalCentered="1"/>
  <pageMargins left="0.83" right="0.78" top="1.5" bottom="1" header="1" footer="0.5"/>
  <pageSetup orientation="portrait" scale="77" r:id="rId2"/>
  <headerFooter alignWithMargins="0">
    <oddHeader>&amp;RWP/II-H-5.2/6
Page &amp;P of 20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RES Spline Model</vt:lpstr>
      <vt:lpstr>RES Spline Graph</vt:lpstr>
      <vt:lpstr>GSS Spline Model</vt:lpstr>
      <vt:lpstr>GSS Spline Graph</vt:lpstr>
      <vt:lpstr>GSL Spline Model</vt:lpstr>
      <vt:lpstr>GSL Spline Graph</vt:lpstr>
      <vt:lpstr>GPLD Spline Model</vt:lpstr>
      <vt:lpstr>GPLD Spline Graph</vt:lpstr>
      <vt:lpstr>SUBS Spline Model</vt:lpstr>
      <vt:lpstr>SUBS Spline Graph</vt:lpstr>
      <vt:lpstr>RES B Spline Model</vt:lpstr>
      <vt:lpstr>RES B Spline Graph</vt:lpstr>
      <vt:lpstr>GSS B Spline Model</vt:lpstr>
      <vt:lpstr>GSS B Spline Graph</vt:lpstr>
      <vt:lpstr>GSL B Spline Model</vt:lpstr>
      <vt:lpstr>GSL B Spline Graph</vt:lpstr>
      <vt:lpstr>GPLD B Spline Model</vt:lpstr>
      <vt:lpstr>GPLD B Spline Graph</vt:lpstr>
      <vt:lpstr>SUBS B Spline Model</vt:lpstr>
      <vt:lpstr>SUBS B Spline Graph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