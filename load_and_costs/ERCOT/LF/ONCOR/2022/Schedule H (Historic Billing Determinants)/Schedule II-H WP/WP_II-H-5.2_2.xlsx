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Default Extension="wmf" ContentType="image/x-wmf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2022 Rate Case\Section II (Test Year Data)\Schedule H (Historic Billing Determinants)\Schedule II-H WP\"/>
    </mc:Choice>
  </mc:AlternateContent>
  <bookViews>
    <workbookView xWindow="240" yWindow="96" windowWidth="11352" windowHeight="5388" activeTab="0"/>
  </bookViews>
  <sheets>
    <sheet name="SECLE10 Seasonal Weights" sheetId="4" r:id="rId2"/>
    <sheet name="SECLE10 Monthly Weather Weights" sheetId="1" r:id="rId3"/>
    <sheet name="SECLE10 Weights by Year (18-20)" sheetId="3" r:id="rId4"/>
    <sheet name="SECLE10 Sales by Year (18-20)" sheetId="2" r:id="rId5"/>
  </sheets>
  <externalReferences>
    <externalReference r:id="rId8"/>
    <externalReference r:id="rId9"/>
    <externalReference r:id="rId10"/>
  </externalReferences>
  <definedNames>
    <definedName name="_xlnm.Database">#REF!</definedName>
    <definedName name="HOURLY">[1]HOURLY!$A$1:$G$745</definedName>
    <definedName name="OLE_LINK2" localSheetId="0">'SECLE10 Seasonal Weights'!$B$24</definedName>
    <definedName name="_xlnm.Print_Area" localSheetId="3">'SECLE10 Sales by Year (18-20)'!$A$1:$P$64</definedName>
    <definedName name="_xlnm.Print_Area" localSheetId="0">'SECLE10 Seasonal Weights'!$A$1:$P$36</definedName>
    <definedName name="_xlnm.Print_Area" localSheetId="2">'SECLE10 Weights by Year (18-20)'!$A$1:$P$64</definedName>
    <definedName name="rngBilled">OFFSET([2]Sheet2!$A$2,0,0,[2]Sheet2!$B$1,9)</definedName>
    <definedName name="rngYear">OFFSET('[3]Daily Actual_August'!$A$2,0,0,'[3]Daily Actual_August'!$C$1,8)</definedName>
  </definedNames>
  <calcPr calcId="152511"/>
</workbook>
</file>

<file path=xl/calcChain.xml><?xml version="1.0" encoding="utf-8"?>
<calcChain xmlns="http://schemas.openxmlformats.org/spreadsheetml/2006/main">
  <c r="F36" i="4" l="1"/>
</calcChain>
</file>

<file path=xl/sharedStrings.xml><?xml version="1.0" encoding="utf-8"?>
<sst xmlns="http://schemas.openxmlformats.org/spreadsheetml/2006/main" count="242" uniqueCount="50">
  <si>
    <t>Annual</t>
  </si>
  <si>
    <t xml:space="preserve">Total </t>
  </si>
  <si>
    <t>Midland Odessa</t>
  </si>
  <si>
    <t>Waco</t>
  </si>
  <si>
    <t>Wichita Falls</t>
  </si>
  <si>
    <t>Lufkin</t>
  </si>
  <si>
    <t>Austin</t>
  </si>
  <si>
    <t>Killeen</t>
  </si>
  <si>
    <t>Longview</t>
  </si>
  <si>
    <t>Abilene</t>
  </si>
  <si>
    <t xml:space="preserve">PUC DOCKET NO. </t>
  </si>
  <si>
    <t>ONCOR ELECTRIC DELIVERY COMPANY</t>
  </si>
  <si>
    <t>Line</t>
  </si>
  <si>
    <t>(a)</t>
  </si>
  <si>
    <t>(b)</t>
  </si>
  <si>
    <t>(c)</t>
  </si>
  <si>
    <t>(d)</t>
  </si>
  <si>
    <t>(e)</t>
  </si>
  <si>
    <t>(f)</t>
  </si>
  <si>
    <t>(g)</t>
  </si>
  <si>
    <t>(h)</t>
  </si>
  <si>
    <t>(i)</t>
  </si>
  <si>
    <t>(j)</t>
  </si>
  <si>
    <t>(k)</t>
  </si>
  <si>
    <t>(l)</t>
  </si>
  <si>
    <t>(m)</t>
  </si>
  <si>
    <t>(n)</t>
  </si>
  <si>
    <t>No.</t>
  </si>
  <si>
    <t>Weather Station</t>
  </si>
  <si>
    <t>Dallas-Fort Worth</t>
  </si>
  <si>
    <t>Midland-Odessa</t>
  </si>
  <si>
    <t>Killeen-Temple</t>
  </si>
  <si>
    <t>Wichita Falls.</t>
  </si>
  <si>
    <t>Year</t>
  </si>
  <si>
    <t>System</t>
  </si>
  <si>
    <t>ONCOR ELECTRIC DELIVERY COMPANY LLC</t>
  </si>
  <si>
    <t>Nov to Mar</t>
  </si>
  <si>
    <t>May to Sep</t>
  </si>
  <si>
    <t>SPONSOR: D. E. NELSON</t>
  </si>
  <si>
    <t>WEATHER WEIGHTS</t>
  </si>
  <si>
    <t>SEASONAL WEIGHTS</t>
  </si>
  <si>
    <t>(o)</t>
  </si>
  <si>
    <t>SECONDARY SERVICE LESS THAN OR EQUAL TO 10 KW MONTHLY WEIGHTS</t>
  </si>
  <si>
    <t>SECONDARY SERVICE LESS THAN OR EQUAL TO 10 KW WEIGHTS BY YEAR</t>
  </si>
  <si>
    <t>SECONDARY SERVICE LESS THAN OR EQUAL TO 10 KW SALES BY YEAR</t>
  </si>
  <si>
    <t>Sherman-Denison</t>
  </si>
  <si>
    <t>HDD</t>
  </si>
  <si>
    <t>CDD</t>
  </si>
  <si>
    <t>Denison</t>
  </si>
  <si>
    <t>FOR THE TEST YEAR ENDING DECEMBER 31,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</si>
</sst>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%"/>
    <numFmt numFmtId="165" formatCode="mmm"/>
  </numFmts>
  <fonts count="9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8"/>
      <name val="Calibri"/>
      <family val="2"/>
    </font>
    <font>
      <b/>
      <sz val="12"/>
      <name val="Arial"/>
      <family val="2"/>
    </font>
    <font>
      <u val="single"/>
      <sz val="10"/>
      <name val="Arial"/>
      <family val="2"/>
    </font>
    <font>
      <sz val="8"/>
      <name val="Arial"/>
      <family val="2"/>
    </font>
    <font>
      <sz val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/>
      <right/>
      <top style="medium">
        <color auto="1"/>
      </top>
      <bottom/>
    </border>
    <border>
      <left style="medium">
        <color auto="1"/>
      </left>
      <right/>
      <top style="thin">
        <color auto="1"/>
      </top>
      <bottom/>
    </border>
    <border>
      <left style="medium">
        <color auto="1"/>
      </left>
      <right/>
      <top/>
      <bottom/>
    </border>
    <border>
      <left style="medium">
        <color auto="1"/>
      </left>
      <right/>
      <top style="medium">
        <color auto="1"/>
      </top>
      <bottom/>
    </border>
    <border>
      <left/>
      <right/>
      <top style="medium">
        <color auto="1"/>
      </top>
      <bottom style="medium">
        <color auto="1"/>
      </bottom>
    </border>
    <border>
      <left style="medium">
        <color auto="1"/>
      </left>
      <right/>
      <top style="medium">
        <color auto="1"/>
      </top>
      <bottom style="medium">
        <color auto="1"/>
      </bottom>
    </border>
    <border>
      <left/>
      <right/>
      <top style="thin">
        <color auto="1"/>
      </top>
      <bottom/>
    </border>
    <border>
      <left/>
      <right/>
      <top style="thick">
        <color auto="1"/>
      </top>
      <bottom/>
    </border>
  </borders>
  <cellStyleXfs count="2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0">
      <alignment/>
      <protection/>
    </xf>
    <xf numFmtId="0" fontId="7" fillId="0" borderId="0">
      <alignment/>
      <protection/>
    </xf>
    <xf numFmtId="0" fontId="2" fillId="0" borderId="0">
      <alignment/>
      <protection/>
    </xf>
    <xf numFmtId="0" fontId="2" fillId="0" borderId="0" applyNumberFormat="0" applyFill="0" applyBorder="0" applyAlignment="0" applyProtection="0"/>
  </cellStyleXfs>
  <cellXfs count="74">
    <xf numFmtId="0" fontId="0" fillId="0" borderId="0" xfId="0" applyProtection="1">
      <protection locked="0"/>
    </xf>
    <xf numFmtId="0" fontId="7" fillId="0" borderId="0" xfId="0" applyFont="1" applyProtection="1">
      <protection locked="0"/>
    </xf>
    <xf numFmtId="0" fontId="8" fillId="0" borderId="0" xfId="0" applyFont="1" applyBorder="1" applyAlignment="1" applyProtection="1">
      <alignment horizontal="center"/>
      <protection locked="0"/>
    </xf>
    <xf numFmtId="164" fontId="8" fillId="0" borderId="0" xfId="15" applyNumberFormat="1" applyFont="1" applyBorder="1" applyAlignment="1" applyProtection="1">
      <alignment horizontal="right"/>
      <protection locked="0"/>
    </xf>
    <xf numFmtId="0" fontId="8" fillId="0" borderId="0" xfId="0" applyFont="1" applyFill="1" applyBorder="1" applyAlignment="1" applyProtection="1">
      <alignment horizontal="center"/>
      <protection locked="0"/>
    </xf>
    <xf numFmtId="164" fontId="8" fillId="0" borderId="0" xfId="0" applyNumberFormat="1" applyFont="1" applyFill="1" applyProtection="1">
      <protection locked="0"/>
    </xf>
    <xf numFmtId="164" fontId="8" fillId="0" borderId="1" xfId="0" applyNumberFormat="1" applyFont="1" applyFill="1" applyBorder="1" applyProtection="1">
      <protection locked="0"/>
    </xf>
    <xf numFmtId="164" fontId="8" fillId="0" borderId="0" xfId="15" applyNumberFormat="1" applyFont="1" applyFill="1" applyBorder="1" applyAlignment="1" applyProtection="1">
      <alignment horizontal="right"/>
      <protection locked="0"/>
    </xf>
    <xf numFmtId="0" fontId="8" fillId="0" borderId="0" xfId="0" applyFont="1" applyProtection="1">
      <protection locked="0"/>
    </xf>
    <xf numFmtId="3" fontId="8" fillId="0" borderId="0" xfId="0" applyNumberFormat="1" applyFont="1" applyFill="1" applyBorder="1" applyAlignment="1" applyProtection="1">
      <alignment/>
      <protection locked="0"/>
    </xf>
    <xf numFmtId="164" fontId="8" fillId="0" borderId="0" xfId="0" applyNumberFormat="1" applyFont="1" applyFill="1" applyBorder="1" applyProtection="1">
      <protection locked="0"/>
    </xf>
    <xf numFmtId="164" fontId="8" fillId="0" borderId="0" xfId="0" applyNumberFormat="1" applyFont="1" applyFill="1" applyBorder="1" applyAlignment="1" applyProtection="1">
      <alignment/>
      <protection locked="0"/>
    </xf>
    <xf numFmtId="0" fontId="7" fillId="0" borderId="0" xfId="0" applyFont="1" applyFill="1" applyProtection="1">
      <protection locked="0"/>
    </xf>
    <xf numFmtId="0" fontId="0" fillId="0" borderId="0" xfId="0" applyFill="1" applyBorder="1" applyProtection="1">
      <protection locked="0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/>
    </xf>
    <xf numFmtId="0" fontId="0" fillId="0" borderId="0" xfId="0"/>
    <xf numFmtId="0" fontId="7" fillId="0" borderId="0" xfId="0" applyFont="1" applyAlignment="1" applyProtection="1">
      <alignment/>
      <protection locked="0"/>
    </xf>
    <xf numFmtId="0" fontId="0" fillId="0" borderId="0" xfId="0" applyAlignment="1" quotePrefix="1">
      <alignment horizontal="center"/>
    </xf>
    <xf numFmtId="0" fontId="5" fillId="0" borderId="0" xfId="0" applyFont="1" applyAlignment="1">
      <alignment horizontal="center"/>
    </xf>
    <xf numFmtId="165" fontId="8" fillId="0" borderId="2" xfId="21" applyNumberFormat="1" applyFont="1" applyBorder="1" applyAlignment="1">
      <alignment horizontal="right" vertical="center" wrapText="1"/>
      <protection/>
    </xf>
    <xf numFmtId="165" fontId="8" fillId="0" borderId="3" xfId="21" applyNumberFormat="1" applyFont="1" applyBorder="1" applyAlignment="1">
      <alignment horizontal="right" vertical="center" wrapText="1"/>
      <protection/>
    </xf>
    <xf numFmtId="165" fontId="8" fillId="0" borderId="4" xfId="21" applyNumberFormat="1" applyFont="1" applyBorder="1" applyAlignment="1">
      <alignment horizontal="right" vertical="center" wrapText="1"/>
      <protection/>
    </xf>
    <xf numFmtId="0" fontId="8" fillId="0" borderId="5" xfId="21" applyFont="1" applyBorder="1" applyAlignment="1">
      <alignment horizontal="right" vertical="center" wrapText="1"/>
      <protection/>
    </xf>
    <xf numFmtId="0" fontId="7" fillId="0" borderId="0" xfId="0" applyFont="1" applyAlignment="1" applyProtection="1">
      <alignment horizontal="center"/>
      <protection locked="0"/>
    </xf>
    <xf numFmtId="0" fontId="2" fillId="0" borderId="0" xfId="20" applyAlignment="1">
      <alignment horizontal="center"/>
      <protection/>
    </xf>
    <xf numFmtId="0" fontId="4" fillId="0" borderId="0" xfId="20" applyFont="1" applyAlignment="1">
      <alignment horizontal="center"/>
      <protection/>
    </xf>
    <xf numFmtId="0" fontId="2" fillId="0" borderId="0" xfId="20" applyAlignment="1">
      <alignment/>
      <protection/>
    </xf>
    <xf numFmtId="0" fontId="2" fillId="0" borderId="0" xfId="20" applyFont="1" applyProtection="1">
      <alignment/>
      <protection locked="0"/>
    </xf>
    <xf numFmtId="0" fontId="2" fillId="0" borderId="0" xfId="20">
      <alignment/>
      <protection/>
    </xf>
    <xf numFmtId="0" fontId="2" fillId="0" borderId="0" xfId="20" applyFont="1" applyAlignment="1" applyProtection="1">
      <alignment/>
      <protection locked="0"/>
    </xf>
    <xf numFmtId="0" fontId="2" fillId="0" borderId="0" xfId="20" applyAlignment="1" quotePrefix="1">
      <alignment horizontal="center"/>
      <protection/>
    </xf>
    <xf numFmtId="0" fontId="5" fillId="0" borderId="0" xfId="20" applyFont="1" applyAlignment="1">
      <alignment horizontal="center"/>
      <protection/>
    </xf>
    <xf numFmtId="165" fontId="6" fillId="0" borderId="2" xfId="22" applyNumberFormat="1" applyFont="1" applyBorder="1" applyAlignment="1" applyProtection="1">
      <alignment horizontal="right" vertical="center" wrapText="1"/>
      <protection locked="0"/>
    </xf>
    <xf numFmtId="0" fontId="6" fillId="0" borderId="0" xfId="22" applyFont="1" applyBorder="1" applyAlignment="1" applyProtection="1">
      <alignment horizontal="right"/>
      <protection locked="0"/>
    </xf>
    <xf numFmtId="165" fontId="6" fillId="0" borderId="3" xfId="22" applyNumberFormat="1" applyFont="1" applyBorder="1" applyAlignment="1" applyProtection="1">
      <alignment horizontal="right" vertical="center" wrapText="1"/>
      <protection locked="0"/>
    </xf>
    <xf numFmtId="165" fontId="6" fillId="0" borderId="4" xfId="22" applyNumberFormat="1" applyFont="1" applyBorder="1" applyAlignment="1" applyProtection="1">
      <alignment horizontal="right" vertical="center" wrapText="1"/>
      <protection locked="0"/>
    </xf>
    <xf numFmtId="0" fontId="6" fillId="0" borderId="5" xfId="22" applyFont="1" applyBorder="1" applyAlignment="1" applyProtection="1">
      <alignment horizontal="right" vertical="center" wrapText="1"/>
      <protection locked="0"/>
    </xf>
    <xf numFmtId="0" fontId="2" fillId="0" borderId="0" xfId="20" applyFont="1" applyAlignment="1" applyProtection="1">
      <alignment horizontal="right"/>
      <protection locked="0"/>
    </xf>
    <xf numFmtId="0" fontId="2" fillId="0" borderId="0" xfId="20" applyFont="1" applyAlignment="1" applyProtection="1">
      <alignment horizontal="center"/>
      <protection locked="0"/>
    </xf>
    <xf numFmtId="0" fontId="6" fillId="0" borderId="0" xfId="22" applyFont="1" applyFill="1" applyBorder="1" applyAlignment="1" applyProtection="1">
      <alignment horizontal="center"/>
      <protection locked="0"/>
    </xf>
    <xf numFmtId="164" fontId="6" fillId="0" borderId="0" xfId="22" applyNumberFormat="1" applyFont="1" applyFill="1" applyProtection="1">
      <alignment/>
      <protection locked="0"/>
    </xf>
    <xf numFmtId="164" fontId="6" fillId="0" borderId="1" xfId="22" applyNumberFormat="1" applyFont="1" applyFill="1" applyBorder="1" applyProtection="1">
      <alignment/>
      <protection locked="0"/>
    </xf>
    <xf numFmtId="164" fontId="6" fillId="0" borderId="0" xfId="23" applyNumberFormat="1" applyFont="1" applyFill="1" applyBorder="1" applyAlignment="1" applyProtection="1">
      <alignment horizontal="right"/>
      <protection locked="0"/>
    </xf>
    <xf numFmtId="164" fontId="2" fillId="0" borderId="0" xfId="20" applyNumberFormat="1" applyFont="1" applyProtection="1">
      <alignment/>
      <protection locked="0"/>
    </xf>
    <xf numFmtId="164" fontId="7" fillId="0" borderId="0" xfId="15" applyNumberFormat="1" applyFont="1" applyProtection="1">
      <protection locked="0"/>
    </xf>
    <xf numFmtId="10" fontId="2" fillId="0" borderId="0" xfId="20" applyNumberFormat="1" applyFont="1" applyProtection="1">
      <alignment/>
      <protection locked="0"/>
    </xf>
    <xf numFmtId="0" fontId="2" fillId="0" borderId="1" xfId="20" applyFont="1" applyBorder="1" applyProtection="1">
      <alignment/>
      <protection locked="0"/>
    </xf>
    <xf numFmtId="0" fontId="8" fillId="0" borderId="6" xfId="0" applyFont="1" applyFill="1" applyBorder="1" applyAlignment="1" applyProtection="1">
      <alignment horizontal="center"/>
      <protection locked="0"/>
    </xf>
    <xf numFmtId="3" fontId="8" fillId="0" borderId="6" xfId="0" applyNumberFormat="1" applyFont="1" applyFill="1" applyBorder="1" applyAlignment="1" applyProtection="1">
      <alignment/>
      <protection locked="0"/>
    </xf>
    <xf numFmtId="3" fontId="8" fillId="0" borderId="7" xfId="0" applyNumberFormat="1" applyFont="1" applyFill="1" applyBorder="1" applyAlignment="1" applyProtection="1">
      <alignment/>
      <protection locked="0"/>
    </xf>
    <xf numFmtId="3" fontId="8" fillId="0" borderId="8" xfId="0" applyNumberFormat="1" applyFont="1" applyFill="1" applyBorder="1" applyAlignment="1" applyProtection="1">
      <alignment/>
      <protection locked="0"/>
    </xf>
    <xf numFmtId="3" fontId="8" fillId="0" borderId="9" xfId="0" applyNumberFormat="1" applyFont="1" applyFill="1" applyBorder="1" applyAlignment="1" applyProtection="1">
      <alignment/>
      <protection locked="0"/>
    </xf>
    <xf numFmtId="0" fontId="8" fillId="0" borderId="10" xfId="0" applyFont="1" applyFill="1" applyBorder="1" applyAlignment="1" applyProtection="1">
      <alignment horizontal="center"/>
      <protection locked="0"/>
    </xf>
    <xf numFmtId="3" fontId="8" fillId="0" borderId="10" xfId="0" applyNumberFormat="1" applyFont="1" applyFill="1" applyBorder="1" applyAlignment="1" applyProtection="1">
      <alignment/>
      <protection locked="0"/>
    </xf>
    <xf numFmtId="3" fontId="8" fillId="0" borderId="11" xfId="0" applyNumberFormat="1" applyFont="1" applyFill="1" applyBorder="1" applyAlignment="1" applyProtection="1">
      <alignment/>
      <protection locked="0"/>
    </xf>
    <xf numFmtId="0" fontId="8" fillId="0" borderId="6" xfId="0" applyFont="1" applyBorder="1" applyAlignment="1" applyProtection="1">
      <alignment horizontal="center"/>
      <protection locked="0"/>
    </xf>
    <xf numFmtId="164" fontId="8" fillId="0" borderId="6" xfId="15" applyNumberFormat="1" applyFont="1" applyBorder="1" applyAlignment="1" applyProtection="1">
      <alignment horizontal="right"/>
      <protection locked="0"/>
    </xf>
    <xf numFmtId="164" fontId="8" fillId="0" borderId="7" xfId="15" applyNumberFormat="1" applyFont="1" applyBorder="1" applyAlignment="1" applyProtection="1">
      <alignment horizontal="right"/>
      <protection locked="0"/>
    </xf>
    <xf numFmtId="164" fontId="8" fillId="0" borderId="8" xfId="15" applyNumberFormat="1" applyFont="1" applyBorder="1" applyAlignment="1" applyProtection="1">
      <alignment horizontal="right"/>
      <protection locked="0"/>
    </xf>
    <xf numFmtId="164" fontId="8" fillId="0" borderId="9" xfId="15" applyNumberFormat="1" applyFont="1" applyBorder="1" applyAlignment="1" applyProtection="1">
      <alignment horizontal="right"/>
      <protection locked="0"/>
    </xf>
    <xf numFmtId="164" fontId="2" fillId="0" borderId="12" xfId="20" applyNumberFormat="1" applyFont="1" applyBorder="1" applyProtection="1">
      <alignment/>
      <protection locked="0"/>
    </xf>
    <xf numFmtId="0" fontId="8" fillId="0" borderId="13" xfId="0" applyFont="1" applyBorder="1" applyAlignment="1" applyProtection="1">
      <alignment horizontal="center"/>
      <protection locked="0"/>
    </xf>
    <xf numFmtId="164" fontId="8" fillId="0" borderId="13" xfId="0" applyNumberFormat="1" applyFont="1" applyFill="1" applyBorder="1" applyAlignment="1" applyProtection="1">
      <alignment/>
      <protection locked="0"/>
    </xf>
    <xf numFmtId="0" fontId="4" fillId="0" borderId="3" xfId="20" applyFont="1" applyBorder="1" applyAlignment="1">
      <alignment horizontal="center" wrapText="1"/>
      <protection/>
    </xf>
    <xf numFmtId="0" fontId="4" fillId="0" borderId="4" xfId="20" applyFont="1" applyBorder="1" applyAlignment="1">
      <alignment horizontal="center" wrapText="1"/>
      <protection/>
    </xf>
    <xf numFmtId="0" fontId="2" fillId="0" borderId="5" xfId="20" applyBorder="1" applyAlignment="1">
      <alignment horizontal="center"/>
      <protection/>
    </xf>
    <xf numFmtId="0" fontId="4" fillId="0" borderId="0" xfId="20" applyFont="1" applyAlignment="1">
      <alignment horizontal="center"/>
      <protection/>
    </xf>
    <xf numFmtId="0" fontId="2" fillId="0" borderId="0" xfId="20" applyAlignment="1">
      <alignment/>
      <protection/>
    </xf>
    <xf numFmtId="0" fontId="4" fillId="0" borderId="0" xfId="0" applyFont="1" applyAlignment="1">
      <alignment horizontal="center"/>
    </xf>
    <xf numFmtId="0" fontId="0" fillId="0" borderId="0" xfId="0" applyAlignment="1">
      <alignment/>
    </xf>
    <xf numFmtId="0" fontId="4" fillId="0" borderId="0" xfId="20" applyFont="1" applyAlignment="1">
      <alignment horizontal="center" vertical="center"/>
      <protection/>
    </xf>
    <xf numFmtId="0" fontId="0" fillId="0" borderId="0" xfId="0" applyAlignment="1" applyProtection="1">
      <alignment/>
      <protection locked="0"/>
    </xf>
  </cellXfs>
  <cellStyles count="10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Normal 2" xfId="20"/>
    <cellStyle name="Normal_System Weather Weights WF" xfId="21"/>
    <cellStyle name="Normal_System Weather Weights WF 2" xfId="22"/>
    <cellStyle name="Percent_System Weather Weights WF" xfId="2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worksheet" Target="worksheets/sheet4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8" Type="http://schemas.openxmlformats.org/officeDocument/2006/relationships/externalLink" Target="externalLinks/externalLink1.xml" /><Relationship Id="rId4" Type="http://schemas.openxmlformats.org/officeDocument/2006/relationships/worksheet" Target="worksheets/sheet3.xml" /><Relationship Id="rId9" Type="http://schemas.openxmlformats.org/officeDocument/2006/relationships/externalLink" Target="externalLinks/externalLink2.xml" /><Relationship Id="rId6" Type="http://schemas.openxmlformats.org/officeDocument/2006/relationships/styles" Target="styles.xml" /><Relationship Id="rId10" Type="http://schemas.openxmlformats.org/officeDocument/2006/relationships/externalLink" Target="externalLinks/externalLink3.xml" /><Relationship Id="rId11" Type="http://schemas.openxmlformats.org/officeDocument/2006/relationships/calcChain" Target="calcChain.xml" /><Relationship Id="rId3" Type="http://schemas.openxmlformats.org/officeDocument/2006/relationships/worksheet" Target="worksheets/sheet2.xml" /><Relationship Id="rId7" Type="http://schemas.openxmlformats.org/officeDocument/2006/relationships/sharedStrings" Target="sharedStrings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17</xdr:col>
      <xdr:colOff>333375</xdr:colOff>
      <xdr:row>2</xdr:row>
      <xdr:rowOff>66675</xdr:rowOff>
    </xdr:from>
    <xdr:to>
      <xdr:col>17</xdr:col>
      <xdr:colOff>400050</xdr:colOff>
      <xdr:row>5</xdr:row>
      <xdr:rowOff>0</xdr:rowOff>
    </xdr:to>
    <xdr:sp macro="">
      <xdr:nvSpPr>
        <xdr:cNvPr id="2102" name="Text Box 1"/>
        <xdr:cNvSpPr txBox="1">
          <a:spLocks noChangeArrowheads="1"/>
        </xdr:cNvSpPr>
      </xdr:nvSpPr>
      <xdr:spPr bwMode="auto">
        <a:xfrm>
          <a:off x="10944225" y="447675"/>
          <a:ext cx="66675" cy="5048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p/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C:\Documents%20and%20Settings\la0i\Local%20Settings\Temporary%20Internet%20Files\OLK1F5\UFH6\Load_Data\FeederLevelData\Jan2006Hrly.xls" TargetMode="External" /></Relationships>
</file>

<file path=xl/externalLinks/_rels/externalLink2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Z:\Data%20from%20Itron_2007%20Project\2008%20Normalization\Observed%20Spline%20Degree%20Days.xls" TargetMode="External" /></Relationships>
</file>

<file path=xl/externalLinks/_rels/externalLink3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Z:\dehm\2008%20Oncor%20Electric%20Delivery%20Rate%20Case\2008%20PUC%20Rate%20Filing\5.2%20Example%20Actual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HOURLY"/>
    </sheetNames>
    <sheetDataSet>
      <sheetData sheetId="0" refreshError="1">
        <row r="1">
          <cell r="A1" t="str">
            <v>YEAR</v>
          </cell>
          <cell r="B1" t="str">
            <v>MONTH</v>
          </cell>
          <cell r="C1" t="str">
            <v>DAY</v>
          </cell>
          <cell r="D1" t="str">
            <v>HR</v>
          </cell>
          <cell r="E1" t="str">
            <v>PIMW_LOW_SIDE_HRLY</v>
          </cell>
          <cell r="F1" t="str">
            <v>PIMW_HI_SIDE_HRLY</v>
          </cell>
          <cell r="G1" t="str">
            <v>PIMW_HRLY</v>
          </cell>
        </row>
        <row r="2">
          <cell r="A2">
            <v>2006</v>
          </cell>
          <cell r="B2">
            <v>1</v>
          </cell>
          <cell r="C2">
            <v>1</v>
          </cell>
          <cell r="D2">
            <v>1</v>
          </cell>
          <cell r="E2">
            <v>6378.13627499999</v>
          </cell>
          <cell r="F2">
            <v>20.997575</v>
          </cell>
          <cell r="G2">
            <v>5508.27662500002</v>
          </cell>
        </row>
        <row r="3">
          <cell r="A3">
            <v>2006</v>
          </cell>
          <cell r="B3">
            <v>1</v>
          </cell>
          <cell r="C3">
            <v>1</v>
          </cell>
          <cell r="D3">
            <v>2</v>
          </cell>
          <cell r="E3">
            <v>8044.90167499998</v>
          </cell>
          <cell r="F3">
            <v>27.354775</v>
          </cell>
          <cell r="G3">
            <v>6750.60017500001</v>
          </cell>
        </row>
        <row r="4">
          <cell r="A4">
            <v>2006</v>
          </cell>
          <cell r="B4">
            <v>1</v>
          </cell>
          <cell r="C4">
            <v>1</v>
          </cell>
          <cell r="D4">
            <v>3</v>
          </cell>
          <cell r="E4">
            <v>7770.3657</v>
          </cell>
          <cell r="F4">
            <v>27.0356</v>
          </cell>
          <cell r="G4">
            <v>6499.0037</v>
          </cell>
        </row>
        <row r="5">
          <cell r="A5">
            <v>2006</v>
          </cell>
          <cell r="B5">
            <v>1</v>
          </cell>
          <cell r="C5">
            <v>1</v>
          </cell>
          <cell r="D5">
            <v>4</v>
          </cell>
          <cell r="E5">
            <v>7562.69089999999</v>
          </cell>
          <cell r="F5">
            <v>26.4613</v>
          </cell>
          <cell r="G5">
            <v>6298.31222500003</v>
          </cell>
        </row>
        <row r="6">
          <cell r="A6">
            <v>2006</v>
          </cell>
          <cell r="B6">
            <v>1</v>
          </cell>
          <cell r="C6">
            <v>1</v>
          </cell>
          <cell r="D6">
            <v>5</v>
          </cell>
          <cell r="E6">
            <v>7452.557525</v>
          </cell>
          <cell r="F6">
            <v>26.295125</v>
          </cell>
          <cell r="G6">
            <v>6204.64375000003</v>
          </cell>
        </row>
        <row r="7">
          <cell r="A7">
            <v>2006</v>
          </cell>
          <cell r="B7">
            <v>1</v>
          </cell>
          <cell r="C7">
            <v>1</v>
          </cell>
          <cell r="D7">
            <v>6</v>
          </cell>
          <cell r="E7">
            <v>7490.03345</v>
          </cell>
          <cell r="F7">
            <v>26.86675</v>
          </cell>
          <cell r="G7">
            <v>6241.99315000003</v>
          </cell>
        </row>
        <row r="8">
          <cell r="A8">
            <v>2006</v>
          </cell>
          <cell r="B8">
            <v>1</v>
          </cell>
          <cell r="C8">
            <v>1</v>
          </cell>
          <cell r="D8">
            <v>7</v>
          </cell>
          <cell r="E8">
            <v>7619.883825</v>
          </cell>
          <cell r="F8">
            <v>27.223425</v>
          </cell>
          <cell r="G8">
            <v>6367.11930000003</v>
          </cell>
        </row>
        <row r="9">
          <cell r="A9">
            <v>2006</v>
          </cell>
          <cell r="B9">
            <v>1</v>
          </cell>
          <cell r="C9">
            <v>1</v>
          </cell>
          <cell r="D9">
            <v>8</v>
          </cell>
          <cell r="E9">
            <v>7758.40932500001</v>
          </cell>
          <cell r="F9">
            <v>29.367425</v>
          </cell>
          <cell r="G9">
            <v>6498.41740000003</v>
          </cell>
        </row>
        <row r="10">
          <cell r="A10">
            <v>2006</v>
          </cell>
          <cell r="B10">
            <v>1</v>
          </cell>
          <cell r="C10">
            <v>1</v>
          </cell>
          <cell r="D10">
            <v>9</v>
          </cell>
          <cell r="E10">
            <v>7854.20982500001</v>
          </cell>
          <cell r="F10">
            <v>30.251275</v>
          </cell>
          <cell r="G10">
            <v>6605.40642500003</v>
          </cell>
        </row>
        <row r="11">
          <cell r="A11">
            <v>2006</v>
          </cell>
          <cell r="B11">
            <v>1</v>
          </cell>
          <cell r="C11">
            <v>1</v>
          </cell>
          <cell r="D11">
            <v>10</v>
          </cell>
          <cell r="E11">
            <v>8279.70702499999</v>
          </cell>
          <cell r="F11">
            <v>31.521775</v>
          </cell>
          <cell r="G11">
            <v>6973.08132500002</v>
          </cell>
        </row>
        <row r="12">
          <cell r="A12">
            <v>2006</v>
          </cell>
          <cell r="B12">
            <v>1</v>
          </cell>
          <cell r="C12">
            <v>1</v>
          </cell>
          <cell r="D12">
            <v>11</v>
          </cell>
          <cell r="E12">
            <v>8640.09002499999</v>
          </cell>
          <cell r="F12">
            <v>32.014575</v>
          </cell>
          <cell r="G12">
            <v>7247.1309</v>
          </cell>
        </row>
        <row r="13">
          <cell r="A13">
            <v>2006</v>
          </cell>
          <cell r="B13">
            <v>1</v>
          </cell>
          <cell r="C13">
            <v>1</v>
          </cell>
          <cell r="D13">
            <v>12</v>
          </cell>
          <cell r="E13">
            <v>8891.15387499997</v>
          </cell>
          <cell r="F13">
            <v>32.4696</v>
          </cell>
          <cell r="G13">
            <v>7448.69127500002</v>
          </cell>
        </row>
        <row r="14">
          <cell r="A14">
            <v>2006</v>
          </cell>
          <cell r="B14">
            <v>1</v>
          </cell>
          <cell r="C14">
            <v>1</v>
          </cell>
          <cell r="D14">
            <v>13</v>
          </cell>
          <cell r="E14">
            <v>9120.43057499997</v>
          </cell>
          <cell r="F14">
            <v>32.5862</v>
          </cell>
          <cell r="G14">
            <v>7661.46180000005</v>
          </cell>
        </row>
        <row r="15">
          <cell r="A15">
            <v>2006</v>
          </cell>
          <cell r="B15">
            <v>1</v>
          </cell>
          <cell r="C15">
            <v>1</v>
          </cell>
          <cell r="D15">
            <v>14</v>
          </cell>
          <cell r="E15">
            <v>9191.84759999999</v>
          </cell>
          <cell r="F15">
            <v>34.210425</v>
          </cell>
          <cell r="G15">
            <v>7716.90120000002</v>
          </cell>
        </row>
        <row r="16">
          <cell r="A16">
            <v>2006</v>
          </cell>
          <cell r="B16">
            <v>1</v>
          </cell>
          <cell r="C16">
            <v>1</v>
          </cell>
          <cell r="D16">
            <v>15</v>
          </cell>
          <cell r="E16">
            <v>9183.32022499997</v>
          </cell>
          <cell r="F16">
            <v>36.253875</v>
          </cell>
          <cell r="G16">
            <v>7694.90422500002</v>
          </cell>
        </row>
        <row r="17">
          <cell r="A17">
            <v>2006</v>
          </cell>
          <cell r="B17">
            <v>1</v>
          </cell>
          <cell r="C17">
            <v>1</v>
          </cell>
          <cell r="D17">
            <v>16</v>
          </cell>
          <cell r="E17">
            <v>9048.22955000001</v>
          </cell>
          <cell r="F17">
            <v>36.65765</v>
          </cell>
          <cell r="G17">
            <v>7621.21682500003</v>
          </cell>
        </row>
        <row r="18">
          <cell r="A18">
            <v>2006</v>
          </cell>
          <cell r="B18">
            <v>1</v>
          </cell>
          <cell r="C18">
            <v>1</v>
          </cell>
          <cell r="D18">
            <v>17</v>
          </cell>
          <cell r="E18">
            <v>9089.7506</v>
          </cell>
          <cell r="F18">
            <v>35.965375</v>
          </cell>
          <cell r="G18">
            <v>7640.49070000008</v>
          </cell>
        </row>
        <row r="19">
          <cell r="A19">
            <v>2006</v>
          </cell>
          <cell r="B19">
            <v>1</v>
          </cell>
          <cell r="C19">
            <v>1</v>
          </cell>
          <cell r="D19">
            <v>18</v>
          </cell>
          <cell r="E19">
            <v>9306.85065000001</v>
          </cell>
          <cell r="F19">
            <v>35.947425</v>
          </cell>
          <cell r="G19">
            <v>7896.15207500003</v>
          </cell>
        </row>
        <row r="20">
          <cell r="A20">
            <v>2006</v>
          </cell>
          <cell r="B20">
            <v>1</v>
          </cell>
          <cell r="C20">
            <v>1</v>
          </cell>
          <cell r="D20">
            <v>19</v>
          </cell>
          <cell r="E20">
            <v>10087.15765</v>
          </cell>
          <cell r="F20">
            <v>39.167825</v>
          </cell>
          <cell r="G20">
            <v>8664.060475</v>
          </cell>
        </row>
        <row r="21">
          <cell r="A21">
            <v>2006</v>
          </cell>
          <cell r="B21">
            <v>1</v>
          </cell>
          <cell r="C21">
            <v>1</v>
          </cell>
          <cell r="D21">
            <v>20</v>
          </cell>
          <cell r="E21">
            <v>10116.680175</v>
          </cell>
          <cell r="F21">
            <v>40.478875</v>
          </cell>
          <cell r="G21">
            <v>8673.67677500003</v>
          </cell>
        </row>
        <row r="22">
          <cell r="A22">
            <v>2006</v>
          </cell>
          <cell r="B22">
            <v>1</v>
          </cell>
          <cell r="C22">
            <v>1</v>
          </cell>
          <cell r="D22">
            <v>21</v>
          </cell>
          <cell r="E22">
            <v>9901.910425</v>
          </cell>
          <cell r="F22">
            <v>38.36215</v>
          </cell>
          <cell r="G22">
            <v>8453.16407500002</v>
          </cell>
        </row>
        <row r="23">
          <cell r="A23">
            <v>2006</v>
          </cell>
          <cell r="B23">
            <v>1</v>
          </cell>
          <cell r="C23">
            <v>1</v>
          </cell>
          <cell r="D23">
            <v>22</v>
          </cell>
          <cell r="E23">
            <v>9489.73074999999</v>
          </cell>
          <cell r="F23">
            <v>32.546775</v>
          </cell>
          <cell r="G23">
            <v>8151.13820000002</v>
          </cell>
        </row>
        <row r="25">
          <cell r="A25">
            <v>2006</v>
          </cell>
          <cell r="B25">
            <v>1</v>
          </cell>
          <cell r="C25">
            <v>1</v>
          </cell>
          <cell r="D25">
            <v>24</v>
          </cell>
          <cell r="E25">
            <v>8535.77700000001</v>
          </cell>
          <cell r="F25">
            <v>30.2594</v>
          </cell>
          <cell r="G25">
            <v>7174.40152500001</v>
          </cell>
        </row>
        <row r="26">
          <cell r="A26">
            <v>2006</v>
          </cell>
          <cell r="B26">
            <v>1</v>
          </cell>
          <cell r="C26">
            <v>2</v>
          </cell>
          <cell r="D26">
            <v>1</v>
          </cell>
          <cell r="E26">
            <v>7888.696175</v>
          </cell>
          <cell r="F26">
            <v>28.29465</v>
          </cell>
          <cell r="G26">
            <v>6650.29440000004</v>
          </cell>
        </row>
        <row r="27">
          <cell r="A27">
            <v>2006</v>
          </cell>
          <cell r="B27">
            <v>1</v>
          </cell>
          <cell r="C27">
            <v>2</v>
          </cell>
          <cell r="D27">
            <v>2</v>
          </cell>
          <cell r="E27">
            <v>7549.30040000002</v>
          </cell>
          <cell r="F27">
            <v>26.50985</v>
          </cell>
          <cell r="G27">
            <v>6280.48890000004</v>
          </cell>
        </row>
        <row r="28">
          <cell r="A28">
            <v>2006</v>
          </cell>
          <cell r="B28">
            <v>1</v>
          </cell>
          <cell r="C28">
            <v>2</v>
          </cell>
          <cell r="D28">
            <v>3</v>
          </cell>
          <cell r="E28">
            <v>7315.06057500002</v>
          </cell>
          <cell r="F28">
            <v>26.29115</v>
          </cell>
          <cell r="G28">
            <v>6070.908225</v>
          </cell>
        </row>
        <row r="29">
          <cell r="A29">
            <v>2006</v>
          </cell>
          <cell r="B29">
            <v>1</v>
          </cell>
          <cell r="C29">
            <v>2</v>
          </cell>
          <cell r="D29">
            <v>4</v>
          </cell>
          <cell r="E29">
            <v>7222.99262500003</v>
          </cell>
          <cell r="F29">
            <v>26.47985</v>
          </cell>
          <cell r="G29">
            <v>6007.48995000004</v>
          </cell>
        </row>
        <row r="30">
          <cell r="A30">
            <v>2006</v>
          </cell>
          <cell r="B30">
            <v>1</v>
          </cell>
          <cell r="C30">
            <v>2</v>
          </cell>
          <cell r="D30">
            <v>5</v>
          </cell>
          <cell r="E30">
            <v>7307.167875</v>
          </cell>
          <cell r="F30">
            <v>27.225675</v>
          </cell>
          <cell r="G30">
            <v>6084.84975000003</v>
          </cell>
        </row>
        <row r="31">
          <cell r="A31">
            <v>2006</v>
          </cell>
          <cell r="B31">
            <v>1</v>
          </cell>
          <cell r="C31">
            <v>2</v>
          </cell>
          <cell r="D31">
            <v>6</v>
          </cell>
          <cell r="E31">
            <v>7589.45234999998</v>
          </cell>
          <cell r="F31">
            <v>28.626775</v>
          </cell>
          <cell r="G31">
            <v>6332.39215000003</v>
          </cell>
        </row>
        <row r="32">
          <cell r="A32">
            <v>2006</v>
          </cell>
          <cell r="B32">
            <v>1</v>
          </cell>
          <cell r="C32">
            <v>2</v>
          </cell>
          <cell r="D32">
            <v>7</v>
          </cell>
          <cell r="E32">
            <v>8089.03515000001</v>
          </cell>
          <cell r="F32">
            <v>33.18625</v>
          </cell>
          <cell r="G32">
            <v>6789.70472500003</v>
          </cell>
        </row>
        <row r="33">
          <cell r="A33">
            <v>2006</v>
          </cell>
          <cell r="B33">
            <v>1</v>
          </cell>
          <cell r="C33">
            <v>2</v>
          </cell>
          <cell r="D33">
            <v>8</v>
          </cell>
          <cell r="E33">
            <v>8648.48027500004</v>
          </cell>
          <cell r="F33">
            <v>37.225575</v>
          </cell>
          <cell r="G33">
            <v>7230.47407500002</v>
          </cell>
        </row>
        <row r="34">
          <cell r="A34">
            <v>2006</v>
          </cell>
          <cell r="B34">
            <v>1</v>
          </cell>
          <cell r="C34">
            <v>2</v>
          </cell>
          <cell r="D34">
            <v>9</v>
          </cell>
          <cell r="E34">
            <v>8933.75654999999</v>
          </cell>
          <cell r="F34">
            <v>39.782225</v>
          </cell>
          <cell r="G34">
            <v>7479.083475</v>
          </cell>
        </row>
        <row r="35">
          <cell r="A35">
            <v>2006</v>
          </cell>
          <cell r="B35">
            <v>1</v>
          </cell>
          <cell r="C35">
            <v>2</v>
          </cell>
          <cell r="D35">
            <v>10</v>
          </cell>
          <cell r="E35">
            <v>9382.27789999997</v>
          </cell>
          <cell r="F35">
            <v>40.76995</v>
          </cell>
          <cell r="G35">
            <v>7886.6112</v>
          </cell>
        </row>
        <row r="36">
          <cell r="A36">
            <v>2006</v>
          </cell>
          <cell r="B36">
            <v>1</v>
          </cell>
          <cell r="C36">
            <v>2</v>
          </cell>
          <cell r="D36">
            <v>11</v>
          </cell>
          <cell r="E36">
            <v>9786.76625000004</v>
          </cell>
          <cell r="F36">
            <v>39.83765</v>
          </cell>
          <cell r="G36">
            <v>8252.18765000003</v>
          </cell>
        </row>
        <row r="37">
          <cell r="A37">
            <v>2006</v>
          </cell>
          <cell r="B37">
            <v>1</v>
          </cell>
          <cell r="C37">
            <v>2</v>
          </cell>
          <cell r="D37">
            <v>12</v>
          </cell>
          <cell r="E37">
            <v>9934.17630000001</v>
          </cell>
          <cell r="F37">
            <v>40.14895</v>
          </cell>
          <cell r="G37">
            <v>8398.73585000003</v>
          </cell>
        </row>
        <row r="38">
          <cell r="A38">
            <v>2006</v>
          </cell>
          <cell r="B38">
            <v>1</v>
          </cell>
          <cell r="C38">
            <v>2</v>
          </cell>
          <cell r="D38">
            <v>13</v>
          </cell>
          <cell r="E38">
            <v>10005.495175</v>
          </cell>
          <cell r="F38">
            <v>39.2894</v>
          </cell>
          <cell r="G38">
            <v>8442.68314999999</v>
          </cell>
        </row>
        <row r="39">
          <cell r="A39">
            <v>2006</v>
          </cell>
          <cell r="B39">
            <v>1</v>
          </cell>
          <cell r="C39">
            <v>2</v>
          </cell>
          <cell r="D39">
            <v>14</v>
          </cell>
          <cell r="E39">
            <v>9972.02254999996</v>
          </cell>
          <cell r="F39">
            <v>39.44755</v>
          </cell>
          <cell r="G39">
            <v>8394.46472500006</v>
          </cell>
        </row>
        <row r="40">
          <cell r="A40">
            <v>2006</v>
          </cell>
          <cell r="B40">
            <v>1</v>
          </cell>
          <cell r="C40">
            <v>2</v>
          </cell>
          <cell r="D40">
            <v>15</v>
          </cell>
          <cell r="E40">
            <v>9904.61714999999</v>
          </cell>
          <cell r="F40">
            <v>39.242225</v>
          </cell>
          <cell r="G40">
            <v>8343.68410000002</v>
          </cell>
        </row>
        <row r="41">
          <cell r="A41">
            <v>2006</v>
          </cell>
          <cell r="B41">
            <v>1</v>
          </cell>
          <cell r="C41">
            <v>2</v>
          </cell>
          <cell r="D41">
            <v>16</v>
          </cell>
          <cell r="E41">
            <v>9814.41217499999</v>
          </cell>
          <cell r="F41">
            <v>39.025025</v>
          </cell>
          <cell r="G41">
            <v>8279.51520000003</v>
          </cell>
        </row>
        <row r="42">
          <cell r="A42">
            <v>2006</v>
          </cell>
          <cell r="B42">
            <v>1</v>
          </cell>
          <cell r="C42">
            <v>2</v>
          </cell>
          <cell r="D42">
            <v>17</v>
          </cell>
          <cell r="E42">
            <v>9715.15917499996</v>
          </cell>
          <cell r="F42">
            <v>38.69175</v>
          </cell>
          <cell r="G42">
            <v>8254.63254999999</v>
          </cell>
        </row>
        <row r="43">
          <cell r="A43">
            <v>2006</v>
          </cell>
          <cell r="B43">
            <v>1</v>
          </cell>
          <cell r="C43">
            <v>2</v>
          </cell>
          <cell r="D43">
            <v>18</v>
          </cell>
          <cell r="E43">
            <v>9845.69585000002</v>
          </cell>
          <cell r="F43">
            <v>38.422475</v>
          </cell>
          <cell r="G43">
            <v>8436.01000000001</v>
          </cell>
        </row>
        <row r="44">
          <cell r="A44">
            <v>2006</v>
          </cell>
          <cell r="B44">
            <v>1</v>
          </cell>
          <cell r="C44">
            <v>2</v>
          </cell>
          <cell r="D44">
            <v>19</v>
          </cell>
          <cell r="E44">
            <v>10741.8776</v>
          </cell>
          <cell r="F44">
            <v>42.418375</v>
          </cell>
          <cell r="G44">
            <v>9255.00555000004</v>
          </cell>
        </row>
        <row r="45">
          <cell r="A45">
            <v>2006</v>
          </cell>
          <cell r="B45">
            <v>1</v>
          </cell>
          <cell r="C45">
            <v>2</v>
          </cell>
          <cell r="D45">
            <v>20</v>
          </cell>
          <cell r="E45">
            <v>10774.956375</v>
          </cell>
          <cell r="F45">
            <v>43.5219</v>
          </cell>
          <cell r="G45">
            <v>9285.17627499999</v>
          </cell>
        </row>
        <row r="46">
          <cell r="A46">
            <v>2006</v>
          </cell>
          <cell r="B46">
            <v>1</v>
          </cell>
          <cell r="C46">
            <v>2</v>
          </cell>
          <cell r="D46">
            <v>21</v>
          </cell>
          <cell r="E46">
            <v>10575.678375</v>
          </cell>
          <cell r="F46">
            <v>41.117575</v>
          </cell>
          <cell r="G46">
            <v>9078.80757500004</v>
          </cell>
        </row>
        <row r="47">
          <cell r="A47">
            <v>2006</v>
          </cell>
          <cell r="B47">
            <v>1</v>
          </cell>
          <cell r="C47">
            <v>2</v>
          </cell>
          <cell r="D47">
            <v>22</v>
          </cell>
          <cell r="E47">
            <v>10130.70325</v>
          </cell>
          <cell r="F47">
            <v>38.528675</v>
          </cell>
          <cell r="G47">
            <v>8697.5171</v>
          </cell>
        </row>
        <row r="49">
          <cell r="A49">
            <v>2006</v>
          </cell>
          <cell r="B49">
            <v>1</v>
          </cell>
          <cell r="C49">
            <v>2</v>
          </cell>
          <cell r="D49">
            <v>24</v>
          </cell>
          <cell r="E49">
            <v>8864.97629999999</v>
          </cell>
          <cell r="F49">
            <v>34.36965</v>
          </cell>
          <cell r="G49">
            <v>7462.51965000007</v>
          </cell>
        </row>
        <row r="50">
          <cell r="A50">
            <v>2006</v>
          </cell>
          <cell r="B50">
            <v>1</v>
          </cell>
          <cell r="C50">
            <v>3</v>
          </cell>
          <cell r="D50">
            <v>1</v>
          </cell>
          <cell r="E50">
            <v>8285.12032500004</v>
          </cell>
          <cell r="F50">
            <v>33.490225</v>
          </cell>
          <cell r="G50">
            <v>6961.74510000001</v>
          </cell>
        </row>
        <row r="51">
          <cell r="A51">
            <v>2006</v>
          </cell>
          <cell r="B51">
            <v>1</v>
          </cell>
          <cell r="C51">
            <v>3</v>
          </cell>
          <cell r="D51">
            <v>2</v>
          </cell>
          <cell r="E51">
            <v>8007.41719999997</v>
          </cell>
          <cell r="F51">
            <v>31.912475</v>
          </cell>
          <cell r="G51">
            <v>6715.25762500002</v>
          </cell>
        </row>
        <row r="52">
          <cell r="A52">
            <v>2006</v>
          </cell>
          <cell r="B52">
            <v>1</v>
          </cell>
          <cell r="C52">
            <v>3</v>
          </cell>
          <cell r="D52">
            <v>3</v>
          </cell>
          <cell r="E52">
            <v>7937.39227500003</v>
          </cell>
          <cell r="F52">
            <v>31.524375</v>
          </cell>
          <cell r="G52">
            <v>6642.26035000002</v>
          </cell>
        </row>
        <row r="53">
          <cell r="A53">
            <v>2006</v>
          </cell>
          <cell r="B53">
            <v>1</v>
          </cell>
          <cell r="C53">
            <v>3</v>
          </cell>
          <cell r="D53">
            <v>4</v>
          </cell>
          <cell r="E53">
            <v>7989.3808</v>
          </cell>
          <cell r="F53">
            <v>32.36435</v>
          </cell>
          <cell r="G53">
            <v>6695.65620000001</v>
          </cell>
        </row>
        <row r="54">
          <cell r="A54">
            <v>2006</v>
          </cell>
          <cell r="B54">
            <v>1</v>
          </cell>
          <cell r="C54">
            <v>3</v>
          </cell>
          <cell r="D54">
            <v>5</v>
          </cell>
          <cell r="E54">
            <v>8245.2097</v>
          </cell>
          <cell r="F54">
            <v>35.400575</v>
          </cell>
          <cell r="G54">
            <v>6938.65035</v>
          </cell>
        </row>
        <row r="55">
          <cell r="A55">
            <v>2006</v>
          </cell>
          <cell r="B55">
            <v>1</v>
          </cell>
          <cell r="C55">
            <v>3</v>
          </cell>
          <cell r="D55">
            <v>6</v>
          </cell>
          <cell r="E55">
            <v>9014.283525</v>
          </cell>
          <cell r="F55">
            <v>39.9348</v>
          </cell>
          <cell r="G55">
            <v>7592.87932499998</v>
          </cell>
        </row>
        <row r="56">
          <cell r="A56">
            <v>2006</v>
          </cell>
          <cell r="B56">
            <v>1</v>
          </cell>
          <cell r="C56">
            <v>3</v>
          </cell>
          <cell r="D56">
            <v>7</v>
          </cell>
          <cell r="E56">
            <v>10387.087525</v>
          </cell>
          <cell r="F56">
            <v>46.299775</v>
          </cell>
          <cell r="G56">
            <v>8839.05989999998</v>
          </cell>
        </row>
        <row r="57">
          <cell r="A57">
            <v>2006</v>
          </cell>
          <cell r="B57">
            <v>1</v>
          </cell>
          <cell r="C57">
            <v>3</v>
          </cell>
          <cell r="D57">
            <v>8</v>
          </cell>
          <cell r="E57">
            <v>11397.8679</v>
          </cell>
          <cell r="F57">
            <v>47.731725</v>
          </cell>
          <cell r="G57">
            <v>9823.69597499998</v>
          </cell>
        </row>
        <row r="58">
          <cell r="A58">
            <v>2006</v>
          </cell>
          <cell r="B58">
            <v>1</v>
          </cell>
          <cell r="C58">
            <v>3</v>
          </cell>
          <cell r="D58">
            <v>9</v>
          </cell>
          <cell r="E58">
            <v>11303.23165</v>
          </cell>
          <cell r="F58">
            <v>48.192525</v>
          </cell>
          <cell r="G58">
            <v>9722.57622500003</v>
          </cell>
        </row>
        <row r="59">
          <cell r="A59">
            <v>2006</v>
          </cell>
          <cell r="B59">
            <v>1</v>
          </cell>
          <cell r="C59">
            <v>3</v>
          </cell>
          <cell r="D59">
            <v>10</v>
          </cell>
          <cell r="E59">
            <v>11165.83995</v>
          </cell>
          <cell r="F59">
            <v>45.16835</v>
          </cell>
          <cell r="G59">
            <v>9517.66117499997</v>
          </cell>
        </row>
        <row r="60">
          <cell r="A60">
            <v>2006</v>
          </cell>
          <cell r="B60">
            <v>1</v>
          </cell>
          <cell r="C60">
            <v>3</v>
          </cell>
          <cell r="D60">
            <v>11</v>
          </cell>
          <cell r="E60">
            <v>11150.5801</v>
          </cell>
          <cell r="F60">
            <v>46.086775</v>
          </cell>
          <cell r="G60">
            <v>9423.87975</v>
          </cell>
        </row>
        <row r="61">
          <cell r="A61">
            <v>2006</v>
          </cell>
          <cell r="B61">
            <v>1</v>
          </cell>
          <cell r="C61">
            <v>3</v>
          </cell>
          <cell r="D61">
            <v>12</v>
          </cell>
          <cell r="E61">
            <v>10936.40175</v>
          </cell>
          <cell r="F61">
            <v>43.43385</v>
          </cell>
          <cell r="G61">
            <v>9294.99992500003</v>
          </cell>
        </row>
        <row r="62">
          <cell r="A62">
            <v>2006</v>
          </cell>
          <cell r="B62">
            <v>1</v>
          </cell>
          <cell r="C62">
            <v>3</v>
          </cell>
          <cell r="D62">
            <v>13</v>
          </cell>
          <cell r="E62">
            <v>10755.8173</v>
          </cell>
          <cell r="F62">
            <v>47.29505</v>
          </cell>
          <cell r="G62">
            <v>9230.995625</v>
          </cell>
        </row>
        <row r="63">
          <cell r="A63">
            <v>2006</v>
          </cell>
          <cell r="B63">
            <v>1</v>
          </cell>
          <cell r="C63">
            <v>3</v>
          </cell>
          <cell r="D63">
            <v>14</v>
          </cell>
          <cell r="E63">
            <v>10839.5036</v>
          </cell>
          <cell r="F63">
            <v>46.048725</v>
          </cell>
          <cell r="G63">
            <v>9271.09649999999</v>
          </cell>
        </row>
        <row r="64">
          <cell r="A64">
            <v>2006</v>
          </cell>
          <cell r="B64">
            <v>1</v>
          </cell>
          <cell r="C64">
            <v>3</v>
          </cell>
          <cell r="D64">
            <v>15</v>
          </cell>
          <cell r="E64">
            <v>10890.950975</v>
          </cell>
          <cell r="F64">
            <v>42.079625</v>
          </cell>
          <cell r="G64">
            <v>9317.84415000002</v>
          </cell>
        </row>
        <row r="65">
          <cell r="A65">
            <v>2006</v>
          </cell>
          <cell r="B65">
            <v>1</v>
          </cell>
          <cell r="C65">
            <v>3</v>
          </cell>
          <cell r="D65">
            <v>16</v>
          </cell>
          <cell r="E65">
            <v>10943.322625</v>
          </cell>
          <cell r="F65">
            <v>42.87685</v>
          </cell>
          <cell r="G65">
            <v>9319.09302500005</v>
          </cell>
        </row>
        <row r="66">
          <cell r="A66">
            <v>2006</v>
          </cell>
          <cell r="B66">
            <v>1</v>
          </cell>
          <cell r="C66">
            <v>3</v>
          </cell>
          <cell r="D66">
            <v>17</v>
          </cell>
          <cell r="E66">
            <v>10937.597275</v>
          </cell>
          <cell r="F66">
            <v>41.0619</v>
          </cell>
          <cell r="G66">
            <v>9367.41947500001</v>
          </cell>
        </row>
        <row r="67">
          <cell r="A67">
            <v>2006</v>
          </cell>
          <cell r="B67">
            <v>1</v>
          </cell>
          <cell r="C67">
            <v>3</v>
          </cell>
          <cell r="D67">
            <v>18</v>
          </cell>
          <cell r="E67">
            <v>10822.268475</v>
          </cell>
          <cell r="F67">
            <v>44.777025</v>
          </cell>
          <cell r="G67">
            <v>9379.87412500003</v>
          </cell>
        </row>
        <row r="68">
          <cell r="A68">
            <v>2006</v>
          </cell>
          <cell r="B68">
            <v>1</v>
          </cell>
          <cell r="C68">
            <v>3</v>
          </cell>
          <cell r="D68">
            <v>19</v>
          </cell>
          <cell r="E68">
            <v>11522.136675</v>
          </cell>
          <cell r="F68">
            <v>47.458875</v>
          </cell>
          <cell r="G68">
            <v>10006.036325</v>
          </cell>
        </row>
        <row r="69">
          <cell r="A69">
            <v>2006</v>
          </cell>
          <cell r="B69">
            <v>1</v>
          </cell>
          <cell r="C69">
            <v>3</v>
          </cell>
          <cell r="D69">
            <v>20</v>
          </cell>
          <cell r="E69">
            <v>11458.2596</v>
          </cell>
          <cell r="F69">
            <v>44.89515</v>
          </cell>
          <cell r="G69">
            <v>9977.79380000001</v>
          </cell>
        </row>
        <row r="70">
          <cell r="A70">
            <v>2006</v>
          </cell>
          <cell r="B70">
            <v>1</v>
          </cell>
          <cell r="C70">
            <v>3</v>
          </cell>
          <cell r="D70">
            <v>21</v>
          </cell>
          <cell r="E70">
            <v>11220.1343</v>
          </cell>
          <cell r="F70">
            <v>44.567825</v>
          </cell>
          <cell r="G70">
            <v>9672.75029999997</v>
          </cell>
        </row>
        <row r="71">
          <cell r="A71">
            <v>2006</v>
          </cell>
          <cell r="B71">
            <v>1</v>
          </cell>
          <cell r="C71">
            <v>3</v>
          </cell>
          <cell r="D71">
            <v>22</v>
          </cell>
          <cell r="E71">
            <v>10606.9657</v>
          </cell>
          <cell r="F71">
            <v>39.508825</v>
          </cell>
          <cell r="G71">
            <v>9204.35620000001</v>
          </cell>
        </row>
        <row r="73">
          <cell r="A73">
            <v>2006</v>
          </cell>
          <cell r="B73">
            <v>1</v>
          </cell>
          <cell r="C73">
            <v>3</v>
          </cell>
          <cell r="D73">
            <v>24</v>
          </cell>
          <cell r="E73">
            <v>9067.26545</v>
          </cell>
          <cell r="F73">
            <v>37.300225</v>
          </cell>
          <cell r="G73">
            <v>7690.34920000004</v>
          </cell>
        </row>
        <row r="74">
          <cell r="A74">
            <v>2006</v>
          </cell>
          <cell r="B74">
            <v>1</v>
          </cell>
          <cell r="C74">
            <v>4</v>
          </cell>
          <cell r="D74">
            <v>1</v>
          </cell>
          <cell r="E74">
            <v>8361.18530000001</v>
          </cell>
          <cell r="F74">
            <v>32.56835</v>
          </cell>
          <cell r="G74">
            <v>7030.02122500003</v>
          </cell>
        </row>
        <row r="75">
          <cell r="A75">
            <v>2006</v>
          </cell>
          <cell r="B75">
            <v>1</v>
          </cell>
          <cell r="C75">
            <v>4</v>
          </cell>
          <cell r="D75">
            <v>2</v>
          </cell>
          <cell r="E75">
            <v>7914.25795000001</v>
          </cell>
          <cell r="F75">
            <v>31.485475</v>
          </cell>
          <cell r="G75">
            <v>6604.18362500001</v>
          </cell>
        </row>
        <row r="76">
          <cell r="A76">
            <v>2006</v>
          </cell>
          <cell r="B76">
            <v>1</v>
          </cell>
          <cell r="C76">
            <v>4</v>
          </cell>
          <cell r="D76">
            <v>3</v>
          </cell>
          <cell r="E76">
            <v>7680.5914</v>
          </cell>
          <cell r="F76">
            <v>30.289875</v>
          </cell>
          <cell r="G76">
            <v>6394.22012500004</v>
          </cell>
        </row>
        <row r="77">
          <cell r="A77">
            <v>2006</v>
          </cell>
          <cell r="B77">
            <v>1</v>
          </cell>
          <cell r="C77">
            <v>4</v>
          </cell>
          <cell r="D77">
            <v>4</v>
          </cell>
          <cell r="E77">
            <v>7589.41842499998</v>
          </cell>
          <cell r="F77">
            <v>30.468575</v>
          </cell>
          <cell r="G77">
            <v>6319.27750000003</v>
          </cell>
        </row>
        <row r="78">
          <cell r="A78">
            <v>2006</v>
          </cell>
          <cell r="B78">
            <v>1</v>
          </cell>
          <cell r="C78">
            <v>4</v>
          </cell>
          <cell r="D78">
            <v>5</v>
          </cell>
          <cell r="E78">
            <v>7688.46285000001</v>
          </cell>
          <cell r="F78">
            <v>29.6388</v>
          </cell>
          <cell r="G78">
            <v>6410.991475</v>
          </cell>
        </row>
        <row r="79">
          <cell r="A79">
            <v>2006</v>
          </cell>
          <cell r="B79">
            <v>1</v>
          </cell>
          <cell r="C79">
            <v>4</v>
          </cell>
          <cell r="D79">
            <v>6</v>
          </cell>
          <cell r="E79">
            <v>8241.894075</v>
          </cell>
          <cell r="F79">
            <v>32.321625</v>
          </cell>
          <cell r="G79">
            <v>6877.07157500002</v>
          </cell>
        </row>
        <row r="80">
          <cell r="A80">
            <v>2006</v>
          </cell>
          <cell r="B80">
            <v>1</v>
          </cell>
          <cell r="C80">
            <v>4</v>
          </cell>
          <cell r="D80">
            <v>7</v>
          </cell>
          <cell r="E80">
            <v>9445.273225</v>
          </cell>
          <cell r="F80">
            <v>35.059925</v>
          </cell>
          <cell r="G80">
            <v>7975.48052499999</v>
          </cell>
        </row>
        <row r="81">
          <cell r="A81">
            <v>2006</v>
          </cell>
          <cell r="B81">
            <v>1</v>
          </cell>
          <cell r="C81">
            <v>4</v>
          </cell>
          <cell r="D81">
            <v>8</v>
          </cell>
          <cell r="E81">
            <v>10429.417375</v>
          </cell>
          <cell r="F81">
            <v>38.5086</v>
          </cell>
          <cell r="G81">
            <v>8931.02172499998</v>
          </cell>
        </row>
        <row r="82">
          <cell r="A82">
            <v>2006</v>
          </cell>
          <cell r="B82">
            <v>1</v>
          </cell>
          <cell r="C82">
            <v>4</v>
          </cell>
          <cell r="D82">
            <v>9</v>
          </cell>
          <cell r="E82">
            <v>10411.612075</v>
          </cell>
          <cell r="F82">
            <v>30.440625</v>
          </cell>
          <cell r="G82">
            <v>8841.54582500004</v>
          </cell>
        </row>
        <row r="83">
          <cell r="A83">
            <v>2006</v>
          </cell>
          <cell r="B83">
            <v>1</v>
          </cell>
          <cell r="C83">
            <v>4</v>
          </cell>
          <cell r="D83">
            <v>10</v>
          </cell>
          <cell r="E83">
            <v>10602.512375</v>
          </cell>
          <cell r="F83">
            <v>41.33745</v>
          </cell>
          <cell r="G83">
            <v>8924.27672500004</v>
          </cell>
        </row>
        <row r="84">
          <cell r="A84">
            <v>2006</v>
          </cell>
          <cell r="B84">
            <v>1</v>
          </cell>
          <cell r="C84">
            <v>4</v>
          </cell>
          <cell r="D84">
            <v>11</v>
          </cell>
          <cell r="E84">
            <v>10708.30455</v>
          </cell>
          <cell r="F84">
            <v>39.07445</v>
          </cell>
          <cell r="G84">
            <v>9025.79487500002</v>
          </cell>
        </row>
        <row r="85">
          <cell r="A85">
            <v>2006</v>
          </cell>
          <cell r="B85">
            <v>1</v>
          </cell>
          <cell r="C85">
            <v>4</v>
          </cell>
          <cell r="D85">
            <v>12</v>
          </cell>
          <cell r="E85">
            <v>10751.47305</v>
          </cell>
          <cell r="F85">
            <v>46.9275</v>
          </cell>
          <cell r="G85">
            <v>9084.37095000002</v>
          </cell>
        </row>
        <row r="86">
          <cell r="A86">
            <v>2006</v>
          </cell>
          <cell r="B86">
            <v>1</v>
          </cell>
          <cell r="C86">
            <v>4</v>
          </cell>
          <cell r="D86">
            <v>13</v>
          </cell>
          <cell r="E86">
            <v>10720.530175</v>
          </cell>
          <cell r="F86">
            <v>45.0006</v>
          </cell>
          <cell r="G86">
            <v>9048.16200000005</v>
          </cell>
        </row>
        <row r="87">
          <cell r="A87">
            <v>2006</v>
          </cell>
          <cell r="B87">
            <v>1</v>
          </cell>
          <cell r="C87">
            <v>4</v>
          </cell>
          <cell r="D87">
            <v>14</v>
          </cell>
          <cell r="E87">
            <v>10714.588375</v>
          </cell>
          <cell r="F87">
            <v>50.004075</v>
          </cell>
          <cell r="G87">
            <v>9038.05102500006</v>
          </cell>
        </row>
        <row r="88">
          <cell r="A88">
            <v>2006</v>
          </cell>
          <cell r="B88">
            <v>1</v>
          </cell>
          <cell r="C88">
            <v>4</v>
          </cell>
          <cell r="D88">
            <v>15</v>
          </cell>
          <cell r="E88">
            <v>10617.98745</v>
          </cell>
          <cell r="F88">
            <v>45.30405</v>
          </cell>
          <cell r="G88">
            <v>8975.98460000007</v>
          </cell>
        </row>
        <row r="89">
          <cell r="A89">
            <v>2006</v>
          </cell>
          <cell r="B89">
            <v>1</v>
          </cell>
          <cell r="C89">
            <v>4</v>
          </cell>
          <cell r="D89">
            <v>16</v>
          </cell>
          <cell r="E89">
            <v>10518.70385</v>
          </cell>
          <cell r="F89">
            <v>45.1297</v>
          </cell>
          <cell r="G89">
            <v>8873.82077499999</v>
          </cell>
        </row>
        <row r="90">
          <cell r="A90">
            <v>2006</v>
          </cell>
          <cell r="B90">
            <v>1</v>
          </cell>
          <cell r="C90">
            <v>4</v>
          </cell>
          <cell r="D90">
            <v>17</v>
          </cell>
          <cell r="E90">
            <v>10513.9763</v>
          </cell>
          <cell r="F90">
            <v>47.29445</v>
          </cell>
          <cell r="G90">
            <v>8848.22944999999</v>
          </cell>
        </row>
        <row r="91">
          <cell r="A91">
            <v>2006</v>
          </cell>
          <cell r="B91">
            <v>1</v>
          </cell>
          <cell r="C91">
            <v>4</v>
          </cell>
          <cell r="D91">
            <v>18</v>
          </cell>
          <cell r="E91">
            <v>10680.4572</v>
          </cell>
          <cell r="F91">
            <v>47.074</v>
          </cell>
          <cell r="G91">
            <v>9040.78647499997</v>
          </cell>
        </row>
        <row r="92">
          <cell r="A92">
            <v>2006</v>
          </cell>
          <cell r="B92">
            <v>1</v>
          </cell>
          <cell r="C92">
            <v>4</v>
          </cell>
          <cell r="D92">
            <v>19</v>
          </cell>
          <cell r="E92">
            <v>11563.7304</v>
          </cell>
          <cell r="F92">
            <v>52.064</v>
          </cell>
          <cell r="G92">
            <v>9854.60797499999</v>
          </cell>
        </row>
        <row r="93">
          <cell r="A93">
            <v>2006</v>
          </cell>
          <cell r="B93">
            <v>1</v>
          </cell>
          <cell r="C93">
            <v>4</v>
          </cell>
          <cell r="D93">
            <v>20</v>
          </cell>
          <cell r="E93">
            <v>11529.677325</v>
          </cell>
          <cell r="F93">
            <v>53.167</v>
          </cell>
          <cell r="G93">
            <v>9854.71605000002</v>
          </cell>
        </row>
        <row r="94">
          <cell r="A94">
            <v>2006</v>
          </cell>
          <cell r="B94">
            <v>1</v>
          </cell>
          <cell r="C94">
            <v>4</v>
          </cell>
          <cell r="D94">
            <v>21</v>
          </cell>
          <cell r="E94">
            <v>11326.462325</v>
          </cell>
          <cell r="F94">
            <v>51.1292</v>
          </cell>
          <cell r="G94">
            <v>9639.65490000001</v>
          </cell>
        </row>
        <row r="95">
          <cell r="A95">
            <v>2006</v>
          </cell>
          <cell r="B95">
            <v>1</v>
          </cell>
          <cell r="C95">
            <v>4</v>
          </cell>
          <cell r="D95">
            <v>22</v>
          </cell>
          <cell r="E95">
            <v>10848.53355</v>
          </cell>
          <cell r="F95">
            <v>49.76535</v>
          </cell>
          <cell r="G95">
            <v>9304.05117500001</v>
          </cell>
        </row>
        <row r="97">
          <cell r="A97">
            <v>2006</v>
          </cell>
          <cell r="B97">
            <v>1</v>
          </cell>
          <cell r="C97">
            <v>4</v>
          </cell>
          <cell r="D97">
            <v>24</v>
          </cell>
          <cell r="E97">
            <v>9600.90450000003</v>
          </cell>
          <cell r="F97">
            <v>47.001275</v>
          </cell>
          <cell r="G97">
            <v>8072.43717499998</v>
          </cell>
        </row>
        <row r="98">
          <cell r="A98">
            <v>2006</v>
          </cell>
          <cell r="B98">
            <v>1</v>
          </cell>
          <cell r="C98">
            <v>5</v>
          </cell>
          <cell r="D98">
            <v>1</v>
          </cell>
          <cell r="E98">
            <v>9146.82205</v>
          </cell>
          <cell r="F98">
            <v>42.280075</v>
          </cell>
          <cell r="G98">
            <v>7627.41377499999</v>
          </cell>
        </row>
        <row r="99">
          <cell r="A99">
            <v>2006</v>
          </cell>
          <cell r="B99">
            <v>1</v>
          </cell>
          <cell r="C99">
            <v>5</v>
          </cell>
          <cell r="D99">
            <v>2</v>
          </cell>
          <cell r="E99">
            <v>8771.42672499999</v>
          </cell>
          <cell r="F99">
            <v>38.881775</v>
          </cell>
          <cell r="G99">
            <v>7276.88095000004</v>
          </cell>
        </row>
        <row r="100">
          <cell r="A100">
            <v>2006</v>
          </cell>
          <cell r="B100">
            <v>1</v>
          </cell>
          <cell r="C100">
            <v>5</v>
          </cell>
          <cell r="D100">
            <v>3</v>
          </cell>
          <cell r="E100">
            <v>8574.56635</v>
          </cell>
          <cell r="F100">
            <v>37.835675</v>
          </cell>
          <cell r="G100">
            <v>7173.14817500001</v>
          </cell>
        </row>
        <row r="101">
          <cell r="A101">
            <v>2006</v>
          </cell>
          <cell r="B101">
            <v>1</v>
          </cell>
          <cell r="C101">
            <v>5</v>
          </cell>
          <cell r="D101">
            <v>4</v>
          </cell>
          <cell r="E101">
            <v>8593.55425</v>
          </cell>
          <cell r="F101">
            <v>37.6988</v>
          </cell>
          <cell r="G101">
            <v>7215.52010000002</v>
          </cell>
        </row>
        <row r="102">
          <cell r="A102">
            <v>2006</v>
          </cell>
          <cell r="B102">
            <v>1</v>
          </cell>
          <cell r="C102">
            <v>5</v>
          </cell>
          <cell r="D102">
            <v>5</v>
          </cell>
          <cell r="E102">
            <v>8882.23365</v>
          </cell>
          <cell r="F102">
            <v>38.1585</v>
          </cell>
          <cell r="G102">
            <v>7461.30142500002</v>
          </cell>
        </row>
        <row r="103">
          <cell r="A103">
            <v>2006</v>
          </cell>
          <cell r="B103">
            <v>1</v>
          </cell>
          <cell r="C103">
            <v>5</v>
          </cell>
          <cell r="D103">
            <v>6</v>
          </cell>
          <cell r="E103">
            <v>9585.67460000001</v>
          </cell>
          <cell r="F103">
            <v>41.31705</v>
          </cell>
          <cell r="G103">
            <v>8124.70650000004</v>
          </cell>
        </row>
        <row r="104">
          <cell r="A104">
            <v>2006</v>
          </cell>
          <cell r="B104">
            <v>1</v>
          </cell>
          <cell r="C104">
            <v>5</v>
          </cell>
          <cell r="D104">
            <v>7</v>
          </cell>
          <cell r="E104">
            <v>11022.939475</v>
          </cell>
          <cell r="F104">
            <v>45.531475</v>
          </cell>
          <cell r="G104">
            <v>9450.62317499998</v>
          </cell>
        </row>
        <row r="105">
          <cell r="A105">
            <v>2006</v>
          </cell>
          <cell r="B105">
            <v>1</v>
          </cell>
          <cell r="C105">
            <v>5</v>
          </cell>
          <cell r="D105">
            <v>8</v>
          </cell>
          <cell r="E105">
            <v>12281.758875</v>
          </cell>
          <cell r="F105">
            <v>50.12595</v>
          </cell>
          <cell r="G105">
            <v>10534.35455</v>
          </cell>
        </row>
        <row r="106">
          <cell r="A106">
            <v>2006</v>
          </cell>
          <cell r="B106">
            <v>1</v>
          </cell>
          <cell r="C106">
            <v>5</v>
          </cell>
          <cell r="D106">
            <v>9</v>
          </cell>
          <cell r="E106">
            <v>12012.437275</v>
          </cell>
          <cell r="F106">
            <v>47.317775</v>
          </cell>
          <cell r="G106">
            <v>10299.6957250001</v>
          </cell>
        </row>
        <row r="107">
          <cell r="A107">
            <v>2006</v>
          </cell>
          <cell r="B107">
            <v>1</v>
          </cell>
          <cell r="C107">
            <v>5</v>
          </cell>
          <cell r="D107">
            <v>10</v>
          </cell>
          <cell r="E107">
            <v>11774.24415</v>
          </cell>
          <cell r="F107">
            <v>46.74755</v>
          </cell>
          <cell r="G107">
            <v>9999.77640000004</v>
          </cell>
        </row>
        <row r="108">
          <cell r="A108">
            <v>2006</v>
          </cell>
          <cell r="B108">
            <v>1</v>
          </cell>
          <cell r="C108">
            <v>5</v>
          </cell>
          <cell r="D108">
            <v>11</v>
          </cell>
          <cell r="E108">
            <v>11568.103875</v>
          </cell>
          <cell r="F108">
            <v>43.848575</v>
          </cell>
          <cell r="G108">
            <v>9831.42642500003</v>
          </cell>
        </row>
        <row r="109">
          <cell r="A109">
            <v>2006</v>
          </cell>
          <cell r="B109">
            <v>1</v>
          </cell>
          <cell r="C109">
            <v>5</v>
          </cell>
          <cell r="D109">
            <v>12</v>
          </cell>
          <cell r="E109">
            <v>11255.512</v>
          </cell>
          <cell r="F109">
            <v>46.81555</v>
          </cell>
          <cell r="G109">
            <v>9636.45060000002</v>
          </cell>
        </row>
        <row r="110">
          <cell r="A110">
            <v>2006</v>
          </cell>
          <cell r="B110">
            <v>1</v>
          </cell>
          <cell r="C110">
            <v>5</v>
          </cell>
          <cell r="D110">
            <v>13</v>
          </cell>
          <cell r="E110">
            <v>11025.12405</v>
          </cell>
          <cell r="F110">
            <v>43.416275</v>
          </cell>
          <cell r="G110">
            <v>9421.18167499998</v>
          </cell>
        </row>
        <row r="111">
          <cell r="A111">
            <v>2006</v>
          </cell>
          <cell r="B111">
            <v>1</v>
          </cell>
          <cell r="C111">
            <v>5</v>
          </cell>
          <cell r="D111">
            <v>14</v>
          </cell>
          <cell r="E111">
            <v>11006.228475</v>
          </cell>
          <cell r="F111">
            <v>40.10505</v>
          </cell>
          <cell r="G111">
            <v>9309.47914999998</v>
          </cell>
        </row>
        <row r="112">
          <cell r="A112">
            <v>2006</v>
          </cell>
          <cell r="B112">
            <v>1</v>
          </cell>
          <cell r="C112">
            <v>5</v>
          </cell>
          <cell r="D112">
            <v>15</v>
          </cell>
          <cell r="E112">
            <v>10804.638575</v>
          </cell>
          <cell r="F112">
            <v>42.517825</v>
          </cell>
          <cell r="G112">
            <v>9146.16374999996</v>
          </cell>
        </row>
        <row r="113">
          <cell r="A113">
            <v>2006</v>
          </cell>
          <cell r="B113">
            <v>1</v>
          </cell>
          <cell r="C113">
            <v>5</v>
          </cell>
          <cell r="D113">
            <v>16</v>
          </cell>
          <cell r="E113">
            <v>10647.03515</v>
          </cell>
          <cell r="F113">
            <v>40.815825</v>
          </cell>
          <cell r="G113">
            <v>8977.38142500006</v>
          </cell>
        </row>
        <row r="114">
          <cell r="A114">
            <v>2006</v>
          </cell>
          <cell r="B114">
            <v>1</v>
          </cell>
          <cell r="C114">
            <v>5</v>
          </cell>
          <cell r="D114">
            <v>17</v>
          </cell>
          <cell r="E114">
            <v>10510.8317</v>
          </cell>
          <cell r="F114">
            <v>37.68515</v>
          </cell>
          <cell r="G114">
            <v>8944.99232500001</v>
          </cell>
        </row>
        <row r="115">
          <cell r="A115">
            <v>2006</v>
          </cell>
          <cell r="B115">
            <v>1</v>
          </cell>
          <cell r="C115">
            <v>5</v>
          </cell>
          <cell r="D115">
            <v>18</v>
          </cell>
          <cell r="E115">
            <v>10817.1055</v>
          </cell>
          <cell r="F115">
            <v>41.26775</v>
          </cell>
          <cell r="G115">
            <v>9215.98215000002</v>
          </cell>
        </row>
        <row r="116">
          <cell r="A116">
            <v>2006</v>
          </cell>
          <cell r="B116">
            <v>1</v>
          </cell>
          <cell r="C116">
            <v>5</v>
          </cell>
          <cell r="D116">
            <v>19</v>
          </cell>
          <cell r="E116">
            <v>11937.6895</v>
          </cell>
          <cell r="F116">
            <v>46.830175</v>
          </cell>
          <cell r="G116">
            <v>10150.185775</v>
          </cell>
        </row>
        <row r="117">
          <cell r="A117">
            <v>2006</v>
          </cell>
          <cell r="B117">
            <v>1</v>
          </cell>
          <cell r="C117">
            <v>5</v>
          </cell>
          <cell r="D117">
            <v>20</v>
          </cell>
          <cell r="E117">
            <v>12086.4285</v>
          </cell>
          <cell r="F117">
            <v>51.538025</v>
          </cell>
          <cell r="G117">
            <v>10324.18945</v>
          </cell>
        </row>
        <row r="118">
          <cell r="A118">
            <v>2006</v>
          </cell>
          <cell r="B118">
            <v>1</v>
          </cell>
          <cell r="C118">
            <v>5</v>
          </cell>
          <cell r="D118">
            <v>21</v>
          </cell>
          <cell r="E118">
            <v>11913.62755</v>
          </cell>
          <cell r="F118">
            <v>49.83165</v>
          </cell>
          <cell r="G118">
            <v>10208.5465</v>
          </cell>
        </row>
        <row r="119">
          <cell r="A119">
            <v>2006</v>
          </cell>
          <cell r="B119">
            <v>1</v>
          </cell>
          <cell r="C119">
            <v>5</v>
          </cell>
          <cell r="D119">
            <v>22</v>
          </cell>
          <cell r="E119">
            <v>11479.001175</v>
          </cell>
          <cell r="F119">
            <v>48.8964</v>
          </cell>
          <cell r="G119">
            <v>9890.98165000001</v>
          </cell>
        </row>
        <row r="121">
          <cell r="A121">
            <v>2006</v>
          </cell>
          <cell r="B121">
            <v>1</v>
          </cell>
          <cell r="C121">
            <v>5</v>
          </cell>
          <cell r="D121">
            <v>24</v>
          </cell>
          <cell r="E121">
            <v>10060.54255</v>
          </cell>
          <cell r="F121">
            <v>47.421725</v>
          </cell>
          <cell r="G121">
            <v>8561.01507500002</v>
          </cell>
        </row>
        <row r="122">
          <cell r="A122">
            <v>2006</v>
          </cell>
          <cell r="B122">
            <v>1</v>
          </cell>
          <cell r="C122">
            <v>6</v>
          </cell>
          <cell r="D122">
            <v>1</v>
          </cell>
          <cell r="E122">
            <v>9502.28380000003</v>
          </cell>
          <cell r="F122">
            <v>42.814475</v>
          </cell>
          <cell r="G122">
            <v>8060.80540000004</v>
          </cell>
        </row>
        <row r="123">
          <cell r="A123">
            <v>2006</v>
          </cell>
          <cell r="B123">
            <v>1</v>
          </cell>
          <cell r="C123">
            <v>6</v>
          </cell>
          <cell r="D123">
            <v>2</v>
          </cell>
          <cell r="E123">
            <v>9268.269475</v>
          </cell>
          <cell r="F123">
            <v>42.130775</v>
          </cell>
          <cell r="G123">
            <v>7827.49515000002</v>
          </cell>
        </row>
        <row r="124">
          <cell r="A124">
            <v>2006</v>
          </cell>
          <cell r="B124">
            <v>1</v>
          </cell>
          <cell r="C124">
            <v>6</v>
          </cell>
          <cell r="D124">
            <v>3</v>
          </cell>
          <cell r="E124">
            <v>9300.05772500001</v>
          </cell>
          <cell r="F124">
            <v>44.09975</v>
          </cell>
          <cell r="G124">
            <v>7792.10195</v>
          </cell>
        </row>
        <row r="125">
          <cell r="A125">
            <v>2006</v>
          </cell>
          <cell r="B125">
            <v>1</v>
          </cell>
          <cell r="C125">
            <v>6</v>
          </cell>
          <cell r="D125">
            <v>4</v>
          </cell>
          <cell r="E125">
            <v>9466.43182499998</v>
          </cell>
          <cell r="F125">
            <v>45.72285</v>
          </cell>
          <cell r="G125">
            <v>7875.02160000002</v>
          </cell>
        </row>
        <row r="126">
          <cell r="A126">
            <v>2006</v>
          </cell>
          <cell r="B126">
            <v>1</v>
          </cell>
          <cell r="C126">
            <v>6</v>
          </cell>
          <cell r="D126">
            <v>5</v>
          </cell>
          <cell r="E126">
            <v>9750.719125</v>
          </cell>
          <cell r="F126">
            <v>46.55335</v>
          </cell>
          <cell r="G126">
            <v>8158.33115000004</v>
          </cell>
        </row>
        <row r="127">
          <cell r="A127">
            <v>2006</v>
          </cell>
          <cell r="B127">
            <v>1</v>
          </cell>
          <cell r="C127">
            <v>6</v>
          </cell>
          <cell r="D127">
            <v>6</v>
          </cell>
          <cell r="E127">
            <v>10599.035175</v>
          </cell>
          <cell r="F127">
            <v>50.200625</v>
          </cell>
          <cell r="G127">
            <v>8922.86687500005</v>
          </cell>
        </row>
        <row r="128">
          <cell r="A128">
            <v>2006</v>
          </cell>
          <cell r="B128">
            <v>1</v>
          </cell>
          <cell r="C128">
            <v>6</v>
          </cell>
          <cell r="D128">
            <v>7</v>
          </cell>
          <cell r="E128">
            <v>12067.67695</v>
          </cell>
          <cell r="F128">
            <v>56.277975</v>
          </cell>
          <cell r="G128">
            <v>10282.5135500001</v>
          </cell>
        </row>
        <row r="129">
          <cell r="A129">
            <v>2006</v>
          </cell>
          <cell r="B129">
            <v>1</v>
          </cell>
          <cell r="C129">
            <v>6</v>
          </cell>
          <cell r="D129">
            <v>8</v>
          </cell>
          <cell r="E129">
            <v>13200.797175</v>
          </cell>
          <cell r="F129">
            <v>63.604125</v>
          </cell>
          <cell r="G129">
            <v>11362.74635</v>
          </cell>
        </row>
        <row r="130">
          <cell r="A130">
            <v>2006</v>
          </cell>
          <cell r="B130">
            <v>1</v>
          </cell>
          <cell r="C130">
            <v>6</v>
          </cell>
          <cell r="D130">
            <v>9</v>
          </cell>
          <cell r="E130">
            <v>12856.518975</v>
          </cell>
          <cell r="F130">
            <v>63.533275</v>
          </cell>
          <cell r="G130">
            <v>11045.3510500001</v>
          </cell>
        </row>
        <row r="131">
          <cell r="A131">
            <v>2006</v>
          </cell>
          <cell r="B131">
            <v>1</v>
          </cell>
          <cell r="C131">
            <v>6</v>
          </cell>
          <cell r="D131">
            <v>10</v>
          </cell>
          <cell r="E131">
            <v>12465.600475</v>
          </cell>
          <cell r="F131">
            <v>57.645425</v>
          </cell>
          <cell r="G131">
            <v>10646.529925</v>
          </cell>
        </row>
        <row r="132">
          <cell r="A132">
            <v>2006</v>
          </cell>
          <cell r="B132">
            <v>1</v>
          </cell>
          <cell r="C132">
            <v>6</v>
          </cell>
          <cell r="D132">
            <v>11</v>
          </cell>
          <cell r="E132">
            <v>12148.740575</v>
          </cell>
          <cell r="F132">
            <v>57.19465</v>
          </cell>
          <cell r="G132">
            <v>10345.571225</v>
          </cell>
        </row>
        <row r="133">
          <cell r="A133">
            <v>2006</v>
          </cell>
          <cell r="B133">
            <v>1</v>
          </cell>
          <cell r="C133">
            <v>6</v>
          </cell>
          <cell r="D133">
            <v>12</v>
          </cell>
          <cell r="E133">
            <v>11726.3392</v>
          </cell>
          <cell r="F133">
            <v>53.30995</v>
          </cell>
          <cell r="G133">
            <v>9988.47322499996</v>
          </cell>
        </row>
        <row r="134">
          <cell r="A134">
            <v>2006</v>
          </cell>
          <cell r="B134">
            <v>1</v>
          </cell>
          <cell r="C134">
            <v>6</v>
          </cell>
          <cell r="D134">
            <v>13</v>
          </cell>
          <cell r="E134">
            <v>11314.63735</v>
          </cell>
          <cell r="F134">
            <v>49.02385</v>
          </cell>
          <cell r="G134">
            <v>9612.18817499998</v>
          </cell>
        </row>
        <row r="135">
          <cell r="A135">
            <v>2006</v>
          </cell>
          <cell r="B135">
            <v>1</v>
          </cell>
          <cell r="C135">
            <v>6</v>
          </cell>
          <cell r="D135">
            <v>14</v>
          </cell>
          <cell r="E135">
            <v>11072.5624</v>
          </cell>
          <cell r="F135">
            <v>44.55435</v>
          </cell>
          <cell r="G135">
            <v>9379.2364</v>
          </cell>
        </row>
        <row r="136">
          <cell r="A136">
            <v>2006</v>
          </cell>
          <cell r="B136">
            <v>1</v>
          </cell>
          <cell r="C136">
            <v>6</v>
          </cell>
          <cell r="D136">
            <v>15</v>
          </cell>
          <cell r="E136">
            <v>10813.1405</v>
          </cell>
          <cell r="F136">
            <v>41.999425</v>
          </cell>
          <cell r="G136">
            <v>9135.05497500004</v>
          </cell>
        </row>
        <row r="137">
          <cell r="A137">
            <v>2006</v>
          </cell>
          <cell r="B137">
            <v>1</v>
          </cell>
          <cell r="C137">
            <v>6</v>
          </cell>
          <cell r="D137">
            <v>16</v>
          </cell>
          <cell r="E137">
            <v>10570.248825</v>
          </cell>
          <cell r="F137">
            <v>39.97815</v>
          </cell>
          <cell r="G137">
            <v>8930.59954999999</v>
          </cell>
        </row>
        <row r="138">
          <cell r="A138">
            <v>2006</v>
          </cell>
          <cell r="B138">
            <v>1</v>
          </cell>
          <cell r="C138">
            <v>6</v>
          </cell>
          <cell r="D138">
            <v>17</v>
          </cell>
          <cell r="E138">
            <v>10464.60095</v>
          </cell>
          <cell r="F138">
            <v>38.596575</v>
          </cell>
          <cell r="G138">
            <v>8843.876775</v>
          </cell>
        </row>
        <row r="139">
          <cell r="A139">
            <v>2006</v>
          </cell>
          <cell r="B139">
            <v>1</v>
          </cell>
          <cell r="C139">
            <v>6</v>
          </cell>
          <cell r="D139">
            <v>18</v>
          </cell>
          <cell r="E139">
            <v>10660.827125</v>
          </cell>
          <cell r="F139">
            <v>40.078025</v>
          </cell>
          <cell r="G139">
            <v>9038.19722499996</v>
          </cell>
        </row>
        <row r="140">
          <cell r="A140">
            <v>2006</v>
          </cell>
          <cell r="B140">
            <v>1</v>
          </cell>
          <cell r="C140">
            <v>6</v>
          </cell>
          <cell r="D140">
            <v>19</v>
          </cell>
          <cell r="E140">
            <v>11507.322425</v>
          </cell>
          <cell r="F140">
            <v>41.6046</v>
          </cell>
          <cell r="G140">
            <v>9870.94742500004</v>
          </cell>
        </row>
        <row r="141">
          <cell r="A141">
            <v>2006</v>
          </cell>
          <cell r="B141">
            <v>1</v>
          </cell>
          <cell r="C141">
            <v>6</v>
          </cell>
          <cell r="D141">
            <v>20</v>
          </cell>
          <cell r="E141">
            <v>11529.843675</v>
          </cell>
          <cell r="F141">
            <v>40.40485</v>
          </cell>
          <cell r="G141">
            <v>9989.16122500003</v>
          </cell>
        </row>
        <row r="142">
          <cell r="A142">
            <v>2006</v>
          </cell>
          <cell r="B142">
            <v>1</v>
          </cell>
          <cell r="C142">
            <v>6</v>
          </cell>
          <cell r="D142">
            <v>21</v>
          </cell>
          <cell r="E142">
            <v>11469.42725</v>
          </cell>
          <cell r="F142">
            <v>39.0153</v>
          </cell>
          <cell r="G142">
            <v>9933.86780000005</v>
          </cell>
        </row>
        <row r="143">
          <cell r="A143">
            <v>2006</v>
          </cell>
          <cell r="B143">
            <v>1</v>
          </cell>
          <cell r="C143">
            <v>6</v>
          </cell>
          <cell r="D143">
            <v>22</v>
          </cell>
          <cell r="E143">
            <v>11304.154625</v>
          </cell>
          <cell r="F143">
            <v>38.3597</v>
          </cell>
          <cell r="G143">
            <v>9773.92764999999</v>
          </cell>
        </row>
        <row r="145">
          <cell r="A145">
            <v>2006</v>
          </cell>
          <cell r="B145">
            <v>1</v>
          </cell>
          <cell r="C145">
            <v>6</v>
          </cell>
          <cell r="D145">
            <v>24</v>
          </cell>
          <cell r="E145">
            <v>10475.23375</v>
          </cell>
          <cell r="F145">
            <v>37.860525</v>
          </cell>
          <cell r="G145">
            <v>8933.90110000001</v>
          </cell>
        </row>
        <row r="146">
          <cell r="A146">
            <v>2006</v>
          </cell>
          <cell r="B146">
            <v>1</v>
          </cell>
          <cell r="C146">
            <v>7</v>
          </cell>
          <cell r="D146">
            <v>1</v>
          </cell>
          <cell r="E146">
            <v>9929.20349999998</v>
          </cell>
          <cell r="F146">
            <v>37.116325</v>
          </cell>
          <cell r="G146">
            <v>8479.07320000001</v>
          </cell>
        </row>
        <row r="147">
          <cell r="A147">
            <v>2006</v>
          </cell>
          <cell r="B147">
            <v>1</v>
          </cell>
          <cell r="C147">
            <v>7</v>
          </cell>
          <cell r="D147">
            <v>2</v>
          </cell>
          <cell r="E147">
            <v>9726.98535000002</v>
          </cell>
          <cell r="F147">
            <v>37.645975</v>
          </cell>
          <cell r="G147">
            <v>8230.72802500002</v>
          </cell>
        </row>
        <row r="148">
          <cell r="A148">
            <v>2006</v>
          </cell>
          <cell r="B148">
            <v>1</v>
          </cell>
          <cell r="C148">
            <v>7</v>
          </cell>
          <cell r="D148">
            <v>3</v>
          </cell>
          <cell r="E148">
            <v>2974.428725</v>
          </cell>
          <cell r="F148">
            <v>4.32655</v>
          </cell>
          <cell r="G148">
            <v>3642.55442499999</v>
          </cell>
        </row>
        <row r="149">
          <cell r="A149">
            <v>2006</v>
          </cell>
          <cell r="B149">
            <v>1</v>
          </cell>
          <cell r="C149">
            <v>7</v>
          </cell>
          <cell r="D149">
            <v>4</v>
          </cell>
          <cell r="E149">
            <v>9686.4324</v>
          </cell>
          <cell r="F149">
            <v>38.516525</v>
          </cell>
          <cell r="G149">
            <v>8097.19065000002</v>
          </cell>
        </row>
        <row r="150">
          <cell r="A150">
            <v>2006</v>
          </cell>
          <cell r="B150">
            <v>1</v>
          </cell>
          <cell r="C150">
            <v>7</v>
          </cell>
          <cell r="D150">
            <v>5</v>
          </cell>
          <cell r="E150">
            <v>9765.54744999997</v>
          </cell>
          <cell r="F150">
            <v>38.659275</v>
          </cell>
          <cell r="G150">
            <v>8218.65672500003</v>
          </cell>
        </row>
        <row r="151">
          <cell r="A151">
            <v>2006</v>
          </cell>
          <cell r="B151">
            <v>1</v>
          </cell>
          <cell r="C151">
            <v>7</v>
          </cell>
          <cell r="D151">
            <v>6</v>
          </cell>
          <cell r="E151">
            <v>10054.1066</v>
          </cell>
          <cell r="F151">
            <v>39.8122</v>
          </cell>
          <cell r="G151">
            <v>8498.30067500004</v>
          </cell>
        </row>
        <row r="152">
          <cell r="A152">
            <v>2006</v>
          </cell>
          <cell r="B152">
            <v>1</v>
          </cell>
          <cell r="C152">
            <v>7</v>
          </cell>
          <cell r="D152">
            <v>7</v>
          </cell>
          <cell r="E152">
            <v>10613.408475</v>
          </cell>
          <cell r="F152">
            <v>40.72015</v>
          </cell>
          <cell r="G152">
            <v>9027.46837500005</v>
          </cell>
        </row>
        <row r="153">
          <cell r="A153">
            <v>2006</v>
          </cell>
          <cell r="B153">
            <v>1</v>
          </cell>
          <cell r="C153">
            <v>7</v>
          </cell>
          <cell r="D153">
            <v>8</v>
          </cell>
          <cell r="E153">
            <v>11250.9624</v>
          </cell>
          <cell r="F153">
            <v>42.8314</v>
          </cell>
          <cell r="G153">
            <v>9603.34617500003</v>
          </cell>
        </row>
        <row r="154">
          <cell r="A154">
            <v>2006</v>
          </cell>
          <cell r="B154">
            <v>1</v>
          </cell>
          <cell r="C154">
            <v>7</v>
          </cell>
          <cell r="D154">
            <v>9</v>
          </cell>
          <cell r="E154">
            <v>11507.042775</v>
          </cell>
          <cell r="F154">
            <v>44.37305</v>
          </cell>
          <cell r="G154">
            <v>9855.8896</v>
          </cell>
        </row>
        <row r="155">
          <cell r="A155">
            <v>2006</v>
          </cell>
          <cell r="B155">
            <v>1</v>
          </cell>
          <cell r="C155">
            <v>7</v>
          </cell>
          <cell r="D155">
            <v>10</v>
          </cell>
          <cell r="E155">
            <v>11480.550125</v>
          </cell>
          <cell r="F155">
            <v>43.5881</v>
          </cell>
          <cell r="G155">
            <v>9776.92587500004</v>
          </cell>
        </row>
        <row r="156">
          <cell r="A156">
            <v>2006</v>
          </cell>
          <cell r="B156">
            <v>1</v>
          </cell>
          <cell r="C156">
            <v>7</v>
          </cell>
          <cell r="D156">
            <v>11</v>
          </cell>
          <cell r="E156">
            <v>11187.741625</v>
          </cell>
          <cell r="F156">
            <v>41.8943</v>
          </cell>
          <cell r="G156">
            <v>9533.27842499995</v>
          </cell>
        </row>
        <row r="157">
          <cell r="A157">
            <v>2006</v>
          </cell>
          <cell r="B157">
            <v>1</v>
          </cell>
          <cell r="C157">
            <v>7</v>
          </cell>
          <cell r="D157">
            <v>12</v>
          </cell>
          <cell r="E157">
            <v>10808.768925</v>
          </cell>
          <cell r="F157">
            <v>39.502325</v>
          </cell>
          <cell r="G157">
            <v>9162.10622500002</v>
          </cell>
        </row>
        <row r="158">
          <cell r="A158">
            <v>2006</v>
          </cell>
          <cell r="B158">
            <v>1</v>
          </cell>
          <cell r="C158">
            <v>7</v>
          </cell>
          <cell r="D158">
            <v>13</v>
          </cell>
          <cell r="E158">
            <v>10375.608025</v>
          </cell>
          <cell r="F158">
            <v>36.469675</v>
          </cell>
          <cell r="G158">
            <v>8798.56195</v>
          </cell>
        </row>
        <row r="159">
          <cell r="A159">
            <v>2006</v>
          </cell>
          <cell r="B159">
            <v>1</v>
          </cell>
          <cell r="C159">
            <v>7</v>
          </cell>
          <cell r="D159">
            <v>14</v>
          </cell>
          <cell r="E159">
            <v>10051.74105</v>
          </cell>
          <cell r="F159">
            <v>34.117975</v>
          </cell>
          <cell r="G159">
            <v>8498.2648</v>
          </cell>
        </row>
        <row r="160">
          <cell r="A160">
            <v>2006</v>
          </cell>
          <cell r="B160">
            <v>1</v>
          </cell>
          <cell r="C160">
            <v>7</v>
          </cell>
          <cell r="D160">
            <v>15</v>
          </cell>
          <cell r="E160">
            <v>9805.88475000004</v>
          </cell>
          <cell r="F160">
            <v>32.578775</v>
          </cell>
          <cell r="G160">
            <v>8276.89477500001</v>
          </cell>
        </row>
        <row r="161">
          <cell r="A161">
            <v>2006</v>
          </cell>
          <cell r="B161">
            <v>1</v>
          </cell>
          <cell r="C161">
            <v>7</v>
          </cell>
          <cell r="D161">
            <v>16</v>
          </cell>
          <cell r="E161">
            <v>9673.78952500003</v>
          </cell>
          <cell r="F161">
            <v>32.18875</v>
          </cell>
          <cell r="G161">
            <v>8157.2657</v>
          </cell>
        </row>
        <row r="162">
          <cell r="A162">
            <v>2006</v>
          </cell>
          <cell r="B162">
            <v>1</v>
          </cell>
          <cell r="C162">
            <v>7</v>
          </cell>
          <cell r="D162">
            <v>17</v>
          </cell>
          <cell r="E162">
            <v>9627.29049999999</v>
          </cell>
          <cell r="F162">
            <v>31.477525</v>
          </cell>
          <cell r="G162">
            <v>8114.67305</v>
          </cell>
        </row>
        <row r="163">
          <cell r="A163">
            <v>2006</v>
          </cell>
          <cell r="B163">
            <v>1</v>
          </cell>
          <cell r="C163">
            <v>7</v>
          </cell>
          <cell r="D163">
            <v>18</v>
          </cell>
          <cell r="E163">
            <v>9710.56944999998</v>
          </cell>
          <cell r="F163">
            <v>31.754325</v>
          </cell>
          <cell r="G163">
            <v>8249.46060000001</v>
          </cell>
        </row>
        <row r="164">
          <cell r="A164">
            <v>2006</v>
          </cell>
          <cell r="B164">
            <v>1</v>
          </cell>
          <cell r="C164">
            <v>7</v>
          </cell>
          <cell r="D164">
            <v>19</v>
          </cell>
          <cell r="E164">
            <v>10495.75165</v>
          </cell>
          <cell r="F164">
            <v>32.9652</v>
          </cell>
          <cell r="G164">
            <v>8914.246575</v>
          </cell>
        </row>
        <row r="165">
          <cell r="A165">
            <v>2006</v>
          </cell>
          <cell r="B165">
            <v>1</v>
          </cell>
          <cell r="C165">
            <v>7</v>
          </cell>
          <cell r="D165">
            <v>20</v>
          </cell>
          <cell r="E165">
            <v>10514.37565</v>
          </cell>
          <cell r="F165">
            <v>33.85915</v>
          </cell>
          <cell r="G165">
            <v>8988.28890000002</v>
          </cell>
        </row>
        <row r="166">
          <cell r="A166">
            <v>2006</v>
          </cell>
          <cell r="B166">
            <v>1</v>
          </cell>
          <cell r="C166">
            <v>7</v>
          </cell>
          <cell r="D166">
            <v>21</v>
          </cell>
          <cell r="E166">
            <v>10240.865875</v>
          </cell>
          <cell r="F166">
            <v>31.78</v>
          </cell>
          <cell r="G166">
            <v>8726.04125</v>
          </cell>
        </row>
        <row r="167">
          <cell r="A167">
            <v>2006</v>
          </cell>
          <cell r="B167">
            <v>1</v>
          </cell>
          <cell r="C167">
            <v>7</v>
          </cell>
          <cell r="D167">
            <v>22</v>
          </cell>
          <cell r="E167">
            <v>9905.13227500001</v>
          </cell>
          <cell r="F167">
            <v>30.606975</v>
          </cell>
          <cell r="G167">
            <v>8387.31537500007</v>
          </cell>
        </row>
        <row r="169">
          <cell r="A169">
            <v>2006</v>
          </cell>
          <cell r="B169">
            <v>1</v>
          </cell>
          <cell r="C169">
            <v>7</v>
          </cell>
          <cell r="D169">
            <v>24</v>
          </cell>
          <cell r="E169">
            <v>8941.29740000001</v>
          </cell>
          <cell r="F169">
            <v>29.885925</v>
          </cell>
          <cell r="G169">
            <v>7464.14920000004</v>
          </cell>
        </row>
        <row r="170">
          <cell r="A170">
            <v>2006</v>
          </cell>
          <cell r="B170">
            <v>1</v>
          </cell>
          <cell r="C170">
            <v>8</v>
          </cell>
          <cell r="D170">
            <v>1</v>
          </cell>
          <cell r="E170">
            <v>6201.60079999999</v>
          </cell>
          <cell r="F170">
            <v>21.42105</v>
          </cell>
          <cell r="G170">
            <v>5160.76242500003</v>
          </cell>
        </row>
        <row r="171">
          <cell r="A171">
            <v>2006</v>
          </cell>
          <cell r="B171">
            <v>1</v>
          </cell>
          <cell r="C171">
            <v>8</v>
          </cell>
          <cell r="D171">
            <v>2</v>
          </cell>
          <cell r="E171">
            <v>7943.46867499999</v>
          </cell>
          <cell r="F171">
            <v>27.79785</v>
          </cell>
          <cell r="G171">
            <v>6585.34767500002</v>
          </cell>
        </row>
        <row r="172">
          <cell r="A172">
            <v>2006</v>
          </cell>
          <cell r="B172">
            <v>1</v>
          </cell>
          <cell r="C172">
            <v>8</v>
          </cell>
          <cell r="D172">
            <v>3</v>
          </cell>
          <cell r="E172">
            <v>7712.68817499998</v>
          </cell>
          <cell r="F172">
            <v>27.907</v>
          </cell>
          <cell r="G172">
            <v>6427.594725</v>
          </cell>
        </row>
        <row r="173">
          <cell r="A173">
            <v>2006</v>
          </cell>
          <cell r="B173">
            <v>1</v>
          </cell>
          <cell r="C173">
            <v>8</v>
          </cell>
          <cell r="D173">
            <v>4</v>
          </cell>
          <cell r="E173">
            <v>7612.50747499999</v>
          </cell>
          <cell r="F173">
            <v>28.702025</v>
          </cell>
          <cell r="G173">
            <v>6342.35162500001</v>
          </cell>
        </row>
        <row r="174">
          <cell r="A174">
            <v>2006</v>
          </cell>
          <cell r="B174">
            <v>1</v>
          </cell>
          <cell r="C174">
            <v>8</v>
          </cell>
          <cell r="D174">
            <v>5</v>
          </cell>
          <cell r="E174">
            <v>7634.968075</v>
          </cell>
          <cell r="F174">
            <v>28.6913</v>
          </cell>
          <cell r="G174">
            <v>6381.39655000001</v>
          </cell>
        </row>
        <row r="175">
          <cell r="A175">
            <v>2006</v>
          </cell>
          <cell r="B175">
            <v>1</v>
          </cell>
          <cell r="C175">
            <v>8</v>
          </cell>
          <cell r="D175">
            <v>6</v>
          </cell>
          <cell r="E175">
            <v>7806.41657499999</v>
          </cell>
          <cell r="F175">
            <v>18.499025</v>
          </cell>
          <cell r="G175">
            <v>6529.713275</v>
          </cell>
        </row>
        <row r="176">
          <cell r="A176">
            <v>2006</v>
          </cell>
          <cell r="B176">
            <v>1</v>
          </cell>
          <cell r="C176">
            <v>8</v>
          </cell>
          <cell r="D176">
            <v>7</v>
          </cell>
          <cell r="E176">
            <v>8120.73342499999</v>
          </cell>
          <cell r="F176">
            <v>31.538575</v>
          </cell>
          <cell r="G176">
            <v>6829.80075000002</v>
          </cell>
        </row>
        <row r="177">
          <cell r="A177">
            <v>2006</v>
          </cell>
          <cell r="B177">
            <v>1</v>
          </cell>
          <cell r="C177">
            <v>8</v>
          </cell>
          <cell r="D177">
            <v>8</v>
          </cell>
          <cell r="E177">
            <v>8531.81337500002</v>
          </cell>
          <cell r="F177">
            <v>34.17915</v>
          </cell>
          <cell r="G177">
            <v>7230.45025</v>
          </cell>
        </row>
        <row r="178">
          <cell r="A178">
            <v>2006</v>
          </cell>
          <cell r="B178">
            <v>1</v>
          </cell>
          <cell r="C178">
            <v>8</v>
          </cell>
          <cell r="D178">
            <v>9</v>
          </cell>
          <cell r="E178">
            <v>8912.72495000003</v>
          </cell>
          <cell r="F178">
            <v>36.495675</v>
          </cell>
          <cell r="G178">
            <v>7544.44947499999</v>
          </cell>
        </row>
        <row r="179">
          <cell r="A179">
            <v>2006</v>
          </cell>
          <cell r="B179">
            <v>1</v>
          </cell>
          <cell r="C179">
            <v>8</v>
          </cell>
          <cell r="D179">
            <v>10</v>
          </cell>
          <cell r="E179">
            <v>9354.55974999998</v>
          </cell>
          <cell r="F179">
            <v>38.1332</v>
          </cell>
          <cell r="G179">
            <v>7831.67190000001</v>
          </cell>
        </row>
        <row r="180">
          <cell r="A180">
            <v>2006</v>
          </cell>
          <cell r="B180">
            <v>1</v>
          </cell>
          <cell r="C180">
            <v>8</v>
          </cell>
          <cell r="D180">
            <v>11</v>
          </cell>
          <cell r="E180">
            <v>9473.80339999998</v>
          </cell>
          <cell r="F180">
            <v>38.0033</v>
          </cell>
          <cell r="G180">
            <v>7911.04102500003</v>
          </cell>
        </row>
        <row r="181">
          <cell r="A181">
            <v>2006</v>
          </cell>
          <cell r="B181">
            <v>1</v>
          </cell>
          <cell r="C181">
            <v>8</v>
          </cell>
          <cell r="D181">
            <v>12</v>
          </cell>
          <cell r="E181">
            <v>9475.95545000003</v>
          </cell>
          <cell r="F181">
            <v>38.44435</v>
          </cell>
          <cell r="G181">
            <v>7880.81290000005</v>
          </cell>
        </row>
        <row r="182">
          <cell r="A182">
            <v>2006</v>
          </cell>
          <cell r="B182">
            <v>1</v>
          </cell>
          <cell r="C182">
            <v>8</v>
          </cell>
          <cell r="D182">
            <v>13</v>
          </cell>
          <cell r="E182">
            <v>9479.50734999998</v>
          </cell>
          <cell r="F182">
            <v>38.183825</v>
          </cell>
          <cell r="G182">
            <v>7936.19987500005</v>
          </cell>
        </row>
        <row r="183">
          <cell r="A183">
            <v>2006</v>
          </cell>
          <cell r="B183">
            <v>1</v>
          </cell>
          <cell r="C183">
            <v>8</v>
          </cell>
          <cell r="D183">
            <v>14</v>
          </cell>
          <cell r="E183">
            <v>9509.60382499998</v>
          </cell>
          <cell r="F183">
            <v>36.831</v>
          </cell>
          <cell r="G183">
            <v>8001.18955000004</v>
          </cell>
        </row>
        <row r="184">
          <cell r="A184">
            <v>2006</v>
          </cell>
          <cell r="B184">
            <v>1</v>
          </cell>
          <cell r="C184">
            <v>8</v>
          </cell>
          <cell r="D184">
            <v>15</v>
          </cell>
          <cell r="E184">
            <v>9453.869325</v>
          </cell>
          <cell r="F184">
            <v>36.4683</v>
          </cell>
          <cell r="G184">
            <v>7980.01032500002</v>
          </cell>
        </row>
        <row r="185">
          <cell r="A185">
            <v>2006</v>
          </cell>
          <cell r="B185">
            <v>1</v>
          </cell>
          <cell r="C185">
            <v>8</v>
          </cell>
          <cell r="D185">
            <v>16</v>
          </cell>
          <cell r="E185">
            <v>9443.26017500002</v>
          </cell>
          <cell r="F185">
            <v>36.27185</v>
          </cell>
          <cell r="G185">
            <v>7945.88025000001</v>
          </cell>
        </row>
        <row r="186">
          <cell r="A186">
            <v>2006</v>
          </cell>
          <cell r="B186">
            <v>1</v>
          </cell>
          <cell r="C186">
            <v>8</v>
          </cell>
          <cell r="D186">
            <v>17</v>
          </cell>
          <cell r="E186">
            <v>9486.64742499999</v>
          </cell>
          <cell r="F186">
            <v>37.0235</v>
          </cell>
          <cell r="G186">
            <v>7978.01455000003</v>
          </cell>
        </row>
        <row r="187">
          <cell r="A187">
            <v>2006</v>
          </cell>
          <cell r="B187">
            <v>1</v>
          </cell>
          <cell r="C187">
            <v>8</v>
          </cell>
          <cell r="D187">
            <v>18</v>
          </cell>
          <cell r="E187">
            <v>9780.84717499998</v>
          </cell>
          <cell r="F187">
            <v>38.5577</v>
          </cell>
          <cell r="G187">
            <v>8267.27347500003</v>
          </cell>
        </row>
        <row r="188">
          <cell r="A188">
            <v>2006</v>
          </cell>
          <cell r="B188">
            <v>1</v>
          </cell>
          <cell r="C188">
            <v>8</v>
          </cell>
          <cell r="D188">
            <v>19</v>
          </cell>
          <cell r="E188">
            <v>10567.3534</v>
          </cell>
          <cell r="F188">
            <v>40.866375</v>
          </cell>
          <cell r="G188">
            <v>8985.32375000003</v>
          </cell>
        </row>
        <row r="189">
          <cell r="A189">
            <v>2006</v>
          </cell>
          <cell r="B189">
            <v>1</v>
          </cell>
          <cell r="C189">
            <v>8</v>
          </cell>
          <cell r="D189">
            <v>20</v>
          </cell>
          <cell r="E189">
            <v>10615.56585</v>
          </cell>
          <cell r="F189">
            <v>42.311475</v>
          </cell>
          <cell r="G189">
            <v>9062.49787500003</v>
          </cell>
        </row>
        <row r="190">
          <cell r="A190">
            <v>2006</v>
          </cell>
          <cell r="B190">
            <v>1</v>
          </cell>
          <cell r="C190">
            <v>8</v>
          </cell>
          <cell r="D190">
            <v>21</v>
          </cell>
          <cell r="E190">
            <v>10366.83015</v>
          </cell>
          <cell r="F190">
            <v>41.978925</v>
          </cell>
          <cell r="G190">
            <v>8866.73457500002</v>
          </cell>
        </row>
        <row r="191">
          <cell r="A191">
            <v>2006</v>
          </cell>
          <cell r="B191">
            <v>1</v>
          </cell>
          <cell r="C191">
            <v>8</v>
          </cell>
          <cell r="D191">
            <v>22</v>
          </cell>
          <cell r="E191">
            <v>9988.73385000001</v>
          </cell>
          <cell r="F191">
            <v>40.79555</v>
          </cell>
          <cell r="G191">
            <v>8538.32940000001</v>
          </cell>
        </row>
        <row r="193">
          <cell r="A193">
            <v>2006</v>
          </cell>
          <cell r="B193">
            <v>1</v>
          </cell>
          <cell r="C193">
            <v>8</v>
          </cell>
          <cell r="D193">
            <v>24</v>
          </cell>
          <cell r="E193">
            <v>8722.047525</v>
          </cell>
          <cell r="F193">
            <v>35.7267</v>
          </cell>
          <cell r="G193">
            <v>7300.79435000003</v>
          </cell>
        </row>
        <row r="194">
          <cell r="A194">
            <v>2006</v>
          </cell>
          <cell r="B194">
            <v>1</v>
          </cell>
          <cell r="C194">
            <v>9</v>
          </cell>
          <cell r="D194">
            <v>1</v>
          </cell>
          <cell r="E194">
            <v>8080.02122500002</v>
          </cell>
          <cell r="F194">
            <v>32.610575</v>
          </cell>
          <cell r="G194">
            <v>6782.6361</v>
          </cell>
        </row>
        <row r="195">
          <cell r="A195">
            <v>2006</v>
          </cell>
          <cell r="B195">
            <v>1</v>
          </cell>
          <cell r="C195">
            <v>9</v>
          </cell>
          <cell r="D195">
            <v>2</v>
          </cell>
          <cell r="E195">
            <v>7856.65617500001</v>
          </cell>
          <cell r="F195">
            <v>30.629325</v>
          </cell>
          <cell r="G195">
            <v>6527.03515000002</v>
          </cell>
        </row>
        <row r="196">
          <cell r="A196">
            <v>2006</v>
          </cell>
          <cell r="B196">
            <v>1</v>
          </cell>
          <cell r="C196">
            <v>9</v>
          </cell>
          <cell r="D196">
            <v>3</v>
          </cell>
          <cell r="E196">
            <v>7813.37112500002</v>
          </cell>
          <cell r="F196">
            <v>29.2936</v>
          </cell>
          <cell r="G196">
            <v>6448.49615000001</v>
          </cell>
        </row>
        <row r="197">
          <cell r="A197">
            <v>2006</v>
          </cell>
          <cell r="B197">
            <v>1</v>
          </cell>
          <cell r="C197">
            <v>9</v>
          </cell>
          <cell r="D197">
            <v>4</v>
          </cell>
          <cell r="E197">
            <v>7884.39197500001</v>
          </cell>
          <cell r="F197">
            <v>30.891875</v>
          </cell>
          <cell r="G197">
            <v>6508.34797500001</v>
          </cell>
        </row>
        <row r="198">
          <cell r="A198">
            <v>2006</v>
          </cell>
          <cell r="B198">
            <v>1</v>
          </cell>
          <cell r="C198">
            <v>9</v>
          </cell>
          <cell r="D198">
            <v>5</v>
          </cell>
          <cell r="E198">
            <v>8202.13525</v>
          </cell>
          <cell r="F198">
            <v>34.793075</v>
          </cell>
          <cell r="G198">
            <v>6770.83230000001</v>
          </cell>
        </row>
        <row r="199">
          <cell r="A199">
            <v>2006</v>
          </cell>
          <cell r="B199">
            <v>1</v>
          </cell>
          <cell r="C199">
            <v>9</v>
          </cell>
          <cell r="D199">
            <v>6</v>
          </cell>
          <cell r="E199">
            <v>8971.59295</v>
          </cell>
          <cell r="F199">
            <v>36.8737</v>
          </cell>
          <cell r="G199">
            <v>7496.29207500005</v>
          </cell>
        </row>
        <row r="200">
          <cell r="A200">
            <v>2006</v>
          </cell>
          <cell r="B200">
            <v>1</v>
          </cell>
          <cell r="C200">
            <v>9</v>
          </cell>
          <cell r="D200">
            <v>7</v>
          </cell>
          <cell r="E200">
            <v>10503.64925</v>
          </cell>
          <cell r="F200">
            <v>43.2778</v>
          </cell>
          <cell r="G200">
            <v>8875.51047499999</v>
          </cell>
        </row>
        <row r="201">
          <cell r="A201">
            <v>2006</v>
          </cell>
          <cell r="B201">
            <v>1</v>
          </cell>
          <cell r="C201">
            <v>9</v>
          </cell>
          <cell r="D201">
            <v>8</v>
          </cell>
          <cell r="E201">
            <v>11691.79145</v>
          </cell>
          <cell r="F201">
            <v>43.5643</v>
          </cell>
          <cell r="G201">
            <v>10001.891675</v>
          </cell>
        </row>
        <row r="202">
          <cell r="A202">
            <v>2006</v>
          </cell>
          <cell r="B202">
            <v>1</v>
          </cell>
          <cell r="C202">
            <v>9</v>
          </cell>
          <cell r="D202">
            <v>9</v>
          </cell>
          <cell r="E202">
            <v>11577.386575</v>
          </cell>
          <cell r="F202">
            <v>46.842525</v>
          </cell>
          <cell r="G202">
            <v>9825.10210000002</v>
          </cell>
        </row>
        <row r="203">
          <cell r="A203">
            <v>2006</v>
          </cell>
          <cell r="B203">
            <v>1</v>
          </cell>
          <cell r="C203">
            <v>9</v>
          </cell>
          <cell r="D203">
            <v>10</v>
          </cell>
          <cell r="E203">
            <v>11426.121175</v>
          </cell>
          <cell r="F203">
            <v>44.535775</v>
          </cell>
          <cell r="G203">
            <v>9718.18335000001</v>
          </cell>
        </row>
        <row r="204">
          <cell r="A204">
            <v>2006</v>
          </cell>
          <cell r="B204">
            <v>1</v>
          </cell>
          <cell r="C204">
            <v>9</v>
          </cell>
          <cell r="D204">
            <v>11</v>
          </cell>
          <cell r="E204">
            <v>6804.24367499999</v>
          </cell>
          <cell r="F204">
            <v>29.357925</v>
          </cell>
          <cell r="G204">
            <v>5779.28555</v>
          </cell>
        </row>
        <row r="205">
          <cell r="A205">
            <v>2006</v>
          </cell>
          <cell r="B205">
            <v>1</v>
          </cell>
          <cell r="C205">
            <v>9</v>
          </cell>
          <cell r="D205">
            <v>12</v>
          </cell>
          <cell r="E205">
            <v>7922.04444999999</v>
          </cell>
          <cell r="F205">
            <v>12.271625</v>
          </cell>
          <cell r="G205">
            <v>6632.025175</v>
          </cell>
        </row>
        <row r="206">
          <cell r="A206">
            <v>2006</v>
          </cell>
          <cell r="B206">
            <v>1</v>
          </cell>
          <cell r="C206">
            <v>9</v>
          </cell>
          <cell r="D206">
            <v>13</v>
          </cell>
          <cell r="E206">
            <v>8288.78802500002</v>
          </cell>
          <cell r="F206">
            <v>34.8143</v>
          </cell>
          <cell r="G206">
            <v>6775.50187500003</v>
          </cell>
        </row>
        <row r="207">
          <cell r="A207">
            <v>2006</v>
          </cell>
          <cell r="B207">
            <v>1</v>
          </cell>
          <cell r="C207">
            <v>9</v>
          </cell>
          <cell r="D207">
            <v>14</v>
          </cell>
          <cell r="E207">
            <v>10015.77165</v>
          </cell>
          <cell r="F207">
            <v>40.1859</v>
          </cell>
          <cell r="G207">
            <v>8454.95415000001</v>
          </cell>
        </row>
        <row r="208">
          <cell r="A208">
            <v>2006</v>
          </cell>
          <cell r="B208">
            <v>1</v>
          </cell>
          <cell r="C208">
            <v>9</v>
          </cell>
          <cell r="D208">
            <v>15</v>
          </cell>
          <cell r="E208">
            <v>8683.971075</v>
          </cell>
          <cell r="F208">
            <v>41.440275</v>
          </cell>
          <cell r="G208">
            <v>7236.60199999999</v>
          </cell>
        </row>
        <row r="209">
          <cell r="A209">
            <v>2006</v>
          </cell>
          <cell r="B209">
            <v>1</v>
          </cell>
          <cell r="C209">
            <v>9</v>
          </cell>
          <cell r="D209">
            <v>16</v>
          </cell>
          <cell r="E209">
            <v>8711.51154999998</v>
          </cell>
          <cell r="F209">
            <v>18.835425</v>
          </cell>
          <cell r="G209">
            <v>7199.60210000002</v>
          </cell>
        </row>
        <row r="210">
          <cell r="A210">
            <v>2006</v>
          </cell>
          <cell r="B210">
            <v>1</v>
          </cell>
          <cell r="C210">
            <v>9</v>
          </cell>
          <cell r="D210">
            <v>17</v>
          </cell>
          <cell r="E210">
            <v>8886.19169999999</v>
          </cell>
          <cell r="F210">
            <v>38.6638</v>
          </cell>
          <cell r="G210">
            <v>7449.32500000009</v>
          </cell>
        </row>
        <row r="211">
          <cell r="A211">
            <v>2006</v>
          </cell>
          <cell r="B211">
            <v>1</v>
          </cell>
          <cell r="C211">
            <v>9</v>
          </cell>
          <cell r="D211">
            <v>18</v>
          </cell>
          <cell r="E211">
            <v>8501.71042499999</v>
          </cell>
          <cell r="F211">
            <v>32.40485</v>
          </cell>
          <cell r="G211">
            <v>7338.97142499998</v>
          </cell>
        </row>
        <row r="212">
          <cell r="A212">
            <v>2006</v>
          </cell>
          <cell r="B212">
            <v>1</v>
          </cell>
          <cell r="C212">
            <v>9</v>
          </cell>
          <cell r="D212">
            <v>19</v>
          </cell>
          <cell r="E212">
            <v>9351.87852499997</v>
          </cell>
          <cell r="F212">
            <v>34.274425</v>
          </cell>
          <cell r="G212">
            <v>8123.021725</v>
          </cell>
        </row>
        <row r="213">
          <cell r="A213">
            <v>2006</v>
          </cell>
          <cell r="B213">
            <v>1</v>
          </cell>
          <cell r="C213">
            <v>9</v>
          </cell>
          <cell r="D213">
            <v>20</v>
          </cell>
          <cell r="E213">
            <v>10615.55285</v>
          </cell>
          <cell r="F213">
            <v>41.134575</v>
          </cell>
          <cell r="G213">
            <v>9105.26227499998</v>
          </cell>
        </row>
        <row r="214">
          <cell r="A214">
            <v>2006</v>
          </cell>
          <cell r="B214">
            <v>1</v>
          </cell>
          <cell r="C214">
            <v>9</v>
          </cell>
          <cell r="D214">
            <v>21</v>
          </cell>
          <cell r="E214">
            <v>7517.821525</v>
          </cell>
          <cell r="F214">
            <v>32.851275</v>
          </cell>
          <cell r="G214">
            <v>6328.94282500002</v>
          </cell>
        </row>
        <row r="215">
          <cell r="A215">
            <v>2006</v>
          </cell>
          <cell r="B215">
            <v>1</v>
          </cell>
          <cell r="C215">
            <v>9</v>
          </cell>
          <cell r="D215">
            <v>22</v>
          </cell>
          <cell r="E215">
            <v>8849.707425</v>
          </cell>
          <cell r="F215">
            <v>35.010325</v>
          </cell>
          <cell r="G215">
            <v>7352.58907500001</v>
          </cell>
        </row>
        <row r="217">
          <cell r="A217">
            <v>2006</v>
          </cell>
          <cell r="B217">
            <v>1</v>
          </cell>
          <cell r="C217">
            <v>9</v>
          </cell>
          <cell r="D217">
            <v>24</v>
          </cell>
          <cell r="E217">
            <v>7633.01140000001</v>
          </cell>
          <cell r="F217">
            <v>37.946625</v>
          </cell>
          <cell r="G217">
            <v>6276.15610000001</v>
          </cell>
        </row>
        <row r="218">
          <cell r="A218">
            <v>2006</v>
          </cell>
          <cell r="B218">
            <v>1</v>
          </cell>
          <cell r="C218">
            <v>10</v>
          </cell>
          <cell r="D218">
            <v>1</v>
          </cell>
          <cell r="E218">
            <v>6514.498325</v>
          </cell>
          <cell r="F218">
            <v>21.20615</v>
          </cell>
          <cell r="G218">
            <v>5348.23952500002</v>
          </cell>
        </row>
        <row r="219">
          <cell r="A219">
            <v>2006</v>
          </cell>
          <cell r="B219">
            <v>1</v>
          </cell>
          <cell r="C219">
            <v>10</v>
          </cell>
          <cell r="D219">
            <v>2</v>
          </cell>
          <cell r="E219">
            <v>8317.27147500002</v>
          </cell>
          <cell r="F219">
            <v>29.347075</v>
          </cell>
          <cell r="G219">
            <v>6872.7063</v>
          </cell>
        </row>
        <row r="220">
          <cell r="A220">
            <v>2006</v>
          </cell>
          <cell r="B220">
            <v>1</v>
          </cell>
          <cell r="C220">
            <v>10</v>
          </cell>
          <cell r="D220">
            <v>3</v>
          </cell>
          <cell r="E220">
            <v>6614.697325</v>
          </cell>
          <cell r="F220">
            <v>27.7335</v>
          </cell>
          <cell r="G220">
            <v>5456.86215000001</v>
          </cell>
        </row>
        <row r="221">
          <cell r="A221">
            <v>2006</v>
          </cell>
          <cell r="B221">
            <v>1</v>
          </cell>
          <cell r="C221">
            <v>10</v>
          </cell>
          <cell r="D221">
            <v>4</v>
          </cell>
          <cell r="E221">
            <v>8652.86587500001</v>
          </cell>
          <cell r="F221">
            <v>37.907975</v>
          </cell>
          <cell r="G221">
            <v>7046.50775000006</v>
          </cell>
        </row>
        <row r="222">
          <cell r="A222">
            <v>2006</v>
          </cell>
          <cell r="B222">
            <v>1</v>
          </cell>
          <cell r="C222">
            <v>10</v>
          </cell>
          <cell r="D222">
            <v>5</v>
          </cell>
          <cell r="E222">
            <v>4264.76864999999</v>
          </cell>
          <cell r="F222">
            <v>19.834875</v>
          </cell>
          <cell r="G222">
            <v>3505.4839</v>
          </cell>
        </row>
        <row r="223">
          <cell r="A223">
            <v>2006</v>
          </cell>
          <cell r="B223">
            <v>1</v>
          </cell>
          <cell r="C223">
            <v>10</v>
          </cell>
          <cell r="D223">
            <v>6</v>
          </cell>
          <cell r="E223">
            <v>8718.36592499999</v>
          </cell>
          <cell r="F223">
            <v>43.051175</v>
          </cell>
          <cell r="G223">
            <v>7433.73542500002</v>
          </cell>
        </row>
        <row r="224">
          <cell r="A224">
            <v>2006</v>
          </cell>
          <cell r="B224">
            <v>1</v>
          </cell>
          <cell r="C224">
            <v>10</v>
          </cell>
          <cell r="D224">
            <v>7</v>
          </cell>
          <cell r="E224">
            <v>7606.68675</v>
          </cell>
          <cell r="F224">
            <v>29.609475</v>
          </cell>
          <cell r="G224">
            <v>6291.78957500002</v>
          </cell>
        </row>
        <row r="225">
          <cell r="A225">
            <v>2006</v>
          </cell>
          <cell r="B225">
            <v>1</v>
          </cell>
          <cell r="C225">
            <v>10</v>
          </cell>
          <cell r="D225">
            <v>8</v>
          </cell>
          <cell r="E225">
            <v>5154.424425</v>
          </cell>
          <cell r="F225">
            <v>22.9583</v>
          </cell>
          <cell r="G225">
            <v>4459.41787500001</v>
          </cell>
        </row>
        <row r="226">
          <cell r="A226">
            <v>2006</v>
          </cell>
          <cell r="B226">
            <v>1</v>
          </cell>
          <cell r="C226">
            <v>10</v>
          </cell>
          <cell r="D226">
            <v>9</v>
          </cell>
          <cell r="E226">
            <v>6169.43257500001</v>
          </cell>
          <cell r="F226">
            <v>29.280275</v>
          </cell>
          <cell r="G226">
            <v>5166.90195000001</v>
          </cell>
        </row>
        <row r="227">
          <cell r="A227">
            <v>2006</v>
          </cell>
          <cell r="B227">
            <v>1</v>
          </cell>
          <cell r="C227">
            <v>10</v>
          </cell>
          <cell r="D227">
            <v>10</v>
          </cell>
          <cell r="E227">
            <v>9703.32567499999</v>
          </cell>
          <cell r="F227">
            <v>53.138</v>
          </cell>
          <cell r="G227">
            <v>8115.57495000001</v>
          </cell>
        </row>
        <row r="228">
          <cell r="A228">
            <v>2006</v>
          </cell>
          <cell r="B228">
            <v>1</v>
          </cell>
          <cell r="C228">
            <v>10</v>
          </cell>
          <cell r="D228">
            <v>11</v>
          </cell>
          <cell r="E228">
            <v>9336.56477499999</v>
          </cell>
          <cell r="F228">
            <v>50.517775</v>
          </cell>
          <cell r="G228">
            <v>8033.51530000001</v>
          </cell>
        </row>
        <row r="229">
          <cell r="A229">
            <v>2006</v>
          </cell>
          <cell r="B229">
            <v>1</v>
          </cell>
          <cell r="C229">
            <v>10</v>
          </cell>
          <cell r="D229">
            <v>12</v>
          </cell>
          <cell r="E229">
            <v>6512.17612499999</v>
          </cell>
          <cell r="F229">
            <v>46.172425</v>
          </cell>
          <cell r="G229">
            <v>5581.71737500001</v>
          </cell>
        </row>
        <row r="230">
          <cell r="A230">
            <v>2006</v>
          </cell>
          <cell r="B230">
            <v>1</v>
          </cell>
          <cell r="C230">
            <v>10</v>
          </cell>
          <cell r="D230">
            <v>13</v>
          </cell>
          <cell r="E230">
            <v>9489.60622499999</v>
          </cell>
          <cell r="F230">
            <v>50.9917</v>
          </cell>
          <cell r="G230">
            <v>7934.71545000002</v>
          </cell>
        </row>
        <row r="231">
          <cell r="A231">
            <v>2006</v>
          </cell>
          <cell r="B231">
            <v>1</v>
          </cell>
          <cell r="C231">
            <v>10</v>
          </cell>
          <cell r="D231">
            <v>14</v>
          </cell>
          <cell r="E231">
            <v>9063.82872499999</v>
          </cell>
          <cell r="F231">
            <v>43.483625</v>
          </cell>
          <cell r="G231">
            <v>7660.536875</v>
          </cell>
        </row>
        <row r="232">
          <cell r="A232">
            <v>2006</v>
          </cell>
          <cell r="B232">
            <v>1</v>
          </cell>
          <cell r="C232">
            <v>10</v>
          </cell>
          <cell r="D232">
            <v>15</v>
          </cell>
          <cell r="E232">
            <v>9680.79952499998</v>
          </cell>
          <cell r="F232">
            <v>43.494175</v>
          </cell>
          <cell r="G232">
            <v>8137.81180000004</v>
          </cell>
        </row>
        <row r="233">
          <cell r="A233">
            <v>2006</v>
          </cell>
          <cell r="B233">
            <v>1</v>
          </cell>
          <cell r="C233">
            <v>10</v>
          </cell>
          <cell r="D233">
            <v>16</v>
          </cell>
          <cell r="E233">
            <v>8920.91372499997</v>
          </cell>
          <cell r="F233">
            <v>45.442775</v>
          </cell>
          <cell r="G233">
            <v>7382.84780000001</v>
          </cell>
        </row>
        <row r="234">
          <cell r="A234">
            <v>2006</v>
          </cell>
          <cell r="B234">
            <v>1</v>
          </cell>
          <cell r="C234">
            <v>10</v>
          </cell>
          <cell r="D234">
            <v>17</v>
          </cell>
          <cell r="E234">
            <v>6694.282225</v>
          </cell>
          <cell r="F234">
            <v>28.767</v>
          </cell>
          <cell r="G234">
            <v>5645.35339999999</v>
          </cell>
        </row>
        <row r="235">
          <cell r="A235">
            <v>2006</v>
          </cell>
          <cell r="B235">
            <v>1</v>
          </cell>
          <cell r="C235">
            <v>10</v>
          </cell>
          <cell r="D235">
            <v>18</v>
          </cell>
          <cell r="E235">
            <v>9886.76810000001</v>
          </cell>
          <cell r="F235">
            <v>45.2898</v>
          </cell>
          <cell r="G235">
            <v>8477.31880000001</v>
          </cell>
        </row>
        <row r="236">
          <cell r="A236">
            <v>2006</v>
          </cell>
          <cell r="B236">
            <v>1</v>
          </cell>
          <cell r="C236">
            <v>10</v>
          </cell>
          <cell r="D236">
            <v>19</v>
          </cell>
          <cell r="E236">
            <v>9468.21400000003</v>
          </cell>
          <cell r="F236">
            <v>42.1043</v>
          </cell>
          <cell r="G236">
            <v>8086.92532500001</v>
          </cell>
        </row>
        <row r="237">
          <cell r="A237">
            <v>2006</v>
          </cell>
          <cell r="B237">
            <v>1</v>
          </cell>
          <cell r="C237">
            <v>10</v>
          </cell>
          <cell r="D237">
            <v>20</v>
          </cell>
          <cell r="E237">
            <v>10361.083075</v>
          </cell>
          <cell r="F237">
            <v>49.270225</v>
          </cell>
          <cell r="G237">
            <v>8778.35075</v>
          </cell>
        </row>
        <row r="238">
          <cell r="A238">
            <v>2006</v>
          </cell>
          <cell r="B238">
            <v>1</v>
          </cell>
          <cell r="C238">
            <v>10</v>
          </cell>
          <cell r="D238">
            <v>21</v>
          </cell>
          <cell r="E238">
            <v>9426.912775</v>
          </cell>
          <cell r="F238">
            <v>48.383675</v>
          </cell>
          <cell r="G238">
            <v>8043.70507500003</v>
          </cell>
        </row>
        <row r="239">
          <cell r="A239">
            <v>2006</v>
          </cell>
          <cell r="B239">
            <v>1</v>
          </cell>
          <cell r="C239">
            <v>10</v>
          </cell>
          <cell r="D239">
            <v>22</v>
          </cell>
          <cell r="E239">
            <v>9526.44644999999</v>
          </cell>
          <cell r="F239">
            <v>43.82145</v>
          </cell>
          <cell r="G239">
            <v>8311.18042500001</v>
          </cell>
        </row>
        <row r="241">
          <cell r="A241">
            <v>2006</v>
          </cell>
          <cell r="B241">
            <v>1</v>
          </cell>
          <cell r="C241">
            <v>10</v>
          </cell>
          <cell r="D241">
            <v>24</v>
          </cell>
          <cell r="E241">
            <v>8734.82002499998</v>
          </cell>
          <cell r="F241">
            <v>37.73825</v>
          </cell>
          <cell r="G241">
            <v>7620.00645000002</v>
          </cell>
        </row>
        <row r="242">
          <cell r="A242">
            <v>2006</v>
          </cell>
          <cell r="B242">
            <v>1</v>
          </cell>
          <cell r="C242">
            <v>11</v>
          </cell>
          <cell r="D242">
            <v>1</v>
          </cell>
          <cell r="E242">
            <v>7242.87465000002</v>
          </cell>
          <cell r="F242">
            <v>28.353725</v>
          </cell>
          <cell r="G242">
            <v>6073.91487500003</v>
          </cell>
        </row>
        <row r="243">
          <cell r="A243">
            <v>2006</v>
          </cell>
          <cell r="B243">
            <v>1</v>
          </cell>
          <cell r="C243">
            <v>11</v>
          </cell>
          <cell r="D243">
            <v>2</v>
          </cell>
          <cell r="E243">
            <v>9273.19447500001</v>
          </cell>
          <cell r="F243">
            <v>38.9251</v>
          </cell>
          <cell r="G243">
            <v>7582.89057499999</v>
          </cell>
        </row>
        <row r="244">
          <cell r="A244">
            <v>2006</v>
          </cell>
          <cell r="B244">
            <v>1</v>
          </cell>
          <cell r="C244">
            <v>11</v>
          </cell>
          <cell r="D244">
            <v>3</v>
          </cell>
          <cell r="E244">
            <v>8854.41724999999</v>
          </cell>
          <cell r="F244">
            <v>24.7473</v>
          </cell>
          <cell r="G244">
            <v>7240.3844</v>
          </cell>
        </row>
        <row r="245">
          <cell r="A245">
            <v>2006</v>
          </cell>
          <cell r="B245">
            <v>1</v>
          </cell>
          <cell r="C245">
            <v>11</v>
          </cell>
          <cell r="D245">
            <v>4</v>
          </cell>
          <cell r="E245">
            <v>9468.381825</v>
          </cell>
          <cell r="F245">
            <v>32.865725</v>
          </cell>
          <cell r="G245">
            <v>8033.60232500002</v>
          </cell>
        </row>
        <row r="246">
          <cell r="A246">
            <v>2006</v>
          </cell>
          <cell r="B246">
            <v>1</v>
          </cell>
          <cell r="C246">
            <v>11</v>
          </cell>
          <cell r="D246">
            <v>5</v>
          </cell>
          <cell r="E246">
            <v>10545.287875</v>
          </cell>
          <cell r="F246">
            <v>43.583925</v>
          </cell>
          <cell r="G246">
            <v>8868.79535000005</v>
          </cell>
        </row>
        <row r="247">
          <cell r="A247">
            <v>2006</v>
          </cell>
          <cell r="B247">
            <v>1</v>
          </cell>
          <cell r="C247">
            <v>11</v>
          </cell>
          <cell r="D247">
            <v>6</v>
          </cell>
          <cell r="E247">
            <v>11288.6503</v>
          </cell>
          <cell r="F247">
            <v>49.8435</v>
          </cell>
          <cell r="G247">
            <v>9664.96287500001</v>
          </cell>
        </row>
        <row r="248">
          <cell r="A248">
            <v>2006</v>
          </cell>
          <cell r="B248">
            <v>1</v>
          </cell>
          <cell r="C248">
            <v>11</v>
          </cell>
          <cell r="D248">
            <v>7</v>
          </cell>
          <cell r="E248">
            <v>12784.689275</v>
          </cell>
          <cell r="F248">
            <v>58.277525</v>
          </cell>
          <cell r="G248">
            <v>11011.20675</v>
          </cell>
        </row>
        <row r="249">
          <cell r="A249">
            <v>2006</v>
          </cell>
          <cell r="B249">
            <v>1</v>
          </cell>
          <cell r="C249">
            <v>11</v>
          </cell>
          <cell r="D249">
            <v>8</v>
          </cell>
          <cell r="E249">
            <v>13977.1078</v>
          </cell>
          <cell r="F249">
            <v>63.565975</v>
          </cell>
          <cell r="G249">
            <v>12033.48495</v>
          </cell>
        </row>
        <row r="250">
          <cell r="A250">
            <v>2006</v>
          </cell>
          <cell r="B250">
            <v>1</v>
          </cell>
          <cell r="C250">
            <v>11</v>
          </cell>
          <cell r="D250">
            <v>9</v>
          </cell>
          <cell r="E250">
            <v>13364.742275</v>
          </cell>
          <cell r="F250">
            <v>61.416675</v>
          </cell>
          <cell r="G250">
            <v>11535.8296750001</v>
          </cell>
        </row>
        <row r="251">
          <cell r="A251">
            <v>2006</v>
          </cell>
          <cell r="B251">
            <v>1</v>
          </cell>
          <cell r="C251">
            <v>11</v>
          </cell>
          <cell r="D251">
            <v>10</v>
          </cell>
          <cell r="E251">
            <v>12866.752825</v>
          </cell>
          <cell r="F251">
            <v>60.28605</v>
          </cell>
          <cell r="G251">
            <v>10939.7752500001</v>
          </cell>
        </row>
        <row r="252">
          <cell r="A252">
            <v>2006</v>
          </cell>
          <cell r="B252">
            <v>1</v>
          </cell>
          <cell r="C252">
            <v>11</v>
          </cell>
          <cell r="D252">
            <v>11</v>
          </cell>
          <cell r="E252">
            <v>12376.666125</v>
          </cell>
          <cell r="F252">
            <v>53.40545</v>
          </cell>
          <cell r="G252">
            <v>10479.9538</v>
          </cell>
        </row>
        <row r="253">
          <cell r="A253">
            <v>2006</v>
          </cell>
          <cell r="B253">
            <v>1</v>
          </cell>
          <cell r="C253">
            <v>11</v>
          </cell>
          <cell r="D253">
            <v>12</v>
          </cell>
          <cell r="E253">
            <v>11879.694425</v>
          </cell>
          <cell r="F253">
            <v>53.0152</v>
          </cell>
          <cell r="G253">
            <v>10034.072575</v>
          </cell>
        </row>
        <row r="254">
          <cell r="A254">
            <v>2006</v>
          </cell>
          <cell r="B254">
            <v>1</v>
          </cell>
          <cell r="C254">
            <v>11</v>
          </cell>
          <cell r="D254">
            <v>13</v>
          </cell>
          <cell r="E254">
            <v>11447.1386</v>
          </cell>
          <cell r="F254">
            <v>49.157725</v>
          </cell>
          <cell r="G254">
            <v>9650.84467500001</v>
          </cell>
        </row>
        <row r="255">
          <cell r="A255">
            <v>2006</v>
          </cell>
          <cell r="B255">
            <v>1</v>
          </cell>
          <cell r="C255">
            <v>11</v>
          </cell>
          <cell r="D255">
            <v>14</v>
          </cell>
          <cell r="E255">
            <v>11164.096725</v>
          </cell>
          <cell r="F255">
            <v>44.590325</v>
          </cell>
          <cell r="G255">
            <v>9391.53415000005</v>
          </cell>
        </row>
        <row r="256">
          <cell r="A256">
            <v>2006</v>
          </cell>
          <cell r="B256">
            <v>1</v>
          </cell>
          <cell r="C256">
            <v>11</v>
          </cell>
          <cell r="D256">
            <v>15</v>
          </cell>
          <cell r="E256">
            <v>10915.726975</v>
          </cell>
          <cell r="F256">
            <v>39.2778</v>
          </cell>
          <cell r="G256">
            <v>9168.25042500002</v>
          </cell>
        </row>
        <row r="257">
          <cell r="A257">
            <v>2006</v>
          </cell>
          <cell r="B257">
            <v>1</v>
          </cell>
          <cell r="C257">
            <v>11</v>
          </cell>
          <cell r="D257">
            <v>16</v>
          </cell>
          <cell r="E257">
            <v>10696.632975</v>
          </cell>
          <cell r="F257">
            <v>41.270725</v>
          </cell>
          <cell r="G257">
            <v>9006.81062499997</v>
          </cell>
        </row>
        <row r="258">
          <cell r="A258">
            <v>2006</v>
          </cell>
          <cell r="B258">
            <v>1</v>
          </cell>
          <cell r="C258">
            <v>11</v>
          </cell>
          <cell r="D258">
            <v>17</v>
          </cell>
          <cell r="E258">
            <v>10574.68235</v>
          </cell>
          <cell r="F258">
            <v>41.057925</v>
          </cell>
          <cell r="G258">
            <v>8979.72215000003</v>
          </cell>
        </row>
        <row r="259">
          <cell r="A259">
            <v>2006</v>
          </cell>
          <cell r="B259">
            <v>1</v>
          </cell>
          <cell r="C259">
            <v>11</v>
          </cell>
          <cell r="D259">
            <v>18</v>
          </cell>
          <cell r="E259">
            <v>10616.110125</v>
          </cell>
          <cell r="F259">
            <v>42.7498</v>
          </cell>
          <cell r="G259">
            <v>9121.19517499996</v>
          </cell>
        </row>
        <row r="260">
          <cell r="A260">
            <v>2006</v>
          </cell>
          <cell r="B260">
            <v>1</v>
          </cell>
          <cell r="C260">
            <v>11</v>
          </cell>
          <cell r="D260">
            <v>19</v>
          </cell>
          <cell r="E260">
            <v>11511.0691</v>
          </cell>
          <cell r="F260">
            <v>46.889175</v>
          </cell>
          <cell r="G260">
            <v>9951.97977500003</v>
          </cell>
        </row>
        <row r="261">
          <cell r="A261">
            <v>2006</v>
          </cell>
          <cell r="B261">
            <v>1</v>
          </cell>
          <cell r="C261">
            <v>11</v>
          </cell>
          <cell r="D261">
            <v>20</v>
          </cell>
          <cell r="E261">
            <v>11559.97055</v>
          </cell>
          <cell r="F261">
            <v>45.736825</v>
          </cell>
          <cell r="G261">
            <v>10008.276475</v>
          </cell>
        </row>
        <row r="262">
          <cell r="A262">
            <v>2006</v>
          </cell>
          <cell r="B262">
            <v>1</v>
          </cell>
          <cell r="C262">
            <v>11</v>
          </cell>
          <cell r="D262">
            <v>21</v>
          </cell>
          <cell r="E262">
            <v>11435.79185</v>
          </cell>
          <cell r="F262">
            <v>43.8529</v>
          </cell>
          <cell r="G262">
            <v>9827.56467500004</v>
          </cell>
        </row>
        <row r="263">
          <cell r="A263">
            <v>2006</v>
          </cell>
          <cell r="B263">
            <v>1</v>
          </cell>
          <cell r="C263">
            <v>11</v>
          </cell>
          <cell r="D263">
            <v>22</v>
          </cell>
          <cell r="E263">
            <v>11054.903675</v>
          </cell>
          <cell r="F263">
            <v>45.171025</v>
          </cell>
          <cell r="G263">
            <v>9479.03460000001</v>
          </cell>
        </row>
        <row r="265">
          <cell r="A265">
            <v>2006</v>
          </cell>
          <cell r="B265">
            <v>1</v>
          </cell>
          <cell r="C265">
            <v>11</v>
          </cell>
          <cell r="D265">
            <v>24</v>
          </cell>
          <cell r="E265">
            <v>9637.31264999999</v>
          </cell>
          <cell r="F265">
            <v>37.950775</v>
          </cell>
          <cell r="G265">
            <v>8053.40767500001</v>
          </cell>
        </row>
        <row r="266">
          <cell r="A266">
            <v>2006</v>
          </cell>
          <cell r="B266">
            <v>1</v>
          </cell>
          <cell r="C266">
            <v>12</v>
          </cell>
          <cell r="D266">
            <v>1</v>
          </cell>
          <cell r="E266">
            <v>8857.60675</v>
          </cell>
          <cell r="F266">
            <v>35.8715</v>
          </cell>
          <cell r="G266">
            <v>7471.881825</v>
          </cell>
        </row>
        <row r="267">
          <cell r="A267">
            <v>2006</v>
          </cell>
          <cell r="B267">
            <v>1</v>
          </cell>
          <cell r="C267">
            <v>12</v>
          </cell>
          <cell r="D267">
            <v>2</v>
          </cell>
          <cell r="E267">
            <v>8650.80392500001</v>
          </cell>
          <cell r="F267">
            <v>30.349825</v>
          </cell>
          <cell r="G267">
            <v>7181.70760000001</v>
          </cell>
        </row>
        <row r="268">
          <cell r="A268">
            <v>2006</v>
          </cell>
          <cell r="B268">
            <v>1</v>
          </cell>
          <cell r="C268">
            <v>12</v>
          </cell>
          <cell r="D268">
            <v>3</v>
          </cell>
          <cell r="E268">
            <v>8543.09519999999</v>
          </cell>
          <cell r="F268">
            <v>30.1311</v>
          </cell>
          <cell r="G268">
            <v>7043.90124999999</v>
          </cell>
        </row>
        <row r="269">
          <cell r="A269">
            <v>2006</v>
          </cell>
          <cell r="B269">
            <v>1</v>
          </cell>
          <cell r="C269">
            <v>12</v>
          </cell>
          <cell r="D269">
            <v>4</v>
          </cell>
          <cell r="E269">
            <v>8464.75315000001</v>
          </cell>
          <cell r="F269">
            <v>30.7964</v>
          </cell>
          <cell r="G269">
            <v>6986.99330000002</v>
          </cell>
        </row>
        <row r="270">
          <cell r="A270">
            <v>2006</v>
          </cell>
          <cell r="B270">
            <v>1</v>
          </cell>
          <cell r="C270">
            <v>12</v>
          </cell>
          <cell r="D270">
            <v>5</v>
          </cell>
          <cell r="E270">
            <v>8609.49382500002</v>
          </cell>
          <cell r="F270">
            <v>32.03795</v>
          </cell>
          <cell r="G270">
            <v>7129.61632499998</v>
          </cell>
        </row>
        <row r="271">
          <cell r="A271">
            <v>2006</v>
          </cell>
          <cell r="B271">
            <v>1</v>
          </cell>
          <cell r="C271">
            <v>12</v>
          </cell>
          <cell r="D271">
            <v>6</v>
          </cell>
          <cell r="E271">
            <v>9245.29717499998</v>
          </cell>
          <cell r="F271">
            <v>35.40035</v>
          </cell>
          <cell r="G271">
            <v>7721.30090000002</v>
          </cell>
        </row>
        <row r="272">
          <cell r="A272">
            <v>2006</v>
          </cell>
          <cell r="B272">
            <v>1</v>
          </cell>
          <cell r="C272">
            <v>12</v>
          </cell>
          <cell r="D272">
            <v>7</v>
          </cell>
          <cell r="E272">
            <v>10491.506575</v>
          </cell>
          <cell r="F272">
            <v>39.380075</v>
          </cell>
          <cell r="G272">
            <v>8906.82149999999</v>
          </cell>
        </row>
        <row r="273">
          <cell r="A273">
            <v>2006</v>
          </cell>
          <cell r="B273">
            <v>1</v>
          </cell>
          <cell r="C273">
            <v>12</v>
          </cell>
          <cell r="D273">
            <v>8</v>
          </cell>
          <cell r="E273">
            <v>11590.99525</v>
          </cell>
          <cell r="F273">
            <v>46.721175</v>
          </cell>
          <cell r="G273">
            <v>9897.70025000004</v>
          </cell>
        </row>
        <row r="274">
          <cell r="A274">
            <v>2006</v>
          </cell>
          <cell r="B274">
            <v>1</v>
          </cell>
          <cell r="C274">
            <v>12</v>
          </cell>
          <cell r="D274">
            <v>9</v>
          </cell>
          <cell r="E274">
            <v>11303.832225</v>
          </cell>
          <cell r="F274">
            <v>43.949825</v>
          </cell>
          <cell r="G274">
            <v>9617.74817499995</v>
          </cell>
        </row>
        <row r="275">
          <cell r="A275">
            <v>2006</v>
          </cell>
          <cell r="B275">
            <v>1</v>
          </cell>
          <cell r="C275">
            <v>12</v>
          </cell>
          <cell r="D275">
            <v>10</v>
          </cell>
          <cell r="E275">
            <v>11127.127325</v>
          </cell>
          <cell r="F275">
            <v>41.2365</v>
          </cell>
          <cell r="G275">
            <v>9418.60855</v>
          </cell>
        </row>
        <row r="276">
          <cell r="A276">
            <v>2006</v>
          </cell>
          <cell r="B276">
            <v>1</v>
          </cell>
          <cell r="C276">
            <v>12</v>
          </cell>
          <cell r="D276">
            <v>11</v>
          </cell>
          <cell r="E276">
            <v>11073.838425</v>
          </cell>
          <cell r="F276">
            <v>43.697075</v>
          </cell>
          <cell r="G276">
            <v>9324.62927500002</v>
          </cell>
        </row>
        <row r="277">
          <cell r="A277">
            <v>2006</v>
          </cell>
          <cell r="B277">
            <v>1</v>
          </cell>
          <cell r="C277">
            <v>12</v>
          </cell>
          <cell r="D277">
            <v>12</v>
          </cell>
          <cell r="E277">
            <v>10922.4089</v>
          </cell>
          <cell r="F277">
            <v>43.353825</v>
          </cell>
          <cell r="G277">
            <v>9257.87092499998</v>
          </cell>
        </row>
        <row r="278">
          <cell r="A278">
            <v>2006</v>
          </cell>
          <cell r="B278">
            <v>1</v>
          </cell>
          <cell r="C278">
            <v>12</v>
          </cell>
          <cell r="D278">
            <v>13</v>
          </cell>
          <cell r="E278">
            <v>10734.331275</v>
          </cell>
          <cell r="F278">
            <v>42.221725</v>
          </cell>
          <cell r="G278">
            <v>9205.20220000002</v>
          </cell>
        </row>
        <row r="279">
          <cell r="A279">
            <v>2006</v>
          </cell>
          <cell r="B279">
            <v>1</v>
          </cell>
          <cell r="C279">
            <v>12</v>
          </cell>
          <cell r="D279">
            <v>14</v>
          </cell>
          <cell r="E279">
            <v>10810.345725</v>
          </cell>
          <cell r="F279">
            <v>40.9933</v>
          </cell>
          <cell r="G279">
            <v>9210.16624999999</v>
          </cell>
        </row>
        <row r="280">
          <cell r="A280">
            <v>2006</v>
          </cell>
          <cell r="B280">
            <v>1</v>
          </cell>
          <cell r="C280">
            <v>12</v>
          </cell>
          <cell r="D280">
            <v>15</v>
          </cell>
          <cell r="E280">
            <v>10642.089625</v>
          </cell>
          <cell r="F280">
            <v>37.342225</v>
          </cell>
          <cell r="G280">
            <v>9166.19375000001</v>
          </cell>
        </row>
        <row r="281">
          <cell r="A281">
            <v>2006</v>
          </cell>
          <cell r="B281">
            <v>1</v>
          </cell>
          <cell r="C281">
            <v>12</v>
          </cell>
          <cell r="D281">
            <v>16</v>
          </cell>
          <cell r="E281">
            <v>10763.7492</v>
          </cell>
          <cell r="F281">
            <v>40.21485</v>
          </cell>
          <cell r="G281">
            <v>9127.10892500002</v>
          </cell>
        </row>
        <row r="282">
          <cell r="A282">
            <v>2006</v>
          </cell>
          <cell r="B282">
            <v>1</v>
          </cell>
          <cell r="C282">
            <v>12</v>
          </cell>
          <cell r="D282">
            <v>17</v>
          </cell>
          <cell r="E282">
            <v>10745.3689</v>
          </cell>
          <cell r="F282">
            <v>35.590875</v>
          </cell>
          <cell r="G282">
            <v>9134.93465000005</v>
          </cell>
        </row>
        <row r="283">
          <cell r="A283">
            <v>2006</v>
          </cell>
          <cell r="B283">
            <v>1</v>
          </cell>
          <cell r="C283">
            <v>12</v>
          </cell>
          <cell r="D283">
            <v>18</v>
          </cell>
          <cell r="E283">
            <v>10807.30025</v>
          </cell>
          <cell r="F283">
            <v>36.520925</v>
          </cell>
          <cell r="G283">
            <v>9176.96237500005</v>
          </cell>
        </row>
        <row r="284">
          <cell r="A284">
            <v>2006</v>
          </cell>
          <cell r="B284">
            <v>1</v>
          </cell>
          <cell r="C284">
            <v>12</v>
          </cell>
          <cell r="D284">
            <v>19</v>
          </cell>
          <cell r="E284">
            <v>11535.94265</v>
          </cell>
          <cell r="F284">
            <v>43.437</v>
          </cell>
          <cell r="G284">
            <v>9821.09465000001</v>
          </cell>
        </row>
        <row r="285">
          <cell r="A285">
            <v>2006</v>
          </cell>
          <cell r="B285">
            <v>1</v>
          </cell>
          <cell r="C285">
            <v>12</v>
          </cell>
          <cell r="D285">
            <v>20</v>
          </cell>
          <cell r="E285">
            <v>11482.356725</v>
          </cell>
          <cell r="F285">
            <v>45.010525</v>
          </cell>
          <cell r="G285">
            <v>9826.55707499995</v>
          </cell>
        </row>
        <row r="286">
          <cell r="A286">
            <v>2006</v>
          </cell>
          <cell r="B286">
            <v>1</v>
          </cell>
          <cell r="C286">
            <v>12</v>
          </cell>
          <cell r="D286">
            <v>21</v>
          </cell>
          <cell r="E286">
            <v>11226.21255</v>
          </cell>
          <cell r="F286">
            <v>41.44105</v>
          </cell>
          <cell r="G286">
            <v>9572.73217500007</v>
          </cell>
        </row>
        <row r="287">
          <cell r="A287">
            <v>2006</v>
          </cell>
          <cell r="B287">
            <v>1</v>
          </cell>
          <cell r="C287">
            <v>12</v>
          </cell>
          <cell r="D287">
            <v>22</v>
          </cell>
          <cell r="E287">
            <v>10754.571175</v>
          </cell>
          <cell r="F287">
            <v>40.88905</v>
          </cell>
          <cell r="G287">
            <v>9124.54679999999</v>
          </cell>
        </row>
        <row r="289">
          <cell r="A289">
            <v>2006</v>
          </cell>
          <cell r="B289">
            <v>1</v>
          </cell>
          <cell r="C289">
            <v>12</v>
          </cell>
          <cell r="D289">
            <v>24</v>
          </cell>
          <cell r="E289">
            <v>9198.0026</v>
          </cell>
          <cell r="F289">
            <v>35.43335</v>
          </cell>
          <cell r="G289">
            <v>7671.72850000002</v>
          </cell>
        </row>
        <row r="290">
          <cell r="A290">
            <v>2006</v>
          </cell>
          <cell r="B290">
            <v>1</v>
          </cell>
          <cell r="C290">
            <v>13</v>
          </cell>
          <cell r="D290">
            <v>1</v>
          </cell>
          <cell r="E290">
            <v>8482.34315000001</v>
          </cell>
          <cell r="F290">
            <v>31.578375</v>
          </cell>
          <cell r="G290">
            <v>7079.00205</v>
          </cell>
        </row>
        <row r="291">
          <cell r="A291">
            <v>2006</v>
          </cell>
          <cell r="B291">
            <v>1</v>
          </cell>
          <cell r="C291">
            <v>13</v>
          </cell>
          <cell r="D291">
            <v>2</v>
          </cell>
          <cell r="E291">
            <v>8142.08952500003</v>
          </cell>
          <cell r="F291">
            <v>27.881225</v>
          </cell>
          <cell r="G291">
            <v>6794.78715000005</v>
          </cell>
        </row>
        <row r="292">
          <cell r="A292">
            <v>2006</v>
          </cell>
          <cell r="B292">
            <v>1</v>
          </cell>
          <cell r="C292">
            <v>13</v>
          </cell>
          <cell r="D292">
            <v>3</v>
          </cell>
          <cell r="E292">
            <v>8144.92575000001</v>
          </cell>
          <cell r="F292">
            <v>29.5898</v>
          </cell>
          <cell r="G292">
            <v>6707.47394999999</v>
          </cell>
        </row>
        <row r="293">
          <cell r="A293">
            <v>2006</v>
          </cell>
          <cell r="B293">
            <v>1</v>
          </cell>
          <cell r="C293">
            <v>13</v>
          </cell>
          <cell r="D293">
            <v>4</v>
          </cell>
          <cell r="E293">
            <v>8213.82212500002</v>
          </cell>
          <cell r="F293">
            <v>31.9181</v>
          </cell>
          <cell r="G293">
            <v>6768.87030000003</v>
          </cell>
        </row>
        <row r="294">
          <cell r="A294">
            <v>2006</v>
          </cell>
          <cell r="B294">
            <v>1</v>
          </cell>
          <cell r="C294">
            <v>13</v>
          </cell>
          <cell r="D294">
            <v>5</v>
          </cell>
          <cell r="E294">
            <v>8512.83367499998</v>
          </cell>
          <cell r="F294">
            <v>33.80415</v>
          </cell>
          <cell r="G294">
            <v>7046.12994999999</v>
          </cell>
        </row>
        <row r="295">
          <cell r="A295">
            <v>2006</v>
          </cell>
          <cell r="B295">
            <v>1</v>
          </cell>
          <cell r="C295">
            <v>13</v>
          </cell>
          <cell r="D295">
            <v>6</v>
          </cell>
          <cell r="E295">
            <v>9279.86584999999</v>
          </cell>
          <cell r="F295">
            <v>37.858025</v>
          </cell>
          <cell r="G295">
            <v>7753.43197500001</v>
          </cell>
        </row>
        <row r="296">
          <cell r="A296">
            <v>2006</v>
          </cell>
          <cell r="B296">
            <v>1</v>
          </cell>
          <cell r="C296">
            <v>13</v>
          </cell>
          <cell r="D296">
            <v>7</v>
          </cell>
          <cell r="E296">
            <v>10910.214525</v>
          </cell>
          <cell r="F296">
            <v>45.1906</v>
          </cell>
          <cell r="G296">
            <v>9168.16760000003</v>
          </cell>
        </row>
        <row r="297">
          <cell r="A297">
            <v>2006</v>
          </cell>
          <cell r="B297">
            <v>1</v>
          </cell>
          <cell r="C297">
            <v>13</v>
          </cell>
          <cell r="D297">
            <v>8</v>
          </cell>
          <cell r="E297">
            <v>12245.633075</v>
          </cell>
          <cell r="F297">
            <v>53.9597</v>
          </cell>
          <cell r="G297">
            <v>10394.30565</v>
          </cell>
        </row>
        <row r="298">
          <cell r="A298">
            <v>2006</v>
          </cell>
          <cell r="B298">
            <v>1</v>
          </cell>
          <cell r="C298">
            <v>13</v>
          </cell>
          <cell r="D298">
            <v>9</v>
          </cell>
          <cell r="E298">
            <v>10797.717425</v>
          </cell>
          <cell r="F298">
            <v>45.352075</v>
          </cell>
          <cell r="G298">
            <v>9074.61844999997</v>
          </cell>
        </row>
        <row r="299">
          <cell r="A299">
            <v>2006</v>
          </cell>
          <cell r="B299">
            <v>1</v>
          </cell>
          <cell r="C299">
            <v>13</v>
          </cell>
          <cell r="D299">
            <v>10</v>
          </cell>
          <cell r="E299">
            <v>10147.78685</v>
          </cell>
          <cell r="F299">
            <v>51.34365</v>
          </cell>
          <cell r="G299">
            <v>8427.76912499999</v>
          </cell>
        </row>
        <row r="300">
          <cell r="A300">
            <v>2006</v>
          </cell>
          <cell r="B300">
            <v>1</v>
          </cell>
          <cell r="C300">
            <v>13</v>
          </cell>
          <cell r="D300">
            <v>11</v>
          </cell>
          <cell r="E300">
            <v>7131.94365000001</v>
          </cell>
          <cell r="F300">
            <v>35.05045</v>
          </cell>
          <cell r="G300">
            <v>6063.32330000002</v>
          </cell>
        </row>
        <row r="301">
          <cell r="A301">
            <v>2006</v>
          </cell>
          <cell r="B301">
            <v>1</v>
          </cell>
          <cell r="C301">
            <v>13</v>
          </cell>
          <cell r="D301">
            <v>12</v>
          </cell>
          <cell r="E301">
            <v>8900.92235000001</v>
          </cell>
          <cell r="F301">
            <v>38.665025</v>
          </cell>
          <cell r="G301">
            <v>7588.28887500001</v>
          </cell>
        </row>
        <row r="302">
          <cell r="A302">
            <v>2006</v>
          </cell>
          <cell r="B302">
            <v>1</v>
          </cell>
          <cell r="C302">
            <v>13</v>
          </cell>
          <cell r="D302">
            <v>13</v>
          </cell>
          <cell r="E302">
            <v>6052.788925</v>
          </cell>
          <cell r="F302">
            <v>19.91735</v>
          </cell>
          <cell r="G302">
            <v>5323.00529999999</v>
          </cell>
        </row>
        <row r="303">
          <cell r="A303">
            <v>2006</v>
          </cell>
          <cell r="B303">
            <v>1</v>
          </cell>
          <cell r="C303">
            <v>13</v>
          </cell>
          <cell r="D303">
            <v>14</v>
          </cell>
          <cell r="E303">
            <v>8443.27802500001</v>
          </cell>
          <cell r="F303">
            <v>35.1995</v>
          </cell>
          <cell r="G303">
            <v>6883.61095000002</v>
          </cell>
        </row>
        <row r="304">
          <cell r="A304">
            <v>2006</v>
          </cell>
          <cell r="B304">
            <v>1</v>
          </cell>
          <cell r="C304">
            <v>13</v>
          </cell>
          <cell r="D304">
            <v>15</v>
          </cell>
          <cell r="E304">
            <v>9721.91617500004</v>
          </cell>
          <cell r="F304">
            <v>26.771425</v>
          </cell>
          <cell r="G304">
            <v>8121.12652500004</v>
          </cell>
        </row>
        <row r="305">
          <cell r="A305">
            <v>2006</v>
          </cell>
          <cell r="B305">
            <v>1</v>
          </cell>
          <cell r="C305">
            <v>13</v>
          </cell>
          <cell r="D305">
            <v>16</v>
          </cell>
          <cell r="E305">
            <v>8779.927625</v>
          </cell>
          <cell r="F305">
            <v>25.20405</v>
          </cell>
          <cell r="G305">
            <v>7188.73337500002</v>
          </cell>
        </row>
        <row r="306">
          <cell r="A306">
            <v>2006</v>
          </cell>
          <cell r="B306">
            <v>1</v>
          </cell>
          <cell r="C306">
            <v>13</v>
          </cell>
          <cell r="D306">
            <v>17</v>
          </cell>
          <cell r="E306">
            <v>8817.63897499997</v>
          </cell>
          <cell r="F306">
            <v>34.3236</v>
          </cell>
          <cell r="G306">
            <v>7518.41404999999</v>
          </cell>
        </row>
        <row r="307">
          <cell r="A307">
            <v>2006</v>
          </cell>
          <cell r="B307">
            <v>1</v>
          </cell>
          <cell r="C307">
            <v>13</v>
          </cell>
          <cell r="D307">
            <v>18</v>
          </cell>
          <cell r="E307">
            <v>9171.90369999998</v>
          </cell>
          <cell r="F307">
            <v>32.91055</v>
          </cell>
          <cell r="G307">
            <v>7487.350475</v>
          </cell>
        </row>
        <row r="308">
          <cell r="A308">
            <v>2006</v>
          </cell>
          <cell r="B308">
            <v>1</v>
          </cell>
          <cell r="C308">
            <v>13</v>
          </cell>
          <cell r="D308">
            <v>19</v>
          </cell>
          <cell r="E308">
            <v>8359.70460000001</v>
          </cell>
          <cell r="F308">
            <v>23.179875</v>
          </cell>
          <cell r="G308">
            <v>6981.807475</v>
          </cell>
        </row>
        <row r="309">
          <cell r="A309">
            <v>2006</v>
          </cell>
          <cell r="B309">
            <v>1</v>
          </cell>
          <cell r="C309">
            <v>13</v>
          </cell>
          <cell r="D309">
            <v>20</v>
          </cell>
          <cell r="E309">
            <v>4562.367775</v>
          </cell>
          <cell r="F309">
            <v>18.89985</v>
          </cell>
          <cell r="G309">
            <v>3960.87995</v>
          </cell>
        </row>
        <row r="310">
          <cell r="A310">
            <v>2006</v>
          </cell>
          <cell r="B310">
            <v>1</v>
          </cell>
          <cell r="C310">
            <v>13</v>
          </cell>
          <cell r="D310">
            <v>21</v>
          </cell>
          <cell r="E310">
            <v>7480.59134999999</v>
          </cell>
          <cell r="F310">
            <v>34.427425</v>
          </cell>
          <cell r="G310">
            <v>6455.421975</v>
          </cell>
        </row>
        <row r="311">
          <cell r="A311">
            <v>2006</v>
          </cell>
          <cell r="B311">
            <v>1</v>
          </cell>
          <cell r="C311">
            <v>13</v>
          </cell>
          <cell r="D311">
            <v>22</v>
          </cell>
          <cell r="E311">
            <v>10013.09505</v>
          </cell>
          <cell r="F311">
            <v>42.961275</v>
          </cell>
          <cell r="G311">
            <v>8661.21405000002</v>
          </cell>
        </row>
        <row r="313">
          <cell r="A313">
            <v>2006</v>
          </cell>
          <cell r="B313">
            <v>1</v>
          </cell>
          <cell r="C313">
            <v>13</v>
          </cell>
          <cell r="D313">
            <v>24</v>
          </cell>
          <cell r="E313">
            <v>10629.44775</v>
          </cell>
          <cell r="F313">
            <v>44.6435</v>
          </cell>
          <cell r="G313">
            <v>8957.90030000004</v>
          </cell>
        </row>
        <row r="314">
          <cell r="A314">
            <v>2006</v>
          </cell>
          <cell r="B314">
            <v>1</v>
          </cell>
          <cell r="C314">
            <v>14</v>
          </cell>
          <cell r="D314">
            <v>1</v>
          </cell>
          <cell r="E314">
            <v>10167.2063</v>
          </cell>
          <cell r="F314">
            <v>44.14965</v>
          </cell>
          <cell r="G314">
            <v>8562.95274999998</v>
          </cell>
        </row>
        <row r="315">
          <cell r="A315">
            <v>2006</v>
          </cell>
          <cell r="B315">
            <v>1</v>
          </cell>
          <cell r="C315">
            <v>14</v>
          </cell>
          <cell r="D315">
            <v>2</v>
          </cell>
          <cell r="E315">
            <v>9994.67212499999</v>
          </cell>
          <cell r="F315">
            <v>43.63295</v>
          </cell>
          <cell r="G315">
            <v>8410.21792500002</v>
          </cell>
        </row>
        <row r="316">
          <cell r="A316">
            <v>2006</v>
          </cell>
          <cell r="B316">
            <v>1</v>
          </cell>
          <cell r="C316">
            <v>14</v>
          </cell>
          <cell r="D316">
            <v>3</v>
          </cell>
          <cell r="E316">
            <v>3594.804575</v>
          </cell>
          <cell r="F316">
            <v>3.243325</v>
          </cell>
          <cell r="G316">
            <v>4997.08077500001</v>
          </cell>
        </row>
        <row r="317">
          <cell r="A317">
            <v>2006</v>
          </cell>
          <cell r="B317">
            <v>1</v>
          </cell>
          <cell r="C317">
            <v>14</v>
          </cell>
          <cell r="D317">
            <v>4</v>
          </cell>
          <cell r="E317">
            <v>10088.640425</v>
          </cell>
          <cell r="F317">
            <v>41.883325</v>
          </cell>
          <cell r="G317">
            <v>8474.47105000003</v>
          </cell>
        </row>
        <row r="318">
          <cell r="A318">
            <v>2006</v>
          </cell>
          <cell r="B318">
            <v>1</v>
          </cell>
          <cell r="C318">
            <v>14</v>
          </cell>
          <cell r="D318">
            <v>5</v>
          </cell>
          <cell r="E318">
            <v>10278.639975</v>
          </cell>
          <cell r="F318">
            <v>42.7998</v>
          </cell>
          <cell r="G318">
            <v>8663.37787499996</v>
          </cell>
        </row>
        <row r="319">
          <cell r="A319">
            <v>2006</v>
          </cell>
          <cell r="B319">
            <v>1</v>
          </cell>
          <cell r="C319">
            <v>14</v>
          </cell>
          <cell r="D319">
            <v>6</v>
          </cell>
          <cell r="E319">
            <v>10673.943775</v>
          </cell>
          <cell r="F319">
            <v>44.797775</v>
          </cell>
          <cell r="G319">
            <v>9059.27087500001</v>
          </cell>
        </row>
        <row r="320">
          <cell r="A320">
            <v>2006</v>
          </cell>
          <cell r="B320">
            <v>1</v>
          </cell>
          <cell r="C320">
            <v>14</v>
          </cell>
          <cell r="D320">
            <v>7</v>
          </cell>
          <cell r="E320">
            <v>11365.4466</v>
          </cell>
          <cell r="F320">
            <v>47.88685</v>
          </cell>
          <cell r="G320">
            <v>9692.60662500002</v>
          </cell>
        </row>
        <row r="321">
          <cell r="A321">
            <v>2006</v>
          </cell>
          <cell r="B321">
            <v>1</v>
          </cell>
          <cell r="C321">
            <v>14</v>
          </cell>
          <cell r="D321">
            <v>8</v>
          </cell>
          <cell r="E321">
            <v>12031.4172</v>
          </cell>
          <cell r="F321">
            <v>50.762875</v>
          </cell>
          <cell r="G321">
            <v>10346.617925</v>
          </cell>
        </row>
        <row r="322">
          <cell r="A322">
            <v>2006</v>
          </cell>
          <cell r="B322">
            <v>1</v>
          </cell>
          <cell r="C322">
            <v>14</v>
          </cell>
          <cell r="D322">
            <v>9</v>
          </cell>
          <cell r="E322">
            <v>12379.021325</v>
          </cell>
          <cell r="F322">
            <v>51.5455</v>
          </cell>
          <cell r="G322">
            <v>10641.9635250001</v>
          </cell>
        </row>
        <row r="323">
          <cell r="A323">
            <v>2006</v>
          </cell>
          <cell r="B323">
            <v>1</v>
          </cell>
          <cell r="C323">
            <v>14</v>
          </cell>
          <cell r="D323">
            <v>10</v>
          </cell>
          <cell r="E323">
            <v>12168.6231</v>
          </cell>
          <cell r="F323">
            <v>49.9894</v>
          </cell>
          <cell r="G323">
            <v>10483.981725</v>
          </cell>
        </row>
        <row r="324">
          <cell r="A324">
            <v>2006</v>
          </cell>
          <cell r="B324">
            <v>1</v>
          </cell>
          <cell r="C324">
            <v>14</v>
          </cell>
          <cell r="D324">
            <v>11</v>
          </cell>
          <cell r="E324">
            <v>11808.51795</v>
          </cell>
          <cell r="F324">
            <v>44.831375</v>
          </cell>
          <cell r="G324">
            <v>10066.141375</v>
          </cell>
        </row>
        <row r="325">
          <cell r="A325">
            <v>2006</v>
          </cell>
          <cell r="B325">
            <v>1</v>
          </cell>
          <cell r="C325">
            <v>14</v>
          </cell>
          <cell r="D325">
            <v>12</v>
          </cell>
          <cell r="E325">
            <v>11211.155525</v>
          </cell>
          <cell r="F325">
            <v>39.308575</v>
          </cell>
          <cell r="G325">
            <v>9535.22345000006</v>
          </cell>
        </row>
        <row r="326">
          <cell r="A326">
            <v>2006</v>
          </cell>
          <cell r="B326">
            <v>1</v>
          </cell>
          <cell r="C326">
            <v>14</v>
          </cell>
          <cell r="D326">
            <v>13</v>
          </cell>
          <cell r="E326">
            <v>10675.1932</v>
          </cell>
          <cell r="F326">
            <v>35.511875</v>
          </cell>
          <cell r="G326">
            <v>8995.53142500003</v>
          </cell>
        </row>
        <row r="327">
          <cell r="A327">
            <v>2006</v>
          </cell>
          <cell r="B327">
            <v>1</v>
          </cell>
          <cell r="C327">
            <v>14</v>
          </cell>
          <cell r="D327">
            <v>14</v>
          </cell>
          <cell r="E327">
            <v>10171.62875</v>
          </cell>
          <cell r="F327">
            <v>33.2341</v>
          </cell>
          <cell r="G327">
            <v>8536.75595000005</v>
          </cell>
        </row>
        <row r="328">
          <cell r="A328">
            <v>2006</v>
          </cell>
          <cell r="B328">
            <v>1</v>
          </cell>
          <cell r="C328">
            <v>14</v>
          </cell>
          <cell r="D328">
            <v>15</v>
          </cell>
          <cell r="E328">
            <v>9787.34135000002</v>
          </cell>
          <cell r="F328">
            <v>33.11225</v>
          </cell>
          <cell r="G328">
            <v>8216.71840000003</v>
          </cell>
        </row>
        <row r="329">
          <cell r="A329">
            <v>2006</v>
          </cell>
          <cell r="B329">
            <v>1</v>
          </cell>
          <cell r="C329">
            <v>14</v>
          </cell>
          <cell r="D329">
            <v>16</v>
          </cell>
          <cell r="E329">
            <v>9478.20477500001</v>
          </cell>
          <cell r="F329">
            <v>32.487575</v>
          </cell>
          <cell r="G329">
            <v>8032.69940000006</v>
          </cell>
        </row>
        <row r="330">
          <cell r="A330">
            <v>2006</v>
          </cell>
          <cell r="B330">
            <v>1</v>
          </cell>
          <cell r="C330">
            <v>14</v>
          </cell>
          <cell r="D330">
            <v>17</v>
          </cell>
          <cell r="E330">
            <v>9405.66009999998</v>
          </cell>
          <cell r="F330">
            <v>31.451175</v>
          </cell>
          <cell r="G330">
            <v>7993.15865000003</v>
          </cell>
        </row>
        <row r="331">
          <cell r="A331">
            <v>2006</v>
          </cell>
          <cell r="B331">
            <v>1</v>
          </cell>
          <cell r="C331">
            <v>14</v>
          </cell>
          <cell r="D331">
            <v>18</v>
          </cell>
          <cell r="E331">
            <v>9753.99217499998</v>
          </cell>
          <cell r="F331">
            <v>32.47855</v>
          </cell>
          <cell r="G331">
            <v>8280.71242500002</v>
          </cell>
        </row>
        <row r="332">
          <cell r="A332">
            <v>2006</v>
          </cell>
          <cell r="B332">
            <v>1</v>
          </cell>
          <cell r="C332">
            <v>14</v>
          </cell>
          <cell r="D332">
            <v>19</v>
          </cell>
          <cell r="E332">
            <v>10620.291175</v>
          </cell>
          <cell r="F332">
            <v>35.208875</v>
          </cell>
          <cell r="G332">
            <v>9080.03445000001</v>
          </cell>
        </row>
        <row r="333">
          <cell r="A333">
            <v>2006</v>
          </cell>
          <cell r="B333">
            <v>1</v>
          </cell>
          <cell r="C333">
            <v>14</v>
          </cell>
          <cell r="D333">
            <v>20</v>
          </cell>
          <cell r="E333">
            <v>10755.815375</v>
          </cell>
          <cell r="F333">
            <v>35.96185</v>
          </cell>
          <cell r="G333">
            <v>9158.51389999999</v>
          </cell>
        </row>
        <row r="334">
          <cell r="A334">
            <v>2006</v>
          </cell>
          <cell r="B334">
            <v>1</v>
          </cell>
          <cell r="C334">
            <v>14</v>
          </cell>
          <cell r="D334">
            <v>21</v>
          </cell>
          <cell r="E334">
            <v>10654.846625</v>
          </cell>
          <cell r="F334">
            <v>34.653</v>
          </cell>
          <cell r="G334">
            <v>9020.84124999997</v>
          </cell>
        </row>
        <row r="335">
          <cell r="A335">
            <v>2006</v>
          </cell>
          <cell r="B335">
            <v>1</v>
          </cell>
          <cell r="C335">
            <v>14</v>
          </cell>
          <cell r="D335">
            <v>22</v>
          </cell>
          <cell r="E335">
            <v>10354.687725</v>
          </cell>
          <cell r="F335">
            <v>33.4799</v>
          </cell>
          <cell r="G335">
            <v>8776.89765000004</v>
          </cell>
        </row>
        <row r="337">
          <cell r="A337">
            <v>2006</v>
          </cell>
          <cell r="B337">
            <v>1</v>
          </cell>
          <cell r="C337">
            <v>14</v>
          </cell>
          <cell r="D337">
            <v>24</v>
          </cell>
          <cell r="E337">
            <v>9415.246575</v>
          </cell>
          <cell r="F337">
            <v>31.11525</v>
          </cell>
          <cell r="G337">
            <v>7961.08727500002</v>
          </cell>
        </row>
        <row r="338">
          <cell r="A338">
            <v>2006</v>
          </cell>
          <cell r="B338">
            <v>1</v>
          </cell>
          <cell r="C338">
            <v>15</v>
          </cell>
          <cell r="D338">
            <v>1</v>
          </cell>
          <cell r="E338">
            <v>6546.48105</v>
          </cell>
          <cell r="F338">
            <v>21.194325</v>
          </cell>
          <cell r="G338">
            <v>5566.828325</v>
          </cell>
        </row>
        <row r="339">
          <cell r="A339">
            <v>2006</v>
          </cell>
          <cell r="B339">
            <v>1</v>
          </cell>
          <cell r="C339">
            <v>15</v>
          </cell>
          <cell r="D339">
            <v>2</v>
          </cell>
          <cell r="E339">
            <v>8481.8507</v>
          </cell>
          <cell r="F339">
            <v>27.83875</v>
          </cell>
          <cell r="G339">
            <v>7196.47187499999</v>
          </cell>
        </row>
        <row r="340">
          <cell r="A340">
            <v>2006</v>
          </cell>
          <cell r="B340">
            <v>1</v>
          </cell>
          <cell r="C340">
            <v>15</v>
          </cell>
          <cell r="D340">
            <v>3</v>
          </cell>
          <cell r="E340">
            <v>8272.24334999999</v>
          </cell>
          <cell r="F340">
            <v>27.631975</v>
          </cell>
          <cell r="G340">
            <v>7013.90395000001</v>
          </cell>
        </row>
        <row r="341">
          <cell r="A341">
            <v>2006</v>
          </cell>
          <cell r="B341">
            <v>1</v>
          </cell>
          <cell r="C341">
            <v>15</v>
          </cell>
          <cell r="D341">
            <v>4</v>
          </cell>
          <cell r="E341">
            <v>8183.56697499999</v>
          </cell>
          <cell r="F341">
            <v>27.50155</v>
          </cell>
          <cell r="G341">
            <v>6933.41795000004</v>
          </cell>
        </row>
        <row r="342">
          <cell r="A342">
            <v>2006</v>
          </cell>
          <cell r="B342">
            <v>1</v>
          </cell>
          <cell r="C342">
            <v>15</v>
          </cell>
          <cell r="D342">
            <v>5</v>
          </cell>
          <cell r="E342">
            <v>8193.65147499999</v>
          </cell>
          <cell r="F342">
            <v>27.64175</v>
          </cell>
          <cell r="G342">
            <v>6956.74162499999</v>
          </cell>
        </row>
        <row r="343">
          <cell r="A343">
            <v>2006</v>
          </cell>
          <cell r="B343">
            <v>1</v>
          </cell>
          <cell r="C343">
            <v>15</v>
          </cell>
          <cell r="D343">
            <v>6</v>
          </cell>
          <cell r="E343">
            <v>8347.52602500001</v>
          </cell>
          <cell r="F343">
            <v>28.7755</v>
          </cell>
          <cell r="G343">
            <v>7073.14527500002</v>
          </cell>
        </row>
        <row r="344">
          <cell r="A344">
            <v>2006</v>
          </cell>
          <cell r="B344">
            <v>1</v>
          </cell>
          <cell r="C344">
            <v>15</v>
          </cell>
          <cell r="D344">
            <v>7</v>
          </cell>
          <cell r="E344">
            <v>8659.310175</v>
          </cell>
          <cell r="F344">
            <v>29.91555</v>
          </cell>
          <cell r="G344">
            <v>7356.89340000003</v>
          </cell>
        </row>
        <row r="345">
          <cell r="A345">
            <v>2006</v>
          </cell>
          <cell r="B345">
            <v>1</v>
          </cell>
          <cell r="C345">
            <v>15</v>
          </cell>
          <cell r="D345">
            <v>8</v>
          </cell>
          <cell r="E345">
            <v>9119.73864999999</v>
          </cell>
          <cell r="F345">
            <v>32.747575</v>
          </cell>
          <cell r="G345">
            <v>7739.18410000004</v>
          </cell>
        </row>
        <row r="346">
          <cell r="A346">
            <v>2006</v>
          </cell>
          <cell r="B346">
            <v>1</v>
          </cell>
          <cell r="C346">
            <v>15</v>
          </cell>
          <cell r="D346">
            <v>9</v>
          </cell>
          <cell r="E346">
            <v>9720.032275</v>
          </cell>
          <cell r="F346">
            <v>35.80275</v>
          </cell>
          <cell r="G346">
            <v>8132.21322500001</v>
          </cell>
        </row>
        <row r="347">
          <cell r="A347">
            <v>2006</v>
          </cell>
          <cell r="B347">
            <v>1</v>
          </cell>
          <cell r="C347">
            <v>15</v>
          </cell>
          <cell r="D347">
            <v>10</v>
          </cell>
          <cell r="E347">
            <v>10096.446725</v>
          </cell>
          <cell r="F347">
            <v>37.4451</v>
          </cell>
          <cell r="G347">
            <v>8496.44197500001</v>
          </cell>
        </row>
        <row r="348">
          <cell r="A348">
            <v>2006</v>
          </cell>
          <cell r="B348">
            <v>1</v>
          </cell>
          <cell r="C348">
            <v>15</v>
          </cell>
          <cell r="D348">
            <v>11</v>
          </cell>
          <cell r="E348">
            <v>10220.929175</v>
          </cell>
          <cell r="F348">
            <v>35.860925</v>
          </cell>
          <cell r="G348">
            <v>8603.20592500004</v>
          </cell>
        </row>
        <row r="349">
          <cell r="A349">
            <v>2006</v>
          </cell>
          <cell r="B349">
            <v>1</v>
          </cell>
          <cell r="C349">
            <v>15</v>
          </cell>
          <cell r="D349">
            <v>12</v>
          </cell>
          <cell r="E349">
            <v>10066.3803</v>
          </cell>
          <cell r="F349">
            <v>35.637575</v>
          </cell>
          <cell r="G349">
            <v>8488.99514999999</v>
          </cell>
        </row>
        <row r="350">
          <cell r="A350">
            <v>2006</v>
          </cell>
          <cell r="B350">
            <v>1</v>
          </cell>
          <cell r="C350">
            <v>15</v>
          </cell>
          <cell r="D350">
            <v>13</v>
          </cell>
          <cell r="E350">
            <v>10021.30455</v>
          </cell>
          <cell r="F350">
            <v>35.3175</v>
          </cell>
          <cell r="G350">
            <v>8452.02405000002</v>
          </cell>
        </row>
        <row r="351">
          <cell r="A351">
            <v>2006</v>
          </cell>
          <cell r="B351">
            <v>1</v>
          </cell>
          <cell r="C351">
            <v>15</v>
          </cell>
          <cell r="D351">
            <v>14</v>
          </cell>
          <cell r="E351">
            <v>9899.05812500001</v>
          </cell>
          <cell r="F351">
            <v>35.970775</v>
          </cell>
          <cell r="G351">
            <v>8358.99005000001</v>
          </cell>
        </row>
        <row r="352">
          <cell r="A352">
            <v>2006</v>
          </cell>
          <cell r="B352">
            <v>1</v>
          </cell>
          <cell r="C352">
            <v>15</v>
          </cell>
          <cell r="D352">
            <v>15</v>
          </cell>
          <cell r="E352">
            <v>9737.4359</v>
          </cell>
          <cell r="F352">
            <v>34.892625</v>
          </cell>
          <cell r="G352">
            <v>8205.12964999999</v>
          </cell>
        </row>
        <row r="353">
          <cell r="A353">
            <v>2006</v>
          </cell>
          <cell r="B353">
            <v>1</v>
          </cell>
          <cell r="C353">
            <v>15</v>
          </cell>
          <cell r="D353">
            <v>16</v>
          </cell>
          <cell r="E353">
            <v>9493.90072499998</v>
          </cell>
          <cell r="F353">
            <v>35.81205</v>
          </cell>
          <cell r="G353">
            <v>7998.13177500001</v>
          </cell>
        </row>
        <row r="354">
          <cell r="A354">
            <v>2006</v>
          </cell>
          <cell r="B354">
            <v>1</v>
          </cell>
          <cell r="C354">
            <v>15</v>
          </cell>
          <cell r="D354">
            <v>17</v>
          </cell>
          <cell r="E354">
            <v>9525.11799999999</v>
          </cell>
          <cell r="F354">
            <v>35.28035</v>
          </cell>
          <cell r="G354">
            <v>8005.27842500004</v>
          </cell>
        </row>
        <row r="355">
          <cell r="A355">
            <v>2006</v>
          </cell>
          <cell r="B355">
            <v>1</v>
          </cell>
          <cell r="C355">
            <v>15</v>
          </cell>
          <cell r="D355">
            <v>18</v>
          </cell>
          <cell r="E355">
            <v>9711.35014999999</v>
          </cell>
          <cell r="F355">
            <v>36.870875</v>
          </cell>
          <cell r="G355">
            <v>8228.91860000002</v>
          </cell>
        </row>
        <row r="356">
          <cell r="A356">
            <v>2006</v>
          </cell>
          <cell r="B356">
            <v>1</v>
          </cell>
          <cell r="C356">
            <v>15</v>
          </cell>
          <cell r="D356">
            <v>19</v>
          </cell>
          <cell r="E356">
            <v>10370.644175</v>
          </cell>
          <cell r="F356">
            <v>38.6388</v>
          </cell>
          <cell r="G356">
            <v>8901.64330000002</v>
          </cell>
        </row>
        <row r="357">
          <cell r="A357">
            <v>2006</v>
          </cell>
          <cell r="B357">
            <v>1</v>
          </cell>
          <cell r="C357">
            <v>15</v>
          </cell>
          <cell r="D357">
            <v>20</v>
          </cell>
          <cell r="E357">
            <v>10383.351575</v>
          </cell>
          <cell r="F357">
            <v>37.86955</v>
          </cell>
          <cell r="G357">
            <v>8925.81055</v>
          </cell>
        </row>
        <row r="358">
          <cell r="A358">
            <v>2006</v>
          </cell>
          <cell r="B358">
            <v>1</v>
          </cell>
          <cell r="C358">
            <v>15</v>
          </cell>
          <cell r="D358">
            <v>21</v>
          </cell>
          <cell r="E358">
            <v>10238.900275</v>
          </cell>
          <cell r="F358">
            <v>36.696425</v>
          </cell>
          <cell r="G358">
            <v>8725.24417500002</v>
          </cell>
        </row>
        <row r="359">
          <cell r="A359">
            <v>2006</v>
          </cell>
          <cell r="B359">
            <v>1</v>
          </cell>
          <cell r="C359">
            <v>15</v>
          </cell>
          <cell r="D359">
            <v>22</v>
          </cell>
          <cell r="E359">
            <v>9906.93007499999</v>
          </cell>
          <cell r="F359">
            <v>35.222375</v>
          </cell>
          <cell r="G359">
            <v>8395.40005000003</v>
          </cell>
        </row>
        <row r="361">
          <cell r="A361">
            <v>2006</v>
          </cell>
          <cell r="B361">
            <v>1</v>
          </cell>
          <cell r="C361">
            <v>15</v>
          </cell>
          <cell r="D361">
            <v>24</v>
          </cell>
          <cell r="E361">
            <v>8754.06012499999</v>
          </cell>
          <cell r="F361">
            <v>31.482825</v>
          </cell>
          <cell r="G361">
            <v>7360.46625</v>
          </cell>
        </row>
        <row r="362">
          <cell r="A362">
            <v>2006</v>
          </cell>
          <cell r="B362">
            <v>1</v>
          </cell>
          <cell r="C362">
            <v>16</v>
          </cell>
          <cell r="D362">
            <v>1</v>
          </cell>
          <cell r="E362">
            <v>8193.05465</v>
          </cell>
          <cell r="F362">
            <v>29.562275</v>
          </cell>
          <cell r="G362">
            <v>6855.52972500003</v>
          </cell>
        </row>
        <row r="363">
          <cell r="A363">
            <v>2006</v>
          </cell>
          <cell r="B363">
            <v>1</v>
          </cell>
          <cell r="C363">
            <v>16</v>
          </cell>
          <cell r="D363">
            <v>2</v>
          </cell>
          <cell r="E363">
            <v>7850.68152500001</v>
          </cell>
          <cell r="F363">
            <v>28.6986</v>
          </cell>
          <cell r="G363">
            <v>6566.49795000001</v>
          </cell>
        </row>
        <row r="364">
          <cell r="A364">
            <v>2006</v>
          </cell>
          <cell r="B364">
            <v>1</v>
          </cell>
          <cell r="C364">
            <v>16</v>
          </cell>
          <cell r="D364">
            <v>3</v>
          </cell>
          <cell r="E364">
            <v>7708.91294999998</v>
          </cell>
          <cell r="F364">
            <v>28.603525</v>
          </cell>
          <cell r="G364">
            <v>6438.11395</v>
          </cell>
        </row>
        <row r="365">
          <cell r="A365">
            <v>2006</v>
          </cell>
          <cell r="B365">
            <v>1</v>
          </cell>
          <cell r="C365">
            <v>16</v>
          </cell>
          <cell r="D365">
            <v>4</v>
          </cell>
          <cell r="E365">
            <v>7653.14837499999</v>
          </cell>
          <cell r="F365">
            <v>30.755575</v>
          </cell>
          <cell r="G365">
            <v>6416.62932500002</v>
          </cell>
        </row>
        <row r="366">
          <cell r="A366">
            <v>2006</v>
          </cell>
          <cell r="B366">
            <v>1</v>
          </cell>
          <cell r="C366">
            <v>16</v>
          </cell>
          <cell r="D366">
            <v>5</v>
          </cell>
          <cell r="E366">
            <v>7780.77225000001</v>
          </cell>
          <cell r="F366">
            <v>34.607825</v>
          </cell>
          <cell r="G366">
            <v>6523.35550000001</v>
          </cell>
        </row>
        <row r="367">
          <cell r="A367">
            <v>2006</v>
          </cell>
          <cell r="B367">
            <v>1</v>
          </cell>
          <cell r="C367">
            <v>16</v>
          </cell>
          <cell r="D367">
            <v>6</v>
          </cell>
          <cell r="E367">
            <v>8264.34124999998</v>
          </cell>
          <cell r="F367">
            <v>35.806175</v>
          </cell>
          <cell r="G367">
            <v>6974.67235000001</v>
          </cell>
        </row>
        <row r="368">
          <cell r="A368">
            <v>2006</v>
          </cell>
          <cell r="B368">
            <v>1</v>
          </cell>
          <cell r="C368">
            <v>16</v>
          </cell>
          <cell r="D368">
            <v>7</v>
          </cell>
          <cell r="E368">
            <v>9129.81645000003</v>
          </cell>
          <cell r="F368">
            <v>39.5818</v>
          </cell>
          <cell r="G368">
            <v>7763.34427500001</v>
          </cell>
        </row>
        <row r="369">
          <cell r="A369">
            <v>2006</v>
          </cell>
          <cell r="B369">
            <v>1</v>
          </cell>
          <cell r="C369">
            <v>16</v>
          </cell>
          <cell r="D369">
            <v>8</v>
          </cell>
          <cell r="E369">
            <v>10099.219825</v>
          </cell>
          <cell r="F369">
            <v>43.17375</v>
          </cell>
          <cell r="G369">
            <v>8488.76355000001</v>
          </cell>
        </row>
        <row r="370">
          <cell r="A370">
            <v>2006</v>
          </cell>
          <cell r="B370">
            <v>1</v>
          </cell>
          <cell r="C370">
            <v>16</v>
          </cell>
          <cell r="D370">
            <v>9</v>
          </cell>
          <cell r="E370">
            <v>10417.651925</v>
          </cell>
          <cell r="F370">
            <v>42.736625</v>
          </cell>
          <cell r="G370">
            <v>8798.29267500001</v>
          </cell>
        </row>
        <row r="371">
          <cell r="A371">
            <v>2006</v>
          </cell>
          <cell r="B371">
            <v>1</v>
          </cell>
          <cell r="C371">
            <v>16</v>
          </cell>
          <cell r="D371">
            <v>10</v>
          </cell>
          <cell r="E371">
            <v>10803.92145</v>
          </cell>
          <cell r="F371">
            <v>42.23605</v>
          </cell>
          <cell r="G371">
            <v>9061.81130000002</v>
          </cell>
        </row>
        <row r="372">
          <cell r="A372">
            <v>2006</v>
          </cell>
          <cell r="B372">
            <v>1</v>
          </cell>
          <cell r="C372">
            <v>16</v>
          </cell>
          <cell r="D372">
            <v>11</v>
          </cell>
          <cell r="E372">
            <v>11129.0247000001</v>
          </cell>
          <cell r="F372">
            <v>43.541925</v>
          </cell>
          <cell r="G372">
            <v>9323.546425</v>
          </cell>
        </row>
        <row r="373">
          <cell r="A373">
            <v>2006</v>
          </cell>
          <cell r="B373">
            <v>1</v>
          </cell>
          <cell r="C373">
            <v>16</v>
          </cell>
          <cell r="D373">
            <v>12</v>
          </cell>
          <cell r="E373">
            <v>11130.409725</v>
          </cell>
          <cell r="F373">
            <v>43.7177</v>
          </cell>
          <cell r="G373">
            <v>9466.23727500005</v>
          </cell>
        </row>
        <row r="374">
          <cell r="A374">
            <v>2006</v>
          </cell>
          <cell r="B374">
            <v>1</v>
          </cell>
          <cell r="C374">
            <v>16</v>
          </cell>
          <cell r="D374">
            <v>13</v>
          </cell>
          <cell r="E374">
            <v>10978.2638</v>
          </cell>
          <cell r="F374">
            <v>43.28945</v>
          </cell>
          <cell r="G374">
            <v>9374.28450000001</v>
          </cell>
        </row>
        <row r="375">
          <cell r="A375">
            <v>2006</v>
          </cell>
          <cell r="B375">
            <v>1</v>
          </cell>
          <cell r="C375">
            <v>16</v>
          </cell>
          <cell r="D375">
            <v>14</v>
          </cell>
          <cell r="E375">
            <v>10910.64515</v>
          </cell>
          <cell r="F375">
            <v>44.478575</v>
          </cell>
          <cell r="G375">
            <v>9265.79842500004</v>
          </cell>
        </row>
        <row r="376">
          <cell r="A376">
            <v>2006</v>
          </cell>
          <cell r="B376">
            <v>1</v>
          </cell>
          <cell r="C376">
            <v>16</v>
          </cell>
          <cell r="D376">
            <v>15</v>
          </cell>
          <cell r="E376">
            <v>10768.374625</v>
          </cell>
          <cell r="F376">
            <v>40.74045</v>
          </cell>
          <cell r="G376">
            <v>9131.94155000006</v>
          </cell>
        </row>
        <row r="377">
          <cell r="A377">
            <v>2006</v>
          </cell>
          <cell r="B377">
            <v>1</v>
          </cell>
          <cell r="C377">
            <v>16</v>
          </cell>
          <cell r="D377">
            <v>16</v>
          </cell>
          <cell r="E377">
            <v>10633.300275</v>
          </cell>
          <cell r="F377">
            <v>43.28885</v>
          </cell>
          <cell r="G377">
            <v>9041.31032500004</v>
          </cell>
        </row>
        <row r="378">
          <cell r="A378">
            <v>2006</v>
          </cell>
          <cell r="B378">
            <v>1</v>
          </cell>
          <cell r="C378">
            <v>16</v>
          </cell>
          <cell r="D378">
            <v>17</v>
          </cell>
          <cell r="E378">
            <v>10627.57665</v>
          </cell>
          <cell r="F378">
            <v>42.501775</v>
          </cell>
          <cell r="G378">
            <v>9024.18292500006</v>
          </cell>
        </row>
        <row r="379">
          <cell r="A379">
            <v>2006</v>
          </cell>
          <cell r="B379">
            <v>1</v>
          </cell>
          <cell r="C379">
            <v>16</v>
          </cell>
          <cell r="D379">
            <v>18</v>
          </cell>
          <cell r="E379">
            <v>10874.79895</v>
          </cell>
          <cell r="F379">
            <v>43.21365</v>
          </cell>
          <cell r="G379">
            <v>9301.38467500003</v>
          </cell>
        </row>
        <row r="380">
          <cell r="A380">
            <v>2006</v>
          </cell>
          <cell r="B380">
            <v>1</v>
          </cell>
          <cell r="C380">
            <v>16</v>
          </cell>
          <cell r="D380">
            <v>19</v>
          </cell>
          <cell r="E380">
            <v>11563.929375</v>
          </cell>
          <cell r="F380">
            <v>46.156175</v>
          </cell>
          <cell r="G380">
            <v>9944.21512500003</v>
          </cell>
        </row>
        <row r="381">
          <cell r="A381">
            <v>2006</v>
          </cell>
          <cell r="B381">
            <v>1</v>
          </cell>
          <cell r="C381">
            <v>16</v>
          </cell>
          <cell r="D381">
            <v>20</v>
          </cell>
          <cell r="E381">
            <v>11550.376025</v>
          </cell>
          <cell r="F381">
            <v>49.165</v>
          </cell>
          <cell r="G381">
            <v>9946.98062500002</v>
          </cell>
        </row>
        <row r="382">
          <cell r="A382">
            <v>2006</v>
          </cell>
          <cell r="B382">
            <v>1</v>
          </cell>
          <cell r="C382">
            <v>16</v>
          </cell>
          <cell r="D382">
            <v>21</v>
          </cell>
          <cell r="E382">
            <v>11437.9859</v>
          </cell>
          <cell r="F382">
            <v>44.18395</v>
          </cell>
          <cell r="G382">
            <v>9754.01840000005</v>
          </cell>
        </row>
        <row r="383">
          <cell r="A383">
            <v>2006</v>
          </cell>
          <cell r="B383">
            <v>1</v>
          </cell>
          <cell r="C383">
            <v>16</v>
          </cell>
          <cell r="D383">
            <v>22</v>
          </cell>
          <cell r="E383">
            <v>11031.85485</v>
          </cell>
          <cell r="F383">
            <v>43.54885</v>
          </cell>
          <cell r="G383">
            <v>9378.13252500003</v>
          </cell>
        </row>
        <row r="385">
          <cell r="A385">
            <v>2006</v>
          </cell>
          <cell r="B385">
            <v>1</v>
          </cell>
          <cell r="C385">
            <v>16</v>
          </cell>
          <cell r="D385">
            <v>24</v>
          </cell>
          <cell r="E385">
            <v>9536.32402499998</v>
          </cell>
          <cell r="F385">
            <v>41.13925</v>
          </cell>
          <cell r="G385">
            <v>8028.351025</v>
          </cell>
        </row>
        <row r="386">
          <cell r="A386">
            <v>2006</v>
          </cell>
          <cell r="B386">
            <v>1</v>
          </cell>
          <cell r="C386">
            <v>17</v>
          </cell>
          <cell r="D386">
            <v>1</v>
          </cell>
          <cell r="E386">
            <v>8925.579025</v>
          </cell>
          <cell r="F386">
            <v>36.153</v>
          </cell>
          <cell r="G386">
            <v>7528.70400000003</v>
          </cell>
        </row>
        <row r="387">
          <cell r="A387">
            <v>2006</v>
          </cell>
          <cell r="B387">
            <v>1</v>
          </cell>
          <cell r="C387">
            <v>17</v>
          </cell>
          <cell r="D387">
            <v>2</v>
          </cell>
          <cell r="E387">
            <v>8688.88389999998</v>
          </cell>
          <cell r="F387">
            <v>32.5528</v>
          </cell>
          <cell r="G387">
            <v>7345.02807500005</v>
          </cell>
        </row>
        <row r="388">
          <cell r="A388">
            <v>2006</v>
          </cell>
          <cell r="B388">
            <v>1</v>
          </cell>
          <cell r="C388">
            <v>17</v>
          </cell>
          <cell r="D388">
            <v>3</v>
          </cell>
          <cell r="E388">
            <v>8713.40265000002</v>
          </cell>
          <cell r="F388">
            <v>33.591625</v>
          </cell>
          <cell r="G388">
            <v>7371.30192500002</v>
          </cell>
        </row>
        <row r="389">
          <cell r="A389">
            <v>2006</v>
          </cell>
          <cell r="B389">
            <v>1</v>
          </cell>
          <cell r="C389">
            <v>17</v>
          </cell>
          <cell r="D389">
            <v>4</v>
          </cell>
          <cell r="E389">
            <v>8880.82132500001</v>
          </cell>
          <cell r="F389">
            <v>34.599175</v>
          </cell>
          <cell r="G389">
            <v>7527.19057500001</v>
          </cell>
        </row>
        <row r="390">
          <cell r="A390">
            <v>2006</v>
          </cell>
          <cell r="B390">
            <v>1</v>
          </cell>
          <cell r="C390">
            <v>17</v>
          </cell>
          <cell r="D390">
            <v>5</v>
          </cell>
          <cell r="E390">
            <v>9269.56087500003</v>
          </cell>
          <cell r="F390">
            <v>37.54375</v>
          </cell>
          <cell r="G390">
            <v>7859.80415000001</v>
          </cell>
        </row>
        <row r="391">
          <cell r="A391">
            <v>2006</v>
          </cell>
          <cell r="B391">
            <v>1</v>
          </cell>
          <cell r="C391">
            <v>17</v>
          </cell>
          <cell r="D391">
            <v>6</v>
          </cell>
          <cell r="E391">
            <v>10444.7024</v>
          </cell>
          <cell r="F391">
            <v>43.149225</v>
          </cell>
          <cell r="G391">
            <v>8748.71827500004</v>
          </cell>
        </row>
        <row r="392">
          <cell r="A392">
            <v>2006</v>
          </cell>
          <cell r="B392">
            <v>1</v>
          </cell>
          <cell r="C392">
            <v>17</v>
          </cell>
          <cell r="D392">
            <v>7</v>
          </cell>
          <cell r="E392">
            <v>12143.1573749999</v>
          </cell>
          <cell r="F392">
            <v>50.38915</v>
          </cell>
          <cell r="G392">
            <v>10282.4086</v>
          </cell>
        </row>
        <row r="393">
          <cell r="A393">
            <v>2006</v>
          </cell>
          <cell r="B393">
            <v>1</v>
          </cell>
          <cell r="C393">
            <v>17</v>
          </cell>
          <cell r="D393">
            <v>8</v>
          </cell>
          <cell r="E393">
            <v>13510.719225</v>
          </cell>
          <cell r="F393">
            <v>59.23485</v>
          </cell>
          <cell r="G393">
            <v>11562.934275</v>
          </cell>
        </row>
        <row r="394">
          <cell r="A394">
            <v>2006</v>
          </cell>
          <cell r="B394">
            <v>1</v>
          </cell>
          <cell r="C394">
            <v>17</v>
          </cell>
          <cell r="D394">
            <v>9</v>
          </cell>
          <cell r="E394">
            <v>13174.0804</v>
          </cell>
          <cell r="F394">
            <v>52.3953</v>
          </cell>
          <cell r="G394">
            <v>11240.045875</v>
          </cell>
        </row>
        <row r="395">
          <cell r="A395">
            <v>2006</v>
          </cell>
          <cell r="B395">
            <v>1</v>
          </cell>
          <cell r="C395">
            <v>17</v>
          </cell>
          <cell r="D395">
            <v>10</v>
          </cell>
          <cell r="E395">
            <v>12844.37405</v>
          </cell>
          <cell r="F395">
            <v>48.999125</v>
          </cell>
          <cell r="G395">
            <v>10921.8702</v>
          </cell>
        </row>
        <row r="396">
          <cell r="A396">
            <v>2006</v>
          </cell>
          <cell r="B396">
            <v>1</v>
          </cell>
          <cell r="C396">
            <v>17</v>
          </cell>
          <cell r="D396">
            <v>11</v>
          </cell>
          <cell r="E396">
            <v>12686.86505</v>
          </cell>
          <cell r="F396">
            <v>50.921125</v>
          </cell>
          <cell r="G396">
            <v>10785.421275</v>
          </cell>
        </row>
        <row r="397">
          <cell r="A397">
            <v>2006</v>
          </cell>
          <cell r="B397">
            <v>1</v>
          </cell>
          <cell r="C397">
            <v>17</v>
          </cell>
          <cell r="D397">
            <v>12</v>
          </cell>
          <cell r="E397">
            <v>12431.474975</v>
          </cell>
          <cell r="F397">
            <v>48.2732</v>
          </cell>
          <cell r="G397">
            <v>10587.358725</v>
          </cell>
        </row>
        <row r="398">
          <cell r="A398">
            <v>2006</v>
          </cell>
          <cell r="B398">
            <v>1</v>
          </cell>
          <cell r="C398">
            <v>17</v>
          </cell>
          <cell r="D398">
            <v>13</v>
          </cell>
          <cell r="E398">
            <v>12132.7299</v>
          </cell>
          <cell r="F398">
            <v>47.231225</v>
          </cell>
          <cell r="G398">
            <v>10326.06155</v>
          </cell>
        </row>
        <row r="399">
          <cell r="A399">
            <v>2006</v>
          </cell>
          <cell r="B399">
            <v>1</v>
          </cell>
          <cell r="C399">
            <v>17</v>
          </cell>
          <cell r="D399">
            <v>14</v>
          </cell>
          <cell r="E399">
            <v>11923.51005</v>
          </cell>
          <cell r="F399">
            <v>46.825875</v>
          </cell>
          <cell r="G399">
            <v>10103.5616250001</v>
          </cell>
        </row>
        <row r="400">
          <cell r="A400">
            <v>2006</v>
          </cell>
          <cell r="B400">
            <v>1</v>
          </cell>
          <cell r="C400">
            <v>17</v>
          </cell>
          <cell r="D400">
            <v>15</v>
          </cell>
          <cell r="E400">
            <v>11673.4071</v>
          </cell>
          <cell r="F400">
            <v>40.43005</v>
          </cell>
          <cell r="G400">
            <v>9828.77492500005</v>
          </cell>
        </row>
        <row r="401">
          <cell r="A401">
            <v>2006</v>
          </cell>
          <cell r="B401">
            <v>1</v>
          </cell>
          <cell r="C401">
            <v>17</v>
          </cell>
          <cell r="D401">
            <v>16</v>
          </cell>
          <cell r="E401">
            <v>11362.54265</v>
          </cell>
          <cell r="F401">
            <v>44.983525</v>
          </cell>
          <cell r="G401">
            <v>9603.47375000005</v>
          </cell>
        </row>
        <row r="402">
          <cell r="A402">
            <v>2006</v>
          </cell>
          <cell r="B402">
            <v>1</v>
          </cell>
          <cell r="C402">
            <v>17</v>
          </cell>
          <cell r="D402">
            <v>17</v>
          </cell>
          <cell r="E402">
            <v>11295.986825</v>
          </cell>
          <cell r="F402">
            <v>41.892925</v>
          </cell>
          <cell r="G402">
            <v>9568.48115000002</v>
          </cell>
        </row>
        <row r="403">
          <cell r="A403">
            <v>2006</v>
          </cell>
          <cell r="B403">
            <v>1</v>
          </cell>
          <cell r="C403">
            <v>17</v>
          </cell>
          <cell r="D403">
            <v>18</v>
          </cell>
          <cell r="E403">
            <v>11717.659075</v>
          </cell>
          <cell r="F403">
            <v>44.092525</v>
          </cell>
          <cell r="G403">
            <v>9900.18660000004</v>
          </cell>
        </row>
        <row r="404">
          <cell r="A404">
            <v>2006</v>
          </cell>
          <cell r="B404">
            <v>1</v>
          </cell>
          <cell r="C404">
            <v>17</v>
          </cell>
          <cell r="D404">
            <v>19</v>
          </cell>
          <cell r="E404">
            <v>12907.16715</v>
          </cell>
          <cell r="F404">
            <v>50.9774</v>
          </cell>
          <cell r="G404">
            <v>10987.700825</v>
          </cell>
        </row>
        <row r="405">
          <cell r="A405">
            <v>2006</v>
          </cell>
          <cell r="B405">
            <v>1</v>
          </cell>
          <cell r="C405">
            <v>17</v>
          </cell>
          <cell r="D405">
            <v>20</v>
          </cell>
          <cell r="E405">
            <v>13257.172625</v>
          </cell>
          <cell r="F405">
            <v>51.93125</v>
          </cell>
          <cell r="G405">
            <v>11333.25575</v>
          </cell>
        </row>
        <row r="406">
          <cell r="A406">
            <v>2006</v>
          </cell>
          <cell r="B406">
            <v>1</v>
          </cell>
          <cell r="C406">
            <v>17</v>
          </cell>
          <cell r="D406">
            <v>21</v>
          </cell>
          <cell r="E406">
            <v>13153.3031</v>
          </cell>
          <cell r="F406">
            <v>53.785525</v>
          </cell>
          <cell r="G406">
            <v>11309.566775</v>
          </cell>
        </row>
        <row r="407">
          <cell r="A407">
            <v>2006</v>
          </cell>
          <cell r="B407">
            <v>1</v>
          </cell>
          <cell r="C407">
            <v>17</v>
          </cell>
          <cell r="D407">
            <v>22</v>
          </cell>
          <cell r="E407">
            <v>12747.0807</v>
          </cell>
          <cell r="F407">
            <v>54.4769</v>
          </cell>
          <cell r="G407">
            <v>11090.213725</v>
          </cell>
        </row>
        <row r="409">
          <cell r="A409">
            <v>2006</v>
          </cell>
          <cell r="B409">
            <v>1</v>
          </cell>
          <cell r="C409">
            <v>17</v>
          </cell>
          <cell r="D409">
            <v>24</v>
          </cell>
          <cell r="E409">
            <v>11374.4456</v>
          </cell>
          <cell r="F409">
            <v>50.84125</v>
          </cell>
          <cell r="G409">
            <v>9659.61360000003</v>
          </cell>
        </row>
        <row r="410">
          <cell r="A410">
            <v>2006</v>
          </cell>
          <cell r="B410">
            <v>1</v>
          </cell>
          <cell r="C410">
            <v>18</v>
          </cell>
          <cell r="D410">
            <v>1</v>
          </cell>
          <cell r="E410">
            <v>10849.390175</v>
          </cell>
          <cell r="F410">
            <v>44.872775</v>
          </cell>
          <cell r="G410">
            <v>9080.4705</v>
          </cell>
        </row>
        <row r="411">
          <cell r="A411">
            <v>2006</v>
          </cell>
          <cell r="B411">
            <v>1</v>
          </cell>
          <cell r="C411">
            <v>18</v>
          </cell>
          <cell r="D411">
            <v>2</v>
          </cell>
          <cell r="E411">
            <v>10576.47355</v>
          </cell>
          <cell r="F411">
            <v>43.384725</v>
          </cell>
          <cell r="G411">
            <v>8876.99952499997</v>
          </cell>
        </row>
        <row r="412">
          <cell r="A412">
            <v>2006</v>
          </cell>
          <cell r="B412">
            <v>1</v>
          </cell>
          <cell r="C412">
            <v>18</v>
          </cell>
          <cell r="D412">
            <v>3</v>
          </cell>
          <cell r="E412">
            <v>10470.30445</v>
          </cell>
          <cell r="F412">
            <v>43.762925</v>
          </cell>
          <cell r="G412">
            <v>8807.7586</v>
          </cell>
        </row>
        <row r="413">
          <cell r="A413">
            <v>2006</v>
          </cell>
          <cell r="B413">
            <v>1</v>
          </cell>
          <cell r="C413">
            <v>18</v>
          </cell>
          <cell r="D413">
            <v>4</v>
          </cell>
          <cell r="E413">
            <v>10529.688075</v>
          </cell>
          <cell r="F413">
            <v>43.972275</v>
          </cell>
          <cell r="G413">
            <v>8832.48434999996</v>
          </cell>
        </row>
        <row r="414">
          <cell r="A414">
            <v>2006</v>
          </cell>
          <cell r="B414">
            <v>1</v>
          </cell>
          <cell r="C414">
            <v>18</v>
          </cell>
          <cell r="D414">
            <v>5</v>
          </cell>
          <cell r="E414">
            <v>10745.919925</v>
          </cell>
          <cell r="F414">
            <v>46.060725</v>
          </cell>
          <cell r="G414">
            <v>9073.54052500001</v>
          </cell>
        </row>
        <row r="415">
          <cell r="A415">
            <v>2006</v>
          </cell>
          <cell r="B415">
            <v>1</v>
          </cell>
          <cell r="C415">
            <v>18</v>
          </cell>
          <cell r="D415">
            <v>6</v>
          </cell>
          <cell r="E415">
            <v>11596.097725</v>
          </cell>
          <cell r="F415">
            <v>49.413875</v>
          </cell>
          <cell r="G415">
            <v>9819.29694999996</v>
          </cell>
        </row>
        <row r="416">
          <cell r="A416">
            <v>2006</v>
          </cell>
          <cell r="B416">
            <v>1</v>
          </cell>
          <cell r="C416">
            <v>18</v>
          </cell>
          <cell r="D416">
            <v>7</v>
          </cell>
          <cell r="E416">
            <v>13095.892775</v>
          </cell>
          <cell r="F416">
            <v>58.539425</v>
          </cell>
          <cell r="G416">
            <v>11166.88805</v>
          </cell>
        </row>
        <row r="417">
          <cell r="A417">
            <v>2006</v>
          </cell>
          <cell r="B417">
            <v>1</v>
          </cell>
          <cell r="C417">
            <v>18</v>
          </cell>
          <cell r="D417">
            <v>8</v>
          </cell>
          <cell r="E417">
            <v>14161.16765</v>
          </cell>
          <cell r="F417">
            <v>65.0466</v>
          </cell>
          <cell r="G417">
            <v>12131.4824</v>
          </cell>
        </row>
        <row r="418">
          <cell r="A418">
            <v>2006</v>
          </cell>
          <cell r="B418">
            <v>1</v>
          </cell>
          <cell r="C418">
            <v>18</v>
          </cell>
          <cell r="D418">
            <v>9</v>
          </cell>
          <cell r="E418">
            <v>13503.689625</v>
          </cell>
          <cell r="F418">
            <v>59.671475</v>
          </cell>
          <cell r="G418">
            <v>11535.621625</v>
          </cell>
        </row>
        <row r="419">
          <cell r="A419">
            <v>2006</v>
          </cell>
          <cell r="B419">
            <v>1</v>
          </cell>
          <cell r="C419">
            <v>18</v>
          </cell>
          <cell r="D419">
            <v>10</v>
          </cell>
          <cell r="E419">
            <v>12777.050975</v>
          </cell>
          <cell r="F419">
            <v>55.41525</v>
          </cell>
          <cell r="G419">
            <v>10860.4775000001</v>
          </cell>
        </row>
        <row r="420">
          <cell r="A420">
            <v>2006</v>
          </cell>
          <cell r="B420">
            <v>1</v>
          </cell>
          <cell r="C420">
            <v>18</v>
          </cell>
          <cell r="D420">
            <v>11</v>
          </cell>
          <cell r="E420">
            <v>12268.0655</v>
          </cell>
          <cell r="F420">
            <v>50.814325</v>
          </cell>
          <cell r="G420">
            <v>10408.3339500001</v>
          </cell>
        </row>
        <row r="421">
          <cell r="A421">
            <v>2006</v>
          </cell>
          <cell r="B421">
            <v>1</v>
          </cell>
          <cell r="C421">
            <v>18</v>
          </cell>
          <cell r="D421">
            <v>12</v>
          </cell>
          <cell r="E421">
            <v>11738.3490499999</v>
          </cell>
          <cell r="F421">
            <v>46.21035</v>
          </cell>
          <cell r="G421">
            <v>9934.99637500005</v>
          </cell>
        </row>
        <row r="422">
          <cell r="A422">
            <v>2006</v>
          </cell>
          <cell r="B422">
            <v>1</v>
          </cell>
          <cell r="C422">
            <v>18</v>
          </cell>
          <cell r="D422">
            <v>13</v>
          </cell>
          <cell r="E422">
            <v>11283.9419</v>
          </cell>
          <cell r="F422">
            <v>45.13175</v>
          </cell>
          <cell r="G422">
            <v>9558.92002500006</v>
          </cell>
        </row>
        <row r="423">
          <cell r="A423">
            <v>2006</v>
          </cell>
          <cell r="B423">
            <v>1</v>
          </cell>
          <cell r="C423">
            <v>18</v>
          </cell>
          <cell r="D423">
            <v>14</v>
          </cell>
          <cell r="E423">
            <v>10987.92665</v>
          </cell>
          <cell r="F423">
            <v>42.239325</v>
          </cell>
          <cell r="G423">
            <v>9290.08600000002</v>
          </cell>
        </row>
        <row r="424">
          <cell r="A424">
            <v>2006</v>
          </cell>
          <cell r="B424">
            <v>1</v>
          </cell>
          <cell r="C424">
            <v>18</v>
          </cell>
          <cell r="D424">
            <v>15</v>
          </cell>
          <cell r="E424">
            <v>10791.825375</v>
          </cell>
          <cell r="F424">
            <v>38.929075</v>
          </cell>
          <cell r="G424">
            <v>9124.30340000004</v>
          </cell>
        </row>
        <row r="425">
          <cell r="A425">
            <v>2006</v>
          </cell>
          <cell r="B425">
            <v>1</v>
          </cell>
          <cell r="C425">
            <v>18</v>
          </cell>
          <cell r="D425">
            <v>16</v>
          </cell>
          <cell r="E425">
            <v>10604.52845</v>
          </cell>
          <cell r="F425">
            <v>41.043775</v>
          </cell>
          <cell r="G425">
            <v>8995.66240000004</v>
          </cell>
        </row>
        <row r="426">
          <cell r="A426">
            <v>2006</v>
          </cell>
          <cell r="B426">
            <v>1</v>
          </cell>
          <cell r="C426">
            <v>18</v>
          </cell>
          <cell r="D426">
            <v>17</v>
          </cell>
          <cell r="E426">
            <v>10559.4143250001</v>
          </cell>
          <cell r="F426">
            <v>39.323075</v>
          </cell>
          <cell r="G426">
            <v>8948.34347500002</v>
          </cell>
        </row>
        <row r="427">
          <cell r="A427">
            <v>2006</v>
          </cell>
          <cell r="B427">
            <v>1</v>
          </cell>
          <cell r="C427">
            <v>18</v>
          </cell>
          <cell r="D427">
            <v>18</v>
          </cell>
          <cell r="E427">
            <v>10663.0835749999</v>
          </cell>
          <cell r="F427">
            <v>43.015125</v>
          </cell>
          <cell r="G427">
            <v>9053.54724999999</v>
          </cell>
        </row>
        <row r="428">
          <cell r="A428">
            <v>2006</v>
          </cell>
          <cell r="B428">
            <v>1</v>
          </cell>
          <cell r="C428">
            <v>18</v>
          </cell>
          <cell r="D428">
            <v>19</v>
          </cell>
          <cell r="E428">
            <v>11439.996775</v>
          </cell>
          <cell r="F428">
            <v>43.017375</v>
          </cell>
          <cell r="G428">
            <v>9787.7688749999</v>
          </cell>
        </row>
        <row r="429">
          <cell r="A429">
            <v>2006</v>
          </cell>
          <cell r="B429">
            <v>1</v>
          </cell>
          <cell r="C429">
            <v>18</v>
          </cell>
          <cell r="D429">
            <v>20</v>
          </cell>
          <cell r="E429">
            <v>11629.2695</v>
          </cell>
          <cell r="F429">
            <v>43.75165</v>
          </cell>
          <cell r="G429">
            <v>9948.33834999999</v>
          </cell>
        </row>
        <row r="430">
          <cell r="A430">
            <v>2006</v>
          </cell>
          <cell r="B430">
            <v>1</v>
          </cell>
          <cell r="C430">
            <v>18</v>
          </cell>
          <cell r="D430">
            <v>21</v>
          </cell>
          <cell r="E430">
            <v>11460.69885</v>
          </cell>
          <cell r="F430">
            <v>44.592575</v>
          </cell>
          <cell r="G430">
            <v>9800.92594999998</v>
          </cell>
        </row>
        <row r="431">
          <cell r="A431">
            <v>2006</v>
          </cell>
          <cell r="B431">
            <v>1</v>
          </cell>
          <cell r="C431">
            <v>18</v>
          </cell>
          <cell r="D431">
            <v>22</v>
          </cell>
          <cell r="E431">
            <v>10967.456575</v>
          </cell>
          <cell r="F431">
            <v>43.57845</v>
          </cell>
          <cell r="G431">
            <v>9478.38992500004</v>
          </cell>
        </row>
        <row r="433">
          <cell r="A433">
            <v>2006</v>
          </cell>
          <cell r="B433">
            <v>1</v>
          </cell>
          <cell r="C433">
            <v>18</v>
          </cell>
          <cell r="D433">
            <v>24</v>
          </cell>
          <cell r="E433">
            <v>9505.17762499998</v>
          </cell>
          <cell r="F433">
            <v>41.147325</v>
          </cell>
          <cell r="G433">
            <v>7940.76712500001</v>
          </cell>
        </row>
        <row r="434">
          <cell r="A434">
            <v>2006</v>
          </cell>
          <cell r="B434">
            <v>1</v>
          </cell>
          <cell r="C434">
            <v>19</v>
          </cell>
          <cell r="D434">
            <v>1</v>
          </cell>
          <cell r="E434">
            <v>8769.40674999999</v>
          </cell>
          <cell r="F434">
            <v>35.268875</v>
          </cell>
          <cell r="G434">
            <v>7348.64422500001</v>
          </cell>
        </row>
        <row r="435">
          <cell r="A435">
            <v>2006</v>
          </cell>
          <cell r="B435">
            <v>1</v>
          </cell>
          <cell r="C435">
            <v>19</v>
          </cell>
          <cell r="D435">
            <v>2</v>
          </cell>
          <cell r="E435">
            <v>8458.74827499997</v>
          </cell>
          <cell r="F435">
            <v>32.71725</v>
          </cell>
          <cell r="G435">
            <v>7040.21512500006</v>
          </cell>
        </row>
        <row r="436">
          <cell r="A436">
            <v>2006</v>
          </cell>
          <cell r="B436">
            <v>1</v>
          </cell>
          <cell r="C436">
            <v>19</v>
          </cell>
          <cell r="D436">
            <v>3</v>
          </cell>
          <cell r="E436">
            <v>8324.33079999999</v>
          </cell>
          <cell r="F436">
            <v>32.87365</v>
          </cell>
          <cell r="G436">
            <v>6910.78825000002</v>
          </cell>
        </row>
        <row r="437">
          <cell r="A437">
            <v>2006</v>
          </cell>
          <cell r="B437">
            <v>1</v>
          </cell>
          <cell r="C437">
            <v>19</v>
          </cell>
          <cell r="D437">
            <v>4</v>
          </cell>
          <cell r="E437">
            <v>8255.00064999998</v>
          </cell>
          <cell r="F437">
            <v>32.6209</v>
          </cell>
          <cell r="G437">
            <v>6889.51452500004</v>
          </cell>
        </row>
        <row r="438">
          <cell r="A438">
            <v>2006</v>
          </cell>
          <cell r="B438">
            <v>1</v>
          </cell>
          <cell r="C438">
            <v>19</v>
          </cell>
          <cell r="D438">
            <v>5</v>
          </cell>
          <cell r="E438">
            <v>8412.63897499996</v>
          </cell>
          <cell r="F438">
            <v>34.18155</v>
          </cell>
          <cell r="G438">
            <v>7053.81025000007</v>
          </cell>
        </row>
        <row r="439">
          <cell r="A439">
            <v>2006</v>
          </cell>
          <cell r="B439">
            <v>1</v>
          </cell>
          <cell r="C439">
            <v>19</v>
          </cell>
          <cell r="D439">
            <v>6</v>
          </cell>
          <cell r="E439">
            <v>9085.777275</v>
          </cell>
          <cell r="F439">
            <v>36.54925</v>
          </cell>
          <cell r="G439">
            <v>7639.86682500004</v>
          </cell>
        </row>
        <row r="440">
          <cell r="A440">
            <v>2006</v>
          </cell>
          <cell r="B440">
            <v>1</v>
          </cell>
          <cell r="C440">
            <v>19</v>
          </cell>
          <cell r="D440">
            <v>7</v>
          </cell>
          <cell r="E440">
            <v>10502.242375</v>
          </cell>
          <cell r="F440">
            <v>42.54355</v>
          </cell>
          <cell r="G440">
            <v>8883.09177500001</v>
          </cell>
        </row>
        <row r="441">
          <cell r="A441">
            <v>2006</v>
          </cell>
          <cell r="B441">
            <v>1</v>
          </cell>
          <cell r="C441">
            <v>19</v>
          </cell>
          <cell r="D441">
            <v>8</v>
          </cell>
          <cell r="E441">
            <v>11538.505975</v>
          </cell>
          <cell r="F441">
            <v>49.177225</v>
          </cell>
          <cell r="G441">
            <v>9883.74272500001</v>
          </cell>
        </row>
        <row r="442">
          <cell r="A442">
            <v>2006</v>
          </cell>
          <cell r="B442">
            <v>1</v>
          </cell>
          <cell r="C442">
            <v>19</v>
          </cell>
          <cell r="D442">
            <v>9</v>
          </cell>
          <cell r="E442">
            <v>11209.94135</v>
          </cell>
          <cell r="F442">
            <v>46.7187</v>
          </cell>
          <cell r="G442">
            <v>9529.44785</v>
          </cell>
        </row>
        <row r="443">
          <cell r="A443">
            <v>2006</v>
          </cell>
          <cell r="B443">
            <v>1</v>
          </cell>
          <cell r="C443">
            <v>19</v>
          </cell>
          <cell r="D443">
            <v>10</v>
          </cell>
          <cell r="E443">
            <v>11049.233975</v>
          </cell>
          <cell r="F443">
            <v>44.89505</v>
          </cell>
          <cell r="G443">
            <v>9300.77477500005</v>
          </cell>
        </row>
        <row r="444">
          <cell r="A444">
            <v>2006</v>
          </cell>
          <cell r="B444">
            <v>1</v>
          </cell>
          <cell r="C444">
            <v>19</v>
          </cell>
          <cell r="D444">
            <v>11</v>
          </cell>
          <cell r="E444">
            <v>10983.189075</v>
          </cell>
          <cell r="F444">
            <v>46.44035</v>
          </cell>
          <cell r="G444">
            <v>9264.74407500006</v>
          </cell>
        </row>
        <row r="445">
          <cell r="A445">
            <v>2006</v>
          </cell>
          <cell r="B445">
            <v>1</v>
          </cell>
          <cell r="C445">
            <v>19</v>
          </cell>
          <cell r="D445">
            <v>12</v>
          </cell>
          <cell r="E445">
            <v>9077.80060000002</v>
          </cell>
          <cell r="F445">
            <v>39.517975</v>
          </cell>
          <cell r="G445">
            <v>7666.84537500002</v>
          </cell>
        </row>
        <row r="446">
          <cell r="A446">
            <v>2006</v>
          </cell>
          <cell r="B446">
            <v>1</v>
          </cell>
          <cell r="C446">
            <v>19</v>
          </cell>
          <cell r="D446">
            <v>13</v>
          </cell>
          <cell r="E446">
            <v>8643.57730000001</v>
          </cell>
          <cell r="F446">
            <v>33.1187</v>
          </cell>
          <cell r="G446">
            <v>7176.2905</v>
          </cell>
        </row>
        <row r="447">
          <cell r="A447">
            <v>2006</v>
          </cell>
          <cell r="B447">
            <v>1</v>
          </cell>
          <cell r="C447">
            <v>19</v>
          </cell>
          <cell r="D447">
            <v>14</v>
          </cell>
          <cell r="E447">
            <v>7210.61307500002</v>
          </cell>
          <cell r="F447">
            <v>27.194075</v>
          </cell>
          <cell r="G447">
            <v>6189.549825</v>
          </cell>
        </row>
        <row r="448">
          <cell r="A448">
            <v>2006</v>
          </cell>
          <cell r="B448">
            <v>1</v>
          </cell>
          <cell r="C448">
            <v>19</v>
          </cell>
          <cell r="D448">
            <v>15</v>
          </cell>
          <cell r="E448">
            <v>7917.144525</v>
          </cell>
          <cell r="F448">
            <v>28.637975</v>
          </cell>
          <cell r="G448">
            <v>6443.1036</v>
          </cell>
        </row>
        <row r="449">
          <cell r="A449">
            <v>2006</v>
          </cell>
          <cell r="B449">
            <v>1</v>
          </cell>
          <cell r="C449">
            <v>19</v>
          </cell>
          <cell r="D449">
            <v>16</v>
          </cell>
          <cell r="E449">
            <v>9509.99872500003</v>
          </cell>
          <cell r="F449">
            <v>42.081425</v>
          </cell>
          <cell r="G449">
            <v>7825.28137500003</v>
          </cell>
        </row>
        <row r="450">
          <cell r="A450">
            <v>2006</v>
          </cell>
          <cell r="B450">
            <v>1</v>
          </cell>
          <cell r="C450">
            <v>19</v>
          </cell>
          <cell r="D450">
            <v>17</v>
          </cell>
          <cell r="E450">
            <v>10513.6591</v>
          </cell>
          <cell r="F450">
            <v>44.580575</v>
          </cell>
          <cell r="G450">
            <v>8934.77947500002</v>
          </cell>
        </row>
        <row r="451">
          <cell r="A451">
            <v>2006</v>
          </cell>
          <cell r="B451">
            <v>1</v>
          </cell>
          <cell r="C451">
            <v>19</v>
          </cell>
          <cell r="D451">
            <v>18</v>
          </cell>
          <cell r="E451">
            <v>9091.39025000002</v>
          </cell>
          <cell r="F451">
            <v>40.878675</v>
          </cell>
          <cell r="G451">
            <v>7643.3607</v>
          </cell>
        </row>
        <row r="452">
          <cell r="A452">
            <v>2006</v>
          </cell>
          <cell r="B452">
            <v>1</v>
          </cell>
          <cell r="C452">
            <v>19</v>
          </cell>
          <cell r="D452">
            <v>19</v>
          </cell>
          <cell r="E452">
            <v>10195.454425</v>
          </cell>
          <cell r="F452">
            <v>32.385375</v>
          </cell>
          <cell r="G452">
            <v>8522.6568</v>
          </cell>
        </row>
        <row r="453">
          <cell r="A453">
            <v>2006</v>
          </cell>
          <cell r="B453">
            <v>1</v>
          </cell>
          <cell r="C453">
            <v>19</v>
          </cell>
          <cell r="D453">
            <v>20</v>
          </cell>
          <cell r="E453">
            <v>8311.712425</v>
          </cell>
          <cell r="F453">
            <v>27.74275</v>
          </cell>
          <cell r="G453">
            <v>7120.09697500004</v>
          </cell>
        </row>
        <row r="454">
          <cell r="A454">
            <v>2006</v>
          </cell>
          <cell r="B454">
            <v>1</v>
          </cell>
          <cell r="C454">
            <v>19</v>
          </cell>
          <cell r="D454">
            <v>21</v>
          </cell>
          <cell r="E454">
            <v>9999.24177500003</v>
          </cell>
          <cell r="F454">
            <v>33.761475</v>
          </cell>
          <cell r="G454">
            <v>8368.48905</v>
          </cell>
        </row>
        <row r="455">
          <cell r="A455">
            <v>2006</v>
          </cell>
          <cell r="B455">
            <v>1</v>
          </cell>
          <cell r="C455">
            <v>19</v>
          </cell>
          <cell r="D455">
            <v>22</v>
          </cell>
          <cell r="E455">
            <v>5798.289125</v>
          </cell>
          <cell r="F455">
            <v>16.558425</v>
          </cell>
          <cell r="G455">
            <v>4793.07302500001</v>
          </cell>
        </row>
        <row r="457">
          <cell r="A457">
            <v>2006</v>
          </cell>
          <cell r="B457">
            <v>1</v>
          </cell>
          <cell r="C457">
            <v>19</v>
          </cell>
          <cell r="D457">
            <v>24</v>
          </cell>
          <cell r="E457">
            <v>9112.62075000004</v>
          </cell>
          <cell r="F457">
            <v>35.602175</v>
          </cell>
          <cell r="G457">
            <v>7648.42165000005</v>
          </cell>
        </row>
        <row r="458">
          <cell r="A458">
            <v>2006</v>
          </cell>
          <cell r="B458">
            <v>1</v>
          </cell>
          <cell r="C458">
            <v>20</v>
          </cell>
          <cell r="D458">
            <v>1</v>
          </cell>
          <cell r="E458">
            <v>8415.79052500003</v>
          </cell>
          <cell r="F458">
            <v>35.56355</v>
          </cell>
          <cell r="G458">
            <v>7044.30489999996</v>
          </cell>
        </row>
        <row r="459">
          <cell r="A459">
            <v>2006</v>
          </cell>
          <cell r="B459">
            <v>1</v>
          </cell>
          <cell r="C459">
            <v>20</v>
          </cell>
          <cell r="D459">
            <v>2</v>
          </cell>
          <cell r="E459">
            <v>8068.61790000002</v>
          </cell>
          <cell r="F459">
            <v>31.06515</v>
          </cell>
          <cell r="G459">
            <v>6691.95157500003</v>
          </cell>
        </row>
        <row r="460">
          <cell r="A460">
            <v>2006</v>
          </cell>
          <cell r="B460">
            <v>1</v>
          </cell>
          <cell r="C460">
            <v>20</v>
          </cell>
          <cell r="D460">
            <v>3</v>
          </cell>
          <cell r="E460">
            <v>7926.64715000001</v>
          </cell>
          <cell r="F460">
            <v>33.032325</v>
          </cell>
          <cell r="G460">
            <v>6487.28475000001</v>
          </cell>
        </row>
        <row r="461">
          <cell r="A461">
            <v>2006</v>
          </cell>
          <cell r="B461">
            <v>1</v>
          </cell>
          <cell r="C461">
            <v>20</v>
          </cell>
          <cell r="D461">
            <v>4</v>
          </cell>
          <cell r="E461">
            <v>7845.19032500001</v>
          </cell>
          <cell r="F461">
            <v>34.021675</v>
          </cell>
          <cell r="G461">
            <v>6439.96250000002</v>
          </cell>
        </row>
        <row r="462">
          <cell r="A462">
            <v>2006</v>
          </cell>
          <cell r="B462">
            <v>1</v>
          </cell>
          <cell r="C462">
            <v>20</v>
          </cell>
          <cell r="D462">
            <v>5</v>
          </cell>
          <cell r="E462">
            <v>7944.98154999997</v>
          </cell>
          <cell r="F462">
            <v>35.340025</v>
          </cell>
          <cell r="G462">
            <v>6576.02170000001</v>
          </cell>
        </row>
        <row r="463">
          <cell r="A463">
            <v>2006</v>
          </cell>
          <cell r="B463">
            <v>1</v>
          </cell>
          <cell r="C463">
            <v>20</v>
          </cell>
          <cell r="D463">
            <v>6</v>
          </cell>
          <cell r="E463">
            <v>8531.80757499999</v>
          </cell>
          <cell r="F463">
            <v>38.2557</v>
          </cell>
          <cell r="G463">
            <v>7096.13960000006</v>
          </cell>
        </row>
        <row r="464">
          <cell r="A464">
            <v>2006</v>
          </cell>
          <cell r="B464">
            <v>1</v>
          </cell>
          <cell r="C464">
            <v>20</v>
          </cell>
          <cell r="D464">
            <v>7</v>
          </cell>
          <cell r="E464">
            <v>9759.01275000001</v>
          </cell>
          <cell r="F464">
            <v>41.328725</v>
          </cell>
          <cell r="G464">
            <v>8244.74619999999</v>
          </cell>
        </row>
        <row r="465">
          <cell r="A465">
            <v>2006</v>
          </cell>
          <cell r="B465">
            <v>1</v>
          </cell>
          <cell r="C465">
            <v>20</v>
          </cell>
          <cell r="D465">
            <v>8</v>
          </cell>
          <cell r="E465">
            <v>10940.769075</v>
          </cell>
          <cell r="F465">
            <v>49.018275</v>
          </cell>
          <cell r="G465">
            <v>9280.24695000002</v>
          </cell>
        </row>
        <row r="466">
          <cell r="A466">
            <v>2006</v>
          </cell>
          <cell r="B466">
            <v>1</v>
          </cell>
          <cell r="C466">
            <v>20</v>
          </cell>
          <cell r="D466">
            <v>9</v>
          </cell>
          <cell r="E466">
            <v>10846.71765</v>
          </cell>
          <cell r="F466">
            <v>48.98675</v>
          </cell>
          <cell r="G466">
            <v>9182.31345000001</v>
          </cell>
        </row>
        <row r="467">
          <cell r="A467">
            <v>2006</v>
          </cell>
          <cell r="B467">
            <v>1</v>
          </cell>
          <cell r="C467">
            <v>20</v>
          </cell>
          <cell r="D467">
            <v>10</v>
          </cell>
          <cell r="E467">
            <v>10797.823475</v>
          </cell>
          <cell r="F467">
            <v>47.7092</v>
          </cell>
          <cell r="G467">
            <v>9130.47612499996</v>
          </cell>
        </row>
        <row r="468">
          <cell r="A468">
            <v>2006</v>
          </cell>
          <cell r="B468">
            <v>1</v>
          </cell>
          <cell r="C468">
            <v>20</v>
          </cell>
          <cell r="D468">
            <v>11</v>
          </cell>
          <cell r="E468">
            <v>4003.2141</v>
          </cell>
          <cell r="F468">
            <v>0.67365</v>
          </cell>
          <cell r="G468">
            <v>6087.46137500003</v>
          </cell>
        </row>
        <row r="469">
          <cell r="A469">
            <v>2006</v>
          </cell>
          <cell r="B469">
            <v>1</v>
          </cell>
          <cell r="C469">
            <v>20</v>
          </cell>
          <cell r="D469">
            <v>12</v>
          </cell>
          <cell r="E469">
            <v>10872.104125</v>
          </cell>
          <cell r="F469">
            <v>49.78105</v>
          </cell>
          <cell r="G469">
            <v>9222.02615000006</v>
          </cell>
        </row>
        <row r="470">
          <cell r="A470">
            <v>2006</v>
          </cell>
          <cell r="B470">
            <v>1</v>
          </cell>
          <cell r="C470">
            <v>20</v>
          </cell>
          <cell r="D470">
            <v>13</v>
          </cell>
          <cell r="E470">
            <v>10771.84835</v>
          </cell>
          <cell r="F470">
            <v>45.169</v>
          </cell>
          <cell r="G470">
            <v>9136.8677</v>
          </cell>
        </row>
        <row r="471">
          <cell r="A471">
            <v>2006</v>
          </cell>
          <cell r="B471">
            <v>1</v>
          </cell>
          <cell r="C471">
            <v>20</v>
          </cell>
          <cell r="D471">
            <v>14</v>
          </cell>
          <cell r="E471">
            <v>10778.010175</v>
          </cell>
          <cell r="F471">
            <v>44.69595</v>
          </cell>
          <cell r="G471">
            <v>9155.56475000003</v>
          </cell>
        </row>
        <row r="472">
          <cell r="A472">
            <v>2006</v>
          </cell>
          <cell r="B472">
            <v>1</v>
          </cell>
          <cell r="C472">
            <v>20</v>
          </cell>
          <cell r="D472">
            <v>15</v>
          </cell>
          <cell r="E472">
            <v>10341.35475</v>
          </cell>
          <cell r="F472">
            <v>37.592425</v>
          </cell>
          <cell r="G472">
            <v>8692.56582500002</v>
          </cell>
        </row>
        <row r="473">
          <cell r="A473">
            <v>2006</v>
          </cell>
          <cell r="B473">
            <v>1</v>
          </cell>
          <cell r="C473">
            <v>20</v>
          </cell>
          <cell r="D473">
            <v>16</v>
          </cell>
          <cell r="E473">
            <v>10186.2555</v>
          </cell>
          <cell r="F473">
            <v>39.754925</v>
          </cell>
          <cell r="G473">
            <v>8619.075425</v>
          </cell>
        </row>
        <row r="474">
          <cell r="A474">
            <v>2006</v>
          </cell>
          <cell r="B474">
            <v>1</v>
          </cell>
          <cell r="C474">
            <v>20</v>
          </cell>
          <cell r="D474">
            <v>17</v>
          </cell>
          <cell r="E474">
            <v>10504.445175</v>
          </cell>
          <cell r="F474">
            <v>44.61405</v>
          </cell>
          <cell r="G474">
            <v>8863.08737499998</v>
          </cell>
        </row>
        <row r="475">
          <cell r="A475">
            <v>2006</v>
          </cell>
          <cell r="B475">
            <v>1</v>
          </cell>
          <cell r="C475">
            <v>20</v>
          </cell>
          <cell r="D475">
            <v>18</v>
          </cell>
          <cell r="E475">
            <v>10400.55325</v>
          </cell>
          <cell r="F475">
            <v>44.38895</v>
          </cell>
          <cell r="G475">
            <v>8781.72685000003</v>
          </cell>
        </row>
        <row r="476">
          <cell r="A476">
            <v>2006</v>
          </cell>
          <cell r="B476">
            <v>1</v>
          </cell>
          <cell r="C476">
            <v>20</v>
          </cell>
          <cell r="D476">
            <v>19</v>
          </cell>
          <cell r="E476">
            <v>10933.662875</v>
          </cell>
          <cell r="F476">
            <v>43.154375</v>
          </cell>
          <cell r="G476">
            <v>9307.84010000003</v>
          </cell>
        </row>
        <row r="477">
          <cell r="A477">
            <v>2006</v>
          </cell>
          <cell r="B477">
            <v>1</v>
          </cell>
          <cell r="C477">
            <v>20</v>
          </cell>
          <cell r="D477">
            <v>20</v>
          </cell>
          <cell r="E477">
            <v>10975.187975</v>
          </cell>
          <cell r="F477">
            <v>44.741025</v>
          </cell>
          <cell r="G477">
            <v>9349.14725</v>
          </cell>
        </row>
        <row r="478">
          <cell r="A478">
            <v>2006</v>
          </cell>
          <cell r="B478">
            <v>1</v>
          </cell>
          <cell r="C478">
            <v>20</v>
          </cell>
          <cell r="D478">
            <v>21</v>
          </cell>
          <cell r="E478">
            <v>10799.106175</v>
          </cell>
          <cell r="F478">
            <v>41.627775</v>
          </cell>
          <cell r="G478">
            <v>9181.29667500002</v>
          </cell>
        </row>
        <row r="479">
          <cell r="A479">
            <v>2006</v>
          </cell>
          <cell r="B479">
            <v>1</v>
          </cell>
          <cell r="C479">
            <v>20</v>
          </cell>
          <cell r="D479">
            <v>22</v>
          </cell>
          <cell r="E479">
            <v>10584.283625</v>
          </cell>
          <cell r="F479">
            <v>41.081225</v>
          </cell>
          <cell r="G479">
            <v>8971.81392499999</v>
          </cell>
        </row>
        <row r="481">
          <cell r="A481">
            <v>2006</v>
          </cell>
          <cell r="B481">
            <v>1</v>
          </cell>
          <cell r="C481">
            <v>20</v>
          </cell>
          <cell r="D481">
            <v>24</v>
          </cell>
          <cell r="E481">
            <v>9133.88982499999</v>
          </cell>
          <cell r="F481">
            <v>27.1313</v>
          </cell>
          <cell r="G481">
            <v>7728.43999999998</v>
          </cell>
        </row>
        <row r="482">
          <cell r="A482">
            <v>2006</v>
          </cell>
          <cell r="B482">
            <v>1</v>
          </cell>
          <cell r="C482">
            <v>21</v>
          </cell>
          <cell r="D482">
            <v>1</v>
          </cell>
          <cell r="E482">
            <v>9314.84424999999</v>
          </cell>
          <cell r="F482">
            <v>34.453625</v>
          </cell>
          <cell r="G482">
            <v>7795.91087499999</v>
          </cell>
        </row>
        <row r="483">
          <cell r="A483">
            <v>2006</v>
          </cell>
          <cell r="B483">
            <v>1</v>
          </cell>
          <cell r="C483">
            <v>21</v>
          </cell>
          <cell r="D483">
            <v>2</v>
          </cell>
          <cell r="E483">
            <v>9121.01639999996</v>
          </cell>
          <cell r="F483">
            <v>33.238075</v>
          </cell>
          <cell r="G483">
            <v>7595.27572499999</v>
          </cell>
        </row>
        <row r="484">
          <cell r="A484">
            <v>2006</v>
          </cell>
          <cell r="B484">
            <v>1</v>
          </cell>
          <cell r="C484">
            <v>21</v>
          </cell>
          <cell r="D484">
            <v>3</v>
          </cell>
          <cell r="E484">
            <v>3145.4948</v>
          </cell>
          <cell r="F484">
            <v>1.159575</v>
          </cell>
          <cell r="G484">
            <v>4235.70147499999</v>
          </cell>
        </row>
        <row r="485">
          <cell r="A485">
            <v>2006</v>
          </cell>
          <cell r="B485">
            <v>1</v>
          </cell>
          <cell r="C485">
            <v>21</v>
          </cell>
          <cell r="D485">
            <v>4</v>
          </cell>
          <cell r="E485">
            <v>9128.93814999998</v>
          </cell>
          <cell r="F485">
            <v>34.500425</v>
          </cell>
          <cell r="G485">
            <v>7591.24715</v>
          </cell>
        </row>
        <row r="486">
          <cell r="A486">
            <v>2006</v>
          </cell>
          <cell r="B486">
            <v>1</v>
          </cell>
          <cell r="C486">
            <v>21</v>
          </cell>
          <cell r="D486">
            <v>5</v>
          </cell>
          <cell r="E486">
            <v>9303.69144999999</v>
          </cell>
          <cell r="F486">
            <v>35.834575</v>
          </cell>
          <cell r="G486">
            <v>7762.63732500001</v>
          </cell>
        </row>
        <row r="487">
          <cell r="A487">
            <v>2006</v>
          </cell>
          <cell r="B487">
            <v>1</v>
          </cell>
          <cell r="C487">
            <v>21</v>
          </cell>
          <cell r="D487">
            <v>6</v>
          </cell>
          <cell r="E487">
            <v>9779.330275</v>
          </cell>
          <cell r="F487">
            <v>39.7894</v>
          </cell>
          <cell r="G487">
            <v>8151.26112500002</v>
          </cell>
        </row>
        <row r="488">
          <cell r="A488">
            <v>2006</v>
          </cell>
          <cell r="B488">
            <v>1</v>
          </cell>
          <cell r="C488">
            <v>21</v>
          </cell>
          <cell r="D488">
            <v>7</v>
          </cell>
          <cell r="E488">
            <v>10459.12965</v>
          </cell>
          <cell r="F488">
            <v>43.514825</v>
          </cell>
          <cell r="G488">
            <v>8801.19614999998</v>
          </cell>
        </row>
        <row r="489">
          <cell r="A489">
            <v>2006</v>
          </cell>
          <cell r="B489">
            <v>1</v>
          </cell>
          <cell r="C489">
            <v>21</v>
          </cell>
          <cell r="D489">
            <v>8</v>
          </cell>
          <cell r="E489">
            <v>11263.009</v>
          </cell>
          <cell r="F489">
            <v>49.092425</v>
          </cell>
          <cell r="G489">
            <v>9510.35002499997</v>
          </cell>
        </row>
        <row r="490">
          <cell r="A490">
            <v>2006</v>
          </cell>
          <cell r="B490">
            <v>1</v>
          </cell>
          <cell r="C490">
            <v>21</v>
          </cell>
          <cell r="D490">
            <v>9</v>
          </cell>
          <cell r="E490">
            <v>11773.936475</v>
          </cell>
          <cell r="F490">
            <v>52.6165</v>
          </cell>
          <cell r="G490">
            <v>9951.43487500004</v>
          </cell>
        </row>
        <row r="491">
          <cell r="A491">
            <v>2006</v>
          </cell>
          <cell r="B491">
            <v>1</v>
          </cell>
          <cell r="C491">
            <v>21</v>
          </cell>
          <cell r="D491">
            <v>10</v>
          </cell>
          <cell r="E491">
            <v>11937.05135</v>
          </cell>
          <cell r="F491">
            <v>51.639975</v>
          </cell>
          <cell r="G491">
            <v>10113.08505</v>
          </cell>
        </row>
        <row r="492">
          <cell r="A492">
            <v>2006</v>
          </cell>
          <cell r="B492">
            <v>1</v>
          </cell>
          <cell r="C492">
            <v>21</v>
          </cell>
          <cell r="D492">
            <v>11</v>
          </cell>
          <cell r="E492">
            <v>11768.2599500001</v>
          </cell>
          <cell r="F492">
            <v>49.6243</v>
          </cell>
          <cell r="G492">
            <v>9963.66127500003</v>
          </cell>
        </row>
        <row r="493">
          <cell r="A493">
            <v>2006</v>
          </cell>
          <cell r="B493">
            <v>1</v>
          </cell>
          <cell r="C493">
            <v>21</v>
          </cell>
          <cell r="D493">
            <v>12</v>
          </cell>
          <cell r="E493">
            <v>11338.240375</v>
          </cell>
          <cell r="F493">
            <v>46.683925</v>
          </cell>
          <cell r="G493">
            <v>9592.49225</v>
          </cell>
        </row>
        <row r="494">
          <cell r="A494">
            <v>2006</v>
          </cell>
          <cell r="B494">
            <v>1</v>
          </cell>
          <cell r="C494">
            <v>21</v>
          </cell>
          <cell r="D494">
            <v>13</v>
          </cell>
          <cell r="E494">
            <v>10841.7207</v>
          </cell>
          <cell r="F494">
            <v>43.61195</v>
          </cell>
          <cell r="G494">
            <v>9166.82085000001</v>
          </cell>
        </row>
        <row r="495">
          <cell r="A495">
            <v>2006</v>
          </cell>
          <cell r="B495">
            <v>1</v>
          </cell>
          <cell r="C495">
            <v>21</v>
          </cell>
          <cell r="D495">
            <v>14</v>
          </cell>
          <cell r="E495">
            <v>10362.3272</v>
          </cell>
          <cell r="F495">
            <v>40.373575</v>
          </cell>
          <cell r="G495">
            <v>8731.89315000002</v>
          </cell>
        </row>
        <row r="496">
          <cell r="A496">
            <v>2006</v>
          </cell>
          <cell r="B496">
            <v>1</v>
          </cell>
          <cell r="C496">
            <v>21</v>
          </cell>
          <cell r="D496">
            <v>15</v>
          </cell>
          <cell r="E496">
            <v>9989.76600000001</v>
          </cell>
          <cell r="F496">
            <v>39.529025</v>
          </cell>
          <cell r="G496">
            <v>8368.21040000001</v>
          </cell>
        </row>
        <row r="497">
          <cell r="A497">
            <v>2006</v>
          </cell>
          <cell r="B497">
            <v>1</v>
          </cell>
          <cell r="C497">
            <v>21</v>
          </cell>
          <cell r="D497">
            <v>16</v>
          </cell>
          <cell r="E497">
            <v>9750.3724</v>
          </cell>
          <cell r="F497">
            <v>39.96415</v>
          </cell>
          <cell r="G497">
            <v>8142.07582500005</v>
          </cell>
        </row>
        <row r="498">
          <cell r="A498">
            <v>2006</v>
          </cell>
          <cell r="B498">
            <v>1</v>
          </cell>
          <cell r="C498">
            <v>21</v>
          </cell>
          <cell r="D498">
            <v>17</v>
          </cell>
          <cell r="E498">
            <v>9720.715975</v>
          </cell>
          <cell r="F498">
            <v>40.25445</v>
          </cell>
          <cell r="G498">
            <v>8096.41590000004</v>
          </cell>
        </row>
        <row r="499">
          <cell r="A499">
            <v>2006</v>
          </cell>
          <cell r="B499">
            <v>1</v>
          </cell>
          <cell r="C499">
            <v>21</v>
          </cell>
          <cell r="D499">
            <v>18</v>
          </cell>
          <cell r="E499">
            <v>10069.149175</v>
          </cell>
          <cell r="F499">
            <v>41.965675</v>
          </cell>
          <cell r="G499">
            <v>8400.244675</v>
          </cell>
        </row>
        <row r="500">
          <cell r="A500">
            <v>2006</v>
          </cell>
          <cell r="B500">
            <v>1</v>
          </cell>
          <cell r="C500">
            <v>21</v>
          </cell>
          <cell r="D500">
            <v>19</v>
          </cell>
          <cell r="E500">
            <v>10947.076275</v>
          </cell>
          <cell r="F500">
            <v>43.39865</v>
          </cell>
          <cell r="G500">
            <v>9212.55202500001</v>
          </cell>
        </row>
        <row r="501">
          <cell r="A501">
            <v>2006</v>
          </cell>
          <cell r="B501">
            <v>1</v>
          </cell>
          <cell r="C501">
            <v>21</v>
          </cell>
          <cell r="D501">
            <v>20</v>
          </cell>
          <cell r="E501">
            <v>11067.949625</v>
          </cell>
          <cell r="F501">
            <v>43.87435</v>
          </cell>
          <cell r="G501">
            <v>9363.13117500001</v>
          </cell>
        </row>
        <row r="502">
          <cell r="A502">
            <v>2006</v>
          </cell>
          <cell r="B502">
            <v>1</v>
          </cell>
          <cell r="C502">
            <v>21</v>
          </cell>
          <cell r="D502">
            <v>21</v>
          </cell>
          <cell r="E502">
            <v>10948.570325</v>
          </cell>
          <cell r="F502">
            <v>43.5139</v>
          </cell>
          <cell r="G502">
            <v>9219.26417500005</v>
          </cell>
        </row>
        <row r="503">
          <cell r="A503">
            <v>2006</v>
          </cell>
          <cell r="B503">
            <v>1</v>
          </cell>
          <cell r="C503">
            <v>21</v>
          </cell>
          <cell r="D503">
            <v>22</v>
          </cell>
          <cell r="E503">
            <v>10628.511875</v>
          </cell>
          <cell r="F503">
            <v>42.076775</v>
          </cell>
          <cell r="G503">
            <v>8990.04117499999</v>
          </cell>
        </row>
        <row r="505">
          <cell r="A505">
            <v>2006</v>
          </cell>
          <cell r="B505">
            <v>1</v>
          </cell>
          <cell r="C505">
            <v>21</v>
          </cell>
          <cell r="D505">
            <v>24</v>
          </cell>
          <cell r="E505">
            <v>9653.574425</v>
          </cell>
          <cell r="F505">
            <v>41.421925</v>
          </cell>
          <cell r="G505">
            <v>8094.40700000001</v>
          </cell>
        </row>
        <row r="506">
          <cell r="A506">
            <v>2006</v>
          </cell>
          <cell r="B506">
            <v>1</v>
          </cell>
          <cell r="C506">
            <v>22</v>
          </cell>
          <cell r="D506">
            <v>1</v>
          </cell>
          <cell r="E506">
            <v>6713.34142500001</v>
          </cell>
          <cell r="F506">
            <v>29.805375</v>
          </cell>
          <cell r="G506">
            <v>5650.30715</v>
          </cell>
        </row>
        <row r="507">
          <cell r="A507">
            <v>2006</v>
          </cell>
          <cell r="B507">
            <v>1</v>
          </cell>
          <cell r="C507">
            <v>22</v>
          </cell>
          <cell r="D507">
            <v>2</v>
          </cell>
          <cell r="E507">
            <v>8742.883275</v>
          </cell>
          <cell r="F507">
            <v>41.78605</v>
          </cell>
          <cell r="G507">
            <v>7290.84724999997</v>
          </cell>
        </row>
        <row r="508">
          <cell r="A508">
            <v>2006</v>
          </cell>
          <cell r="B508">
            <v>1</v>
          </cell>
          <cell r="C508">
            <v>22</v>
          </cell>
          <cell r="D508">
            <v>3</v>
          </cell>
          <cell r="E508">
            <v>8666.3417</v>
          </cell>
          <cell r="F508">
            <v>40.5981</v>
          </cell>
          <cell r="G508">
            <v>7164.01480000001</v>
          </cell>
        </row>
        <row r="509">
          <cell r="A509">
            <v>2006</v>
          </cell>
          <cell r="B509">
            <v>1</v>
          </cell>
          <cell r="C509">
            <v>22</v>
          </cell>
          <cell r="D509">
            <v>4</v>
          </cell>
          <cell r="E509">
            <v>8560.06279999998</v>
          </cell>
          <cell r="F509">
            <v>41.614775</v>
          </cell>
          <cell r="G509">
            <v>7140.88055000001</v>
          </cell>
        </row>
        <row r="510">
          <cell r="A510">
            <v>2006</v>
          </cell>
          <cell r="B510">
            <v>1</v>
          </cell>
          <cell r="C510">
            <v>22</v>
          </cell>
          <cell r="D510">
            <v>5</v>
          </cell>
          <cell r="E510">
            <v>8682.56627499999</v>
          </cell>
          <cell r="F510">
            <v>37.719075</v>
          </cell>
          <cell r="G510">
            <v>7179.07712500002</v>
          </cell>
        </row>
        <row r="511">
          <cell r="A511">
            <v>2006</v>
          </cell>
          <cell r="B511">
            <v>1</v>
          </cell>
          <cell r="C511">
            <v>22</v>
          </cell>
          <cell r="D511">
            <v>6</v>
          </cell>
          <cell r="E511">
            <v>8811.53805</v>
          </cell>
          <cell r="F511">
            <v>39.2925</v>
          </cell>
          <cell r="G511">
            <v>7337.709525</v>
          </cell>
        </row>
        <row r="512">
          <cell r="A512">
            <v>2006</v>
          </cell>
          <cell r="B512">
            <v>1</v>
          </cell>
          <cell r="C512">
            <v>22</v>
          </cell>
          <cell r="D512">
            <v>7</v>
          </cell>
          <cell r="E512">
            <v>9081.30027499997</v>
          </cell>
          <cell r="F512">
            <v>40.2359</v>
          </cell>
          <cell r="G512">
            <v>7675.93582500001</v>
          </cell>
        </row>
        <row r="513">
          <cell r="A513">
            <v>2006</v>
          </cell>
          <cell r="B513">
            <v>1</v>
          </cell>
          <cell r="C513">
            <v>22</v>
          </cell>
          <cell r="D513">
            <v>8</v>
          </cell>
          <cell r="E513">
            <v>9707.54540000004</v>
          </cell>
          <cell r="F513">
            <v>42.689575</v>
          </cell>
          <cell r="G513">
            <v>8179.77945000002</v>
          </cell>
        </row>
        <row r="514">
          <cell r="A514">
            <v>2006</v>
          </cell>
          <cell r="B514">
            <v>1</v>
          </cell>
          <cell r="C514">
            <v>22</v>
          </cell>
          <cell r="D514">
            <v>9</v>
          </cell>
          <cell r="E514">
            <v>10348.3501</v>
          </cell>
          <cell r="F514">
            <v>47.119325</v>
          </cell>
          <cell r="G514">
            <v>8712.00942500001</v>
          </cell>
        </row>
        <row r="515">
          <cell r="A515">
            <v>2006</v>
          </cell>
          <cell r="B515">
            <v>1</v>
          </cell>
          <cell r="C515">
            <v>22</v>
          </cell>
          <cell r="D515">
            <v>10</v>
          </cell>
          <cell r="E515">
            <v>10867.365475</v>
          </cell>
          <cell r="F515">
            <v>49.7566</v>
          </cell>
          <cell r="G515">
            <v>9245.10695000003</v>
          </cell>
        </row>
        <row r="516">
          <cell r="A516">
            <v>2006</v>
          </cell>
          <cell r="B516">
            <v>1</v>
          </cell>
          <cell r="C516">
            <v>22</v>
          </cell>
          <cell r="D516">
            <v>11</v>
          </cell>
          <cell r="E516">
            <v>11229.15615</v>
          </cell>
          <cell r="F516">
            <v>50.03525</v>
          </cell>
          <cell r="G516">
            <v>9619.03137499998</v>
          </cell>
        </row>
        <row r="517">
          <cell r="A517">
            <v>2006</v>
          </cell>
          <cell r="B517">
            <v>1</v>
          </cell>
          <cell r="C517">
            <v>22</v>
          </cell>
          <cell r="D517">
            <v>12</v>
          </cell>
          <cell r="E517">
            <v>11559.17475</v>
          </cell>
          <cell r="F517">
            <v>47.9991</v>
          </cell>
          <cell r="G517">
            <v>9892.57679999998</v>
          </cell>
        </row>
        <row r="518">
          <cell r="A518">
            <v>2006</v>
          </cell>
          <cell r="B518">
            <v>1</v>
          </cell>
          <cell r="C518">
            <v>22</v>
          </cell>
          <cell r="D518">
            <v>13</v>
          </cell>
          <cell r="E518">
            <v>11680.25855</v>
          </cell>
          <cell r="F518">
            <v>46.9363</v>
          </cell>
          <cell r="G518">
            <v>9962.20442500001</v>
          </cell>
        </row>
        <row r="519">
          <cell r="A519">
            <v>2006</v>
          </cell>
          <cell r="B519">
            <v>1</v>
          </cell>
          <cell r="C519">
            <v>22</v>
          </cell>
          <cell r="D519">
            <v>14</v>
          </cell>
          <cell r="E519">
            <v>11571.017475</v>
          </cell>
          <cell r="F519">
            <v>48.2908</v>
          </cell>
          <cell r="G519">
            <v>9899.10752500002</v>
          </cell>
        </row>
        <row r="520">
          <cell r="A520">
            <v>2006</v>
          </cell>
          <cell r="B520">
            <v>1</v>
          </cell>
          <cell r="C520">
            <v>22</v>
          </cell>
          <cell r="D520">
            <v>15</v>
          </cell>
          <cell r="E520">
            <v>11385.410925</v>
          </cell>
          <cell r="F520">
            <v>48.3034</v>
          </cell>
          <cell r="G520">
            <v>9782.75022499999</v>
          </cell>
        </row>
        <row r="521">
          <cell r="A521">
            <v>2006</v>
          </cell>
          <cell r="B521">
            <v>1</v>
          </cell>
          <cell r="C521">
            <v>22</v>
          </cell>
          <cell r="D521">
            <v>16</v>
          </cell>
          <cell r="E521">
            <v>11330.99315</v>
          </cell>
          <cell r="F521">
            <v>46.717425</v>
          </cell>
          <cell r="G521">
            <v>9697.88675000001</v>
          </cell>
        </row>
        <row r="522">
          <cell r="A522">
            <v>2006</v>
          </cell>
          <cell r="B522">
            <v>1</v>
          </cell>
          <cell r="C522">
            <v>22</v>
          </cell>
          <cell r="D522">
            <v>17</v>
          </cell>
          <cell r="E522">
            <v>11439.6672</v>
          </cell>
          <cell r="F522">
            <v>45.5483</v>
          </cell>
          <cell r="G522">
            <v>9764.16797500003</v>
          </cell>
        </row>
        <row r="523">
          <cell r="A523">
            <v>2006</v>
          </cell>
          <cell r="B523">
            <v>1</v>
          </cell>
          <cell r="C523">
            <v>22</v>
          </cell>
          <cell r="D523">
            <v>18</v>
          </cell>
          <cell r="E523">
            <v>11721.0725000001</v>
          </cell>
          <cell r="F523">
            <v>46.8128</v>
          </cell>
          <cell r="G523">
            <v>10026.8205</v>
          </cell>
        </row>
        <row r="524">
          <cell r="A524">
            <v>2006</v>
          </cell>
          <cell r="B524">
            <v>1</v>
          </cell>
          <cell r="C524">
            <v>22</v>
          </cell>
          <cell r="D524">
            <v>19</v>
          </cell>
          <cell r="E524">
            <v>12402.588675</v>
          </cell>
          <cell r="F524">
            <v>48.247625</v>
          </cell>
          <cell r="G524">
            <v>10633.739475</v>
          </cell>
        </row>
        <row r="525">
          <cell r="A525">
            <v>2006</v>
          </cell>
          <cell r="B525">
            <v>1</v>
          </cell>
          <cell r="C525">
            <v>22</v>
          </cell>
          <cell r="D525">
            <v>20</v>
          </cell>
          <cell r="E525">
            <v>12544.745425</v>
          </cell>
          <cell r="F525">
            <v>49.5474</v>
          </cell>
          <cell r="G525">
            <v>10756.434925</v>
          </cell>
        </row>
        <row r="526">
          <cell r="A526">
            <v>2006</v>
          </cell>
          <cell r="B526">
            <v>1</v>
          </cell>
          <cell r="C526">
            <v>22</v>
          </cell>
          <cell r="D526">
            <v>21</v>
          </cell>
          <cell r="E526">
            <v>12362.605175</v>
          </cell>
          <cell r="F526">
            <v>49.694875</v>
          </cell>
          <cell r="G526">
            <v>10602.453325</v>
          </cell>
        </row>
        <row r="527">
          <cell r="A527">
            <v>2006</v>
          </cell>
          <cell r="B527">
            <v>1</v>
          </cell>
          <cell r="C527">
            <v>22</v>
          </cell>
          <cell r="D527">
            <v>22</v>
          </cell>
          <cell r="E527">
            <v>11979.86105</v>
          </cell>
          <cell r="F527">
            <v>48.667125</v>
          </cell>
          <cell r="G527">
            <v>10255.730625</v>
          </cell>
        </row>
        <row r="529">
          <cell r="A529">
            <v>2006</v>
          </cell>
          <cell r="B529">
            <v>1</v>
          </cell>
          <cell r="C529">
            <v>22</v>
          </cell>
          <cell r="D529">
            <v>24</v>
          </cell>
          <cell r="E529">
            <v>10487.4435</v>
          </cell>
          <cell r="F529">
            <v>43.67305</v>
          </cell>
          <cell r="G529">
            <v>8842.23175</v>
          </cell>
        </row>
        <row r="530">
          <cell r="A530">
            <v>2006</v>
          </cell>
          <cell r="B530">
            <v>1</v>
          </cell>
          <cell r="C530">
            <v>23</v>
          </cell>
          <cell r="D530">
            <v>1</v>
          </cell>
          <cell r="E530">
            <v>9834.48934999997</v>
          </cell>
          <cell r="F530">
            <v>41.852625</v>
          </cell>
          <cell r="G530">
            <v>8259.27592499999</v>
          </cell>
        </row>
        <row r="531">
          <cell r="A531">
            <v>2006</v>
          </cell>
          <cell r="B531">
            <v>1</v>
          </cell>
          <cell r="C531">
            <v>23</v>
          </cell>
          <cell r="D531">
            <v>2</v>
          </cell>
          <cell r="E531">
            <v>9523.39204999997</v>
          </cell>
          <cell r="F531">
            <v>41.59555</v>
          </cell>
          <cell r="G531">
            <v>7993.93902499998</v>
          </cell>
        </row>
        <row r="532">
          <cell r="A532">
            <v>2006</v>
          </cell>
          <cell r="B532">
            <v>1</v>
          </cell>
          <cell r="C532">
            <v>23</v>
          </cell>
          <cell r="D532">
            <v>3</v>
          </cell>
          <cell r="E532">
            <v>9511.61105</v>
          </cell>
          <cell r="F532">
            <v>41.694875</v>
          </cell>
          <cell r="G532">
            <v>7946.28622500002</v>
          </cell>
        </row>
        <row r="533">
          <cell r="A533">
            <v>2006</v>
          </cell>
          <cell r="B533">
            <v>1</v>
          </cell>
          <cell r="C533">
            <v>23</v>
          </cell>
          <cell r="D533">
            <v>4</v>
          </cell>
          <cell r="E533">
            <v>9631.67739999998</v>
          </cell>
          <cell r="F533">
            <v>41.8411</v>
          </cell>
          <cell r="G533">
            <v>8038.93835000002</v>
          </cell>
        </row>
        <row r="534">
          <cell r="A534">
            <v>2006</v>
          </cell>
          <cell r="B534">
            <v>1</v>
          </cell>
          <cell r="C534">
            <v>23</v>
          </cell>
          <cell r="D534">
            <v>5</v>
          </cell>
          <cell r="E534">
            <v>9904.76965000005</v>
          </cell>
          <cell r="F534">
            <v>42.879525</v>
          </cell>
          <cell r="G534">
            <v>8350.69287499998</v>
          </cell>
        </row>
        <row r="535">
          <cell r="A535">
            <v>2006</v>
          </cell>
          <cell r="B535">
            <v>1</v>
          </cell>
          <cell r="C535">
            <v>23</v>
          </cell>
          <cell r="D535">
            <v>6</v>
          </cell>
          <cell r="E535">
            <v>10823.32355</v>
          </cell>
          <cell r="F535">
            <v>47.967925</v>
          </cell>
          <cell r="G535">
            <v>9177.80195000001</v>
          </cell>
        </row>
        <row r="536">
          <cell r="A536">
            <v>2006</v>
          </cell>
          <cell r="B536">
            <v>1</v>
          </cell>
          <cell r="C536">
            <v>23</v>
          </cell>
          <cell r="D536">
            <v>7</v>
          </cell>
          <cell r="E536">
            <v>12446.855</v>
          </cell>
          <cell r="F536">
            <v>50.612625</v>
          </cell>
          <cell r="G536">
            <v>10639.08605</v>
          </cell>
        </row>
        <row r="537">
          <cell r="A537">
            <v>2006</v>
          </cell>
          <cell r="B537">
            <v>1</v>
          </cell>
          <cell r="C537">
            <v>23</v>
          </cell>
          <cell r="D537">
            <v>8</v>
          </cell>
          <cell r="E537">
            <v>13732.898125</v>
          </cell>
          <cell r="F537">
            <v>60.07305</v>
          </cell>
          <cell r="G537">
            <v>11792.671425</v>
          </cell>
        </row>
        <row r="538">
          <cell r="A538">
            <v>2006</v>
          </cell>
          <cell r="B538">
            <v>1</v>
          </cell>
          <cell r="C538">
            <v>23</v>
          </cell>
          <cell r="D538">
            <v>9</v>
          </cell>
          <cell r="E538">
            <v>13336.58885</v>
          </cell>
          <cell r="F538">
            <v>60.638475</v>
          </cell>
          <cell r="G538">
            <v>11469.11075</v>
          </cell>
        </row>
        <row r="539">
          <cell r="A539">
            <v>2006</v>
          </cell>
          <cell r="B539">
            <v>1</v>
          </cell>
          <cell r="C539">
            <v>23</v>
          </cell>
          <cell r="D539">
            <v>10</v>
          </cell>
          <cell r="E539">
            <v>12984.4606</v>
          </cell>
          <cell r="F539">
            <v>64.436175</v>
          </cell>
          <cell r="G539">
            <v>11120.943275</v>
          </cell>
        </row>
        <row r="540">
          <cell r="A540">
            <v>2006</v>
          </cell>
          <cell r="B540">
            <v>1</v>
          </cell>
          <cell r="C540">
            <v>23</v>
          </cell>
          <cell r="D540">
            <v>11</v>
          </cell>
          <cell r="E540">
            <v>12611.302375</v>
          </cell>
          <cell r="F540">
            <v>60.209975</v>
          </cell>
          <cell r="G540">
            <v>10762.6581</v>
          </cell>
        </row>
        <row r="541">
          <cell r="A541">
            <v>2006</v>
          </cell>
          <cell r="B541">
            <v>1</v>
          </cell>
          <cell r="C541">
            <v>23</v>
          </cell>
          <cell r="D541">
            <v>12</v>
          </cell>
          <cell r="E541">
            <v>10260.3294</v>
          </cell>
          <cell r="F541">
            <v>54.393725</v>
          </cell>
          <cell r="G541">
            <v>8551.613375</v>
          </cell>
        </row>
        <row r="542">
          <cell r="A542">
            <v>2006</v>
          </cell>
          <cell r="B542">
            <v>1</v>
          </cell>
          <cell r="C542">
            <v>23</v>
          </cell>
          <cell r="D542">
            <v>13</v>
          </cell>
          <cell r="E542">
            <v>10515.04275</v>
          </cell>
          <cell r="F542">
            <v>40.89485</v>
          </cell>
          <cell r="G542">
            <v>8834.84480000006</v>
          </cell>
        </row>
        <row r="543">
          <cell r="A543">
            <v>2006</v>
          </cell>
          <cell r="B543">
            <v>1</v>
          </cell>
          <cell r="C543">
            <v>23</v>
          </cell>
          <cell r="D543">
            <v>14</v>
          </cell>
          <cell r="E543">
            <v>8589.26859999999</v>
          </cell>
          <cell r="F543">
            <v>32.97155</v>
          </cell>
          <cell r="G543">
            <v>6958.69434999999</v>
          </cell>
        </row>
        <row r="544">
          <cell r="A544">
            <v>2006</v>
          </cell>
          <cell r="B544">
            <v>1</v>
          </cell>
          <cell r="C544">
            <v>23</v>
          </cell>
          <cell r="D544">
            <v>15</v>
          </cell>
          <cell r="E544">
            <v>11068.88175</v>
          </cell>
          <cell r="F544">
            <v>51.367175</v>
          </cell>
          <cell r="G544">
            <v>9361.63732500004</v>
          </cell>
        </row>
        <row r="545">
          <cell r="A545">
            <v>2006</v>
          </cell>
          <cell r="B545">
            <v>1</v>
          </cell>
          <cell r="C545">
            <v>23</v>
          </cell>
          <cell r="D545">
            <v>16</v>
          </cell>
          <cell r="E545">
            <v>10847.127575</v>
          </cell>
          <cell r="F545">
            <v>50.4543</v>
          </cell>
          <cell r="G545">
            <v>9144.29717500002</v>
          </cell>
        </row>
        <row r="546">
          <cell r="A546">
            <v>2006</v>
          </cell>
          <cell r="B546">
            <v>1</v>
          </cell>
          <cell r="C546">
            <v>23</v>
          </cell>
          <cell r="D546">
            <v>17</v>
          </cell>
          <cell r="E546">
            <v>10792.03985</v>
          </cell>
          <cell r="F546">
            <v>50.977175</v>
          </cell>
          <cell r="G546">
            <v>9109.50755000005</v>
          </cell>
        </row>
        <row r="547">
          <cell r="A547">
            <v>2006</v>
          </cell>
          <cell r="B547">
            <v>1</v>
          </cell>
          <cell r="C547">
            <v>23</v>
          </cell>
          <cell r="D547">
            <v>18</v>
          </cell>
          <cell r="E547">
            <v>10995.95565</v>
          </cell>
          <cell r="F547">
            <v>49.8035</v>
          </cell>
          <cell r="G547">
            <v>9319.72072500003</v>
          </cell>
        </row>
        <row r="548">
          <cell r="A548">
            <v>2006</v>
          </cell>
          <cell r="B548">
            <v>1</v>
          </cell>
          <cell r="C548">
            <v>23</v>
          </cell>
          <cell r="D548">
            <v>19</v>
          </cell>
          <cell r="E548">
            <v>12026.24465</v>
          </cell>
          <cell r="F548">
            <v>54.403725</v>
          </cell>
          <cell r="G548">
            <v>10266.1490250001</v>
          </cell>
        </row>
        <row r="549">
          <cell r="A549">
            <v>2006</v>
          </cell>
          <cell r="B549">
            <v>1</v>
          </cell>
          <cell r="C549">
            <v>23</v>
          </cell>
          <cell r="D549">
            <v>20</v>
          </cell>
          <cell r="E549">
            <v>12334.9088</v>
          </cell>
          <cell r="F549">
            <v>58.991675</v>
          </cell>
          <cell r="G549">
            <v>10589.2333</v>
          </cell>
        </row>
        <row r="550">
          <cell r="A550">
            <v>2006</v>
          </cell>
          <cell r="B550">
            <v>1</v>
          </cell>
          <cell r="C550">
            <v>23</v>
          </cell>
          <cell r="D550">
            <v>21</v>
          </cell>
          <cell r="E550">
            <v>12396.8262</v>
          </cell>
          <cell r="F550">
            <v>59.971825</v>
          </cell>
          <cell r="G550">
            <v>10561.0472</v>
          </cell>
        </row>
        <row r="551">
          <cell r="A551">
            <v>2006</v>
          </cell>
          <cell r="B551">
            <v>1</v>
          </cell>
          <cell r="C551">
            <v>23</v>
          </cell>
          <cell r="D551">
            <v>22</v>
          </cell>
          <cell r="E551">
            <v>12027.41805</v>
          </cell>
          <cell r="F551">
            <v>59.428275</v>
          </cell>
          <cell r="G551">
            <v>10310.37755</v>
          </cell>
        </row>
        <row r="553">
          <cell r="A553">
            <v>2006</v>
          </cell>
          <cell r="B553">
            <v>1</v>
          </cell>
          <cell r="C553">
            <v>23</v>
          </cell>
          <cell r="D553">
            <v>24</v>
          </cell>
          <cell r="E553">
            <v>10615.60145</v>
          </cell>
          <cell r="F553">
            <v>54.6965</v>
          </cell>
          <cell r="G553">
            <v>9038.4927</v>
          </cell>
        </row>
        <row r="554">
          <cell r="A554">
            <v>2006</v>
          </cell>
          <cell r="B554">
            <v>1</v>
          </cell>
          <cell r="C554">
            <v>24</v>
          </cell>
          <cell r="D554">
            <v>1</v>
          </cell>
          <cell r="E554">
            <v>10063.545175</v>
          </cell>
          <cell r="F554">
            <v>49.843725</v>
          </cell>
          <cell r="G554">
            <v>8571.18670000003</v>
          </cell>
        </row>
        <row r="555">
          <cell r="A555">
            <v>2006</v>
          </cell>
          <cell r="B555">
            <v>1</v>
          </cell>
          <cell r="C555">
            <v>24</v>
          </cell>
          <cell r="D555">
            <v>2</v>
          </cell>
          <cell r="E555">
            <v>9999.29964999998</v>
          </cell>
          <cell r="F555">
            <v>45.849</v>
          </cell>
          <cell r="G555">
            <v>8439.05820000003</v>
          </cell>
        </row>
        <row r="556">
          <cell r="A556">
            <v>2006</v>
          </cell>
          <cell r="B556">
            <v>1</v>
          </cell>
          <cell r="C556">
            <v>24</v>
          </cell>
          <cell r="D556">
            <v>3</v>
          </cell>
          <cell r="E556">
            <v>10144.772175</v>
          </cell>
          <cell r="F556">
            <v>46.49555</v>
          </cell>
          <cell r="G556">
            <v>8474.94040000002</v>
          </cell>
        </row>
        <row r="557">
          <cell r="A557">
            <v>2006</v>
          </cell>
          <cell r="B557">
            <v>1</v>
          </cell>
          <cell r="C557">
            <v>24</v>
          </cell>
          <cell r="D557">
            <v>4</v>
          </cell>
          <cell r="E557">
            <v>10286.55765</v>
          </cell>
          <cell r="F557">
            <v>47.84785</v>
          </cell>
          <cell r="G557">
            <v>8595.27760000001</v>
          </cell>
        </row>
        <row r="558">
          <cell r="A558">
            <v>2006</v>
          </cell>
          <cell r="B558">
            <v>1</v>
          </cell>
          <cell r="C558">
            <v>24</v>
          </cell>
          <cell r="D558">
            <v>5</v>
          </cell>
          <cell r="E558">
            <v>10650.821675</v>
          </cell>
          <cell r="F558">
            <v>50.220675</v>
          </cell>
          <cell r="G558">
            <v>8945.12605000004</v>
          </cell>
        </row>
        <row r="559">
          <cell r="A559">
            <v>2006</v>
          </cell>
          <cell r="B559">
            <v>1</v>
          </cell>
          <cell r="C559">
            <v>24</v>
          </cell>
          <cell r="D559">
            <v>6</v>
          </cell>
          <cell r="E559">
            <v>11507.143875</v>
          </cell>
          <cell r="F559">
            <v>54.766525</v>
          </cell>
          <cell r="G559">
            <v>9754.48832500004</v>
          </cell>
        </row>
        <row r="560">
          <cell r="A560">
            <v>2006</v>
          </cell>
          <cell r="B560">
            <v>1</v>
          </cell>
          <cell r="C560">
            <v>24</v>
          </cell>
          <cell r="D560">
            <v>7</v>
          </cell>
          <cell r="E560">
            <v>13087.4452</v>
          </cell>
          <cell r="F560">
            <v>64.316725</v>
          </cell>
          <cell r="G560">
            <v>11240.28645</v>
          </cell>
        </row>
        <row r="561">
          <cell r="A561">
            <v>2006</v>
          </cell>
          <cell r="B561">
            <v>1</v>
          </cell>
          <cell r="C561">
            <v>24</v>
          </cell>
          <cell r="D561">
            <v>8</v>
          </cell>
          <cell r="E561">
            <v>14265.372275</v>
          </cell>
          <cell r="F561">
            <v>72.527125</v>
          </cell>
          <cell r="G561">
            <v>12318.59585</v>
          </cell>
        </row>
        <row r="562">
          <cell r="A562">
            <v>2006</v>
          </cell>
          <cell r="B562">
            <v>1</v>
          </cell>
          <cell r="C562">
            <v>24</v>
          </cell>
          <cell r="D562">
            <v>9</v>
          </cell>
          <cell r="E562">
            <v>13664.728175</v>
          </cell>
          <cell r="F562">
            <v>65.4204</v>
          </cell>
          <cell r="G562">
            <v>11744.797325</v>
          </cell>
        </row>
        <row r="563">
          <cell r="A563">
            <v>2006</v>
          </cell>
          <cell r="B563">
            <v>1</v>
          </cell>
          <cell r="C563">
            <v>24</v>
          </cell>
          <cell r="D563">
            <v>10</v>
          </cell>
          <cell r="E563">
            <v>12825.383325</v>
          </cell>
          <cell r="F563">
            <v>60.638225</v>
          </cell>
          <cell r="G563">
            <v>11039.9579750001</v>
          </cell>
        </row>
        <row r="564">
          <cell r="A564">
            <v>2006</v>
          </cell>
          <cell r="B564">
            <v>1</v>
          </cell>
          <cell r="C564">
            <v>24</v>
          </cell>
          <cell r="D564">
            <v>11</v>
          </cell>
          <cell r="E564">
            <v>12238.211275</v>
          </cell>
          <cell r="F564">
            <v>56.171875</v>
          </cell>
          <cell r="G564">
            <v>10468.140675</v>
          </cell>
        </row>
        <row r="565">
          <cell r="A565">
            <v>2006</v>
          </cell>
          <cell r="B565">
            <v>1</v>
          </cell>
          <cell r="C565">
            <v>24</v>
          </cell>
          <cell r="D565">
            <v>12</v>
          </cell>
          <cell r="E565">
            <v>11654.545375</v>
          </cell>
          <cell r="F565">
            <v>51.5601</v>
          </cell>
          <cell r="G565">
            <v>9987.53807499999</v>
          </cell>
        </row>
        <row r="566">
          <cell r="A566">
            <v>2006</v>
          </cell>
          <cell r="B566">
            <v>1</v>
          </cell>
          <cell r="C566">
            <v>24</v>
          </cell>
          <cell r="D566">
            <v>13</v>
          </cell>
          <cell r="E566">
            <v>11295.696975</v>
          </cell>
          <cell r="F566">
            <v>48.592325</v>
          </cell>
          <cell r="G566">
            <v>9590.12430000001</v>
          </cell>
        </row>
        <row r="567">
          <cell r="A567">
            <v>2006</v>
          </cell>
          <cell r="B567">
            <v>1</v>
          </cell>
          <cell r="C567">
            <v>24</v>
          </cell>
          <cell r="D567">
            <v>14</v>
          </cell>
          <cell r="E567">
            <v>11009.814725</v>
          </cell>
          <cell r="F567">
            <v>47.213275</v>
          </cell>
          <cell r="G567">
            <v>9306.10147500002</v>
          </cell>
        </row>
        <row r="568">
          <cell r="A568">
            <v>2006</v>
          </cell>
          <cell r="B568">
            <v>1</v>
          </cell>
          <cell r="C568">
            <v>24</v>
          </cell>
          <cell r="D568">
            <v>15</v>
          </cell>
          <cell r="E568">
            <v>10813.04665</v>
          </cell>
          <cell r="F568">
            <v>43.25105</v>
          </cell>
          <cell r="G568">
            <v>9126.563025</v>
          </cell>
        </row>
        <row r="569">
          <cell r="A569">
            <v>2006</v>
          </cell>
          <cell r="B569">
            <v>1</v>
          </cell>
          <cell r="C569">
            <v>24</v>
          </cell>
          <cell r="D569">
            <v>16</v>
          </cell>
          <cell r="E569">
            <v>10629.544275</v>
          </cell>
          <cell r="F569">
            <v>47.046575</v>
          </cell>
          <cell r="G569">
            <v>8980.04105000003</v>
          </cell>
        </row>
        <row r="570">
          <cell r="A570">
            <v>2006</v>
          </cell>
          <cell r="B570">
            <v>1</v>
          </cell>
          <cell r="C570">
            <v>24</v>
          </cell>
          <cell r="D570">
            <v>17</v>
          </cell>
          <cell r="E570">
            <v>10557.479075</v>
          </cell>
          <cell r="F570">
            <v>45.036275</v>
          </cell>
          <cell r="G570">
            <v>8924.94624999999</v>
          </cell>
        </row>
        <row r="571">
          <cell r="A571">
            <v>2006</v>
          </cell>
          <cell r="B571">
            <v>1</v>
          </cell>
          <cell r="C571">
            <v>24</v>
          </cell>
          <cell r="D571">
            <v>18</v>
          </cell>
          <cell r="E571">
            <v>10597.161325</v>
          </cell>
          <cell r="F571">
            <v>42.193675</v>
          </cell>
          <cell r="G571">
            <v>8965.15510000007</v>
          </cell>
        </row>
        <row r="572">
          <cell r="A572">
            <v>2006</v>
          </cell>
          <cell r="B572">
            <v>1</v>
          </cell>
          <cell r="C572">
            <v>24</v>
          </cell>
          <cell r="D572">
            <v>19</v>
          </cell>
          <cell r="E572">
            <v>11411.342875</v>
          </cell>
          <cell r="F572">
            <v>48.637325</v>
          </cell>
          <cell r="G572">
            <v>9713.27797500004</v>
          </cell>
        </row>
        <row r="573">
          <cell r="A573">
            <v>2006</v>
          </cell>
          <cell r="B573">
            <v>1</v>
          </cell>
          <cell r="C573">
            <v>24</v>
          </cell>
          <cell r="D573">
            <v>20</v>
          </cell>
          <cell r="E573">
            <v>11697.2524</v>
          </cell>
          <cell r="F573">
            <v>48.87255</v>
          </cell>
          <cell r="G573">
            <v>9991.28392499999</v>
          </cell>
        </row>
        <row r="574">
          <cell r="A574">
            <v>2006</v>
          </cell>
          <cell r="B574">
            <v>1</v>
          </cell>
          <cell r="C574">
            <v>24</v>
          </cell>
          <cell r="D574">
            <v>21</v>
          </cell>
          <cell r="E574">
            <v>11614.113975</v>
          </cell>
          <cell r="F574">
            <v>49.42095</v>
          </cell>
          <cell r="G574">
            <v>9884.34392500002</v>
          </cell>
        </row>
        <row r="575">
          <cell r="A575">
            <v>2006</v>
          </cell>
          <cell r="B575">
            <v>1</v>
          </cell>
          <cell r="C575">
            <v>24</v>
          </cell>
          <cell r="D575">
            <v>22</v>
          </cell>
          <cell r="E575">
            <v>11264.894225</v>
          </cell>
          <cell r="F575">
            <v>47.577775</v>
          </cell>
          <cell r="G575">
            <v>9636.45777500006</v>
          </cell>
        </row>
        <row r="577">
          <cell r="A577">
            <v>2006</v>
          </cell>
          <cell r="B577">
            <v>1</v>
          </cell>
          <cell r="C577">
            <v>24</v>
          </cell>
          <cell r="D577">
            <v>24</v>
          </cell>
          <cell r="E577">
            <v>9981.04327500003</v>
          </cell>
          <cell r="F577">
            <v>49.252875</v>
          </cell>
          <cell r="G577">
            <v>8375.83210000002</v>
          </cell>
        </row>
        <row r="578">
          <cell r="A578">
            <v>2006</v>
          </cell>
          <cell r="B578">
            <v>1</v>
          </cell>
          <cell r="C578">
            <v>25</v>
          </cell>
          <cell r="D578">
            <v>1</v>
          </cell>
          <cell r="E578">
            <v>9484.48609999999</v>
          </cell>
          <cell r="F578">
            <v>45.101275</v>
          </cell>
          <cell r="G578">
            <v>7909.62592500002</v>
          </cell>
        </row>
        <row r="579">
          <cell r="A579">
            <v>2006</v>
          </cell>
          <cell r="B579">
            <v>1</v>
          </cell>
          <cell r="C579">
            <v>25</v>
          </cell>
          <cell r="D579">
            <v>2</v>
          </cell>
          <cell r="E579">
            <v>9299.29480000001</v>
          </cell>
          <cell r="F579">
            <v>41.19865</v>
          </cell>
          <cell r="G579">
            <v>7741.43347500001</v>
          </cell>
        </row>
        <row r="580">
          <cell r="A580">
            <v>2006</v>
          </cell>
          <cell r="B580">
            <v>1</v>
          </cell>
          <cell r="C580">
            <v>25</v>
          </cell>
          <cell r="D580">
            <v>3</v>
          </cell>
          <cell r="E580">
            <v>9301.99622499999</v>
          </cell>
          <cell r="F580">
            <v>43.07105</v>
          </cell>
          <cell r="G580">
            <v>7736.83397499999</v>
          </cell>
        </row>
        <row r="581">
          <cell r="A581">
            <v>2006</v>
          </cell>
          <cell r="B581">
            <v>1</v>
          </cell>
          <cell r="C581">
            <v>25</v>
          </cell>
          <cell r="D581">
            <v>4</v>
          </cell>
          <cell r="E581">
            <v>9410.98975000002</v>
          </cell>
          <cell r="F581">
            <v>44.51915</v>
          </cell>
          <cell r="G581">
            <v>7854.42327499999</v>
          </cell>
        </row>
        <row r="582">
          <cell r="A582">
            <v>2006</v>
          </cell>
          <cell r="B582">
            <v>1</v>
          </cell>
          <cell r="C582">
            <v>25</v>
          </cell>
          <cell r="D582">
            <v>5</v>
          </cell>
          <cell r="E582">
            <v>9801.95357500001</v>
          </cell>
          <cell r="F582">
            <v>46.5054</v>
          </cell>
          <cell r="G582">
            <v>8176.90532500001</v>
          </cell>
        </row>
        <row r="583">
          <cell r="A583">
            <v>2006</v>
          </cell>
          <cell r="B583">
            <v>1</v>
          </cell>
          <cell r="C583">
            <v>25</v>
          </cell>
          <cell r="D583">
            <v>6</v>
          </cell>
          <cell r="E583">
            <v>10145.603425</v>
          </cell>
          <cell r="F583">
            <v>48.563475</v>
          </cell>
          <cell r="G583">
            <v>9027.31512499998</v>
          </cell>
        </row>
        <row r="584">
          <cell r="A584">
            <v>2006</v>
          </cell>
          <cell r="B584">
            <v>1</v>
          </cell>
          <cell r="C584">
            <v>25</v>
          </cell>
          <cell r="D584">
            <v>7</v>
          </cell>
          <cell r="E584">
            <v>11773.7581</v>
          </cell>
          <cell r="F584">
            <v>55.193575</v>
          </cell>
          <cell r="G584">
            <v>10520.734175</v>
          </cell>
        </row>
        <row r="585">
          <cell r="A585">
            <v>2006</v>
          </cell>
          <cell r="B585">
            <v>1</v>
          </cell>
          <cell r="C585">
            <v>25</v>
          </cell>
          <cell r="D585">
            <v>8</v>
          </cell>
          <cell r="E585">
            <v>12962.661625</v>
          </cell>
          <cell r="F585">
            <v>64.9241</v>
          </cell>
          <cell r="G585">
            <v>11615.800725</v>
          </cell>
        </row>
        <row r="586">
          <cell r="A586">
            <v>2006</v>
          </cell>
          <cell r="B586">
            <v>1</v>
          </cell>
          <cell r="C586">
            <v>25</v>
          </cell>
          <cell r="D586">
            <v>9</v>
          </cell>
          <cell r="E586">
            <v>12374.3376</v>
          </cell>
          <cell r="F586">
            <v>58.4289</v>
          </cell>
          <cell r="G586">
            <v>11079.2867</v>
          </cell>
        </row>
        <row r="587">
          <cell r="A587">
            <v>2006</v>
          </cell>
          <cell r="B587">
            <v>1</v>
          </cell>
          <cell r="C587">
            <v>25</v>
          </cell>
          <cell r="D587">
            <v>10</v>
          </cell>
          <cell r="E587">
            <v>11701.7696</v>
          </cell>
          <cell r="F587">
            <v>54.97035</v>
          </cell>
          <cell r="G587">
            <v>10514.5777750001</v>
          </cell>
        </row>
        <row r="588">
          <cell r="A588">
            <v>2006</v>
          </cell>
          <cell r="B588">
            <v>1</v>
          </cell>
          <cell r="C588">
            <v>25</v>
          </cell>
          <cell r="D588">
            <v>11</v>
          </cell>
          <cell r="E588">
            <v>11269.414325</v>
          </cell>
          <cell r="F588">
            <v>53.521875</v>
          </cell>
          <cell r="G588">
            <v>10085.53505</v>
          </cell>
        </row>
        <row r="589">
          <cell r="A589">
            <v>2006</v>
          </cell>
          <cell r="B589">
            <v>1</v>
          </cell>
          <cell r="C589">
            <v>25</v>
          </cell>
          <cell r="D589">
            <v>12</v>
          </cell>
          <cell r="E589">
            <v>10849.58445</v>
          </cell>
          <cell r="F589">
            <v>46.3487</v>
          </cell>
          <cell r="G589">
            <v>9698.47787499998</v>
          </cell>
        </row>
        <row r="590">
          <cell r="A590">
            <v>2006</v>
          </cell>
          <cell r="B590">
            <v>1</v>
          </cell>
          <cell r="C590">
            <v>25</v>
          </cell>
          <cell r="D590">
            <v>13</v>
          </cell>
          <cell r="E590">
            <v>10520.076425</v>
          </cell>
          <cell r="F590">
            <v>45.368375</v>
          </cell>
          <cell r="G590">
            <v>9400.54980000002</v>
          </cell>
        </row>
        <row r="591">
          <cell r="A591">
            <v>2006</v>
          </cell>
          <cell r="B591">
            <v>1</v>
          </cell>
          <cell r="C591">
            <v>25</v>
          </cell>
          <cell r="D591">
            <v>14</v>
          </cell>
          <cell r="E591">
            <v>10304.277225</v>
          </cell>
          <cell r="F591">
            <v>44.8476</v>
          </cell>
          <cell r="G591">
            <v>9192.64787500002</v>
          </cell>
        </row>
        <row r="592">
          <cell r="A592">
            <v>2006</v>
          </cell>
          <cell r="B592">
            <v>1</v>
          </cell>
          <cell r="C592">
            <v>25</v>
          </cell>
          <cell r="D592">
            <v>15</v>
          </cell>
          <cell r="E592">
            <v>10139.265925</v>
          </cell>
          <cell r="F592">
            <v>37.998075</v>
          </cell>
          <cell r="G592">
            <v>9055.50715000003</v>
          </cell>
        </row>
        <row r="593">
          <cell r="A593">
            <v>2006</v>
          </cell>
          <cell r="B593">
            <v>1</v>
          </cell>
          <cell r="C593">
            <v>25</v>
          </cell>
          <cell r="D593">
            <v>16</v>
          </cell>
          <cell r="E593">
            <v>9975.831275</v>
          </cell>
          <cell r="F593">
            <v>41.113775</v>
          </cell>
          <cell r="G593">
            <v>8905.45437500005</v>
          </cell>
        </row>
        <row r="594">
          <cell r="A594">
            <v>2006</v>
          </cell>
          <cell r="B594">
            <v>1</v>
          </cell>
          <cell r="C594">
            <v>25</v>
          </cell>
          <cell r="D594">
            <v>17</v>
          </cell>
          <cell r="E594">
            <v>9951.39494999999</v>
          </cell>
          <cell r="F594">
            <v>40.94475</v>
          </cell>
          <cell r="G594">
            <v>8879.03170000001</v>
          </cell>
        </row>
        <row r="595">
          <cell r="A595">
            <v>2006</v>
          </cell>
          <cell r="B595">
            <v>1</v>
          </cell>
          <cell r="C595">
            <v>25</v>
          </cell>
          <cell r="D595">
            <v>18</v>
          </cell>
          <cell r="E595">
            <v>10045.799125</v>
          </cell>
          <cell r="F595">
            <v>37.0817</v>
          </cell>
          <cell r="G595">
            <v>8979.8367750001</v>
          </cell>
        </row>
        <row r="596">
          <cell r="A596">
            <v>2006</v>
          </cell>
          <cell r="B596">
            <v>1</v>
          </cell>
          <cell r="C596">
            <v>25</v>
          </cell>
          <cell r="D596">
            <v>19</v>
          </cell>
          <cell r="E596">
            <v>10847.9034</v>
          </cell>
          <cell r="F596">
            <v>41.85265</v>
          </cell>
          <cell r="G596">
            <v>9738.42080000001</v>
          </cell>
        </row>
        <row r="597">
          <cell r="A597">
            <v>2006</v>
          </cell>
          <cell r="B597">
            <v>1</v>
          </cell>
          <cell r="C597">
            <v>25</v>
          </cell>
          <cell r="D597">
            <v>20</v>
          </cell>
          <cell r="E597">
            <v>11096.542</v>
          </cell>
          <cell r="F597">
            <v>42.304575</v>
          </cell>
          <cell r="G597">
            <v>9958.58660000001</v>
          </cell>
        </row>
        <row r="598">
          <cell r="A598">
            <v>2006</v>
          </cell>
          <cell r="B598">
            <v>1</v>
          </cell>
          <cell r="C598">
            <v>25</v>
          </cell>
          <cell r="D598">
            <v>21</v>
          </cell>
          <cell r="E598">
            <v>10997.55835</v>
          </cell>
          <cell r="F598">
            <v>40.606675</v>
          </cell>
          <cell r="G598">
            <v>9871.345025</v>
          </cell>
        </row>
        <row r="599">
          <cell r="A599">
            <v>2006</v>
          </cell>
          <cell r="B599">
            <v>1</v>
          </cell>
          <cell r="C599">
            <v>25</v>
          </cell>
          <cell r="D599">
            <v>22</v>
          </cell>
          <cell r="E599">
            <v>10625.78995</v>
          </cell>
          <cell r="F599">
            <v>37.602825</v>
          </cell>
          <cell r="G599">
            <v>9582.32935000003</v>
          </cell>
        </row>
        <row r="601">
          <cell r="A601">
            <v>2006</v>
          </cell>
          <cell r="B601">
            <v>1</v>
          </cell>
          <cell r="C601">
            <v>25</v>
          </cell>
          <cell r="D601">
            <v>24</v>
          </cell>
          <cell r="E601">
            <v>9129.18622499999</v>
          </cell>
          <cell r="F601">
            <v>29.303275</v>
          </cell>
          <cell r="G601">
            <v>8157.22260000005</v>
          </cell>
        </row>
        <row r="602">
          <cell r="A602">
            <v>2006</v>
          </cell>
          <cell r="B602">
            <v>1</v>
          </cell>
          <cell r="C602">
            <v>26</v>
          </cell>
          <cell r="D602">
            <v>1</v>
          </cell>
          <cell r="E602">
            <v>8550.89094999998</v>
          </cell>
          <cell r="F602">
            <v>33.808875</v>
          </cell>
          <cell r="G602">
            <v>7612.23452500001</v>
          </cell>
        </row>
        <row r="603">
          <cell r="A603">
            <v>2006</v>
          </cell>
          <cell r="B603">
            <v>1</v>
          </cell>
          <cell r="C603">
            <v>26</v>
          </cell>
          <cell r="D603">
            <v>2</v>
          </cell>
          <cell r="E603">
            <v>8265.116925</v>
          </cell>
          <cell r="F603">
            <v>30.646375</v>
          </cell>
          <cell r="G603">
            <v>7363.84987500004</v>
          </cell>
        </row>
        <row r="604">
          <cell r="A604">
            <v>2006</v>
          </cell>
          <cell r="B604">
            <v>1</v>
          </cell>
          <cell r="C604">
            <v>26</v>
          </cell>
          <cell r="D604">
            <v>3</v>
          </cell>
          <cell r="E604">
            <v>8220.55662500003</v>
          </cell>
          <cell r="F604">
            <v>31.153625</v>
          </cell>
          <cell r="G604">
            <v>7300.69212500005</v>
          </cell>
        </row>
        <row r="605">
          <cell r="A605">
            <v>2006</v>
          </cell>
          <cell r="B605">
            <v>1</v>
          </cell>
          <cell r="C605">
            <v>26</v>
          </cell>
          <cell r="D605">
            <v>4</v>
          </cell>
          <cell r="E605">
            <v>8281.584475</v>
          </cell>
          <cell r="F605">
            <v>34.028375</v>
          </cell>
          <cell r="G605">
            <v>7347.77337500002</v>
          </cell>
        </row>
        <row r="606">
          <cell r="A606">
            <v>2006</v>
          </cell>
          <cell r="B606">
            <v>1</v>
          </cell>
          <cell r="C606">
            <v>26</v>
          </cell>
          <cell r="D606">
            <v>5</v>
          </cell>
          <cell r="E606">
            <v>8528.13747500001</v>
          </cell>
          <cell r="F606">
            <v>33.6815</v>
          </cell>
          <cell r="G606">
            <v>7580.80185000001</v>
          </cell>
        </row>
        <row r="607">
          <cell r="A607">
            <v>2006</v>
          </cell>
          <cell r="B607">
            <v>1</v>
          </cell>
          <cell r="C607">
            <v>26</v>
          </cell>
          <cell r="D607">
            <v>6</v>
          </cell>
          <cell r="E607">
            <v>9246.874175</v>
          </cell>
          <cell r="F607">
            <v>36.201075</v>
          </cell>
          <cell r="G607">
            <v>8262.84600000005</v>
          </cell>
        </row>
        <row r="608">
          <cell r="A608">
            <v>2006</v>
          </cell>
          <cell r="B608">
            <v>1</v>
          </cell>
          <cell r="C608">
            <v>26</v>
          </cell>
          <cell r="D608">
            <v>7</v>
          </cell>
          <cell r="E608">
            <v>10717.561125</v>
          </cell>
          <cell r="F608">
            <v>40.429725</v>
          </cell>
          <cell r="G608">
            <v>9592.48115000002</v>
          </cell>
        </row>
        <row r="609">
          <cell r="A609">
            <v>2006</v>
          </cell>
          <cell r="B609">
            <v>1</v>
          </cell>
          <cell r="C609">
            <v>26</v>
          </cell>
          <cell r="D609">
            <v>8</v>
          </cell>
          <cell r="E609">
            <v>11841.252975</v>
          </cell>
          <cell r="F609">
            <v>46.03085</v>
          </cell>
          <cell r="G609">
            <v>10619.08895</v>
          </cell>
        </row>
        <row r="610">
          <cell r="A610">
            <v>2006</v>
          </cell>
          <cell r="B610">
            <v>1</v>
          </cell>
          <cell r="C610">
            <v>26</v>
          </cell>
          <cell r="D610">
            <v>9</v>
          </cell>
          <cell r="E610">
            <v>11518.45215</v>
          </cell>
          <cell r="F610">
            <v>44.054</v>
          </cell>
          <cell r="G610">
            <v>10345.20525</v>
          </cell>
        </row>
        <row r="611">
          <cell r="A611">
            <v>2006</v>
          </cell>
          <cell r="B611">
            <v>1</v>
          </cell>
          <cell r="C611">
            <v>26</v>
          </cell>
          <cell r="D611">
            <v>10</v>
          </cell>
          <cell r="E611">
            <v>11359.210625</v>
          </cell>
          <cell r="F611">
            <v>39.399725</v>
          </cell>
          <cell r="G611">
            <v>10194.91955</v>
          </cell>
        </row>
        <row r="612">
          <cell r="A612">
            <v>2006</v>
          </cell>
          <cell r="B612">
            <v>1</v>
          </cell>
          <cell r="C612">
            <v>26</v>
          </cell>
          <cell r="D612">
            <v>11</v>
          </cell>
          <cell r="E612">
            <v>11286.7839</v>
          </cell>
          <cell r="F612">
            <v>41.01055</v>
          </cell>
          <cell r="G612">
            <v>10140.8932</v>
          </cell>
        </row>
        <row r="613">
          <cell r="A613">
            <v>2006</v>
          </cell>
          <cell r="B613">
            <v>1</v>
          </cell>
          <cell r="C613">
            <v>26</v>
          </cell>
          <cell r="D613">
            <v>12</v>
          </cell>
          <cell r="E613">
            <v>11204.6144</v>
          </cell>
          <cell r="F613">
            <v>40.06</v>
          </cell>
          <cell r="G613">
            <v>10031.799475</v>
          </cell>
        </row>
        <row r="614">
          <cell r="A614">
            <v>2006</v>
          </cell>
          <cell r="B614">
            <v>1</v>
          </cell>
          <cell r="C614">
            <v>26</v>
          </cell>
          <cell r="D614">
            <v>13</v>
          </cell>
          <cell r="E614">
            <v>11107.93825</v>
          </cell>
          <cell r="F614">
            <v>38.7673</v>
          </cell>
          <cell r="G614">
            <v>9936.81827500004</v>
          </cell>
        </row>
        <row r="615">
          <cell r="A615">
            <v>2006</v>
          </cell>
          <cell r="B615">
            <v>1</v>
          </cell>
          <cell r="C615">
            <v>26</v>
          </cell>
          <cell r="D615">
            <v>14</v>
          </cell>
          <cell r="E615">
            <v>11012.609975</v>
          </cell>
          <cell r="F615">
            <v>39.465325</v>
          </cell>
          <cell r="G615">
            <v>9888.74285000003</v>
          </cell>
        </row>
        <row r="616">
          <cell r="A616">
            <v>2006</v>
          </cell>
          <cell r="B616">
            <v>1</v>
          </cell>
          <cell r="C616">
            <v>26</v>
          </cell>
          <cell r="D616">
            <v>15</v>
          </cell>
          <cell r="E616">
            <v>10806.32405</v>
          </cell>
          <cell r="F616">
            <v>34.404225</v>
          </cell>
          <cell r="G616">
            <v>9711.29472499996</v>
          </cell>
        </row>
        <row r="617">
          <cell r="A617">
            <v>2006</v>
          </cell>
          <cell r="B617">
            <v>1</v>
          </cell>
          <cell r="C617">
            <v>26</v>
          </cell>
          <cell r="D617">
            <v>16</v>
          </cell>
          <cell r="E617">
            <v>10551.6393</v>
          </cell>
          <cell r="F617">
            <v>35.131375</v>
          </cell>
          <cell r="G617">
            <v>9454.38547500002</v>
          </cell>
        </row>
        <row r="618">
          <cell r="A618">
            <v>2006</v>
          </cell>
          <cell r="B618">
            <v>1</v>
          </cell>
          <cell r="C618">
            <v>26</v>
          </cell>
          <cell r="D618">
            <v>17</v>
          </cell>
          <cell r="E618">
            <v>10597.68085</v>
          </cell>
          <cell r="F618">
            <v>36.1575</v>
          </cell>
          <cell r="G618">
            <v>9493.39904999999</v>
          </cell>
        </row>
        <row r="619">
          <cell r="A619">
            <v>2006</v>
          </cell>
          <cell r="B619">
            <v>1</v>
          </cell>
          <cell r="C619">
            <v>26</v>
          </cell>
          <cell r="D619">
            <v>18</v>
          </cell>
          <cell r="E619">
            <v>10933.5322</v>
          </cell>
          <cell r="F619">
            <v>38.606825</v>
          </cell>
          <cell r="G619">
            <v>9829.84282500002</v>
          </cell>
        </row>
        <row r="620">
          <cell r="A620">
            <v>2006</v>
          </cell>
          <cell r="B620">
            <v>1</v>
          </cell>
          <cell r="C620">
            <v>26</v>
          </cell>
          <cell r="D620">
            <v>19</v>
          </cell>
          <cell r="E620">
            <v>11761.859025</v>
          </cell>
          <cell r="F620">
            <v>39.7699</v>
          </cell>
          <cell r="G620">
            <v>10598.398975</v>
          </cell>
        </row>
        <row r="621">
          <cell r="A621">
            <v>2006</v>
          </cell>
          <cell r="B621">
            <v>1</v>
          </cell>
          <cell r="C621">
            <v>26</v>
          </cell>
          <cell r="D621">
            <v>20</v>
          </cell>
          <cell r="E621">
            <v>11982.580175</v>
          </cell>
          <cell r="F621">
            <v>43.896825</v>
          </cell>
          <cell r="G621">
            <v>10820.3058</v>
          </cell>
        </row>
        <row r="622">
          <cell r="A622">
            <v>2006</v>
          </cell>
          <cell r="B622">
            <v>1</v>
          </cell>
          <cell r="C622">
            <v>26</v>
          </cell>
          <cell r="D622">
            <v>21</v>
          </cell>
          <cell r="E622">
            <v>11856.32625</v>
          </cell>
          <cell r="F622">
            <v>43.77695</v>
          </cell>
          <cell r="G622">
            <v>10700.393975</v>
          </cell>
        </row>
        <row r="623">
          <cell r="A623">
            <v>2006</v>
          </cell>
          <cell r="B623">
            <v>1</v>
          </cell>
          <cell r="C623">
            <v>26</v>
          </cell>
          <cell r="D623">
            <v>22</v>
          </cell>
          <cell r="E623">
            <v>11442.716225</v>
          </cell>
          <cell r="F623">
            <v>42.641575</v>
          </cell>
          <cell r="G623">
            <v>10383.204275</v>
          </cell>
        </row>
        <row r="625">
          <cell r="A625">
            <v>2006</v>
          </cell>
          <cell r="B625">
            <v>1</v>
          </cell>
          <cell r="C625">
            <v>26</v>
          </cell>
          <cell r="D625">
            <v>24</v>
          </cell>
          <cell r="E625">
            <v>9982.53917499999</v>
          </cell>
          <cell r="F625">
            <v>37.846125</v>
          </cell>
          <cell r="G625">
            <v>8954.724125</v>
          </cell>
        </row>
        <row r="626">
          <cell r="A626">
            <v>2006</v>
          </cell>
          <cell r="B626">
            <v>1</v>
          </cell>
          <cell r="C626">
            <v>27</v>
          </cell>
          <cell r="D626">
            <v>1</v>
          </cell>
          <cell r="E626">
            <v>9503.24652499997</v>
          </cell>
          <cell r="F626">
            <v>36.5081</v>
          </cell>
          <cell r="G626">
            <v>8474.15427500005</v>
          </cell>
        </row>
        <row r="627">
          <cell r="A627">
            <v>2006</v>
          </cell>
          <cell r="B627">
            <v>1</v>
          </cell>
          <cell r="C627">
            <v>27</v>
          </cell>
          <cell r="D627">
            <v>2</v>
          </cell>
          <cell r="E627">
            <v>9235.61717500001</v>
          </cell>
          <cell r="F627">
            <v>34.015375</v>
          </cell>
          <cell r="G627">
            <v>8220.43690000001</v>
          </cell>
        </row>
        <row r="628">
          <cell r="A628">
            <v>2006</v>
          </cell>
          <cell r="B628">
            <v>1</v>
          </cell>
          <cell r="C628">
            <v>27</v>
          </cell>
          <cell r="D628">
            <v>3</v>
          </cell>
          <cell r="E628">
            <v>9140.72227499999</v>
          </cell>
          <cell r="F628">
            <v>34.412275</v>
          </cell>
          <cell r="G628">
            <v>8130.84707500004</v>
          </cell>
        </row>
        <row r="629">
          <cell r="A629">
            <v>2006</v>
          </cell>
          <cell r="B629">
            <v>1</v>
          </cell>
          <cell r="C629">
            <v>27</v>
          </cell>
          <cell r="D629">
            <v>4</v>
          </cell>
          <cell r="E629">
            <v>9158.16200000002</v>
          </cell>
          <cell r="F629">
            <v>34.339375</v>
          </cell>
          <cell r="G629">
            <v>8135.85522500001</v>
          </cell>
        </row>
        <row r="630">
          <cell r="A630">
            <v>2006</v>
          </cell>
          <cell r="B630">
            <v>1</v>
          </cell>
          <cell r="C630">
            <v>27</v>
          </cell>
          <cell r="D630">
            <v>5</v>
          </cell>
          <cell r="E630">
            <v>9357.96777500002</v>
          </cell>
          <cell r="F630">
            <v>35.176325</v>
          </cell>
          <cell r="G630">
            <v>8330.89420000004</v>
          </cell>
        </row>
        <row r="631">
          <cell r="A631">
            <v>2006</v>
          </cell>
          <cell r="B631">
            <v>1</v>
          </cell>
          <cell r="C631">
            <v>27</v>
          </cell>
          <cell r="D631">
            <v>6</v>
          </cell>
          <cell r="E631">
            <v>10031.165625</v>
          </cell>
          <cell r="F631">
            <v>38.422175</v>
          </cell>
          <cell r="G631">
            <v>8963.22142500003</v>
          </cell>
        </row>
        <row r="632">
          <cell r="A632">
            <v>2006</v>
          </cell>
          <cell r="B632">
            <v>1</v>
          </cell>
          <cell r="C632">
            <v>27</v>
          </cell>
          <cell r="D632">
            <v>7</v>
          </cell>
          <cell r="E632">
            <v>11423.801975</v>
          </cell>
          <cell r="F632">
            <v>44.820475</v>
          </cell>
          <cell r="G632">
            <v>10235.778825</v>
          </cell>
        </row>
        <row r="633">
          <cell r="A633">
            <v>2006</v>
          </cell>
          <cell r="B633">
            <v>1</v>
          </cell>
          <cell r="C633">
            <v>27</v>
          </cell>
          <cell r="D633">
            <v>8</v>
          </cell>
          <cell r="E633">
            <v>12402.66225</v>
          </cell>
          <cell r="F633">
            <v>47.230925</v>
          </cell>
          <cell r="G633">
            <v>11126.4051000001</v>
          </cell>
        </row>
        <row r="634">
          <cell r="A634">
            <v>2006</v>
          </cell>
          <cell r="B634">
            <v>1</v>
          </cell>
          <cell r="C634">
            <v>27</v>
          </cell>
          <cell r="D634">
            <v>9</v>
          </cell>
          <cell r="E634">
            <v>12118.2641</v>
          </cell>
          <cell r="F634">
            <v>45.60565</v>
          </cell>
          <cell r="G634">
            <v>10861.046125</v>
          </cell>
        </row>
        <row r="635">
          <cell r="A635">
            <v>2006</v>
          </cell>
          <cell r="B635">
            <v>1</v>
          </cell>
          <cell r="C635">
            <v>27</v>
          </cell>
          <cell r="D635">
            <v>10</v>
          </cell>
          <cell r="E635">
            <v>11960.568675</v>
          </cell>
          <cell r="F635">
            <v>45.28315</v>
          </cell>
          <cell r="G635">
            <v>10725.615675</v>
          </cell>
        </row>
        <row r="636">
          <cell r="A636">
            <v>2006</v>
          </cell>
          <cell r="B636">
            <v>1</v>
          </cell>
          <cell r="C636">
            <v>27</v>
          </cell>
          <cell r="D636">
            <v>11</v>
          </cell>
          <cell r="E636">
            <v>11887.128075</v>
          </cell>
          <cell r="F636">
            <v>44.298275</v>
          </cell>
          <cell r="G636">
            <v>10668.7384250001</v>
          </cell>
        </row>
        <row r="637">
          <cell r="A637">
            <v>2006</v>
          </cell>
          <cell r="B637">
            <v>1</v>
          </cell>
          <cell r="C637">
            <v>27</v>
          </cell>
          <cell r="D637">
            <v>12</v>
          </cell>
          <cell r="E637">
            <v>11698.953725</v>
          </cell>
          <cell r="F637">
            <v>41.460975</v>
          </cell>
          <cell r="G637">
            <v>10498.170525</v>
          </cell>
        </row>
        <row r="638">
          <cell r="A638">
            <v>2006</v>
          </cell>
          <cell r="B638">
            <v>1</v>
          </cell>
          <cell r="C638">
            <v>27</v>
          </cell>
          <cell r="D638">
            <v>13</v>
          </cell>
          <cell r="E638">
            <v>11421.805775</v>
          </cell>
          <cell r="F638">
            <v>35.46345</v>
          </cell>
          <cell r="G638">
            <v>10251.2388</v>
          </cell>
        </row>
        <row r="639">
          <cell r="A639">
            <v>2006</v>
          </cell>
          <cell r="B639">
            <v>1</v>
          </cell>
          <cell r="C639">
            <v>27</v>
          </cell>
          <cell r="D639">
            <v>14</v>
          </cell>
          <cell r="E639">
            <v>11227.8072</v>
          </cell>
          <cell r="F639">
            <v>33.35165</v>
          </cell>
          <cell r="G639">
            <v>10070.17665</v>
          </cell>
        </row>
        <row r="640">
          <cell r="A640">
            <v>2006</v>
          </cell>
          <cell r="B640">
            <v>1</v>
          </cell>
          <cell r="C640">
            <v>27</v>
          </cell>
          <cell r="D640">
            <v>15</v>
          </cell>
          <cell r="E640">
            <v>10952.138925</v>
          </cell>
          <cell r="F640">
            <v>31.947475</v>
          </cell>
          <cell r="G640">
            <v>9810.76852500007</v>
          </cell>
        </row>
        <row r="641">
          <cell r="A641">
            <v>2006</v>
          </cell>
          <cell r="B641">
            <v>1</v>
          </cell>
          <cell r="C641">
            <v>27</v>
          </cell>
          <cell r="D641">
            <v>16</v>
          </cell>
          <cell r="E641">
            <v>10637.25895</v>
          </cell>
          <cell r="F641">
            <v>29.82395</v>
          </cell>
          <cell r="G641">
            <v>9542.6301</v>
          </cell>
        </row>
        <row r="642">
          <cell r="A642">
            <v>2006</v>
          </cell>
          <cell r="B642">
            <v>1</v>
          </cell>
          <cell r="C642">
            <v>27</v>
          </cell>
          <cell r="D642">
            <v>17</v>
          </cell>
          <cell r="E642">
            <v>10579.401725</v>
          </cell>
          <cell r="F642">
            <v>30.412525</v>
          </cell>
          <cell r="G642">
            <v>9524.76400000002</v>
          </cell>
        </row>
        <row r="643">
          <cell r="A643">
            <v>2006</v>
          </cell>
          <cell r="B643">
            <v>1</v>
          </cell>
          <cell r="C643">
            <v>27</v>
          </cell>
          <cell r="D643">
            <v>18</v>
          </cell>
          <cell r="E643">
            <v>10720.7563999999</v>
          </cell>
          <cell r="F643">
            <v>32.6627</v>
          </cell>
          <cell r="G643">
            <v>9685.861325</v>
          </cell>
        </row>
        <row r="644">
          <cell r="A644">
            <v>2006</v>
          </cell>
          <cell r="B644">
            <v>1</v>
          </cell>
          <cell r="C644">
            <v>27</v>
          </cell>
          <cell r="D644">
            <v>19</v>
          </cell>
          <cell r="E644">
            <v>11249.869525</v>
          </cell>
          <cell r="F644">
            <v>34.28825</v>
          </cell>
          <cell r="G644">
            <v>10176.8965</v>
          </cell>
        </row>
        <row r="645">
          <cell r="A645">
            <v>2006</v>
          </cell>
          <cell r="B645">
            <v>1</v>
          </cell>
          <cell r="C645">
            <v>27</v>
          </cell>
          <cell r="D645">
            <v>20</v>
          </cell>
          <cell r="E645">
            <v>11112.10725</v>
          </cell>
          <cell r="F645">
            <v>35.348475</v>
          </cell>
          <cell r="G645">
            <v>10029.94295</v>
          </cell>
        </row>
        <row r="646">
          <cell r="A646">
            <v>2006</v>
          </cell>
          <cell r="B646">
            <v>1</v>
          </cell>
          <cell r="C646">
            <v>27</v>
          </cell>
          <cell r="D646">
            <v>21</v>
          </cell>
          <cell r="E646">
            <v>10800.0476</v>
          </cell>
          <cell r="F646">
            <v>33.3817</v>
          </cell>
          <cell r="G646">
            <v>9731.707125</v>
          </cell>
        </row>
        <row r="647">
          <cell r="A647">
            <v>2006</v>
          </cell>
          <cell r="B647">
            <v>1</v>
          </cell>
          <cell r="C647">
            <v>27</v>
          </cell>
          <cell r="D647">
            <v>22</v>
          </cell>
          <cell r="E647">
            <v>10352.0554</v>
          </cell>
          <cell r="F647">
            <v>32.007475</v>
          </cell>
          <cell r="G647">
            <v>9353.36724999998</v>
          </cell>
        </row>
        <row r="649">
          <cell r="A649">
            <v>2006</v>
          </cell>
          <cell r="B649">
            <v>1</v>
          </cell>
          <cell r="C649">
            <v>27</v>
          </cell>
          <cell r="D649">
            <v>24</v>
          </cell>
          <cell r="E649">
            <v>9398.97387499997</v>
          </cell>
          <cell r="F649">
            <v>26.66995</v>
          </cell>
          <cell r="G649">
            <v>8170.689425</v>
          </cell>
        </row>
        <row r="650">
          <cell r="A650">
            <v>2006</v>
          </cell>
          <cell r="B650">
            <v>1</v>
          </cell>
          <cell r="C650">
            <v>28</v>
          </cell>
          <cell r="D650">
            <v>1</v>
          </cell>
          <cell r="E650">
            <v>8889.70502499998</v>
          </cell>
          <cell r="F650">
            <v>26.4307</v>
          </cell>
          <cell r="G650">
            <v>7565.52370000002</v>
          </cell>
        </row>
        <row r="651">
          <cell r="A651">
            <v>2006</v>
          </cell>
          <cell r="B651">
            <v>1</v>
          </cell>
          <cell r="C651">
            <v>28</v>
          </cell>
          <cell r="D651">
            <v>2</v>
          </cell>
          <cell r="E651">
            <v>8527.15927500002</v>
          </cell>
          <cell r="F651">
            <v>27.3613</v>
          </cell>
          <cell r="G651">
            <v>7153.67587500001</v>
          </cell>
        </row>
        <row r="652">
          <cell r="A652">
            <v>2006</v>
          </cell>
          <cell r="B652">
            <v>1</v>
          </cell>
          <cell r="C652">
            <v>28</v>
          </cell>
          <cell r="D652">
            <v>3</v>
          </cell>
          <cell r="E652">
            <v>2436.1766</v>
          </cell>
          <cell r="F652">
            <v>1.153975</v>
          </cell>
          <cell r="G652">
            <v>3279.61144999999</v>
          </cell>
        </row>
        <row r="653">
          <cell r="A653">
            <v>2006</v>
          </cell>
          <cell r="B653">
            <v>1</v>
          </cell>
          <cell r="C653">
            <v>28</v>
          </cell>
          <cell r="D653">
            <v>4</v>
          </cell>
          <cell r="E653">
            <v>8027.12627500002</v>
          </cell>
          <cell r="F653">
            <v>28.202275</v>
          </cell>
          <cell r="G653">
            <v>6734.18994999999</v>
          </cell>
        </row>
        <row r="654">
          <cell r="A654">
            <v>2006</v>
          </cell>
          <cell r="B654">
            <v>1</v>
          </cell>
          <cell r="C654">
            <v>28</v>
          </cell>
          <cell r="D654">
            <v>5</v>
          </cell>
          <cell r="E654">
            <v>7975.049025</v>
          </cell>
          <cell r="F654">
            <v>29.27355</v>
          </cell>
          <cell r="G654">
            <v>6720.80327500004</v>
          </cell>
        </row>
        <row r="655">
          <cell r="A655">
            <v>2006</v>
          </cell>
          <cell r="B655">
            <v>1</v>
          </cell>
          <cell r="C655">
            <v>28</v>
          </cell>
          <cell r="D655">
            <v>6</v>
          </cell>
          <cell r="E655">
            <v>8150.92785</v>
          </cell>
          <cell r="F655">
            <v>29.902625</v>
          </cell>
          <cell r="G655">
            <v>6871.17335000002</v>
          </cell>
        </row>
        <row r="656">
          <cell r="A656">
            <v>2006</v>
          </cell>
          <cell r="B656">
            <v>1</v>
          </cell>
          <cell r="C656">
            <v>28</v>
          </cell>
          <cell r="D656">
            <v>7</v>
          </cell>
          <cell r="E656">
            <v>8583.12854999998</v>
          </cell>
          <cell r="F656">
            <v>29.964</v>
          </cell>
          <cell r="G656">
            <v>7266.73230000002</v>
          </cell>
        </row>
        <row r="657">
          <cell r="A657">
            <v>2006</v>
          </cell>
          <cell r="B657">
            <v>1</v>
          </cell>
          <cell r="C657">
            <v>28</v>
          </cell>
          <cell r="D657">
            <v>8</v>
          </cell>
          <cell r="E657">
            <v>9135.44415</v>
          </cell>
          <cell r="F657">
            <v>30.251025</v>
          </cell>
          <cell r="G657">
            <v>7797.96489999998</v>
          </cell>
        </row>
        <row r="658">
          <cell r="A658">
            <v>2006</v>
          </cell>
          <cell r="B658">
            <v>1</v>
          </cell>
          <cell r="C658">
            <v>28</v>
          </cell>
          <cell r="D658">
            <v>9</v>
          </cell>
          <cell r="E658">
            <v>9728.90557499997</v>
          </cell>
          <cell r="F658">
            <v>31.130725</v>
          </cell>
          <cell r="G658">
            <v>8335.904475</v>
          </cell>
        </row>
        <row r="659">
          <cell r="A659">
            <v>2006</v>
          </cell>
          <cell r="B659">
            <v>1</v>
          </cell>
          <cell r="C659">
            <v>28</v>
          </cell>
          <cell r="D659">
            <v>10</v>
          </cell>
          <cell r="E659">
            <v>10396.560625</v>
          </cell>
          <cell r="F659">
            <v>32.411</v>
          </cell>
          <cell r="G659">
            <v>8840.20730000002</v>
          </cell>
        </row>
        <row r="660">
          <cell r="A660">
            <v>2006</v>
          </cell>
          <cell r="B660">
            <v>1</v>
          </cell>
          <cell r="C660">
            <v>28</v>
          </cell>
          <cell r="D660">
            <v>11</v>
          </cell>
          <cell r="E660">
            <v>10751.66455</v>
          </cell>
          <cell r="F660">
            <v>32.86985</v>
          </cell>
          <cell r="G660">
            <v>9213.803675</v>
          </cell>
        </row>
        <row r="661">
          <cell r="A661">
            <v>2006</v>
          </cell>
          <cell r="B661">
            <v>1</v>
          </cell>
          <cell r="C661">
            <v>28</v>
          </cell>
          <cell r="D661">
            <v>12</v>
          </cell>
          <cell r="E661">
            <v>10747.25285</v>
          </cell>
          <cell r="F661">
            <v>32.0776</v>
          </cell>
          <cell r="G661">
            <v>9231.63450000006</v>
          </cell>
        </row>
        <row r="662">
          <cell r="A662">
            <v>2006</v>
          </cell>
          <cell r="B662">
            <v>1</v>
          </cell>
          <cell r="C662">
            <v>28</v>
          </cell>
          <cell r="D662">
            <v>13</v>
          </cell>
          <cell r="E662">
            <v>10578.719425</v>
          </cell>
          <cell r="F662">
            <v>31.1219</v>
          </cell>
          <cell r="G662">
            <v>9075.90990000002</v>
          </cell>
        </row>
        <row r="663">
          <cell r="A663">
            <v>2006</v>
          </cell>
          <cell r="B663">
            <v>1</v>
          </cell>
          <cell r="C663">
            <v>28</v>
          </cell>
          <cell r="D663">
            <v>14</v>
          </cell>
          <cell r="E663">
            <v>10306.34735</v>
          </cell>
          <cell r="F663">
            <v>30.6739</v>
          </cell>
          <cell r="G663">
            <v>8828.00737500002</v>
          </cell>
        </row>
        <row r="664">
          <cell r="A664">
            <v>2006</v>
          </cell>
          <cell r="B664">
            <v>1</v>
          </cell>
          <cell r="C664">
            <v>28</v>
          </cell>
          <cell r="D664">
            <v>15</v>
          </cell>
          <cell r="E664">
            <v>9997.26687499999</v>
          </cell>
          <cell r="F664">
            <v>29.770475</v>
          </cell>
          <cell r="G664">
            <v>8505.59510000004</v>
          </cell>
        </row>
        <row r="665">
          <cell r="A665">
            <v>2006</v>
          </cell>
          <cell r="B665">
            <v>1</v>
          </cell>
          <cell r="C665">
            <v>28</v>
          </cell>
          <cell r="D665">
            <v>16</v>
          </cell>
          <cell r="E665">
            <v>9762.71262500001</v>
          </cell>
          <cell r="F665">
            <v>30.8296</v>
          </cell>
          <cell r="G665">
            <v>8271.89830000003</v>
          </cell>
        </row>
        <row r="666">
          <cell r="A666">
            <v>2006</v>
          </cell>
          <cell r="B666">
            <v>1</v>
          </cell>
          <cell r="C666">
            <v>28</v>
          </cell>
          <cell r="D666">
            <v>17</v>
          </cell>
          <cell r="E666">
            <v>9592.20949999994</v>
          </cell>
          <cell r="F666">
            <v>31.33695</v>
          </cell>
          <cell r="G666">
            <v>8135.95145000005</v>
          </cell>
        </row>
        <row r="667">
          <cell r="A667">
            <v>2006</v>
          </cell>
          <cell r="B667">
            <v>1</v>
          </cell>
          <cell r="C667">
            <v>28</v>
          </cell>
          <cell r="D667">
            <v>18</v>
          </cell>
          <cell r="E667">
            <v>9703.38822499998</v>
          </cell>
          <cell r="F667">
            <v>31.77195</v>
          </cell>
          <cell r="G667">
            <v>8176.16047500001</v>
          </cell>
        </row>
        <row r="668">
          <cell r="A668">
            <v>2006</v>
          </cell>
          <cell r="B668">
            <v>1</v>
          </cell>
          <cell r="C668">
            <v>28</v>
          </cell>
          <cell r="D668">
            <v>19</v>
          </cell>
          <cell r="E668">
            <v>10356.3548749999</v>
          </cell>
          <cell r="F668">
            <v>35.26925</v>
          </cell>
          <cell r="G668">
            <v>8689.16979999997</v>
          </cell>
        </row>
        <row r="669">
          <cell r="A669">
            <v>2006</v>
          </cell>
          <cell r="B669">
            <v>1</v>
          </cell>
          <cell r="C669">
            <v>28</v>
          </cell>
          <cell r="D669">
            <v>20</v>
          </cell>
          <cell r="E669">
            <v>10557.67345</v>
          </cell>
          <cell r="F669">
            <v>38.774125</v>
          </cell>
          <cell r="G669">
            <v>8907.80800000002</v>
          </cell>
        </row>
        <row r="670">
          <cell r="A670">
            <v>2006</v>
          </cell>
          <cell r="B670">
            <v>1</v>
          </cell>
          <cell r="C670">
            <v>28</v>
          </cell>
          <cell r="D670">
            <v>21</v>
          </cell>
          <cell r="E670">
            <v>10406.441125</v>
          </cell>
          <cell r="F670">
            <v>38.41265</v>
          </cell>
          <cell r="G670">
            <v>8786.88705000004</v>
          </cell>
        </row>
        <row r="671">
          <cell r="A671">
            <v>2006</v>
          </cell>
          <cell r="B671">
            <v>1</v>
          </cell>
          <cell r="C671">
            <v>28</v>
          </cell>
          <cell r="D671">
            <v>22</v>
          </cell>
          <cell r="E671">
            <v>10114.007925</v>
          </cell>
          <cell r="F671">
            <v>37.9794</v>
          </cell>
          <cell r="G671">
            <v>8587.39262500002</v>
          </cell>
        </row>
        <row r="673">
          <cell r="A673">
            <v>2006</v>
          </cell>
          <cell r="B673">
            <v>1</v>
          </cell>
          <cell r="C673">
            <v>28</v>
          </cell>
          <cell r="D673">
            <v>24</v>
          </cell>
          <cell r="E673">
            <v>9324.02990000003</v>
          </cell>
          <cell r="F673">
            <v>36.259725</v>
          </cell>
          <cell r="G673">
            <v>7876.07022500003</v>
          </cell>
        </row>
        <row r="674">
          <cell r="A674">
            <v>2006</v>
          </cell>
          <cell r="B674">
            <v>1</v>
          </cell>
          <cell r="C674">
            <v>29</v>
          </cell>
          <cell r="D674">
            <v>1</v>
          </cell>
          <cell r="E674">
            <v>7035.74677500001</v>
          </cell>
          <cell r="F674">
            <v>26.95275</v>
          </cell>
          <cell r="G674">
            <v>6166.90285</v>
          </cell>
        </row>
        <row r="675">
          <cell r="A675">
            <v>2006</v>
          </cell>
          <cell r="B675">
            <v>1</v>
          </cell>
          <cell r="C675">
            <v>29</v>
          </cell>
          <cell r="D675">
            <v>2</v>
          </cell>
          <cell r="E675">
            <v>8701.38687500001</v>
          </cell>
          <cell r="F675">
            <v>34.07495</v>
          </cell>
          <cell r="G675">
            <v>7276.99287500001</v>
          </cell>
        </row>
        <row r="676">
          <cell r="A676">
            <v>2006</v>
          </cell>
          <cell r="B676">
            <v>1</v>
          </cell>
          <cell r="C676">
            <v>29</v>
          </cell>
          <cell r="D676">
            <v>3</v>
          </cell>
          <cell r="E676">
            <v>8615.79637499998</v>
          </cell>
          <cell r="F676">
            <v>33.341075</v>
          </cell>
          <cell r="G676">
            <v>7206.51625000003</v>
          </cell>
        </row>
        <row r="677">
          <cell r="A677">
            <v>2006</v>
          </cell>
          <cell r="B677">
            <v>1</v>
          </cell>
          <cell r="C677">
            <v>29</v>
          </cell>
          <cell r="D677">
            <v>4</v>
          </cell>
          <cell r="E677">
            <v>8637.73919999999</v>
          </cell>
          <cell r="F677">
            <v>33.651725</v>
          </cell>
          <cell r="G677">
            <v>7242.34887500002</v>
          </cell>
        </row>
        <row r="678">
          <cell r="A678">
            <v>2006</v>
          </cell>
          <cell r="B678">
            <v>1</v>
          </cell>
          <cell r="C678">
            <v>29</v>
          </cell>
          <cell r="D678">
            <v>5</v>
          </cell>
          <cell r="E678">
            <v>8771.55577500003</v>
          </cell>
          <cell r="F678">
            <v>34.878225</v>
          </cell>
          <cell r="G678">
            <v>7388.18362500002</v>
          </cell>
        </row>
        <row r="679">
          <cell r="A679">
            <v>2006</v>
          </cell>
          <cell r="B679">
            <v>1</v>
          </cell>
          <cell r="C679">
            <v>29</v>
          </cell>
          <cell r="D679">
            <v>6</v>
          </cell>
          <cell r="E679">
            <v>9172.27229999998</v>
          </cell>
          <cell r="F679">
            <v>36.35635</v>
          </cell>
          <cell r="G679">
            <v>7691.82107499999</v>
          </cell>
        </row>
        <row r="680">
          <cell r="A680">
            <v>2006</v>
          </cell>
          <cell r="B680">
            <v>1</v>
          </cell>
          <cell r="C680">
            <v>29</v>
          </cell>
          <cell r="D680">
            <v>7</v>
          </cell>
          <cell r="E680">
            <v>9580.59677500001</v>
          </cell>
          <cell r="F680">
            <v>37.525975</v>
          </cell>
          <cell r="G680">
            <v>8175.87147499999</v>
          </cell>
        </row>
        <row r="681">
          <cell r="A681">
            <v>2006</v>
          </cell>
          <cell r="B681">
            <v>1</v>
          </cell>
          <cell r="C681">
            <v>29</v>
          </cell>
          <cell r="D681">
            <v>8</v>
          </cell>
          <cell r="E681">
            <v>10181.144225</v>
          </cell>
          <cell r="F681">
            <v>39.91325</v>
          </cell>
          <cell r="G681">
            <v>8747.65037499999</v>
          </cell>
        </row>
        <row r="682">
          <cell r="A682">
            <v>2006</v>
          </cell>
          <cell r="B682">
            <v>1</v>
          </cell>
          <cell r="C682">
            <v>29</v>
          </cell>
          <cell r="D682">
            <v>9</v>
          </cell>
          <cell r="E682">
            <v>10588.0791</v>
          </cell>
          <cell r="F682">
            <v>42.080625</v>
          </cell>
          <cell r="G682">
            <v>9057.63177500005</v>
          </cell>
        </row>
        <row r="683">
          <cell r="A683">
            <v>2006</v>
          </cell>
          <cell r="B683">
            <v>1</v>
          </cell>
          <cell r="C683">
            <v>29</v>
          </cell>
          <cell r="D683">
            <v>10</v>
          </cell>
          <cell r="E683">
            <v>10589.903025</v>
          </cell>
          <cell r="F683">
            <v>43.116925</v>
          </cell>
          <cell r="G683">
            <v>8971.284675</v>
          </cell>
        </row>
        <row r="684">
          <cell r="A684">
            <v>2006</v>
          </cell>
          <cell r="B684">
            <v>1</v>
          </cell>
          <cell r="C684">
            <v>29</v>
          </cell>
          <cell r="D684">
            <v>11</v>
          </cell>
          <cell r="E684">
            <v>10354.365475</v>
          </cell>
          <cell r="F684">
            <v>40.2104</v>
          </cell>
          <cell r="G684">
            <v>8687.75995000005</v>
          </cell>
        </row>
        <row r="685">
          <cell r="A685">
            <v>2006</v>
          </cell>
          <cell r="B685">
            <v>1</v>
          </cell>
          <cell r="C685">
            <v>29</v>
          </cell>
          <cell r="D685">
            <v>12</v>
          </cell>
          <cell r="E685">
            <v>9880.81450000001</v>
          </cell>
          <cell r="F685">
            <v>35.817825</v>
          </cell>
          <cell r="G685">
            <v>8357.66897500002</v>
          </cell>
        </row>
        <row r="686">
          <cell r="A686">
            <v>2006</v>
          </cell>
          <cell r="B686">
            <v>1</v>
          </cell>
          <cell r="C686">
            <v>29</v>
          </cell>
          <cell r="D686">
            <v>13</v>
          </cell>
          <cell r="E686">
            <v>9577.28205000001</v>
          </cell>
          <cell r="F686">
            <v>34.524175</v>
          </cell>
          <cell r="G686">
            <v>8154.14325</v>
          </cell>
        </row>
        <row r="687">
          <cell r="A687">
            <v>2006</v>
          </cell>
          <cell r="B687">
            <v>1</v>
          </cell>
          <cell r="C687">
            <v>29</v>
          </cell>
          <cell r="D687">
            <v>14</v>
          </cell>
          <cell r="E687">
            <v>9385.50395</v>
          </cell>
          <cell r="F687">
            <v>34.7993</v>
          </cell>
          <cell r="G687">
            <v>7972.45190000004</v>
          </cell>
        </row>
        <row r="688">
          <cell r="A688">
            <v>2006</v>
          </cell>
          <cell r="B688">
            <v>1</v>
          </cell>
          <cell r="C688">
            <v>29</v>
          </cell>
          <cell r="D688">
            <v>15</v>
          </cell>
          <cell r="E688">
            <v>9373.624375</v>
          </cell>
          <cell r="F688">
            <v>35.5073</v>
          </cell>
          <cell r="G688">
            <v>7819.60397500006</v>
          </cell>
        </row>
        <row r="689">
          <cell r="A689">
            <v>2006</v>
          </cell>
          <cell r="B689">
            <v>1</v>
          </cell>
          <cell r="C689">
            <v>29</v>
          </cell>
          <cell r="D689">
            <v>16</v>
          </cell>
          <cell r="E689">
            <v>9218.09419999999</v>
          </cell>
          <cell r="F689">
            <v>36.396325</v>
          </cell>
          <cell r="G689">
            <v>7710.45710000003</v>
          </cell>
        </row>
        <row r="690">
          <cell r="A690">
            <v>2006</v>
          </cell>
          <cell r="B690">
            <v>1</v>
          </cell>
          <cell r="C690">
            <v>29</v>
          </cell>
          <cell r="D690">
            <v>17</v>
          </cell>
          <cell r="E690">
            <v>9108.6314</v>
          </cell>
          <cell r="F690">
            <v>37.579</v>
          </cell>
          <cell r="G690">
            <v>7679.550325</v>
          </cell>
        </row>
        <row r="691">
          <cell r="A691">
            <v>2006</v>
          </cell>
          <cell r="B691">
            <v>1</v>
          </cell>
          <cell r="C691">
            <v>29</v>
          </cell>
          <cell r="D691">
            <v>18</v>
          </cell>
          <cell r="E691">
            <v>9341.31587500001</v>
          </cell>
          <cell r="F691">
            <v>38.359025</v>
          </cell>
          <cell r="G691">
            <v>7819.63687500001</v>
          </cell>
        </row>
        <row r="692">
          <cell r="A692">
            <v>2006</v>
          </cell>
          <cell r="B692">
            <v>1</v>
          </cell>
          <cell r="C692">
            <v>29</v>
          </cell>
          <cell r="D692">
            <v>19</v>
          </cell>
          <cell r="E692">
            <v>10179.045175</v>
          </cell>
          <cell r="F692">
            <v>39.345125</v>
          </cell>
          <cell r="G692">
            <v>8572.48447500004</v>
          </cell>
        </row>
        <row r="693">
          <cell r="A693">
            <v>2006</v>
          </cell>
          <cell r="B693">
            <v>1</v>
          </cell>
          <cell r="C693">
            <v>29</v>
          </cell>
          <cell r="D693">
            <v>20</v>
          </cell>
          <cell r="E693">
            <v>10417.726</v>
          </cell>
          <cell r="F693">
            <v>42.00605</v>
          </cell>
          <cell r="G693">
            <v>8973.41700000003</v>
          </cell>
        </row>
        <row r="694">
          <cell r="A694">
            <v>2006</v>
          </cell>
          <cell r="B694">
            <v>1</v>
          </cell>
          <cell r="C694">
            <v>29</v>
          </cell>
          <cell r="D694">
            <v>21</v>
          </cell>
          <cell r="E694">
            <v>10307.6984</v>
          </cell>
          <cell r="F694">
            <v>41.92125</v>
          </cell>
          <cell r="G694">
            <v>8903.9935</v>
          </cell>
        </row>
        <row r="695">
          <cell r="A695">
            <v>2006</v>
          </cell>
          <cell r="B695">
            <v>1</v>
          </cell>
          <cell r="C695">
            <v>29</v>
          </cell>
          <cell r="D695">
            <v>22</v>
          </cell>
          <cell r="E695">
            <v>9976.08360000003</v>
          </cell>
          <cell r="F695">
            <v>39.5563</v>
          </cell>
          <cell r="G695">
            <v>8625.71444999999</v>
          </cell>
        </row>
        <row r="697">
          <cell r="A697">
            <v>2006</v>
          </cell>
          <cell r="B697">
            <v>1</v>
          </cell>
          <cell r="C697">
            <v>29</v>
          </cell>
          <cell r="D697">
            <v>24</v>
          </cell>
          <cell r="E697">
            <v>8775.40780000002</v>
          </cell>
          <cell r="F697">
            <v>34.209125</v>
          </cell>
          <cell r="G697">
            <v>7483.49065000005</v>
          </cell>
        </row>
        <row r="698">
          <cell r="A698">
            <v>2006</v>
          </cell>
          <cell r="B698">
            <v>1</v>
          </cell>
          <cell r="C698">
            <v>30</v>
          </cell>
          <cell r="D698">
            <v>1</v>
          </cell>
          <cell r="E698">
            <v>8200.67849999997</v>
          </cell>
          <cell r="F698">
            <v>32.029325</v>
          </cell>
          <cell r="G698">
            <v>6942.4543</v>
          </cell>
        </row>
        <row r="699">
          <cell r="A699">
            <v>2006</v>
          </cell>
          <cell r="B699">
            <v>1</v>
          </cell>
          <cell r="C699">
            <v>30</v>
          </cell>
          <cell r="D699">
            <v>2</v>
          </cell>
          <cell r="E699">
            <v>7982.97082499999</v>
          </cell>
          <cell r="F699">
            <v>30.685</v>
          </cell>
          <cell r="G699">
            <v>6712.23300000004</v>
          </cell>
        </row>
        <row r="700">
          <cell r="A700">
            <v>2006</v>
          </cell>
          <cell r="B700">
            <v>1</v>
          </cell>
          <cell r="C700">
            <v>30</v>
          </cell>
          <cell r="D700">
            <v>3</v>
          </cell>
          <cell r="E700">
            <v>7873.79235000003</v>
          </cell>
          <cell r="F700">
            <v>31.027775</v>
          </cell>
          <cell r="G700">
            <v>6653.41190000003</v>
          </cell>
        </row>
        <row r="701">
          <cell r="A701">
            <v>2006</v>
          </cell>
          <cell r="B701">
            <v>1</v>
          </cell>
          <cell r="C701">
            <v>30</v>
          </cell>
          <cell r="D701">
            <v>4</v>
          </cell>
          <cell r="E701">
            <v>7907.61939999999</v>
          </cell>
          <cell r="F701">
            <v>32.5866</v>
          </cell>
          <cell r="G701">
            <v>6733.08677499997</v>
          </cell>
        </row>
        <row r="702">
          <cell r="A702">
            <v>2006</v>
          </cell>
          <cell r="B702">
            <v>1</v>
          </cell>
          <cell r="C702">
            <v>30</v>
          </cell>
          <cell r="D702">
            <v>5</v>
          </cell>
          <cell r="E702">
            <v>8325.40354999999</v>
          </cell>
          <cell r="F702">
            <v>36.11415</v>
          </cell>
          <cell r="G702">
            <v>6999.155775</v>
          </cell>
        </row>
        <row r="703">
          <cell r="A703">
            <v>2006</v>
          </cell>
          <cell r="B703">
            <v>1</v>
          </cell>
          <cell r="C703">
            <v>30</v>
          </cell>
          <cell r="D703">
            <v>6</v>
          </cell>
          <cell r="E703">
            <v>9277.19092499999</v>
          </cell>
          <cell r="F703">
            <v>41.180125</v>
          </cell>
          <cell r="G703">
            <v>7778.50562499997</v>
          </cell>
        </row>
        <row r="704">
          <cell r="A704">
            <v>2006</v>
          </cell>
          <cell r="B704">
            <v>1</v>
          </cell>
          <cell r="C704">
            <v>30</v>
          </cell>
          <cell r="D704">
            <v>7</v>
          </cell>
          <cell r="E704">
            <v>10943.31</v>
          </cell>
          <cell r="F704">
            <v>47.213925</v>
          </cell>
          <cell r="G704">
            <v>9278.50030000003</v>
          </cell>
        </row>
        <row r="705">
          <cell r="A705">
            <v>2006</v>
          </cell>
          <cell r="B705">
            <v>1</v>
          </cell>
          <cell r="C705">
            <v>30</v>
          </cell>
          <cell r="D705">
            <v>8</v>
          </cell>
          <cell r="E705">
            <v>12311.44965</v>
          </cell>
          <cell r="F705">
            <v>53.322675</v>
          </cell>
          <cell r="G705">
            <v>10495.28565</v>
          </cell>
        </row>
        <row r="706">
          <cell r="A706">
            <v>2006</v>
          </cell>
          <cell r="B706">
            <v>1</v>
          </cell>
          <cell r="C706">
            <v>30</v>
          </cell>
          <cell r="D706">
            <v>9</v>
          </cell>
          <cell r="E706">
            <v>11983.419175</v>
          </cell>
          <cell r="F706">
            <v>50.703375</v>
          </cell>
          <cell r="G706">
            <v>10206.72745</v>
          </cell>
        </row>
        <row r="707">
          <cell r="A707">
            <v>2006</v>
          </cell>
          <cell r="B707">
            <v>1</v>
          </cell>
          <cell r="C707">
            <v>30</v>
          </cell>
          <cell r="D707">
            <v>10</v>
          </cell>
          <cell r="E707">
            <v>11664.8888</v>
          </cell>
          <cell r="F707">
            <v>48.754775</v>
          </cell>
          <cell r="G707">
            <v>9888.44284999998</v>
          </cell>
        </row>
        <row r="708">
          <cell r="A708">
            <v>2006</v>
          </cell>
          <cell r="B708">
            <v>1</v>
          </cell>
          <cell r="C708">
            <v>30</v>
          </cell>
          <cell r="D708">
            <v>11</v>
          </cell>
          <cell r="E708">
            <v>11449.86795</v>
          </cell>
          <cell r="F708">
            <v>46.018325</v>
          </cell>
          <cell r="G708">
            <v>9709.96162499999</v>
          </cell>
        </row>
        <row r="709">
          <cell r="A709">
            <v>2006</v>
          </cell>
          <cell r="B709">
            <v>1</v>
          </cell>
          <cell r="C709">
            <v>30</v>
          </cell>
          <cell r="D709">
            <v>12</v>
          </cell>
          <cell r="E709">
            <v>11244.1318</v>
          </cell>
          <cell r="F709">
            <v>46.7766</v>
          </cell>
          <cell r="G709">
            <v>9511.05482500002</v>
          </cell>
        </row>
        <row r="710">
          <cell r="A710">
            <v>2006</v>
          </cell>
          <cell r="B710">
            <v>1</v>
          </cell>
          <cell r="C710">
            <v>30</v>
          </cell>
          <cell r="D710">
            <v>13</v>
          </cell>
          <cell r="E710">
            <v>11049.646725</v>
          </cell>
          <cell r="F710">
            <v>44.624725</v>
          </cell>
          <cell r="G710">
            <v>9308.41202499998</v>
          </cell>
        </row>
        <row r="711">
          <cell r="A711">
            <v>2006</v>
          </cell>
          <cell r="B711">
            <v>1</v>
          </cell>
          <cell r="C711">
            <v>30</v>
          </cell>
          <cell r="D711">
            <v>14</v>
          </cell>
          <cell r="E711">
            <v>10911.353225</v>
          </cell>
          <cell r="F711">
            <v>43.65745</v>
          </cell>
          <cell r="G711">
            <v>9208.79105000005</v>
          </cell>
        </row>
        <row r="712">
          <cell r="A712">
            <v>2006</v>
          </cell>
          <cell r="B712">
            <v>1</v>
          </cell>
          <cell r="C712">
            <v>30</v>
          </cell>
          <cell r="D712">
            <v>15</v>
          </cell>
          <cell r="E712">
            <v>10701.3263</v>
          </cell>
          <cell r="F712">
            <v>39.422775</v>
          </cell>
          <cell r="G712">
            <v>9043.88990000001</v>
          </cell>
        </row>
        <row r="713">
          <cell r="A713">
            <v>2006</v>
          </cell>
          <cell r="B713">
            <v>1</v>
          </cell>
          <cell r="C713">
            <v>30</v>
          </cell>
          <cell r="D713">
            <v>16</v>
          </cell>
          <cell r="E713">
            <v>10514.4681</v>
          </cell>
          <cell r="F713">
            <v>42.946625</v>
          </cell>
          <cell r="G713">
            <v>8881.24470000002</v>
          </cell>
        </row>
        <row r="714">
          <cell r="A714">
            <v>2006</v>
          </cell>
          <cell r="B714">
            <v>1</v>
          </cell>
          <cell r="C714">
            <v>30</v>
          </cell>
          <cell r="D714">
            <v>17</v>
          </cell>
          <cell r="E714">
            <v>10528.950925</v>
          </cell>
          <cell r="F714">
            <v>40.938675</v>
          </cell>
          <cell r="G714">
            <v>8852.66377500002</v>
          </cell>
        </row>
        <row r="715">
          <cell r="A715">
            <v>2006</v>
          </cell>
          <cell r="B715">
            <v>1</v>
          </cell>
          <cell r="C715">
            <v>30</v>
          </cell>
          <cell r="D715">
            <v>18</v>
          </cell>
          <cell r="E715">
            <v>10550.8342</v>
          </cell>
          <cell r="F715">
            <v>41.621225</v>
          </cell>
          <cell r="G715">
            <v>8929.50875000005</v>
          </cell>
        </row>
        <row r="716">
          <cell r="A716">
            <v>2006</v>
          </cell>
          <cell r="B716">
            <v>1</v>
          </cell>
          <cell r="C716">
            <v>30</v>
          </cell>
          <cell r="D716">
            <v>19</v>
          </cell>
          <cell r="E716">
            <v>11381.9151</v>
          </cell>
          <cell r="F716">
            <v>46.44775</v>
          </cell>
          <cell r="G716">
            <v>9632.28537500004</v>
          </cell>
        </row>
        <row r="717">
          <cell r="A717">
            <v>2006</v>
          </cell>
          <cell r="B717">
            <v>1</v>
          </cell>
          <cell r="C717">
            <v>30</v>
          </cell>
          <cell r="D717">
            <v>20</v>
          </cell>
          <cell r="E717">
            <v>11763.57755</v>
          </cell>
          <cell r="F717">
            <v>51.18825</v>
          </cell>
          <cell r="G717">
            <v>10048.2186</v>
          </cell>
        </row>
        <row r="718">
          <cell r="A718">
            <v>2006</v>
          </cell>
          <cell r="B718">
            <v>1</v>
          </cell>
          <cell r="C718">
            <v>30</v>
          </cell>
          <cell r="D718">
            <v>21</v>
          </cell>
          <cell r="E718">
            <v>11637.377875</v>
          </cell>
          <cell r="F718">
            <v>50.537375</v>
          </cell>
          <cell r="G718">
            <v>9965.57480000002</v>
          </cell>
        </row>
        <row r="719">
          <cell r="A719">
            <v>2006</v>
          </cell>
          <cell r="B719">
            <v>1</v>
          </cell>
          <cell r="C719">
            <v>30</v>
          </cell>
          <cell r="D719">
            <v>22</v>
          </cell>
          <cell r="E719">
            <v>11277.162325</v>
          </cell>
          <cell r="F719">
            <v>47.36685</v>
          </cell>
          <cell r="G719">
            <v>9707.95280000002</v>
          </cell>
        </row>
        <row r="721">
          <cell r="A721">
            <v>2006</v>
          </cell>
          <cell r="B721">
            <v>1</v>
          </cell>
          <cell r="C721">
            <v>30</v>
          </cell>
          <cell r="D721">
            <v>24</v>
          </cell>
          <cell r="E721">
            <v>9928.67764999999</v>
          </cell>
          <cell r="F721">
            <v>43.241825</v>
          </cell>
          <cell r="G721">
            <v>8486.37407500001</v>
          </cell>
        </row>
        <row r="722">
          <cell r="A722">
            <v>2006</v>
          </cell>
          <cell r="B722">
            <v>1</v>
          </cell>
          <cell r="C722">
            <v>31</v>
          </cell>
          <cell r="D722">
            <v>1</v>
          </cell>
          <cell r="E722">
            <v>9432.98577499998</v>
          </cell>
          <cell r="F722">
            <v>36.04825</v>
          </cell>
          <cell r="G722">
            <v>8035.89050000001</v>
          </cell>
        </row>
        <row r="723">
          <cell r="A723">
            <v>2006</v>
          </cell>
          <cell r="B723">
            <v>1</v>
          </cell>
          <cell r="C723">
            <v>31</v>
          </cell>
          <cell r="D723">
            <v>2</v>
          </cell>
          <cell r="E723">
            <v>9334.57652500002</v>
          </cell>
          <cell r="F723">
            <v>31.817</v>
          </cell>
          <cell r="G723">
            <v>7893.29885000003</v>
          </cell>
        </row>
        <row r="724">
          <cell r="A724">
            <v>2006</v>
          </cell>
          <cell r="B724">
            <v>1</v>
          </cell>
          <cell r="C724">
            <v>31</v>
          </cell>
          <cell r="D724">
            <v>3</v>
          </cell>
          <cell r="E724">
            <v>9325.58240000001</v>
          </cell>
          <cell r="F724">
            <v>31.93035</v>
          </cell>
          <cell r="G724">
            <v>7899.51157500002</v>
          </cell>
        </row>
        <row r="725">
          <cell r="A725">
            <v>2006</v>
          </cell>
          <cell r="B725">
            <v>1</v>
          </cell>
          <cell r="C725">
            <v>31</v>
          </cell>
          <cell r="D725">
            <v>4</v>
          </cell>
          <cell r="E725">
            <v>9493.36517500002</v>
          </cell>
          <cell r="F725">
            <v>32.211575</v>
          </cell>
          <cell r="G725">
            <v>7990.05897499999</v>
          </cell>
        </row>
        <row r="726">
          <cell r="A726">
            <v>2006</v>
          </cell>
          <cell r="B726">
            <v>1</v>
          </cell>
          <cell r="C726">
            <v>31</v>
          </cell>
          <cell r="D726">
            <v>5</v>
          </cell>
          <cell r="E726">
            <v>9811.93249999999</v>
          </cell>
          <cell r="F726">
            <v>33.304375</v>
          </cell>
          <cell r="G726">
            <v>8276.80995000001</v>
          </cell>
        </row>
        <row r="727">
          <cell r="A727">
            <v>2006</v>
          </cell>
          <cell r="B727">
            <v>1</v>
          </cell>
          <cell r="C727">
            <v>31</v>
          </cell>
          <cell r="D727">
            <v>6</v>
          </cell>
          <cell r="E727">
            <v>10600.891575</v>
          </cell>
          <cell r="F727">
            <v>37.236175</v>
          </cell>
          <cell r="G727">
            <v>9047.292</v>
          </cell>
        </row>
        <row r="728">
          <cell r="A728">
            <v>2006</v>
          </cell>
          <cell r="B728">
            <v>1</v>
          </cell>
          <cell r="C728">
            <v>31</v>
          </cell>
          <cell r="D728">
            <v>7</v>
          </cell>
          <cell r="E728">
            <v>12211.790725</v>
          </cell>
          <cell r="F728">
            <v>43.654525</v>
          </cell>
          <cell r="G728">
            <v>10497.01205</v>
          </cell>
        </row>
        <row r="729">
          <cell r="A729">
            <v>2006</v>
          </cell>
          <cell r="B729">
            <v>1</v>
          </cell>
          <cell r="C729">
            <v>31</v>
          </cell>
          <cell r="D729">
            <v>8</v>
          </cell>
          <cell r="E729">
            <v>13437.964425</v>
          </cell>
          <cell r="F729">
            <v>48.0225</v>
          </cell>
          <cell r="G729">
            <v>11539.5680500001</v>
          </cell>
        </row>
        <row r="730">
          <cell r="A730">
            <v>2006</v>
          </cell>
          <cell r="B730">
            <v>1</v>
          </cell>
          <cell r="C730">
            <v>31</v>
          </cell>
          <cell r="D730">
            <v>9</v>
          </cell>
          <cell r="E730">
            <v>12882.00805</v>
          </cell>
          <cell r="F730">
            <v>50.164225</v>
          </cell>
          <cell r="G730">
            <v>10989.84125</v>
          </cell>
        </row>
        <row r="731">
          <cell r="A731">
            <v>2006</v>
          </cell>
          <cell r="B731">
            <v>1</v>
          </cell>
          <cell r="C731">
            <v>31</v>
          </cell>
          <cell r="D731">
            <v>10</v>
          </cell>
          <cell r="E731">
            <v>9986.038225</v>
          </cell>
          <cell r="F731">
            <v>41.008975</v>
          </cell>
          <cell r="G731">
            <v>8509.96277500003</v>
          </cell>
        </row>
        <row r="732">
          <cell r="A732">
            <v>2006</v>
          </cell>
          <cell r="B732">
            <v>1</v>
          </cell>
          <cell r="C732">
            <v>31</v>
          </cell>
          <cell r="D732">
            <v>11</v>
          </cell>
          <cell r="E732">
            <v>9503.38845</v>
          </cell>
          <cell r="F732">
            <v>28.174925</v>
          </cell>
          <cell r="G732">
            <v>8010.83727500002</v>
          </cell>
        </row>
        <row r="733">
          <cell r="A733">
            <v>2006</v>
          </cell>
          <cell r="B733">
            <v>1</v>
          </cell>
          <cell r="C733">
            <v>31</v>
          </cell>
          <cell r="D733">
            <v>12</v>
          </cell>
          <cell r="E733">
            <v>7441.84314999999</v>
          </cell>
          <cell r="F733">
            <v>17.0694</v>
          </cell>
          <cell r="G733">
            <v>6217.49955000003</v>
          </cell>
        </row>
        <row r="734">
          <cell r="A734">
            <v>2006</v>
          </cell>
          <cell r="B734">
            <v>1</v>
          </cell>
          <cell r="C734">
            <v>31</v>
          </cell>
          <cell r="D734">
            <v>13</v>
          </cell>
          <cell r="E734">
            <v>4489.20502500001</v>
          </cell>
          <cell r="F734">
            <v>14.507075</v>
          </cell>
          <cell r="G734">
            <v>3740.905125</v>
          </cell>
        </row>
        <row r="735">
          <cell r="A735">
            <v>2006</v>
          </cell>
          <cell r="B735">
            <v>1</v>
          </cell>
          <cell r="C735">
            <v>31</v>
          </cell>
          <cell r="D735">
            <v>14</v>
          </cell>
          <cell r="E735">
            <v>10900.9317</v>
          </cell>
          <cell r="F735">
            <v>34.9532</v>
          </cell>
          <cell r="G735">
            <v>9224.31370000003</v>
          </cell>
        </row>
        <row r="736">
          <cell r="A736">
            <v>2006</v>
          </cell>
          <cell r="B736">
            <v>1</v>
          </cell>
          <cell r="C736">
            <v>31</v>
          </cell>
          <cell r="D736">
            <v>15</v>
          </cell>
          <cell r="E736">
            <v>8054.45197500002</v>
          </cell>
          <cell r="F736">
            <v>23.166425</v>
          </cell>
          <cell r="G736">
            <v>6814.15722500004</v>
          </cell>
        </row>
        <row r="737">
          <cell r="A737">
            <v>2006</v>
          </cell>
          <cell r="B737">
            <v>1</v>
          </cell>
          <cell r="C737">
            <v>31</v>
          </cell>
          <cell r="D737">
            <v>16</v>
          </cell>
          <cell r="E737">
            <v>8463.81617500001</v>
          </cell>
          <cell r="F737">
            <v>29.590375</v>
          </cell>
          <cell r="G737">
            <v>7105.33284999999</v>
          </cell>
        </row>
        <row r="738">
          <cell r="A738">
            <v>2006</v>
          </cell>
          <cell r="B738">
            <v>1</v>
          </cell>
          <cell r="C738">
            <v>31</v>
          </cell>
          <cell r="D738">
            <v>17</v>
          </cell>
          <cell r="E738">
            <v>10477.585725</v>
          </cell>
          <cell r="F738">
            <v>33.9577</v>
          </cell>
          <cell r="G738">
            <v>8866.59974999999</v>
          </cell>
        </row>
        <row r="739">
          <cell r="A739">
            <v>2006</v>
          </cell>
          <cell r="B739">
            <v>1</v>
          </cell>
          <cell r="C739">
            <v>31</v>
          </cell>
          <cell r="D739">
            <v>18</v>
          </cell>
          <cell r="E739">
            <v>10511.83635</v>
          </cell>
          <cell r="F739">
            <v>39.573575</v>
          </cell>
          <cell r="G739">
            <v>8956.63397500001</v>
          </cell>
        </row>
        <row r="740">
          <cell r="A740">
            <v>2006</v>
          </cell>
          <cell r="B740">
            <v>1</v>
          </cell>
          <cell r="C740">
            <v>31</v>
          </cell>
          <cell r="D740">
            <v>19</v>
          </cell>
          <cell r="E740">
            <v>11270.1622</v>
          </cell>
          <cell r="F740">
            <v>40.844225</v>
          </cell>
          <cell r="G740">
            <v>9662.53422500006</v>
          </cell>
        </row>
        <row r="741">
          <cell r="A741">
            <v>2006</v>
          </cell>
          <cell r="B741">
            <v>1</v>
          </cell>
          <cell r="C741">
            <v>31</v>
          </cell>
          <cell r="D741">
            <v>20</v>
          </cell>
          <cell r="E741">
            <v>11592.368825</v>
          </cell>
          <cell r="F741">
            <v>42.3567</v>
          </cell>
          <cell r="G741">
            <v>9939.61994999999</v>
          </cell>
        </row>
        <row r="742">
          <cell r="A742">
            <v>2006</v>
          </cell>
          <cell r="B742">
            <v>1</v>
          </cell>
          <cell r="C742">
            <v>31</v>
          </cell>
          <cell r="D742">
            <v>21</v>
          </cell>
          <cell r="E742">
            <v>11514.426125</v>
          </cell>
          <cell r="F742">
            <v>42.7719</v>
          </cell>
          <cell r="G742">
            <v>9828.51435</v>
          </cell>
        </row>
        <row r="743">
          <cell r="A743">
            <v>2006</v>
          </cell>
          <cell r="B743">
            <v>1</v>
          </cell>
          <cell r="C743">
            <v>31</v>
          </cell>
          <cell r="D743">
            <v>22</v>
          </cell>
          <cell r="E743">
            <v>11102.118275</v>
          </cell>
          <cell r="F743">
            <v>38.750825</v>
          </cell>
          <cell r="G743">
            <v>9471.31920000001</v>
          </cell>
        </row>
        <row r="745">
          <cell r="A745">
            <v>2006</v>
          </cell>
          <cell r="B745">
            <v>1</v>
          </cell>
          <cell r="C745">
            <v>31</v>
          </cell>
          <cell r="D745">
            <v>24</v>
          </cell>
          <cell r="E745">
            <v>9345.17284999999</v>
          </cell>
          <cell r="F745">
            <v>35.830475</v>
          </cell>
          <cell r="G745">
            <v>7995.08885000001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Billed DD"/>
      <sheetName val="Sheet2"/>
      <sheetName val="Chart1"/>
      <sheetName val="Sheet3"/>
      <sheetName val="Chart4"/>
      <sheetName val="Calendar DD"/>
      <sheetName val="Sheet1"/>
      <sheetName val="observed_daily"/>
      <sheetName val="wthr_weights"/>
    </sheetNames>
    <sheetDataSet>
      <sheetData sheetId="0" refreshError="1"/>
      <sheetData sheetId="1" refreshError="1">
        <row r="1">
          <cell r="B1">
            <v>13589</v>
          </cell>
        </row>
        <row r="2">
          <cell r="A2" t="str">
            <v>RevPeriod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Example"/>
      <sheetName val="Daily Actual_August"/>
      <sheetName val="Actual daily Base65_AUG CYC1"/>
      <sheetName val="Actual daily Base70 CYC1"/>
      <sheetName val="Actual daily Base75 CYC1"/>
      <sheetName val="Daily Actual_FEB CYC1"/>
      <sheetName val="Actual daily Base45_FEB CYC1"/>
      <sheetName val="Actual daily Base55_FEB CYC 1"/>
      <sheetName val="Actual daily Base60 FEB CYC 1"/>
      <sheetName val="Example  HEATING"/>
      <sheetName val="Sys&amp;SplineWts"/>
    </sheetNames>
    <sheetDataSet>
      <sheetData sheetId="0" refreshError="1"/>
      <sheetData sheetId="1" refreshError="1">
        <row r="2">
          <cell r="A2" t="str">
            <v>Date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Relationship Id="rId2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1:P36"/>
  <sheetViews>
    <sheetView tabSelected="1" view="pageBreakPreview" zoomScale="85" zoomScaleNormal="100" zoomScaleSheetLayoutView="85" workbookViewId="0" topLeftCell="A1">
      <pane xSplit="3" topLeftCell="D1" activePane="topRight" state="frozen"/>
      <selection pane="topLeft" activeCell="A1" sqref="A1"/>
      <selection pane="topRight" activeCell="A1" sqref="A1"/>
    </sheetView>
  </sheetViews>
  <sheetFormatPr defaultColWidth="9.11428571428571" defaultRowHeight="13.5"/>
  <cols>
    <col min="1" max="1" width="8.14285714285714" style="29" customWidth="1"/>
    <col min="2" max="2" width="16.8571428571429" style="29" customWidth="1"/>
    <col min="3" max="3" width="4.42857142857143" style="29" bestFit="1" customWidth="1"/>
    <col min="4" max="4" width="9.85714285714286" style="29" bestFit="1" customWidth="1"/>
    <col min="5" max="13" width="9.14285714285714" style="29"/>
    <col min="14" max="14" width="9.71428571428571" style="29" bestFit="1" customWidth="1"/>
    <col min="15" max="15" width="9.14285714285714" style="29"/>
    <col min="16" max="16" width="9.57142857142857" style="29" bestFit="1" customWidth="1"/>
    <col min="17" max="16384" width="9.14285714285714" style="29"/>
  </cols>
  <sheetData>
    <row r="1" spans="1:16" ht="15.6">
      <c r="A1" s="26"/>
      <c r="B1" s="68" t="s">
        <v>10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</row>
    <row r="2" spans="1:16" ht="15.6">
      <c r="A2" s="26"/>
      <c r="B2" s="68" t="s">
        <v>35</v>
      </c>
      <c r="C2" s="68"/>
      <c r="D2" s="68"/>
      <c r="E2" s="68"/>
      <c r="F2" s="68"/>
      <c r="G2" s="69"/>
      <c r="H2" s="69"/>
      <c r="I2" s="69"/>
      <c r="J2" s="69"/>
      <c r="K2" s="69"/>
      <c r="L2" s="69"/>
      <c r="M2" s="69"/>
      <c r="N2" s="69"/>
      <c r="O2" s="69"/>
      <c r="P2" s="69"/>
    </row>
    <row r="3" spans="1:16" ht="15.6">
      <c r="A3" s="26"/>
      <c r="B3" s="68" t="s">
        <v>39</v>
      </c>
      <c r="C3" s="68"/>
      <c r="D3" s="68"/>
      <c r="E3" s="68"/>
      <c r="F3" s="68"/>
      <c r="G3" s="69"/>
      <c r="H3" s="69"/>
      <c r="I3" s="69"/>
      <c r="J3" s="69"/>
      <c r="K3" s="69"/>
      <c r="L3" s="69"/>
      <c r="M3" s="69"/>
      <c r="N3" s="69"/>
      <c r="O3" s="69"/>
      <c r="P3" s="69"/>
    </row>
    <row r="4" spans="1:16" ht="15.6">
      <c r="A4" s="26"/>
      <c r="B4" s="70" t="s">
        <v>49</v>
      </c>
      <c r="C4" s="70"/>
      <c r="D4" s="70"/>
      <c r="E4" s="70"/>
      <c r="F4" s="70"/>
      <c r="G4" s="71"/>
      <c r="H4" s="71"/>
      <c r="I4" s="71"/>
      <c r="J4" s="71"/>
      <c r="K4" s="71"/>
      <c r="L4" s="71"/>
      <c r="M4" s="71"/>
      <c r="N4" s="71"/>
      <c r="O4" s="71"/>
      <c r="P4" s="71"/>
    </row>
    <row r="5" spans="1:16" ht="15.6">
      <c r="A5" s="26"/>
      <c r="B5" s="68"/>
      <c r="C5" s="68"/>
      <c r="D5" s="68"/>
      <c r="E5" s="68"/>
      <c r="F5" s="68"/>
      <c r="G5" s="30"/>
      <c r="H5" s="30"/>
      <c r="I5" s="31"/>
      <c r="J5" s="31"/>
      <c r="K5" s="31"/>
      <c r="L5" s="31"/>
      <c r="M5" s="31"/>
      <c r="N5" s="31"/>
      <c r="O5" s="31"/>
      <c r="P5" s="31"/>
    </row>
    <row r="6" spans="1:16" ht="15.6">
      <c r="A6" s="26"/>
      <c r="B6" s="68" t="s">
        <v>38</v>
      </c>
      <c r="C6" s="68"/>
      <c r="D6" s="68"/>
      <c r="E6" s="68"/>
      <c r="F6" s="68"/>
      <c r="G6" s="69"/>
      <c r="H6" s="69"/>
      <c r="I6" s="69"/>
      <c r="J6" s="69"/>
      <c r="K6" s="69"/>
      <c r="L6" s="69"/>
      <c r="M6" s="69"/>
      <c r="N6" s="69"/>
      <c r="O6" s="69"/>
      <c r="P6" s="69"/>
    </row>
    <row r="7" spans="1:16" ht="15.6">
      <c r="A7" s="26"/>
      <c r="B7" s="27"/>
      <c r="C7" s="27"/>
      <c r="D7" s="27"/>
      <c r="E7" s="27"/>
      <c r="F7" s="27"/>
      <c r="G7" s="28"/>
      <c r="H7" s="28"/>
      <c r="I7" s="31"/>
      <c r="J7" s="31"/>
      <c r="K7" s="31"/>
      <c r="L7" s="31"/>
      <c r="M7" s="31"/>
      <c r="N7" s="31"/>
      <c r="O7" s="31"/>
      <c r="P7" s="31"/>
    </row>
    <row r="8" spans="1:16" ht="15.6">
      <c r="A8" s="26"/>
      <c r="B8" s="72" t="s">
        <v>42</v>
      </c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</row>
    <row r="9" spans="1:16" ht="13.2">
      <c r="A9" s="26" t="s">
        <v>12</v>
      </c>
      <c r="B9" s="26" t="s">
        <v>13</v>
      </c>
      <c r="C9" s="26"/>
      <c r="D9" s="32" t="s">
        <v>14</v>
      </c>
      <c r="E9" s="32" t="s">
        <v>15</v>
      </c>
      <c r="F9" s="32" t="s">
        <v>16</v>
      </c>
      <c r="G9" s="32" t="s">
        <v>17</v>
      </c>
      <c r="H9" s="32" t="s">
        <v>18</v>
      </c>
      <c r="I9" s="32" t="s">
        <v>19</v>
      </c>
      <c r="J9" s="32" t="s">
        <v>20</v>
      </c>
      <c r="K9" s="32" t="s">
        <v>21</v>
      </c>
      <c r="L9" s="32" t="s">
        <v>22</v>
      </c>
      <c r="M9" s="32" t="s">
        <v>23</v>
      </c>
      <c r="N9" s="32" t="s">
        <v>24</v>
      </c>
      <c r="O9" s="32" t="s">
        <v>25</v>
      </c>
      <c r="P9" s="32" t="s">
        <v>26</v>
      </c>
    </row>
    <row r="10" spans="1:16" s="39" customFormat="1" ht="13.2">
      <c r="A10" s="33" t="s">
        <v>27</v>
      </c>
      <c r="B10" s="34" t="s">
        <v>28</v>
      </c>
      <c r="C10" s="35"/>
      <c r="D10" s="36">
        <v>36892</v>
      </c>
      <c r="E10" s="37">
        <v>36923</v>
      </c>
      <c r="F10" s="37">
        <v>36951</v>
      </c>
      <c r="G10" s="37">
        <v>36982</v>
      </c>
      <c r="H10" s="37">
        <v>37012</v>
      </c>
      <c r="I10" s="37">
        <v>37043</v>
      </c>
      <c r="J10" s="37">
        <v>37073</v>
      </c>
      <c r="K10" s="37">
        <v>37104</v>
      </c>
      <c r="L10" s="37">
        <v>37135</v>
      </c>
      <c r="M10" s="37">
        <v>37165</v>
      </c>
      <c r="N10" s="37">
        <v>37196</v>
      </c>
      <c r="O10" s="37">
        <v>37226</v>
      </c>
      <c r="P10" s="38" t="s">
        <v>0</v>
      </c>
    </row>
    <row r="11" spans="1:16" ht="13.2">
      <c r="A11" s="40">
        <v>1</v>
      </c>
      <c r="B11" s="30" t="s">
        <v>29</v>
      </c>
      <c r="C11" s="41"/>
      <c r="D11" s="42">
        <f>+'SECLE10 Monthly Weather Weights'!C11</f>
        <v>0.60953940603790413</v>
      </c>
      <c r="E11" s="42">
        <f>+'SECLE10 Monthly Weather Weights'!D11</f>
        <v>0.59423142023346343</v>
      </c>
      <c r="F11" s="42">
        <f>+'SECLE10 Monthly Weather Weights'!E11</f>
        <v>0.59932852593351749</v>
      </c>
      <c r="G11" s="42">
        <f>+'SECLE10 Monthly Weather Weights'!F11</f>
        <v>0.6020891463040402</v>
      </c>
      <c r="H11" s="42">
        <f>+'SECLE10 Monthly Weather Weights'!G11</f>
        <v>0.59998678339807665</v>
      </c>
      <c r="I11" s="42">
        <f>+'SECLE10 Monthly Weather Weights'!H11</f>
        <v>0.60037932112696835</v>
      </c>
      <c r="J11" s="42">
        <f>+'SECLE10 Monthly Weather Weights'!I11</f>
        <v>0.59108745973168209</v>
      </c>
      <c r="K11" s="42">
        <f>+'SECLE10 Monthly Weather Weights'!J11</f>
        <v>0.59223190235081369</v>
      </c>
      <c r="L11" s="42">
        <f>+'SECLE10 Monthly Weather Weights'!K11</f>
        <v>0.59590093834037883</v>
      </c>
      <c r="M11" s="42">
        <f>+'SECLE10 Monthly Weather Weights'!L11</f>
        <v>0.60699255346559122</v>
      </c>
      <c r="N11" s="42">
        <f>+'SECLE10 Monthly Weather Weights'!M11</f>
        <v>0.6089857457974186</v>
      </c>
      <c r="O11" s="42">
        <f>+'SECLE10 Monthly Weather Weights'!N11</f>
        <v>0.60841137060772621</v>
      </c>
      <c r="P11" s="42">
        <f>+'SECLE10 Monthly Weather Weights'!O11</f>
        <v>0.60037359106063626</v>
      </c>
    </row>
    <row r="12" spans="1:16" ht="13.2">
      <c r="A12" s="40">
        <f>+A11+1</f>
        <v>2</v>
      </c>
      <c r="B12" s="30" t="s">
        <v>30</v>
      </c>
      <c r="C12" s="41"/>
      <c r="D12" s="42">
        <f>+'SECLE10 Monthly Weather Weights'!C12</f>
        <v>0.114581382930998</v>
      </c>
      <c r="E12" s="42">
        <f>+'SECLE10 Monthly Weather Weights'!D12</f>
        <v>0.13197133228328542</v>
      </c>
      <c r="F12" s="42">
        <f>+'SECLE10 Monthly Weather Weights'!E12</f>
        <v>0.13293848077985254</v>
      </c>
      <c r="G12" s="42">
        <f>+'SECLE10 Monthly Weather Weights'!F12</f>
        <v>0.13200133792893717</v>
      </c>
      <c r="H12" s="42">
        <f>+'SECLE10 Monthly Weather Weights'!G12</f>
        <v>0.13229045620177715</v>
      </c>
      <c r="I12" s="42">
        <f>+'SECLE10 Monthly Weather Weights'!H12</f>
        <v>0.12214320311227384</v>
      </c>
      <c r="J12" s="42">
        <f>+'SECLE10 Monthly Weather Weights'!I12</f>
        <v>0.12920341226471621</v>
      </c>
      <c r="K12" s="42">
        <f>+'SECLE10 Monthly Weather Weights'!J12</f>
        <v>0.12387507743520877</v>
      </c>
      <c r="L12" s="42">
        <f>+'SECLE10 Monthly Weather Weights'!K12</f>
        <v>0.11808370052025663</v>
      </c>
      <c r="M12" s="42">
        <f>+'SECLE10 Monthly Weather Weights'!L12</f>
        <v>0.11382630389289172</v>
      </c>
      <c r="N12" s="42">
        <f>+'SECLE10 Monthly Weather Weights'!M12</f>
        <v>0.11726527762473628</v>
      </c>
      <c r="O12" s="42">
        <f>+'SECLE10 Monthly Weather Weights'!N12</f>
        <v>0.11720358674374454</v>
      </c>
      <c r="P12" s="42">
        <f>+'SECLE10 Monthly Weather Weights'!O12</f>
        <v>0.12362936188311112</v>
      </c>
    </row>
    <row r="13" spans="1:16" ht="13.2">
      <c r="A13" s="40">
        <f t="shared" si="0" ref="A13:A36">+A12+1</f>
        <v>3</v>
      </c>
      <c r="B13" s="30" t="s">
        <v>5</v>
      </c>
      <c r="C13" s="41"/>
      <c r="D13" s="42">
        <f>+'SECLE10 Monthly Weather Weights'!C13</f>
        <v>0.036713346664189198</v>
      </c>
      <c r="E13" s="42">
        <f>+'SECLE10 Monthly Weather Weights'!D13</f>
        <v>0.036716391534346998</v>
      </c>
      <c r="F13" s="42">
        <f>+'SECLE10 Monthly Weather Weights'!E13</f>
        <v>0.034617192191707676</v>
      </c>
      <c r="G13" s="42">
        <f>+'SECLE10 Monthly Weather Weights'!F13</f>
        <v>0.035303155413274799</v>
      </c>
      <c r="H13" s="42">
        <f>+'SECLE10 Monthly Weather Weights'!G13</f>
        <v>0.035966962150858137</v>
      </c>
      <c r="I13" s="42">
        <f>+'SECLE10 Monthly Weather Weights'!H13</f>
        <v>0.038726461886616666</v>
      </c>
      <c r="J13" s="42">
        <f>+'SECLE10 Monthly Weather Weights'!I13</f>
        <v>0.038550932495423254</v>
      </c>
      <c r="K13" s="42">
        <f>+'SECLE10 Monthly Weather Weights'!J13</f>
        <v>0.038655974016541667</v>
      </c>
      <c r="L13" s="42">
        <f>+'SECLE10 Monthly Weather Weights'!K13</f>
        <v>0.039051533060737595</v>
      </c>
      <c r="M13" s="42">
        <f>+'SECLE10 Monthly Weather Weights'!L13</f>
        <v>0.038054330376446198</v>
      </c>
      <c r="N13" s="42">
        <f>+'SECLE10 Monthly Weather Weights'!M13</f>
        <v>0.035990647674965869</v>
      </c>
      <c r="O13" s="42">
        <f>+'SECLE10 Monthly Weather Weights'!N13</f>
        <v>0.03631769329443818</v>
      </c>
      <c r="P13" s="42">
        <f>+'SECLE10 Monthly Weather Weights'!O13</f>
        <v>0.037170030430780578</v>
      </c>
    </row>
    <row r="14" spans="1:16" ht="13.2">
      <c r="A14" s="40">
        <f t="shared" si="0"/>
        <v>4</v>
      </c>
      <c r="B14" s="30" t="s">
        <v>9</v>
      </c>
      <c r="C14" s="41"/>
      <c r="D14" s="42">
        <f>+'SECLE10 Monthly Weather Weights'!C14</f>
        <v>0.029957457417538916</v>
      </c>
      <c r="E14" s="42">
        <f>+'SECLE10 Monthly Weather Weights'!D14</f>
        <v>0.02925960780346535</v>
      </c>
      <c r="F14" s="42">
        <f>+'SECLE10 Monthly Weather Weights'!E14</f>
        <v>0.028472731343882188</v>
      </c>
      <c r="G14" s="42">
        <f>+'SECLE10 Monthly Weather Weights'!F14</f>
        <v>0.028638880833099411</v>
      </c>
      <c r="H14" s="42">
        <f>+'SECLE10 Monthly Weather Weights'!G14</f>
        <v>0.029352258709319404</v>
      </c>
      <c r="I14" s="42">
        <f>+'SECLE10 Monthly Weather Weights'!H14</f>
        <v>0.029471807929892496</v>
      </c>
      <c r="J14" s="42">
        <f>+'SECLE10 Monthly Weather Weights'!I14</f>
        <v>0.030757833005009293</v>
      </c>
      <c r="K14" s="42">
        <f>+'SECLE10 Monthly Weather Weights'!J14</f>
        <v>0.031116751463174171</v>
      </c>
      <c r="L14" s="42">
        <f>+'SECLE10 Monthly Weather Weights'!K14</f>
        <v>0.029970718906342755</v>
      </c>
      <c r="M14" s="42">
        <f>+'SECLE10 Monthly Weather Weights'!L14</f>
        <v>0.028523792353269593</v>
      </c>
      <c r="N14" s="42">
        <f>+'SECLE10 Monthly Weather Weights'!M14</f>
        <v>0.029631396514847863</v>
      </c>
      <c r="O14" s="42">
        <f>+'SECLE10 Monthly Weather Weights'!N14</f>
        <v>0.029973360629120236</v>
      </c>
      <c r="P14" s="42">
        <f>+'SECLE10 Monthly Weather Weights'!O14</f>
        <v>0.029650474424599112</v>
      </c>
    </row>
    <row r="15" spans="1:16" ht="13.2">
      <c r="A15" s="40">
        <f t="shared" si="0"/>
        <v>5</v>
      </c>
      <c r="B15" s="30" t="s">
        <v>45</v>
      </c>
      <c r="C15" s="41"/>
      <c r="D15" s="42">
        <f>+'SECLE10 Monthly Weather Weights'!C15</f>
        <v>0.033218801726496591</v>
      </c>
      <c r="E15" s="42">
        <f>+'SECLE10 Monthly Weather Weights'!D15</f>
        <v>0.033547986513458375</v>
      </c>
      <c r="F15" s="42">
        <f>+'SECLE10 Monthly Weather Weights'!E15</f>
        <v>0.032622486979954159</v>
      </c>
      <c r="G15" s="42">
        <f>+'SECLE10 Monthly Weather Weights'!F15</f>
        <v>0.031188479585156963</v>
      </c>
      <c r="H15" s="42">
        <f>+'SECLE10 Monthly Weather Weights'!G15</f>
        <v>0.030826125265072533</v>
      </c>
      <c r="I15" s="42">
        <f>+'SECLE10 Monthly Weather Weights'!H15</f>
        <v>0.032127343837748984</v>
      </c>
      <c r="J15" s="42">
        <f>+'SECLE10 Monthly Weather Weights'!I15</f>
        <v>0.033447645686353847</v>
      </c>
      <c r="K15" s="42">
        <f>+'SECLE10 Monthly Weather Weights'!J15</f>
        <v>0.034146938598593114</v>
      </c>
      <c r="L15" s="42">
        <f>+'SECLE10 Monthly Weather Weights'!K15</f>
        <v>0.033840870096331126</v>
      </c>
      <c r="M15" s="42">
        <f>+'SECLE10 Monthly Weather Weights'!L15</f>
        <v>0.032450688754277958</v>
      </c>
      <c r="N15" s="42">
        <f>+'SECLE10 Monthly Weather Weights'!M15</f>
        <v>0.031636798424881832</v>
      </c>
      <c r="O15" s="42">
        <f>+'SECLE10 Monthly Weather Weights'!N15</f>
        <v>0.032329566958050678</v>
      </c>
      <c r="P15" s="42">
        <f>+'SECLE10 Monthly Weather Weights'!O15</f>
        <v>0.032716090963022935</v>
      </c>
    </row>
    <row r="16" spans="1:16" ht="13.2">
      <c r="A16" s="40">
        <f t="shared" si="0"/>
        <v>6</v>
      </c>
      <c r="B16" s="30" t="s">
        <v>31</v>
      </c>
      <c r="C16" s="41"/>
      <c r="D16" s="42">
        <f>+'SECLE10 Monthly Weather Weights'!C16</f>
        <v>0.033840665964939842</v>
      </c>
      <c r="E16" s="42">
        <f>+'SECLE10 Monthly Weather Weights'!D16</f>
        <v>0.033122569203814442</v>
      </c>
      <c r="F16" s="42">
        <f>+'SECLE10 Monthly Weather Weights'!E16</f>
        <v>0.032911985460753933</v>
      </c>
      <c r="G16" s="42">
        <f>+'SECLE10 Monthly Weather Weights'!F16</f>
        <v>0.032995359112791917</v>
      </c>
      <c r="H16" s="42">
        <f>+'SECLE10 Monthly Weather Weights'!G16</f>
        <v>0.033300036893878698</v>
      </c>
      <c r="I16" s="42">
        <f>+'SECLE10 Monthly Weather Weights'!H16</f>
        <v>0.034121209450940049</v>
      </c>
      <c r="J16" s="42">
        <f>+'SECLE10 Monthly Weather Weights'!I16</f>
        <v>0.033384502174515156</v>
      </c>
      <c r="K16" s="42">
        <f>+'SECLE10 Monthly Weather Weights'!J16</f>
        <v>0.033927506584336888</v>
      </c>
      <c r="L16" s="42">
        <f>+'SECLE10 Monthly Weather Weights'!K16</f>
        <v>0.03464140144224747</v>
      </c>
      <c r="M16" s="42">
        <f>+'SECLE10 Monthly Weather Weights'!L16</f>
        <v>0.034439973382442556</v>
      </c>
      <c r="N16" s="42">
        <f>+'SECLE10 Monthly Weather Weights'!M16</f>
        <v>0.034472008205746273</v>
      </c>
      <c r="O16" s="42">
        <f>+'SECLE10 Monthly Weather Weights'!N16</f>
        <v>0.034126422792338781</v>
      </c>
      <c r="P16" s="42">
        <f>+'SECLE10 Monthly Weather Weights'!O16</f>
        <v>0.033789270682595039</v>
      </c>
    </row>
    <row r="17" spans="1:16" ht="13.2">
      <c r="A17" s="40">
        <f t="shared" si="0"/>
        <v>7</v>
      </c>
      <c r="B17" s="30" t="s">
        <v>3</v>
      </c>
      <c r="C17" s="41"/>
      <c r="D17" s="42">
        <f>+'SECLE10 Monthly Weather Weights'!C17</f>
        <v>0.037485930729524684</v>
      </c>
      <c r="E17" s="42">
        <f>+'SECLE10 Monthly Weather Weights'!D17</f>
        <v>0.037241356490234592</v>
      </c>
      <c r="F17" s="42">
        <f>+'SECLE10 Monthly Weather Weights'!E17</f>
        <v>0.037928951175391981</v>
      </c>
      <c r="G17" s="42">
        <f>+'SECLE10 Monthly Weather Weights'!F17</f>
        <v>0.037019602505126939</v>
      </c>
      <c r="H17" s="42">
        <f>+'SECLE10 Monthly Weather Weights'!G17</f>
        <v>0.037391153159175947</v>
      </c>
      <c r="I17" s="42">
        <f>+'SECLE10 Monthly Weather Weights'!H17</f>
        <v>0.038489287571783999</v>
      </c>
      <c r="J17" s="42">
        <f>+'SECLE10 Monthly Weather Weights'!I17</f>
        <v>0.038256566811930889</v>
      </c>
      <c r="K17" s="42">
        <f>+'SECLE10 Monthly Weather Weights'!J17</f>
        <v>0.039297678614890044</v>
      </c>
      <c r="L17" s="42">
        <f>+'SECLE10 Monthly Weather Weights'!K17</f>
        <v>0.040134919893604834</v>
      </c>
      <c r="M17" s="42">
        <f>+'SECLE10 Monthly Weather Weights'!L17</f>
        <v>0.039714086812164283</v>
      </c>
      <c r="N17" s="42">
        <f>+'SECLE10 Monthly Weather Weights'!M17</f>
        <v>0.038551069810065362</v>
      </c>
      <c r="O17" s="42">
        <f>+'SECLE10 Monthly Weather Weights'!N17</f>
        <v>0.037875644263131836</v>
      </c>
      <c r="P17" s="42">
        <f>+'SECLE10 Monthly Weather Weights'!O17</f>
        <v>0.03833829770776577</v>
      </c>
    </row>
    <row r="18" spans="1:16" ht="13.2">
      <c r="A18" s="40">
        <f t="shared" si="0"/>
        <v>8</v>
      </c>
      <c r="B18" s="30" t="s">
        <v>32</v>
      </c>
      <c r="C18" s="41"/>
      <c r="D18" s="42">
        <f>+'SECLE10 Monthly Weather Weights'!C18</f>
        <v>0.026890516748308984</v>
      </c>
      <c r="E18" s="42">
        <f>+'SECLE10 Monthly Weather Weights'!D18</f>
        <v>0.02634850954968784</v>
      </c>
      <c r="F18" s="42">
        <f>+'SECLE10 Monthly Weather Weights'!E18</f>
        <v>0.026137523606867663</v>
      </c>
      <c r="G18" s="42">
        <f>+'SECLE10 Monthly Weather Weights'!F18</f>
        <v>0.025726933247934482</v>
      </c>
      <c r="H18" s="42">
        <f>+'SECLE10 Monthly Weather Weights'!G18</f>
        <v>0.025561565329714441</v>
      </c>
      <c r="I18" s="42">
        <f>+'SECLE10 Monthly Weather Weights'!H18</f>
        <v>0.025771813882141115</v>
      </c>
      <c r="J18" s="42">
        <f>+'SECLE10 Monthly Weather Weights'!I18</f>
        <v>0.026368460146406956</v>
      </c>
      <c r="K18" s="42">
        <f>+'SECLE10 Monthly Weather Weights'!J18</f>
        <v>0.02670148542019431</v>
      </c>
      <c r="L18" s="42">
        <f>+'SECLE10 Monthly Weather Weights'!K18</f>
        <v>0.026380912952055</v>
      </c>
      <c r="M18" s="42">
        <f>+'SECLE10 Monthly Weather Weights'!L18</f>
        <v>0.025649780687400692</v>
      </c>
      <c r="N18" s="42">
        <f>+'SECLE10 Monthly Weather Weights'!M18</f>
        <v>0.025611605509181307</v>
      </c>
      <c r="O18" s="42">
        <f>+'SECLE10 Monthly Weather Weights'!N18</f>
        <v>0.02617654776661844</v>
      </c>
      <c r="P18" s="42">
        <f>+'SECLE10 Monthly Weather Weights'!O18</f>
        <v>0.026145269150333186</v>
      </c>
    </row>
    <row r="19" spans="1:16" ht="13.2">
      <c r="A19" s="40">
        <f t="shared" si="0"/>
        <v>9</v>
      </c>
      <c r="B19" s="30" t="s">
        <v>8</v>
      </c>
      <c r="C19" s="41"/>
      <c r="D19" s="42">
        <f>+'SECLE10 Monthly Weather Weights'!C19</f>
        <v>0.043330200539240998</v>
      </c>
      <c r="E19" s="42">
        <f>+'SECLE10 Monthly Weather Weights'!D19</f>
        <v>0.043711485849427523</v>
      </c>
      <c r="F19" s="42">
        <f>+'SECLE10 Monthly Weather Weights'!E19</f>
        <v>0.042054132359818058</v>
      </c>
      <c r="G19" s="42">
        <f>+'SECLE10 Monthly Weather Weights'!F19</f>
        <v>0.041448919488800688</v>
      </c>
      <c r="H19" s="42">
        <f>+'SECLE10 Monthly Weather Weights'!G19</f>
        <v>0.041557382740771538</v>
      </c>
      <c r="I19" s="42">
        <f>+'SECLE10 Monthly Weather Weights'!H19</f>
        <v>0.044453719086128829</v>
      </c>
      <c r="J19" s="42">
        <f>+'SECLE10 Monthly Weather Weights'!I19</f>
        <v>0.045476404714919184</v>
      </c>
      <c r="K19" s="42">
        <f>+'SECLE10 Monthly Weather Weights'!J19</f>
        <v>0.046203534786910139</v>
      </c>
      <c r="L19" s="42">
        <f>+'SECLE10 Monthly Weather Weights'!K19</f>
        <v>0.046955516984599689</v>
      </c>
      <c r="M19" s="42">
        <f>+'SECLE10 Monthly Weather Weights'!L19</f>
        <v>0.045120442417632745</v>
      </c>
      <c r="N19" s="42">
        <f>+'SECLE10 Monthly Weather Weights'!M19</f>
        <v>0.042293629649458583</v>
      </c>
      <c r="O19" s="42">
        <f>+'SECLE10 Monthly Weather Weights'!N19</f>
        <v>0.042654705626473652</v>
      </c>
      <c r="P19" s="42">
        <f>+'SECLE10 Monthly Weather Weights'!O19</f>
        <v>0.043940015038750675</v>
      </c>
    </row>
    <row r="20" spans="1:16" ht="13.2">
      <c r="A20" s="40">
        <f t="shared" si="0"/>
        <v>10</v>
      </c>
      <c r="B20" s="30" t="s">
        <v>6</v>
      </c>
      <c r="C20" s="41"/>
      <c r="D20" s="43">
        <f>+'SECLE10 Monthly Weather Weights'!C20</f>
        <v>0.034442291240858611</v>
      </c>
      <c r="E20" s="43">
        <f>+'SECLE10 Monthly Weather Weights'!D20</f>
        <v>0.033849340538815977</v>
      </c>
      <c r="F20" s="43">
        <f>+'SECLE10 Monthly Weather Weights'!E20</f>
        <v>0.03298799016825428</v>
      </c>
      <c r="G20" s="43">
        <f>+'SECLE10 Monthly Weather Weights'!F20</f>
        <v>0.033588185580837267</v>
      </c>
      <c r="H20" s="43">
        <f>+'SECLE10 Monthly Weather Weights'!G20</f>
        <v>0.033767276151355489</v>
      </c>
      <c r="I20" s="43">
        <f>+'SECLE10 Monthly Weather Weights'!H20</f>
        <v>0.034315832115505776</v>
      </c>
      <c r="J20" s="43">
        <f>+'SECLE10 Monthly Weather Weights'!I20</f>
        <v>0.033466782969043193</v>
      </c>
      <c r="K20" s="43">
        <f>+'SECLE10 Monthly Weather Weights'!J20</f>
        <v>0.033843150729337169</v>
      </c>
      <c r="L20" s="43">
        <f>+'SECLE10 Monthly Weather Weights'!K20</f>
        <v>0.035039487803446005</v>
      </c>
      <c r="M20" s="43">
        <f>+'SECLE10 Monthly Weather Weights'!L20</f>
        <v>0.035228047857883235</v>
      </c>
      <c r="N20" s="43">
        <f>+'SECLE10 Monthly Weather Weights'!M20</f>
        <v>0.035561820788697768</v>
      </c>
      <c r="O20" s="43">
        <f>+'SECLE10 Monthly Weather Weights'!N20</f>
        <v>0.03493110131835743</v>
      </c>
      <c r="P20" s="43">
        <f>+'SECLE10 Monthly Weather Weights'!O20</f>
        <v>0.034247598658405452</v>
      </c>
    </row>
    <row r="21" spans="1:16" ht="13.2">
      <c r="A21" s="40">
        <f t="shared" si="0"/>
        <v>11</v>
      </c>
      <c r="C21" s="41"/>
      <c r="D21" s="44">
        <f t="shared" si="1" ref="D21:P21">SUM(D11:D20)</f>
        <v>1</v>
      </c>
      <c r="E21" s="44">
        <f t="shared" si="1"/>
        <v>0.99999999999999989</v>
      </c>
      <c r="F21" s="44">
        <f t="shared" si="1"/>
        <v>0.99999999999999989</v>
      </c>
      <c r="G21" s="44">
        <f t="shared" si="1"/>
        <v>0.99999999999999989</v>
      </c>
      <c r="H21" s="44">
        <f t="shared" si="1"/>
        <v>1.0000000000000002</v>
      </c>
      <c r="I21" s="44">
        <f t="shared" si="1"/>
        <v>1</v>
      </c>
      <c r="J21" s="44">
        <f t="shared" si="1"/>
        <v>1.0000000000000002</v>
      </c>
      <c r="K21" s="44">
        <f t="shared" si="1"/>
        <v>0.99999999999999989</v>
      </c>
      <c r="L21" s="44">
        <f t="shared" si="1"/>
        <v>0.99999999999999989</v>
      </c>
      <c r="M21" s="44">
        <f t="shared" si="1"/>
        <v>1.0000000000000002</v>
      </c>
      <c r="N21" s="44">
        <f t="shared" si="1"/>
        <v>0.99999999999999967</v>
      </c>
      <c r="O21" s="44">
        <f t="shared" si="1"/>
        <v>1.0000000000000002</v>
      </c>
      <c r="P21" s="44">
        <f t="shared" si="1"/>
        <v>1.0000000000000002</v>
      </c>
    </row>
    <row r="22" spans="1:1" ht="13.2">
      <c r="A22" s="40">
        <f t="shared" si="0"/>
        <v>12</v>
      </c>
    </row>
    <row r="23" spans="1:10" ht="15.6">
      <c r="A23" s="40">
        <f t="shared" si="0"/>
        <v>13</v>
      </c>
      <c r="D23" s="65" t="s">
        <v>40</v>
      </c>
      <c r="E23" s="66"/>
      <c r="F23" s="67"/>
      <c r="G23" s="27"/>
      <c r="H23" s="27"/>
      <c r="I23" s="28"/>
      <c r="J23" s="28"/>
    </row>
    <row r="24" spans="1:6" ht="13.2">
      <c r="A24" s="40">
        <f t="shared" si="0"/>
        <v>14</v>
      </c>
      <c r="D24" s="29" t="s">
        <v>36</v>
      </c>
      <c r="F24" s="29" t="s">
        <v>37</v>
      </c>
    </row>
    <row r="25" spans="1:6" ht="13.2">
      <c r="A25" s="40">
        <f t="shared" si="0"/>
        <v>15</v>
      </c>
      <c r="B25" s="34" t="s">
        <v>28</v>
      </c>
      <c r="D25" s="48" t="s">
        <v>46</v>
      </c>
      <c r="E25" s="48"/>
      <c r="F25" s="48" t="s">
        <v>47</v>
      </c>
    </row>
    <row r="26" spans="1:12" ht="13.8">
      <c r="A26" s="40">
        <f t="shared" si="0"/>
        <v>16</v>
      </c>
      <c r="B26" s="29" t="s">
        <v>29</v>
      </c>
      <c r="D26" s="45">
        <f>ROUND(AVERAGE(D11:F11,N11:O11),3)</f>
        <v>0.60399999999999998</v>
      </c>
      <c r="F26" s="45">
        <f>ROUND(AVERAGE(H11:L11),3)</f>
        <v>0.59599999999999997</v>
      </c>
      <c r="H26" s="46"/>
      <c r="I26" s="46"/>
      <c r="K26" s="47"/>
      <c r="L26" s="47"/>
    </row>
    <row r="27" spans="1:12" ht="13.2">
      <c r="A27" s="40">
        <f t="shared" si="0"/>
        <v>17</v>
      </c>
      <c r="B27" s="29" t="s">
        <v>30</v>
      </c>
      <c r="D27" s="45">
        <f t="shared" si="2" ref="D27:D35">ROUND(AVERAGE(D12:F12,N12:O12),3)</f>
        <v>0.123</v>
      </c>
      <c r="F27" s="45">
        <f t="shared" si="3" ref="F27:F35">ROUND(AVERAGE(H12:L12),3)</f>
        <v>0.125</v>
      </c>
      <c r="H27" s="45"/>
      <c r="I27" s="45"/>
      <c r="K27" s="47"/>
      <c r="L27" s="47"/>
    </row>
    <row r="28" spans="1:12" ht="13.2">
      <c r="A28" s="40">
        <f t="shared" si="0"/>
        <v>18</v>
      </c>
      <c r="B28" s="29" t="s">
        <v>5</v>
      </c>
      <c r="D28" s="45">
        <f t="shared" si="2"/>
        <v>0.035999999999999997</v>
      </c>
      <c r="F28" s="45">
        <f t="shared" si="3"/>
        <v>0.037999999999999999</v>
      </c>
      <c r="H28" s="45"/>
      <c r="I28" s="45"/>
      <c r="K28" s="47"/>
      <c r="L28" s="47"/>
    </row>
    <row r="29" spans="1:12" ht="13.2">
      <c r="A29" s="40">
        <f t="shared" si="0"/>
        <v>19</v>
      </c>
      <c r="B29" s="29" t="s">
        <v>9</v>
      </c>
      <c r="D29" s="45">
        <f t="shared" si="2"/>
        <v>0.029000000000000001</v>
      </c>
      <c r="F29" s="45">
        <f t="shared" si="3"/>
        <v>0.029999999999999999</v>
      </c>
      <c r="H29" s="45"/>
      <c r="I29" s="45"/>
      <c r="K29" s="47"/>
      <c r="L29" s="47"/>
    </row>
    <row r="30" spans="1:12" ht="13.2">
      <c r="A30" s="40">
        <f t="shared" si="0"/>
        <v>20</v>
      </c>
      <c r="B30" s="29" t="s">
        <v>45</v>
      </c>
      <c r="D30" s="45">
        <f t="shared" si="2"/>
        <v>0.033000000000000002</v>
      </c>
      <c r="F30" s="45">
        <f t="shared" si="3"/>
        <v>0.033000000000000002</v>
      </c>
      <c r="H30" s="45"/>
      <c r="I30" s="45"/>
      <c r="K30" s="47"/>
      <c r="L30" s="47"/>
    </row>
    <row r="31" spans="1:12" ht="13.2">
      <c r="A31" s="40">
        <f t="shared" si="0"/>
        <v>21</v>
      </c>
      <c r="B31" s="29" t="s">
        <v>31</v>
      </c>
      <c r="D31" s="45">
        <f t="shared" si="2"/>
        <v>0.034000000000000002</v>
      </c>
      <c r="F31" s="45">
        <f t="shared" si="3"/>
        <v>0.034000000000000002</v>
      </c>
      <c r="H31" s="45"/>
      <c r="I31" s="45"/>
      <c r="K31" s="47"/>
      <c r="L31" s="47"/>
    </row>
    <row r="32" spans="1:12" ht="13.2">
      <c r="A32" s="40">
        <f t="shared" si="0"/>
        <v>22</v>
      </c>
      <c r="B32" s="29" t="s">
        <v>3</v>
      </c>
      <c r="D32" s="45">
        <f t="shared" si="2"/>
        <v>0.037999999999999999</v>
      </c>
      <c r="F32" s="45">
        <f t="shared" si="3"/>
        <v>0.039</v>
      </c>
      <c r="H32" s="45"/>
      <c r="I32" s="45"/>
      <c r="K32" s="47"/>
      <c r="L32" s="47"/>
    </row>
    <row r="33" spans="1:12" ht="13.2">
      <c r="A33" s="40">
        <f t="shared" si="0"/>
        <v>23</v>
      </c>
      <c r="B33" s="29" t="s">
        <v>32</v>
      </c>
      <c r="D33" s="45">
        <f t="shared" si="2"/>
        <v>0.025999999999999999</v>
      </c>
      <c r="F33" s="45">
        <f t="shared" si="3"/>
        <v>0.025999999999999999</v>
      </c>
      <c r="H33" s="45"/>
      <c r="I33" s="45"/>
      <c r="K33" s="47"/>
      <c r="L33" s="47"/>
    </row>
    <row r="34" spans="1:12" ht="13.2">
      <c r="A34" s="40">
        <f t="shared" si="0"/>
        <v>24</v>
      </c>
      <c r="B34" s="29" t="s">
        <v>8</v>
      </c>
      <c r="D34" s="45">
        <f t="shared" si="2"/>
        <v>0.042999999999999997</v>
      </c>
      <c r="F34" s="45">
        <f t="shared" si="3"/>
        <v>0.044999999999999998</v>
      </c>
      <c r="H34" s="45"/>
      <c r="I34" s="45"/>
      <c r="K34" s="47"/>
      <c r="L34" s="47"/>
    </row>
    <row r="35" spans="1:12" ht="13.2">
      <c r="A35" s="40">
        <f t="shared" si="0"/>
        <v>25</v>
      </c>
      <c r="B35" s="29" t="s">
        <v>6</v>
      </c>
      <c r="D35" s="45">
        <f t="shared" si="2"/>
        <v>0.034000000000000002</v>
      </c>
      <c r="E35" s="48"/>
      <c r="F35" s="45">
        <f t="shared" si="3"/>
        <v>0.034000000000000002</v>
      </c>
      <c r="H35" s="45"/>
      <c r="I35" s="45"/>
      <c r="K35" s="47"/>
      <c r="L35" s="47"/>
    </row>
    <row r="36" spans="1:12" ht="13.2">
      <c r="A36" s="40">
        <f t="shared" si="0"/>
        <v>26</v>
      </c>
      <c r="D36" s="62">
        <f t="shared" si="4" ref="D36">AVERAGE(D21:F21,N21:O21)</f>
        <v>1</v>
      </c>
      <c r="F36" s="62">
        <f t="shared" si="5" ref="F36">AVERAGE(H21:L21)</f>
        <v>1</v>
      </c>
      <c r="H36" s="45"/>
      <c r="I36" s="45"/>
      <c r="K36" s="47"/>
      <c r="L36" s="47"/>
    </row>
  </sheetData>
  <mergeCells count="8">
    <mergeCell ref="D23:F23"/>
    <mergeCell ref="B1:P1"/>
    <mergeCell ref="B2:P2"/>
    <mergeCell ref="B3:P3"/>
    <mergeCell ref="B4:P4"/>
    <mergeCell ref="B5:F5"/>
    <mergeCell ref="B6:P6"/>
    <mergeCell ref="B8:P8"/>
  </mergeCells>
  <printOptions horizontalCentered="1"/>
  <pageMargins left="0.5" right="0.5" top="0.7" bottom="1" header="0.5" footer="0.43"/>
  <pageSetup orientation="landscape" scale="85" r:id="rId2"/>
  <headerFooter alignWithMargins="0">
    <oddHeader>&amp;RWP/II-H-5.2/2
Page &amp;P of &amp;N</oddHeader>
    <oddFooter>&amp;R]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1:P21"/>
  <sheetViews>
    <sheetView zoomScaleSheetLayoutView="100" workbookViewId="0" topLeftCell="A1"/>
  </sheetViews>
  <sheetFormatPr defaultColWidth="9.11428571428571" defaultRowHeight="14.25"/>
  <cols>
    <col min="1" max="1" width="8.14285714285714" style="1" customWidth="1"/>
    <col min="2" max="2" width="16.8571428571429" style="1" customWidth="1"/>
    <col min="3" max="3" width="7.14285714285714" style="1" customWidth="1"/>
    <col min="4" max="4" width="9.85714285714286" style="1" bestFit="1" customWidth="1"/>
    <col min="5" max="13" width="9.14285714285714" style="1"/>
    <col min="14" max="14" width="9.71428571428571" style="1" bestFit="1" customWidth="1"/>
    <col min="15" max="16384" width="9.14285714285714" style="1"/>
  </cols>
  <sheetData>
    <row r="1" spans="1:15" ht="15.6">
      <c r="A1" s="14"/>
      <c r="B1" s="70" t="s">
        <v>10</v>
      </c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</row>
    <row r="2" spans="1:15" ht="15.6">
      <c r="A2" s="14"/>
      <c r="B2" s="70" t="s">
        <v>11</v>
      </c>
      <c r="C2" s="70"/>
      <c r="D2" s="70"/>
      <c r="E2" s="70"/>
      <c r="F2" s="70"/>
      <c r="G2" s="71"/>
      <c r="H2" s="71"/>
      <c r="I2" s="71"/>
      <c r="J2" s="71"/>
      <c r="K2" s="71"/>
      <c r="L2" s="71"/>
      <c r="M2" s="71"/>
      <c r="N2" s="71"/>
      <c r="O2" s="71"/>
    </row>
    <row r="3" spans="1:15" ht="15.6">
      <c r="A3" s="14"/>
      <c r="B3" s="70" t="s">
        <v>39</v>
      </c>
      <c r="C3" s="70"/>
      <c r="D3" s="70"/>
      <c r="E3" s="70"/>
      <c r="F3" s="70"/>
      <c r="G3" s="71"/>
      <c r="H3" s="71"/>
      <c r="I3" s="71"/>
      <c r="J3" s="71"/>
      <c r="K3" s="71"/>
      <c r="L3" s="71"/>
      <c r="M3" s="71"/>
      <c r="N3" s="71"/>
      <c r="O3" s="71"/>
    </row>
    <row r="4" spans="1:15" ht="15.6">
      <c r="A4" s="14"/>
      <c r="B4" s="70" t="str">
        <f>+'SECLE10 Seasonal Weights'!B4:P4</f>
        <v>FOR THE TEST YEAR ENDING DECEMBER 31, 2021</v>
      </c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0"/>
    </row>
    <row r="5" spans="1:15" ht="15.6">
      <c r="A5" s="14"/>
      <c r="B5" s="70"/>
      <c r="C5" s="70"/>
      <c r="D5" s="70"/>
      <c r="E5" s="70"/>
      <c r="F5" s="70"/>
      <c r="G5" s="17"/>
      <c r="H5" s="17"/>
      <c r="I5" s="18"/>
      <c r="J5" s="18"/>
      <c r="K5" s="18"/>
      <c r="L5" s="18"/>
      <c r="M5" s="18"/>
      <c r="N5" s="18"/>
      <c r="O5" s="18"/>
    </row>
    <row r="6" spans="1:15" ht="15.6">
      <c r="A6" s="14"/>
      <c r="B6" s="70" t="s">
        <v>38</v>
      </c>
      <c r="C6" s="70"/>
      <c r="D6" s="70"/>
      <c r="E6" s="70"/>
      <c r="F6" s="70"/>
      <c r="G6" s="71"/>
      <c r="H6" s="71"/>
      <c r="I6" s="71"/>
      <c r="J6" s="71"/>
      <c r="K6" s="71"/>
      <c r="L6" s="71"/>
      <c r="M6" s="71"/>
      <c r="N6" s="71"/>
      <c r="O6" s="71"/>
    </row>
    <row r="7" spans="1:15" ht="15.6">
      <c r="A7" s="14"/>
      <c r="B7" s="15"/>
      <c r="C7" s="15"/>
      <c r="D7" s="15"/>
      <c r="E7" s="15"/>
      <c r="F7" s="15"/>
      <c r="G7" s="16"/>
      <c r="H7" s="16"/>
      <c r="I7" s="18"/>
      <c r="J7" s="18"/>
      <c r="K7" s="18"/>
      <c r="L7" s="18"/>
      <c r="M7" s="18"/>
      <c r="N7" s="18"/>
      <c r="O7" s="18"/>
    </row>
    <row r="8" spans="1:16" ht="15.6">
      <c r="A8" s="14"/>
      <c r="B8" s="72" t="s">
        <v>42</v>
      </c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</row>
    <row r="9" spans="1:15" ht="14.4">
      <c r="A9" s="14" t="s">
        <v>12</v>
      </c>
      <c r="B9" s="14" t="s">
        <v>13</v>
      </c>
      <c r="C9" s="19" t="s">
        <v>14</v>
      </c>
      <c r="D9" s="19" t="s">
        <v>15</v>
      </c>
      <c r="E9" s="19" t="s">
        <v>16</v>
      </c>
      <c r="F9" s="19" t="s">
        <v>17</v>
      </c>
      <c r="G9" s="19" t="s">
        <v>18</v>
      </c>
      <c r="H9" s="19" t="s">
        <v>19</v>
      </c>
      <c r="I9" s="19" t="s">
        <v>20</v>
      </c>
      <c r="J9" s="19" t="s">
        <v>21</v>
      </c>
      <c r="K9" s="19" t="s">
        <v>22</v>
      </c>
      <c r="L9" s="19" t="s">
        <v>23</v>
      </c>
      <c r="M9" s="19" t="s">
        <v>24</v>
      </c>
      <c r="N9" s="19" t="s">
        <v>25</v>
      </c>
      <c r="O9" s="19" t="s">
        <v>26</v>
      </c>
    </row>
    <row r="10" spans="1:15" ht="15.75" customHeight="1">
      <c r="A10" s="20" t="s">
        <v>27</v>
      </c>
      <c r="B10" s="21" t="s">
        <v>28</v>
      </c>
      <c r="C10" s="22">
        <v>36892</v>
      </c>
      <c r="D10" s="23">
        <v>36923</v>
      </c>
      <c r="E10" s="23">
        <v>36951</v>
      </c>
      <c r="F10" s="23">
        <v>36982</v>
      </c>
      <c r="G10" s="23">
        <v>37012</v>
      </c>
      <c r="H10" s="23">
        <v>37043</v>
      </c>
      <c r="I10" s="23">
        <v>37073</v>
      </c>
      <c r="J10" s="23">
        <v>37104</v>
      </c>
      <c r="K10" s="23">
        <v>37135</v>
      </c>
      <c r="L10" s="23">
        <v>37165</v>
      </c>
      <c r="M10" s="23">
        <v>37196</v>
      </c>
      <c r="N10" s="23">
        <v>37226</v>
      </c>
      <c r="O10" s="24" t="s">
        <v>0</v>
      </c>
    </row>
    <row r="11" spans="1:15" ht="14.4">
      <c r="A11" s="25">
        <v>1</v>
      </c>
      <c r="B11" s="17" t="s">
        <v>29</v>
      </c>
      <c r="C11" s="5">
        <f>+'SECLE10 Weights by Year (18-20)'!D14</f>
        <v>0.60953940603790413</v>
      </c>
      <c r="D11" s="5">
        <f>+'SECLE10 Weights by Year (18-20)'!E14</f>
        <v>0.59423142023346343</v>
      </c>
      <c r="E11" s="5">
        <f>+'SECLE10 Weights by Year (18-20)'!F14</f>
        <v>0.59932852593351749</v>
      </c>
      <c r="F11" s="5">
        <f>+'SECLE10 Weights by Year (18-20)'!G14</f>
        <v>0.6020891463040402</v>
      </c>
      <c r="G11" s="5">
        <f>+'SECLE10 Weights by Year (18-20)'!H14</f>
        <v>0.59998678339807665</v>
      </c>
      <c r="H11" s="5">
        <f>+'SECLE10 Weights by Year (18-20)'!I14</f>
        <v>0.60037932112696835</v>
      </c>
      <c r="I11" s="5">
        <f>+'SECLE10 Weights by Year (18-20)'!J14</f>
        <v>0.59108745973168209</v>
      </c>
      <c r="J11" s="5">
        <f>+'SECLE10 Weights by Year (18-20)'!K14</f>
        <v>0.59223190235081369</v>
      </c>
      <c r="K11" s="5">
        <f>+'SECLE10 Weights by Year (18-20)'!L14</f>
        <v>0.59590093834037883</v>
      </c>
      <c r="L11" s="5">
        <f>+'SECLE10 Weights by Year (18-20)'!M14</f>
        <v>0.60699255346559122</v>
      </c>
      <c r="M11" s="5">
        <f>+'SECLE10 Weights by Year (18-20)'!N14</f>
        <v>0.6089857457974186</v>
      </c>
      <c r="N11" s="5">
        <f>+'SECLE10 Weights by Year (18-20)'!O14</f>
        <v>0.60841137060772621</v>
      </c>
      <c r="O11" s="5">
        <f>+'SECLE10 Weights by Year (18-20)'!P14</f>
        <v>0.60037359106063626</v>
      </c>
    </row>
    <row r="12" spans="1:15" ht="14.4">
      <c r="A12" s="25">
        <f>+A11+1</f>
        <v>2</v>
      </c>
      <c r="B12" s="17" t="s">
        <v>30</v>
      </c>
      <c r="C12" s="5">
        <f>+'SECLE10 Weights by Year (18-20)'!D54</f>
        <v>0.114581382930998</v>
      </c>
      <c r="D12" s="5">
        <f>+'SECLE10 Weights by Year (18-20)'!E54</f>
        <v>0.13197133228328542</v>
      </c>
      <c r="E12" s="5">
        <f>+'SECLE10 Weights by Year (18-20)'!F54</f>
        <v>0.13293848077985254</v>
      </c>
      <c r="F12" s="5">
        <f>+'SECLE10 Weights by Year (18-20)'!G54</f>
        <v>0.13200133792893717</v>
      </c>
      <c r="G12" s="5">
        <f>+'SECLE10 Weights by Year (18-20)'!H54</f>
        <v>0.13229045620177715</v>
      </c>
      <c r="H12" s="5">
        <f>+'SECLE10 Weights by Year (18-20)'!I54</f>
        <v>0.12214320311227384</v>
      </c>
      <c r="I12" s="5">
        <f>+'SECLE10 Weights by Year (18-20)'!J54</f>
        <v>0.12920341226471621</v>
      </c>
      <c r="J12" s="5">
        <f>+'SECLE10 Weights by Year (18-20)'!K54</f>
        <v>0.12387507743520877</v>
      </c>
      <c r="K12" s="5">
        <f>+'SECLE10 Weights by Year (18-20)'!L54</f>
        <v>0.11808370052025663</v>
      </c>
      <c r="L12" s="5">
        <f>+'SECLE10 Weights by Year (18-20)'!M54</f>
        <v>0.11382630389289172</v>
      </c>
      <c r="M12" s="5">
        <f>+'SECLE10 Weights by Year (18-20)'!N54</f>
        <v>0.11726527762473628</v>
      </c>
      <c r="N12" s="5">
        <f>+'SECLE10 Weights by Year (18-20)'!O54</f>
        <v>0.11720358674374454</v>
      </c>
      <c r="O12" s="5">
        <f>+'SECLE10 Weights by Year (18-20)'!P54</f>
        <v>0.12362936188311112</v>
      </c>
    </row>
    <row r="13" spans="1:15" ht="14.4">
      <c r="A13" s="25">
        <f t="shared" si="0" ref="A13:A20">+A12+1</f>
        <v>3</v>
      </c>
      <c r="B13" s="17" t="s">
        <v>5</v>
      </c>
      <c r="C13" s="5">
        <f>+'SECLE10 Weights by Year (18-20)'!D19</f>
        <v>0.036713346664189198</v>
      </c>
      <c r="D13" s="5">
        <f>+'SECLE10 Weights by Year (18-20)'!E19</f>
        <v>0.036716391534346998</v>
      </c>
      <c r="E13" s="5">
        <f>+'SECLE10 Weights by Year (18-20)'!F19</f>
        <v>0.034617192191707676</v>
      </c>
      <c r="F13" s="5">
        <f>+'SECLE10 Weights by Year (18-20)'!G19</f>
        <v>0.035303155413274799</v>
      </c>
      <c r="G13" s="5">
        <f>+'SECLE10 Weights by Year (18-20)'!H19</f>
        <v>0.035966962150858137</v>
      </c>
      <c r="H13" s="5">
        <f>+'SECLE10 Weights by Year (18-20)'!I19</f>
        <v>0.038726461886616666</v>
      </c>
      <c r="I13" s="5">
        <f>+'SECLE10 Weights by Year (18-20)'!J19</f>
        <v>0.038550932495423254</v>
      </c>
      <c r="J13" s="5">
        <f>+'SECLE10 Weights by Year (18-20)'!K19</f>
        <v>0.038655974016541667</v>
      </c>
      <c r="K13" s="5">
        <f>+'SECLE10 Weights by Year (18-20)'!L19</f>
        <v>0.039051533060737595</v>
      </c>
      <c r="L13" s="5">
        <f>+'SECLE10 Weights by Year (18-20)'!M19</f>
        <v>0.038054330376446198</v>
      </c>
      <c r="M13" s="5">
        <f>+'SECLE10 Weights by Year (18-20)'!N19</f>
        <v>0.035990647674965869</v>
      </c>
      <c r="N13" s="5">
        <f>+'SECLE10 Weights by Year (18-20)'!O19</f>
        <v>0.03631769329443818</v>
      </c>
      <c r="O13" s="5">
        <f>+'SECLE10 Weights by Year (18-20)'!P19</f>
        <v>0.037170030430780578</v>
      </c>
    </row>
    <row r="14" spans="1:15" ht="14.4">
      <c r="A14" s="25">
        <f t="shared" si="0"/>
        <v>4</v>
      </c>
      <c r="B14" s="17" t="s">
        <v>9</v>
      </c>
      <c r="C14" s="5">
        <f>+'SECLE10 Weights by Year (18-20)'!D44</f>
        <v>0.029957457417538916</v>
      </c>
      <c r="D14" s="5">
        <f>+'SECLE10 Weights by Year (18-20)'!E44</f>
        <v>0.02925960780346535</v>
      </c>
      <c r="E14" s="5">
        <f>+'SECLE10 Weights by Year (18-20)'!F44</f>
        <v>0.028472731343882188</v>
      </c>
      <c r="F14" s="5">
        <f>+'SECLE10 Weights by Year (18-20)'!G44</f>
        <v>0.028638880833099411</v>
      </c>
      <c r="G14" s="5">
        <f>+'SECLE10 Weights by Year (18-20)'!H44</f>
        <v>0.029352258709319404</v>
      </c>
      <c r="H14" s="5">
        <f>+'SECLE10 Weights by Year (18-20)'!I44</f>
        <v>0.029471807929892496</v>
      </c>
      <c r="I14" s="5">
        <f>+'SECLE10 Weights by Year (18-20)'!J44</f>
        <v>0.030757833005009293</v>
      </c>
      <c r="J14" s="5">
        <f>+'SECLE10 Weights by Year (18-20)'!K44</f>
        <v>0.031116751463174171</v>
      </c>
      <c r="K14" s="5">
        <f>+'SECLE10 Weights by Year (18-20)'!L44</f>
        <v>0.029970718906342755</v>
      </c>
      <c r="L14" s="5">
        <f>+'SECLE10 Weights by Year (18-20)'!M44</f>
        <v>0.028523792353269593</v>
      </c>
      <c r="M14" s="5">
        <f>+'SECLE10 Weights by Year (18-20)'!N44</f>
        <v>0.029631396514847863</v>
      </c>
      <c r="N14" s="5">
        <f>+'SECLE10 Weights by Year (18-20)'!O44</f>
        <v>0.029973360629120236</v>
      </c>
      <c r="O14" s="5">
        <f>+'SECLE10 Weights by Year (18-20)'!P44</f>
        <v>0.029650474424599112</v>
      </c>
    </row>
    <row r="15" spans="1:15" ht="14.4">
      <c r="A15" s="25">
        <f t="shared" si="0"/>
        <v>5</v>
      </c>
      <c r="B15" s="17" t="s">
        <v>45</v>
      </c>
      <c r="C15" s="5">
        <f>+'SECLE10 Weights by Year (18-20)'!D59</f>
        <v>0.033218801726496591</v>
      </c>
      <c r="D15" s="5">
        <f>+'SECLE10 Weights by Year (18-20)'!E59</f>
        <v>0.033547986513458375</v>
      </c>
      <c r="E15" s="5">
        <f>+'SECLE10 Weights by Year (18-20)'!F59</f>
        <v>0.032622486979954159</v>
      </c>
      <c r="F15" s="5">
        <f>+'SECLE10 Weights by Year (18-20)'!G59</f>
        <v>0.031188479585156963</v>
      </c>
      <c r="G15" s="5">
        <f>+'SECLE10 Weights by Year (18-20)'!H59</f>
        <v>0.030826125265072533</v>
      </c>
      <c r="H15" s="5">
        <f>+'SECLE10 Weights by Year (18-20)'!I59</f>
        <v>0.032127343837748984</v>
      </c>
      <c r="I15" s="5">
        <f>+'SECLE10 Weights by Year (18-20)'!J59</f>
        <v>0.033447645686353847</v>
      </c>
      <c r="J15" s="5">
        <f>+'SECLE10 Weights by Year (18-20)'!K59</f>
        <v>0.034146938598593114</v>
      </c>
      <c r="K15" s="5">
        <f>+'SECLE10 Weights by Year (18-20)'!L59</f>
        <v>0.033840870096331126</v>
      </c>
      <c r="L15" s="5">
        <f>+'SECLE10 Weights by Year (18-20)'!M59</f>
        <v>0.032450688754277958</v>
      </c>
      <c r="M15" s="5">
        <f>+'SECLE10 Weights by Year (18-20)'!N59</f>
        <v>0.031636798424881832</v>
      </c>
      <c r="N15" s="5">
        <f>+'SECLE10 Weights by Year (18-20)'!O59</f>
        <v>0.032329566958050678</v>
      </c>
      <c r="O15" s="5">
        <f>+'SECLE10 Weights by Year (18-20)'!P59</f>
        <v>0.032716090963022935</v>
      </c>
    </row>
    <row r="16" spans="1:15" ht="14.4">
      <c r="A16" s="25">
        <f t="shared" si="0"/>
        <v>6</v>
      </c>
      <c r="B16" s="17" t="s">
        <v>31</v>
      </c>
      <c r="C16" s="5">
        <f>+'SECLE10 Weights by Year (18-20)'!D29</f>
        <v>0.033840665964939842</v>
      </c>
      <c r="D16" s="5">
        <f>+'SECLE10 Weights by Year (18-20)'!E29</f>
        <v>0.033122569203814442</v>
      </c>
      <c r="E16" s="5">
        <f>+'SECLE10 Weights by Year (18-20)'!F29</f>
        <v>0.032911985460753933</v>
      </c>
      <c r="F16" s="5">
        <f>+'SECLE10 Weights by Year (18-20)'!G29</f>
        <v>0.032995359112791917</v>
      </c>
      <c r="G16" s="5">
        <f>+'SECLE10 Weights by Year (18-20)'!H29</f>
        <v>0.033300036893878698</v>
      </c>
      <c r="H16" s="5">
        <f>+'SECLE10 Weights by Year (18-20)'!I29</f>
        <v>0.034121209450940049</v>
      </c>
      <c r="I16" s="5">
        <f>+'SECLE10 Weights by Year (18-20)'!J29</f>
        <v>0.033384502174515156</v>
      </c>
      <c r="J16" s="5">
        <f>+'SECLE10 Weights by Year (18-20)'!K29</f>
        <v>0.033927506584336888</v>
      </c>
      <c r="K16" s="5">
        <f>+'SECLE10 Weights by Year (18-20)'!L29</f>
        <v>0.03464140144224747</v>
      </c>
      <c r="L16" s="5">
        <f>+'SECLE10 Weights by Year (18-20)'!M29</f>
        <v>0.034439973382442556</v>
      </c>
      <c r="M16" s="5">
        <f>+'SECLE10 Weights by Year (18-20)'!N29</f>
        <v>0.034472008205746273</v>
      </c>
      <c r="N16" s="5">
        <f>+'SECLE10 Weights by Year (18-20)'!O29</f>
        <v>0.034126422792338781</v>
      </c>
      <c r="O16" s="5">
        <f>+'SECLE10 Weights by Year (18-20)'!P29</f>
        <v>0.033789270682595039</v>
      </c>
    </row>
    <row r="17" spans="1:15" ht="14.4">
      <c r="A17" s="25">
        <f t="shared" si="0"/>
        <v>7</v>
      </c>
      <c r="B17" s="17" t="s">
        <v>3</v>
      </c>
      <c r="C17" s="5">
        <f>+'SECLE10 Weights by Year (18-20)'!D39</f>
        <v>0.037485930729524684</v>
      </c>
      <c r="D17" s="5">
        <f>+'SECLE10 Weights by Year (18-20)'!E39</f>
        <v>0.037241356490234592</v>
      </c>
      <c r="E17" s="5">
        <f>+'SECLE10 Weights by Year (18-20)'!F39</f>
        <v>0.037928951175391981</v>
      </c>
      <c r="F17" s="5">
        <f>+'SECLE10 Weights by Year (18-20)'!G39</f>
        <v>0.037019602505126939</v>
      </c>
      <c r="G17" s="5">
        <f>+'SECLE10 Weights by Year (18-20)'!H39</f>
        <v>0.037391153159175947</v>
      </c>
      <c r="H17" s="5">
        <f>+'SECLE10 Weights by Year (18-20)'!I39</f>
        <v>0.038489287571783999</v>
      </c>
      <c r="I17" s="5">
        <f>+'SECLE10 Weights by Year (18-20)'!J39</f>
        <v>0.038256566811930889</v>
      </c>
      <c r="J17" s="5">
        <f>+'SECLE10 Weights by Year (18-20)'!K39</f>
        <v>0.039297678614890044</v>
      </c>
      <c r="K17" s="5">
        <f>+'SECLE10 Weights by Year (18-20)'!L39</f>
        <v>0.040134919893604834</v>
      </c>
      <c r="L17" s="5">
        <f>+'SECLE10 Weights by Year (18-20)'!M39</f>
        <v>0.039714086812164283</v>
      </c>
      <c r="M17" s="5">
        <f>+'SECLE10 Weights by Year (18-20)'!N39</f>
        <v>0.038551069810065362</v>
      </c>
      <c r="N17" s="5">
        <f>+'SECLE10 Weights by Year (18-20)'!O39</f>
        <v>0.037875644263131836</v>
      </c>
      <c r="O17" s="5">
        <f>+'SECLE10 Weights by Year (18-20)'!P39</f>
        <v>0.03833829770776577</v>
      </c>
    </row>
    <row r="18" spans="1:15" ht="14.4">
      <c r="A18" s="25">
        <f t="shared" si="0"/>
        <v>8</v>
      </c>
      <c r="B18" s="17" t="s">
        <v>32</v>
      </c>
      <c r="C18" s="5">
        <f>+'SECLE10 Weights by Year (18-20)'!D49</f>
        <v>0.026890516748308984</v>
      </c>
      <c r="D18" s="5">
        <f>+'SECLE10 Weights by Year (18-20)'!E49</f>
        <v>0.02634850954968784</v>
      </c>
      <c r="E18" s="5">
        <f>+'SECLE10 Weights by Year (18-20)'!F49</f>
        <v>0.026137523606867663</v>
      </c>
      <c r="F18" s="5">
        <f>+'SECLE10 Weights by Year (18-20)'!G49</f>
        <v>0.025726933247934482</v>
      </c>
      <c r="G18" s="5">
        <f>+'SECLE10 Weights by Year (18-20)'!H49</f>
        <v>0.025561565329714441</v>
      </c>
      <c r="H18" s="5">
        <f>+'SECLE10 Weights by Year (18-20)'!I49</f>
        <v>0.025771813882141115</v>
      </c>
      <c r="I18" s="5">
        <f>+'SECLE10 Weights by Year (18-20)'!J49</f>
        <v>0.026368460146406956</v>
      </c>
      <c r="J18" s="5">
        <f>+'SECLE10 Weights by Year (18-20)'!K49</f>
        <v>0.02670148542019431</v>
      </c>
      <c r="K18" s="5">
        <f>+'SECLE10 Weights by Year (18-20)'!L49</f>
        <v>0.026380912952055</v>
      </c>
      <c r="L18" s="5">
        <f>+'SECLE10 Weights by Year (18-20)'!M49</f>
        <v>0.025649780687400692</v>
      </c>
      <c r="M18" s="5">
        <f>+'SECLE10 Weights by Year (18-20)'!N49</f>
        <v>0.025611605509181307</v>
      </c>
      <c r="N18" s="5">
        <f>+'SECLE10 Weights by Year (18-20)'!O49</f>
        <v>0.02617654776661844</v>
      </c>
      <c r="O18" s="5">
        <f>+'SECLE10 Weights by Year (18-20)'!P49</f>
        <v>0.026145269150333186</v>
      </c>
    </row>
    <row r="19" spans="1:15" ht="14.4">
      <c r="A19" s="25">
        <f t="shared" si="0"/>
        <v>9</v>
      </c>
      <c r="B19" s="17" t="s">
        <v>8</v>
      </c>
      <c r="C19" s="5">
        <f>+'SECLE10 Weights by Year (18-20)'!D34</f>
        <v>0.043330200539240998</v>
      </c>
      <c r="D19" s="5">
        <f>+'SECLE10 Weights by Year (18-20)'!E34</f>
        <v>0.043711485849427523</v>
      </c>
      <c r="E19" s="5">
        <f>+'SECLE10 Weights by Year (18-20)'!F34</f>
        <v>0.042054132359818058</v>
      </c>
      <c r="F19" s="5">
        <f>+'SECLE10 Weights by Year (18-20)'!G34</f>
        <v>0.041448919488800688</v>
      </c>
      <c r="G19" s="5">
        <f>+'SECLE10 Weights by Year (18-20)'!H34</f>
        <v>0.041557382740771538</v>
      </c>
      <c r="H19" s="5">
        <f>+'SECLE10 Weights by Year (18-20)'!I34</f>
        <v>0.044453719086128829</v>
      </c>
      <c r="I19" s="5">
        <f>+'SECLE10 Weights by Year (18-20)'!J34</f>
        <v>0.045476404714919184</v>
      </c>
      <c r="J19" s="5">
        <f>+'SECLE10 Weights by Year (18-20)'!K34</f>
        <v>0.046203534786910139</v>
      </c>
      <c r="K19" s="5">
        <f>+'SECLE10 Weights by Year (18-20)'!L34</f>
        <v>0.046955516984599689</v>
      </c>
      <c r="L19" s="5">
        <f>+'SECLE10 Weights by Year (18-20)'!M34</f>
        <v>0.045120442417632745</v>
      </c>
      <c r="M19" s="5">
        <f>+'SECLE10 Weights by Year (18-20)'!N34</f>
        <v>0.042293629649458583</v>
      </c>
      <c r="N19" s="5">
        <f>+'SECLE10 Weights by Year (18-20)'!O34</f>
        <v>0.042654705626473652</v>
      </c>
      <c r="O19" s="5">
        <f>+'SECLE10 Weights by Year (18-20)'!P34</f>
        <v>0.043940015038750675</v>
      </c>
    </row>
    <row r="20" spans="1:15" ht="14.4">
      <c r="A20" s="25">
        <f t="shared" si="0"/>
        <v>10</v>
      </c>
      <c r="B20" s="17" t="s">
        <v>6</v>
      </c>
      <c r="C20" s="6">
        <f>+'SECLE10 Weights by Year (18-20)'!D24</f>
        <v>0.034442291240858611</v>
      </c>
      <c r="D20" s="6">
        <f>+'SECLE10 Weights by Year (18-20)'!E24</f>
        <v>0.033849340538815977</v>
      </c>
      <c r="E20" s="6">
        <f>+'SECLE10 Weights by Year (18-20)'!F24</f>
        <v>0.03298799016825428</v>
      </c>
      <c r="F20" s="6">
        <f>+'SECLE10 Weights by Year (18-20)'!G24</f>
        <v>0.033588185580837267</v>
      </c>
      <c r="G20" s="6">
        <f>+'SECLE10 Weights by Year (18-20)'!H24</f>
        <v>0.033767276151355489</v>
      </c>
      <c r="H20" s="6">
        <f>+'SECLE10 Weights by Year (18-20)'!I24</f>
        <v>0.034315832115505776</v>
      </c>
      <c r="I20" s="6">
        <f>+'SECLE10 Weights by Year (18-20)'!J24</f>
        <v>0.033466782969043193</v>
      </c>
      <c r="J20" s="6">
        <f>+'SECLE10 Weights by Year (18-20)'!K24</f>
        <v>0.033843150729337169</v>
      </c>
      <c r="K20" s="6">
        <f>+'SECLE10 Weights by Year (18-20)'!L24</f>
        <v>0.035039487803446005</v>
      </c>
      <c r="L20" s="6">
        <f>+'SECLE10 Weights by Year (18-20)'!M24</f>
        <v>0.035228047857883235</v>
      </c>
      <c r="M20" s="6">
        <f>+'SECLE10 Weights by Year (18-20)'!N24</f>
        <v>0.035561820788697768</v>
      </c>
      <c r="N20" s="6">
        <f>+'SECLE10 Weights by Year (18-20)'!O24</f>
        <v>0.03493110131835743</v>
      </c>
      <c r="O20" s="6">
        <f>+'SECLE10 Weights by Year (18-20)'!P24</f>
        <v>0.034247598658405452</v>
      </c>
    </row>
    <row r="21" spans="2:15" ht="13.8">
      <c r="B21" s="4"/>
      <c r="C21" s="7">
        <f t="shared" si="1" ref="C21:O21">SUM(C11:C20)</f>
        <v>1</v>
      </c>
      <c r="D21" s="7">
        <f t="shared" si="1"/>
        <v>0.99999999999999989</v>
      </c>
      <c r="E21" s="7">
        <f t="shared" si="1"/>
        <v>0.99999999999999989</v>
      </c>
      <c r="F21" s="7">
        <f t="shared" si="1"/>
        <v>0.99999999999999989</v>
      </c>
      <c r="G21" s="7">
        <f t="shared" si="1"/>
        <v>1.0000000000000002</v>
      </c>
      <c r="H21" s="7">
        <f t="shared" si="1"/>
        <v>1</v>
      </c>
      <c r="I21" s="7">
        <f t="shared" si="1"/>
        <v>1.0000000000000002</v>
      </c>
      <c r="J21" s="7">
        <f t="shared" si="1"/>
        <v>0.99999999999999989</v>
      </c>
      <c r="K21" s="7">
        <f t="shared" si="1"/>
        <v>0.99999999999999989</v>
      </c>
      <c r="L21" s="7">
        <f t="shared" si="1"/>
        <v>1.0000000000000002</v>
      </c>
      <c r="M21" s="7">
        <f t="shared" si="1"/>
        <v>0.99999999999999967</v>
      </c>
      <c r="N21" s="7">
        <f t="shared" si="1"/>
        <v>1.0000000000000002</v>
      </c>
      <c r="O21" s="7">
        <f t="shared" si="1"/>
        <v>1.0000000000000002</v>
      </c>
    </row>
  </sheetData>
  <mergeCells count="7">
    <mergeCell ref="B6:O6"/>
    <mergeCell ref="B8:P8"/>
    <mergeCell ref="B1:O1"/>
    <mergeCell ref="B2:O2"/>
    <mergeCell ref="B3:O3"/>
    <mergeCell ref="B4:O4"/>
    <mergeCell ref="B5:F5"/>
  </mergeCells>
  <printOptions horizontalCentered="1"/>
  <pageMargins left="0.5" right="0.5" top="0.7" bottom="1" header="0.5" footer="0.43"/>
  <pageSetup orientation="landscape" scale="83" r:id="rId1"/>
  <headerFooter alignWithMargins="0">
    <oddHeader>&amp;RWP/II-H-5.2/2
Page &amp;P of &amp;N</oddHeader>
    <oddFooter>&amp;R]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1:Q64"/>
  <sheetViews>
    <sheetView view="pageBreakPreview" zoomScaleNormal="100" zoomScaleSheetLayoutView="100" workbookViewId="0" topLeftCell="A1"/>
  </sheetViews>
  <sheetFormatPr defaultColWidth="9.11428571428571" defaultRowHeight="14.25"/>
  <cols>
    <col min="1" max="1" width="9.14285714285714" style="1"/>
    <col min="2" max="2" width="16.8571428571429" style="1" customWidth="1"/>
    <col min="3" max="3" width="6.85714285714286" style="1" customWidth="1"/>
    <col min="4" max="15" width="8.71428571428571" style="1" customWidth="1"/>
    <col min="16" max="16" width="9.71428571428571" style="1" customWidth="1"/>
    <col min="17" max="17" width="9.57142857142857" style="1" bestFit="1" customWidth="1"/>
    <col min="18" max="16384" width="9.14285714285714" style="1"/>
  </cols>
  <sheetData>
    <row r="1" spans="1:16" ht="15.6">
      <c r="A1" s="14"/>
      <c r="B1" s="70" t="s">
        <v>10</v>
      </c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</row>
    <row r="2" spans="1:16" ht="15.6">
      <c r="A2" s="14"/>
      <c r="B2" s="70" t="s">
        <v>11</v>
      </c>
      <c r="C2" s="70"/>
      <c r="D2" s="70"/>
      <c r="E2" s="70"/>
      <c r="F2" s="70"/>
      <c r="G2" s="71"/>
      <c r="H2" s="71"/>
      <c r="I2" s="71"/>
      <c r="J2" s="71"/>
      <c r="K2" s="71"/>
      <c r="L2" s="71"/>
      <c r="M2" s="71"/>
      <c r="N2" s="71"/>
      <c r="O2" s="71"/>
      <c r="P2" s="71"/>
    </row>
    <row r="3" spans="1:16" ht="15.6">
      <c r="A3" s="14"/>
      <c r="B3" s="70" t="s">
        <v>39</v>
      </c>
      <c r="C3" s="70"/>
      <c r="D3" s="70"/>
      <c r="E3" s="70"/>
      <c r="F3" s="70"/>
      <c r="G3" s="71"/>
      <c r="H3" s="71"/>
      <c r="I3" s="71"/>
      <c r="J3" s="71"/>
      <c r="K3" s="71"/>
      <c r="L3" s="71"/>
      <c r="M3" s="71"/>
      <c r="N3" s="71"/>
      <c r="O3" s="71"/>
      <c r="P3" s="71"/>
    </row>
    <row r="4" spans="1:16" ht="15.6">
      <c r="A4" s="14"/>
      <c r="B4" s="70" t="str">
        <f>+'SECLE10 Seasonal Weights'!B4:P4</f>
        <v>FOR THE TEST YEAR ENDING DECEMBER 31, 2021</v>
      </c>
      <c r="C4" s="70"/>
      <c r="D4" s="70"/>
      <c r="E4" s="70"/>
      <c r="F4" s="70"/>
      <c r="G4" s="71"/>
      <c r="H4" s="71"/>
      <c r="I4" s="71"/>
      <c r="J4" s="71"/>
      <c r="K4" s="71"/>
      <c r="L4" s="71"/>
      <c r="M4" s="71"/>
      <c r="N4" s="71"/>
      <c r="O4" s="71"/>
      <c r="P4" s="71"/>
    </row>
    <row r="5" spans="1:16" ht="15.6">
      <c r="A5" s="14"/>
      <c r="B5" s="70"/>
      <c r="C5" s="70"/>
      <c r="D5" s="70"/>
      <c r="E5" s="70"/>
      <c r="F5" s="70"/>
      <c r="G5" s="17"/>
      <c r="H5" s="17"/>
      <c r="I5" s="18"/>
      <c r="J5" s="18"/>
      <c r="K5" s="18"/>
      <c r="L5" s="18"/>
      <c r="M5" s="18"/>
      <c r="N5" s="18"/>
      <c r="O5" s="18"/>
      <c r="P5" s="18"/>
    </row>
    <row r="6" spans="1:16" ht="15.6">
      <c r="A6" s="14"/>
      <c r="B6" s="70" t="s">
        <v>38</v>
      </c>
      <c r="C6" s="70"/>
      <c r="D6" s="70"/>
      <c r="E6" s="70"/>
      <c r="F6" s="70"/>
      <c r="G6" s="71"/>
      <c r="H6" s="71"/>
      <c r="I6" s="71"/>
      <c r="J6" s="71"/>
      <c r="K6" s="71"/>
      <c r="L6" s="71"/>
      <c r="M6" s="71"/>
      <c r="N6" s="71"/>
      <c r="O6" s="71"/>
      <c r="P6" s="71"/>
    </row>
    <row r="7" spans="1:16" ht="15.6">
      <c r="A7" s="14"/>
      <c r="B7" s="15"/>
      <c r="C7" s="15"/>
      <c r="D7" s="15"/>
      <c r="E7" s="15"/>
      <c r="F7" s="15"/>
      <c r="G7" s="16"/>
      <c r="H7" s="16"/>
      <c r="I7" s="18"/>
      <c r="J7" s="18"/>
      <c r="K7" s="18"/>
      <c r="L7" s="18"/>
      <c r="M7" s="18"/>
      <c r="N7" s="18"/>
      <c r="O7" s="18"/>
      <c r="P7" s="18"/>
    </row>
    <row r="8" spans="1:16" ht="15.6">
      <c r="A8" s="14"/>
      <c r="B8" s="72" t="s">
        <v>43</v>
      </c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</row>
    <row r="9" spans="1:16" ht="14.4">
      <c r="A9" s="14" t="s">
        <v>12</v>
      </c>
      <c r="B9" s="14" t="s">
        <v>13</v>
      </c>
      <c r="C9" s="19" t="s">
        <v>14</v>
      </c>
      <c r="D9" s="19" t="s">
        <v>15</v>
      </c>
      <c r="E9" s="19" t="s">
        <v>16</v>
      </c>
      <c r="F9" s="19" t="s">
        <v>17</v>
      </c>
      <c r="G9" s="19" t="s">
        <v>18</v>
      </c>
      <c r="H9" s="19" t="s">
        <v>19</v>
      </c>
      <c r="I9" s="19" t="s">
        <v>20</v>
      </c>
      <c r="J9" s="19" t="s">
        <v>21</v>
      </c>
      <c r="K9" s="19" t="s">
        <v>22</v>
      </c>
      <c r="L9" s="19" t="s">
        <v>23</v>
      </c>
      <c r="M9" s="19" t="s">
        <v>24</v>
      </c>
      <c r="N9" s="19" t="s">
        <v>25</v>
      </c>
      <c r="O9" s="19" t="s">
        <v>26</v>
      </c>
      <c r="P9" s="19" t="s">
        <v>41</v>
      </c>
    </row>
    <row r="10" spans="1:16" ht="15.75" customHeight="1">
      <c r="A10" s="20" t="s">
        <v>27</v>
      </c>
      <c r="B10" s="21" t="s">
        <v>28</v>
      </c>
      <c r="C10" s="1" t="s">
        <v>33</v>
      </c>
      <c r="D10" s="22">
        <v>36892</v>
      </c>
      <c r="E10" s="23">
        <v>36923</v>
      </c>
      <c r="F10" s="23">
        <v>36951</v>
      </c>
      <c r="G10" s="23">
        <v>36982</v>
      </c>
      <c r="H10" s="23">
        <v>37012</v>
      </c>
      <c r="I10" s="23">
        <v>37043</v>
      </c>
      <c r="J10" s="23">
        <v>37073</v>
      </c>
      <c r="K10" s="23">
        <v>37104</v>
      </c>
      <c r="L10" s="23">
        <v>37135</v>
      </c>
      <c r="M10" s="23">
        <v>37165</v>
      </c>
      <c r="N10" s="23">
        <v>37196</v>
      </c>
      <c r="O10" s="23">
        <v>37226</v>
      </c>
      <c r="P10" s="24" t="s">
        <v>0</v>
      </c>
    </row>
    <row r="11" spans="1:17" ht="14.4">
      <c r="A11" s="1">
        <v>1</v>
      </c>
      <c r="B11" s="17" t="s">
        <v>29</v>
      </c>
      <c r="C11" s="2">
        <v>2018</v>
      </c>
      <c r="D11" s="3">
        <f>'SECLE10 Sales by Year (18-20)'!D11/'SECLE10 Sales by Year (18-20)'!D61</f>
        <v>0.61717047708306627</v>
      </c>
      <c r="E11" s="3">
        <f>'SECLE10 Sales by Year (18-20)'!E11/'SECLE10 Sales by Year (18-20)'!E$61</f>
        <v>0.58994277287645536</v>
      </c>
      <c r="F11" s="3">
        <f>'SECLE10 Sales by Year (18-20)'!F11/'SECLE10 Sales by Year (18-20)'!F$61</f>
        <v>0.59717290585833116</v>
      </c>
      <c r="G11" s="3">
        <f>'SECLE10 Sales by Year (18-20)'!G11/'SECLE10 Sales by Year (18-20)'!G$61</f>
        <v>0.6097442125463125</v>
      </c>
      <c r="H11" s="3">
        <f>'SECLE10 Sales by Year (18-20)'!H11/'SECLE10 Sales by Year (18-20)'!H$61</f>
        <v>0.6017572217703866</v>
      </c>
      <c r="I11" s="3">
        <f>'SECLE10 Sales by Year (18-20)'!I11/'SECLE10 Sales by Year (18-20)'!I$61</f>
        <v>0.60039157571655677</v>
      </c>
      <c r="J11" s="3">
        <f>'SECLE10 Sales by Year (18-20)'!J11/'SECLE10 Sales by Year (18-20)'!J$61</f>
        <v>0.59137430389675816</v>
      </c>
      <c r="K11" s="3">
        <f>'SECLE10 Sales by Year (18-20)'!K11/'SECLE10 Sales by Year (18-20)'!K$61</f>
        <v>0.5968909344711687</v>
      </c>
      <c r="L11" s="3">
        <f>'SECLE10 Sales by Year (18-20)'!L11/'SECLE10 Sales by Year (18-20)'!L$61</f>
        <v>0.60201500436711131</v>
      </c>
      <c r="M11" s="3">
        <f>'SECLE10 Sales by Year (18-20)'!M11/'SECLE10 Sales by Year (18-20)'!M$61</f>
        <v>0.61117428378152383</v>
      </c>
      <c r="N11" s="3">
        <f>'SECLE10 Sales by Year (18-20)'!N11/'SECLE10 Sales by Year (18-20)'!N$61</f>
        <v>0.61329514414006459</v>
      </c>
      <c r="O11" s="3">
        <f>'SECLE10 Sales by Year (18-20)'!O11/'SECLE10 Sales by Year (18-20)'!O$61</f>
        <v>0.60741750787462778</v>
      </c>
      <c r="P11" s="59">
        <f>'SECLE10 Sales by Year (18-20)'!P11/'SECLE10 Sales by Year (18-20)'!P$61</f>
        <v>0.60269573825450085</v>
      </c>
      <c r="Q11" s="4"/>
    </row>
    <row r="12" spans="1:16" ht="14.4">
      <c r="A12" s="1">
        <f>+A11+1</f>
        <v>2</v>
      </c>
      <c r="B12" s="17" t="s">
        <v>29</v>
      </c>
      <c r="C12" s="2">
        <v>2019</v>
      </c>
      <c r="D12" s="3">
        <f>'SECLE10 Sales by Year (18-20)'!D12/'SECLE10 Sales by Year (18-20)'!D62</f>
        <v>0.60926962552168062</v>
      </c>
      <c r="E12" s="3">
        <f>'SECLE10 Sales by Year (18-20)'!E12/'SECLE10 Sales by Year (18-20)'!E$62</f>
        <v>0.59135000628444911</v>
      </c>
      <c r="F12" s="3">
        <f>'SECLE10 Sales by Year (18-20)'!F12/'SECLE10 Sales by Year (18-20)'!F$62</f>
        <v>0.59970014291319229</v>
      </c>
      <c r="G12" s="3">
        <f>'SECLE10 Sales by Year (18-20)'!G12/'SECLE10 Sales by Year (18-20)'!G$62</f>
        <v>0.59249500132288213</v>
      </c>
      <c r="H12" s="3">
        <f>'SECLE10 Sales by Year (18-20)'!H12/'SECLE10 Sales by Year (18-20)'!H$62</f>
        <v>0.5952951188014155</v>
      </c>
      <c r="I12" s="3">
        <f>'SECLE10 Sales by Year (18-20)'!I12/'SECLE10 Sales by Year (18-20)'!I$62</f>
        <v>0.59829158739097221</v>
      </c>
      <c r="J12" s="3">
        <f>'SECLE10 Sales by Year (18-20)'!J12/'SECLE10 Sales by Year (18-20)'!J$62</f>
        <v>0.58680943448041778</v>
      </c>
      <c r="K12" s="3">
        <f>'SECLE10 Sales by Year (18-20)'!K12/'SECLE10 Sales by Year (18-20)'!K$62</f>
        <v>0.58363470381075822</v>
      </c>
      <c r="L12" s="3">
        <f>'SECLE10 Sales by Year (18-20)'!L12/'SECLE10 Sales by Year (18-20)'!L$62</f>
        <v>0.58948869703895102</v>
      </c>
      <c r="M12" s="3">
        <f>'SECLE10 Sales by Year (18-20)'!M12/'SECLE10 Sales by Year (18-20)'!M$62</f>
        <v>0.60041863002403395</v>
      </c>
      <c r="N12" s="3">
        <f>'SECLE10 Sales by Year (18-20)'!N12/'SECLE10 Sales by Year (18-20)'!N$62</f>
        <v>0.60058813275587786</v>
      </c>
      <c r="O12" s="3">
        <f>'SECLE10 Sales by Year (18-20)'!O12/'SECLE10 Sales by Year (18-20)'!O$62</f>
        <v>0.60258169371255033</v>
      </c>
      <c r="P12" s="60">
        <f>'SECLE10 Sales by Year (18-20)'!P12/'SECLE10 Sales by Year (18-20)'!P$62</f>
        <v>0.59554325773641148</v>
      </c>
    </row>
    <row r="13" spans="1:16" ht="15" thickBot="1">
      <c r="A13" s="1">
        <f t="shared" si="0" ref="A13:A64">+A12+1</f>
        <v>3</v>
      </c>
      <c r="B13" s="17" t="s">
        <v>29</v>
      </c>
      <c r="C13" s="2">
        <v>2020</v>
      </c>
      <c r="D13" s="3">
        <f>'SECLE10 Sales by Year (18-20)'!D13/'SECLE10 Sales by Year (18-20)'!D63</f>
        <v>0.6012284872239646</v>
      </c>
      <c r="E13" s="3">
        <f>'SECLE10 Sales by Year (18-20)'!E13/'SECLE10 Sales by Year (18-20)'!E63</f>
        <v>0.60196739422128787</v>
      </c>
      <c r="F13" s="3">
        <f>'SECLE10 Sales by Year (18-20)'!F13/'SECLE10 Sales by Year (18-20)'!F63</f>
        <v>0.60120111569038526</v>
      </c>
      <c r="G13" s="3">
        <f>'SECLE10 Sales by Year (18-20)'!G13/'SECLE10 Sales by Year (18-20)'!G63</f>
        <v>0.60414858647485936</v>
      </c>
      <c r="H13" s="3">
        <f>'SECLE10 Sales by Year (18-20)'!H13/'SECLE10 Sales by Year (18-20)'!H63</f>
        <v>0.60304603149976321</v>
      </c>
      <c r="I13" s="3">
        <f>'SECLE10 Sales by Year (18-20)'!I13/'SECLE10 Sales by Year (18-20)'!I63</f>
        <v>0.6024434908316888</v>
      </c>
      <c r="J13" s="3">
        <f>'SECLE10 Sales by Year (18-20)'!J13/'SECLE10 Sales by Year (18-20)'!J63</f>
        <v>0.59487237448443675</v>
      </c>
      <c r="K13" s="3">
        <f>'SECLE10 Sales by Year (18-20)'!K13/'SECLE10 Sales by Year (18-20)'!K63</f>
        <v>0.59600472684768924</v>
      </c>
      <c r="L13" s="3">
        <f>'SECLE10 Sales by Year (18-20)'!L13/'SECLE10 Sales by Year (18-20)'!L63</f>
        <v>0.59684991502524898</v>
      </c>
      <c r="M13" s="3">
        <f>'SECLE10 Sales by Year (18-20)'!M13/'SECLE10 Sales by Year (18-20)'!M63</f>
        <v>0.61037787516797526</v>
      </c>
      <c r="N13" s="3">
        <f>'SECLE10 Sales by Year (18-20)'!N13/'SECLE10 Sales by Year (18-20)'!N63</f>
        <v>0.61344010997302933</v>
      </c>
      <c r="O13" s="3">
        <f>'SECLE10 Sales by Year (18-20)'!O13/'SECLE10 Sales by Year (18-20)'!O63</f>
        <v>0.61570447014377527</v>
      </c>
      <c r="P13" s="60">
        <f>'SECLE10 Sales by Year (18-20)'!P13/'SECLE10 Sales by Year (18-20)'!P63</f>
        <v>0.60297377659061946</v>
      </c>
    </row>
    <row r="14" spans="1:16" ht="14.4">
      <c r="A14" s="1">
        <f t="shared" si="0"/>
        <v>4</v>
      </c>
      <c r="B14" s="17" t="s">
        <v>29</v>
      </c>
      <c r="C14" s="57" t="s">
        <v>1</v>
      </c>
      <c r="D14" s="58">
        <f>'SECLE10 Sales by Year (18-20)'!D14/'SECLE10 Sales by Year (18-20)'!D64</f>
        <v>0.60953940603790413</v>
      </c>
      <c r="E14" s="58">
        <f>'SECLE10 Sales by Year (18-20)'!E14/'SECLE10 Sales by Year (18-20)'!E64</f>
        <v>0.59423142023346343</v>
      </c>
      <c r="F14" s="58">
        <f>'SECLE10 Sales by Year (18-20)'!F14/'SECLE10 Sales by Year (18-20)'!F64</f>
        <v>0.59932852593351749</v>
      </c>
      <c r="G14" s="58">
        <f>'SECLE10 Sales by Year (18-20)'!G14/'SECLE10 Sales by Year (18-20)'!G64</f>
        <v>0.6020891463040402</v>
      </c>
      <c r="H14" s="58">
        <f>'SECLE10 Sales by Year (18-20)'!H14/'SECLE10 Sales by Year (18-20)'!H64</f>
        <v>0.59998678339807665</v>
      </c>
      <c r="I14" s="58">
        <f>'SECLE10 Sales by Year (18-20)'!I14/'SECLE10 Sales by Year (18-20)'!I64</f>
        <v>0.60037932112696835</v>
      </c>
      <c r="J14" s="58">
        <f>'SECLE10 Sales by Year (18-20)'!J14/'SECLE10 Sales by Year (18-20)'!J64</f>
        <v>0.59108745973168209</v>
      </c>
      <c r="K14" s="58">
        <f>'SECLE10 Sales by Year (18-20)'!K14/'SECLE10 Sales by Year (18-20)'!K64</f>
        <v>0.59223190235081369</v>
      </c>
      <c r="L14" s="58">
        <f>'SECLE10 Sales by Year (18-20)'!L14/'SECLE10 Sales by Year (18-20)'!L64</f>
        <v>0.59590093834037883</v>
      </c>
      <c r="M14" s="58">
        <f>'SECLE10 Sales by Year (18-20)'!M14/'SECLE10 Sales by Year (18-20)'!M64</f>
        <v>0.60699255346559122</v>
      </c>
      <c r="N14" s="58">
        <f>'SECLE10 Sales by Year (18-20)'!N14/'SECLE10 Sales by Year (18-20)'!N64</f>
        <v>0.6089857457974186</v>
      </c>
      <c r="O14" s="58">
        <f>'SECLE10 Sales by Year (18-20)'!O14/'SECLE10 Sales by Year (18-20)'!O64</f>
        <v>0.60841137060772621</v>
      </c>
      <c r="P14" s="61">
        <f>'SECLE10 Sales by Year (18-20)'!P14/'SECLE10 Sales by Year (18-20)'!P64</f>
        <v>0.60037359106063626</v>
      </c>
    </row>
    <row r="15" spans="1:16" ht="13.8">
      <c r="A15" s="1">
        <f t="shared" si="0"/>
        <v>5</v>
      </c>
      <c r="B15" s="8"/>
      <c r="C15" s="4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</row>
    <row r="16" spans="1:17" ht="13.8">
      <c r="A16" s="1">
        <f t="shared" si="0"/>
        <v>6</v>
      </c>
      <c r="B16" s="8" t="s">
        <v>5</v>
      </c>
      <c r="C16" s="2">
        <f>+C11</f>
        <v>2018</v>
      </c>
      <c r="D16" s="3">
        <f>'SECLE10 Sales by Year (18-20)'!D16/'SECLE10 Sales by Year (18-20)'!D61</f>
        <v>0.039006998240747409</v>
      </c>
      <c r="E16" s="3">
        <f>'SECLE10 Sales by Year (18-20)'!E16/'SECLE10 Sales by Year (18-20)'!E$61</f>
        <v>0.035713547846328624</v>
      </c>
      <c r="F16" s="3">
        <f>'SECLE10 Sales by Year (18-20)'!F16/'SECLE10 Sales by Year (18-20)'!F$61</f>
        <v>0.032982532561904476</v>
      </c>
      <c r="G16" s="3">
        <f>'SECLE10 Sales by Year (18-20)'!G16/'SECLE10 Sales by Year (18-20)'!G$61</f>
        <v>0.035458252342070409</v>
      </c>
      <c r="H16" s="3">
        <f>'SECLE10 Sales by Year (18-20)'!H16/'SECLE10 Sales by Year (18-20)'!H$61</f>
        <v>0.035964621558782557</v>
      </c>
      <c r="I16" s="3">
        <f>'SECLE10 Sales by Year (18-20)'!I16/'SECLE10 Sales by Year (18-20)'!I$61</f>
        <v>0.039089230616632054</v>
      </c>
      <c r="J16" s="3">
        <f>'SECLE10 Sales by Year (18-20)'!J16/'SECLE10 Sales by Year (18-20)'!J$61</f>
        <v>0.037964274379115551</v>
      </c>
      <c r="K16" s="3">
        <f>'SECLE10 Sales by Year (18-20)'!K16/'SECLE10 Sales by Year (18-20)'!K$61</f>
        <v>0.03914168205932228</v>
      </c>
      <c r="L16" s="3">
        <f>'SECLE10 Sales by Year (18-20)'!L16/'SECLE10 Sales by Year (18-20)'!L$61</f>
        <v>0.039532656338249837</v>
      </c>
      <c r="M16" s="3">
        <f>'SECLE10 Sales by Year (18-20)'!M16/'SECLE10 Sales by Year (18-20)'!M$61</f>
        <v>0.038810637819717171</v>
      </c>
      <c r="N16" s="3">
        <f>'SECLE10 Sales by Year (18-20)'!N16/'SECLE10 Sales by Year (18-20)'!N$61</f>
        <v>0.036703266013921494</v>
      </c>
      <c r="O16" s="3">
        <f>'SECLE10 Sales by Year (18-20)'!O16/'SECLE10 Sales by Year (18-20)'!O$61</f>
        <v>0.037297900884873565</v>
      </c>
      <c r="P16" s="60">
        <f>'SECLE10 Sales by Year (18-20)'!P16/'SECLE10 Sales by Year (18-20)'!P$61</f>
        <v>0.037423435734135341</v>
      </c>
      <c r="Q16" s="4"/>
    </row>
    <row r="17" spans="1:16" ht="13.8">
      <c r="A17" s="1">
        <f t="shared" si="0"/>
        <v>7</v>
      </c>
      <c r="B17" s="8" t="s">
        <v>5</v>
      </c>
      <c r="C17" s="2">
        <f>+C12</f>
        <v>2019</v>
      </c>
      <c r="D17" s="3">
        <f>'SECLE10 Sales by Year (18-20)'!D17/'SECLE10 Sales by Year (18-20)'!D62</f>
        <v>0.035120817622512075</v>
      </c>
      <c r="E17" s="3">
        <f>'SECLE10 Sales by Year (18-20)'!E17/'SECLE10 Sales by Year (18-20)'!E$62</f>
        <v>0.037875931504419251</v>
      </c>
      <c r="F17" s="3">
        <f>'SECLE10 Sales by Year (18-20)'!F17/'SECLE10 Sales by Year (18-20)'!F$62</f>
        <v>0.035127319642429031</v>
      </c>
      <c r="G17" s="3">
        <f>'SECLE10 Sales by Year (18-20)'!G17/'SECLE10 Sales by Year (18-20)'!G$62</f>
        <v>0.03473299405906443</v>
      </c>
      <c r="H17" s="3">
        <f>'SECLE10 Sales by Year (18-20)'!H17/'SECLE10 Sales by Year (18-20)'!H$62</f>
        <v>0.035952162090917471</v>
      </c>
      <c r="I17" s="3">
        <f>'SECLE10 Sales by Year (18-20)'!I17/'SECLE10 Sales by Year (18-20)'!I$62</f>
        <v>0.039251849692443407</v>
      </c>
      <c r="J17" s="3">
        <f>'SECLE10 Sales by Year (18-20)'!J17/'SECLE10 Sales by Year (18-20)'!J$62</f>
        <v>0.038553163898294725</v>
      </c>
      <c r="K17" s="3">
        <f>'SECLE10 Sales by Year (18-20)'!K17/'SECLE10 Sales by Year (18-20)'!K$62</f>
        <v>0.037960351650152345</v>
      </c>
      <c r="L17" s="3">
        <f>'SECLE10 Sales by Year (18-20)'!L17/'SECLE10 Sales by Year (18-20)'!L$62</f>
        <v>0.03815725734853722</v>
      </c>
      <c r="M17" s="3">
        <f>'SECLE10 Sales by Year (18-20)'!M17/'SECLE10 Sales by Year (18-20)'!M$62</f>
        <v>0.037638224808783406</v>
      </c>
      <c r="N17" s="3">
        <f>'SECLE10 Sales by Year (18-20)'!N17/'SECLE10 Sales by Year (18-20)'!N$62</f>
        <v>0.03535263747043698</v>
      </c>
      <c r="O17" s="3">
        <f>'SECLE10 Sales by Year (18-20)'!O17/'SECLE10 Sales by Year (18-20)'!O$62</f>
        <v>0.035554699209615237</v>
      </c>
      <c r="P17" s="60">
        <f>'SECLE10 Sales by Year (18-20)'!P17/'SECLE10 Sales by Year (18-20)'!P$62</f>
        <v>0.036863472338989588</v>
      </c>
    </row>
    <row r="18" spans="1:16" ht="14.4" thickBot="1">
      <c r="A18" s="1">
        <f t="shared" si="0"/>
        <v>8</v>
      </c>
      <c r="B18" s="8" t="s">
        <v>5</v>
      </c>
      <c r="C18" s="2">
        <f>+C13</f>
        <v>2020</v>
      </c>
      <c r="D18" s="3">
        <f>'SECLE10 Sales by Year (18-20)'!D18/'SECLE10 Sales by Year (18-20)'!D63</f>
        <v>0.035798409322741989</v>
      </c>
      <c r="E18" s="3">
        <f>'SECLE10 Sales by Year (18-20)'!E18/'SECLE10 Sales by Year (18-20)'!E63</f>
        <v>0.036623061749921332</v>
      </c>
      <c r="F18" s="3">
        <f>'SECLE10 Sales by Year (18-20)'!F18/'SECLE10 Sales by Year (18-20)'!F63</f>
        <v>0.035794795300371995</v>
      </c>
      <c r="G18" s="3">
        <f>'SECLE10 Sales by Year (18-20)'!G18/'SECLE10 Sales by Year (18-20)'!G63</f>
        <v>0.035741746858320031</v>
      </c>
      <c r="H18" s="3">
        <f>'SECLE10 Sales by Year (18-20)'!H18/'SECLE10 Sales by Year (18-20)'!H63</f>
        <v>0.03598482884410914</v>
      </c>
      <c r="I18" s="3">
        <f>'SECLE10 Sales by Year (18-20)'!I18/'SECLE10 Sales by Year (18-20)'!I63</f>
        <v>0.037808404634991549</v>
      </c>
      <c r="J18" s="3">
        <f>'SECLE10 Sales by Year (18-20)'!J18/'SECLE10 Sales by Year (18-20)'!J63</f>
        <v>0.039185557733147129</v>
      </c>
      <c r="K18" s="3">
        <f>'SECLE10 Sales by Year (18-20)'!K18/'SECLE10 Sales by Year (18-20)'!K63</f>
        <v>0.038849715572267546</v>
      </c>
      <c r="L18" s="3">
        <f>'SECLE10 Sales by Year (18-20)'!L18/'SECLE10 Sales by Year (18-20)'!L63</f>
        <v>0.039555861581741208</v>
      </c>
      <c r="M18" s="3">
        <f>'SECLE10 Sales by Year (18-20)'!M18/'SECLE10 Sales by Year (18-20)'!M63</f>
        <v>0.037767716006292182</v>
      </c>
      <c r="N18" s="3">
        <f>'SECLE10 Sales by Year (18-20)'!N18/'SECLE10 Sales by Year (18-20)'!N63</f>
        <v>0.035971967116107978</v>
      </c>
      <c r="O18" s="3">
        <f>'SECLE10 Sales by Year (18-20)'!O18/'SECLE10 Sales by Year (18-20)'!O63</f>
        <v>0.036089368996481623</v>
      </c>
      <c r="P18" s="60">
        <f>'SECLE10 Sales by Year (18-20)'!P18/'SECLE10 Sales by Year (18-20)'!P63</f>
        <v>0.037223776201658156</v>
      </c>
    </row>
    <row r="19" spans="1:16" ht="13.8">
      <c r="A19" s="1">
        <f t="shared" si="0"/>
        <v>9</v>
      </c>
      <c r="B19" s="8" t="s">
        <v>5</v>
      </c>
      <c r="C19" s="57" t="s">
        <v>1</v>
      </c>
      <c r="D19" s="58">
        <f>'SECLE10 Sales by Year (18-20)'!D19/'SECLE10 Sales by Year (18-20)'!D64</f>
        <v>0.036713346664189198</v>
      </c>
      <c r="E19" s="58">
        <f>'SECLE10 Sales by Year (18-20)'!E19/'SECLE10 Sales by Year (18-20)'!E64</f>
        <v>0.036716391534346998</v>
      </c>
      <c r="F19" s="58">
        <f>'SECLE10 Sales by Year (18-20)'!F19/'SECLE10 Sales by Year (18-20)'!F64</f>
        <v>0.034617192191707676</v>
      </c>
      <c r="G19" s="58">
        <f>'SECLE10 Sales by Year (18-20)'!G19/'SECLE10 Sales by Year (18-20)'!G64</f>
        <v>0.035303155413274799</v>
      </c>
      <c r="H19" s="58">
        <f>'SECLE10 Sales by Year (18-20)'!H19/'SECLE10 Sales by Year (18-20)'!H64</f>
        <v>0.035966962150858137</v>
      </c>
      <c r="I19" s="58">
        <f>'SECLE10 Sales by Year (18-20)'!I19/'SECLE10 Sales by Year (18-20)'!I64</f>
        <v>0.038726461886616666</v>
      </c>
      <c r="J19" s="58">
        <f>'SECLE10 Sales by Year (18-20)'!J19/'SECLE10 Sales by Year (18-20)'!J64</f>
        <v>0.038550932495423254</v>
      </c>
      <c r="K19" s="58">
        <f>'SECLE10 Sales by Year (18-20)'!K19/'SECLE10 Sales by Year (18-20)'!K64</f>
        <v>0.038655974016541667</v>
      </c>
      <c r="L19" s="58">
        <f>'SECLE10 Sales by Year (18-20)'!L19/'SECLE10 Sales by Year (18-20)'!L64</f>
        <v>0.039051533060737595</v>
      </c>
      <c r="M19" s="58">
        <f>'SECLE10 Sales by Year (18-20)'!M19/'SECLE10 Sales by Year (18-20)'!M64</f>
        <v>0.038054330376446198</v>
      </c>
      <c r="N19" s="58">
        <f>'SECLE10 Sales by Year (18-20)'!N19/'SECLE10 Sales by Year (18-20)'!N64</f>
        <v>0.035990647674965869</v>
      </c>
      <c r="O19" s="58">
        <f>'SECLE10 Sales by Year (18-20)'!O19/'SECLE10 Sales by Year (18-20)'!O64</f>
        <v>0.03631769329443818</v>
      </c>
      <c r="P19" s="61">
        <f>'SECLE10 Sales by Year (18-20)'!P19/'SECLE10 Sales by Year (18-20)'!P64</f>
        <v>0.037170030430780578</v>
      </c>
    </row>
    <row r="20" spans="1:16" ht="13.8">
      <c r="A20" s="1">
        <f t="shared" si="0"/>
        <v>10</v>
      </c>
      <c r="B20" s="8"/>
      <c r="C20" s="4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</row>
    <row r="21" spans="1:17" ht="13.8">
      <c r="A21" s="1">
        <f t="shared" si="0"/>
        <v>11</v>
      </c>
      <c r="B21" s="8" t="s">
        <v>6</v>
      </c>
      <c r="C21" s="2">
        <f>+C16</f>
        <v>2018</v>
      </c>
      <c r="D21" s="3">
        <f>'SECLE10 Sales by Year (18-20)'!D21/'SECLE10 Sales by Year (18-20)'!D61</f>
        <v>0.035705181627358397</v>
      </c>
      <c r="E21" s="3">
        <f>'SECLE10 Sales by Year (18-20)'!E21/'SECLE10 Sales by Year (18-20)'!E$61</f>
        <v>0.033414173451309807</v>
      </c>
      <c r="F21" s="3">
        <f>'SECLE10 Sales by Year (18-20)'!F21/'SECLE10 Sales by Year (18-20)'!F$61</f>
        <v>0.031606534621900363</v>
      </c>
      <c r="G21" s="3">
        <f>'SECLE10 Sales by Year (18-20)'!G21/'SECLE10 Sales by Year (18-20)'!G$61</f>
        <v>0.033483989980076609</v>
      </c>
      <c r="H21" s="3">
        <f>'SECLE10 Sales by Year (18-20)'!H21/'SECLE10 Sales by Year (18-20)'!H$61</f>
        <v>0.03321786629844297</v>
      </c>
      <c r="I21" s="3">
        <f>'SECLE10 Sales by Year (18-20)'!I21/'SECLE10 Sales by Year (18-20)'!I$61</f>
        <v>0.033676751488459292</v>
      </c>
      <c r="J21" s="3">
        <f>'SECLE10 Sales by Year (18-20)'!J21/'SECLE10 Sales by Year (18-20)'!J$61</f>
        <v>0.03248090578546467</v>
      </c>
      <c r="K21" s="3">
        <f>'SECLE10 Sales by Year (18-20)'!K21/'SECLE10 Sales by Year (18-20)'!K$61</f>
        <v>0.03378361626307734</v>
      </c>
      <c r="L21" s="3">
        <f>'SECLE10 Sales by Year (18-20)'!L21/'SECLE10 Sales by Year (18-20)'!L$61</f>
        <v>0.035527776077032641</v>
      </c>
      <c r="M21" s="3">
        <f>'SECLE10 Sales by Year (18-20)'!M21/'SECLE10 Sales by Year (18-20)'!M$61</f>
        <v>0.035237521479981167</v>
      </c>
      <c r="N21" s="3">
        <f>'SECLE10 Sales by Year (18-20)'!N21/'SECLE10 Sales by Year (18-20)'!N$61</f>
        <v>0.035512766193699363</v>
      </c>
      <c r="O21" s="3">
        <f>'SECLE10 Sales by Year (18-20)'!O21/'SECLE10 Sales by Year (18-20)'!O$61</f>
        <v>0.035019891608920349</v>
      </c>
      <c r="P21" s="60">
        <f>'SECLE10 Sales by Year (18-20)'!P21/'SECLE10 Sales by Year (18-20)'!P$61</f>
        <v>0.034040407166140235</v>
      </c>
      <c r="Q21" s="4"/>
    </row>
    <row r="22" spans="1:16" ht="13.8">
      <c r="A22" s="1">
        <f t="shared" si="0"/>
        <v>12</v>
      </c>
      <c r="B22" s="8" t="s">
        <v>6</v>
      </c>
      <c r="C22" s="2">
        <f>+C17</f>
        <v>2019</v>
      </c>
      <c r="D22" s="3">
        <f>'SECLE10 Sales by Year (18-20)'!D22/'SECLE10 Sales by Year (18-20)'!D62</f>
        <v>0.033657160791934218</v>
      </c>
      <c r="E22" s="3">
        <f>'SECLE10 Sales by Year (18-20)'!E22/'SECLE10 Sales by Year (18-20)'!E$62</f>
        <v>0.034892985309964417</v>
      </c>
      <c r="F22" s="3">
        <f>'SECLE10 Sales by Year (18-20)'!F22/'SECLE10 Sales by Year (18-20)'!F$62</f>
        <v>0.0332432982808726</v>
      </c>
      <c r="G22" s="3">
        <f>'SECLE10 Sales by Year (18-20)'!G22/'SECLE10 Sales by Year (18-20)'!G$62</f>
        <v>0.03346068034104261</v>
      </c>
      <c r="H22" s="3">
        <f>'SECLE10 Sales by Year (18-20)'!H22/'SECLE10 Sales by Year (18-20)'!H$62</f>
        <v>0.034094532755937677</v>
      </c>
      <c r="I22" s="3">
        <f>'SECLE10 Sales by Year (18-20)'!I22/'SECLE10 Sales by Year (18-20)'!I$62</f>
        <v>0.034692312400666322</v>
      </c>
      <c r="J22" s="3">
        <f>'SECLE10 Sales by Year (18-20)'!J22/'SECLE10 Sales by Year (18-20)'!J$62</f>
        <v>0.033936641821960975</v>
      </c>
      <c r="K22" s="3">
        <f>'SECLE10 Sales by Year (18-20)'!K22/'SECLE10 Sales by Year (18-20)'!K$62</f>
        <v>0.033689308570348873</v>
      </c>
      <c r="L22" s="3">
        <f>'SECLE10 Sales by Year (18-20)'!L22/'SECLE10 Sales by Year (18-20)'!L$62</f>
        <v>0.03401442781909423</v>
      </c>
      <c r="M22" s="3">
        <f>'SECLE10 Sales by Year (18-20)'!M22/'SECLE10 Sales by Year (18-20)'!M$62</f>
        <v>0.034776126006860503</v>
      </c>
      <c r="N22" s="3">
        <f>'SECLE10 Sales by Year (18-20)'!N22/'SECLE10 Sales by Year (18-20)'!N$62</f>
        <v>0.034861027104591644</v>
      </c>
      <c r="O22" s="3">
        <f>'SECLE10 Sales by Year (18-20)'!O22/'SECLE10 Sales by Year (18-20)'!O$62</f>
        <v>0.03400047189168396</v>
      </c>
      <c r="P22" s="60">
        <f>'SECLE10 Sales by Year (18-20)'!P22/'SECLE10 Sales by Year (18-20)'!P$62</f>
        <v>0.034106559802342264</v>
      </c>
    </row>
    <row r="23" spans="1:16" ht="14.4" thickBot="1">
      <c r="A23" s="1">
        <f t="shared" si="0"/>
        <v>13</v>
      </c>
      <c r="B23" s="8" t="s">
        <v>6</v>
      </c>
      <c r="C23" s="2">
        <f>+C18</f>
        <v>2020</v>
      </c>
      <c r="D23" s="3">
        <f>'SECLE10 Sales by Year (18-20)'!D23/'SECLE10 Sales by Year (18-20)'!D63</f>
        <v>0.033842458603310449</v>
      </c>
      <c r="E23" s="3">
        <f>'SECLE10 Sales by Year (18-20)'!E23/'SECLE10 Sales by Year (18-20)'!E63</f>
        <v>0.033248028158748569</v>
      </c>
      <c r="F23" s="3">
        <f>'SECLE10 Sales by Year (18-20)'!F23/'SECLE10 Sales by Year (18-20)'!F63</f>
        <v>0.034169849686454347</v>
      </c>
      <c r="G23" s="3">
        <f>'SECLE10 Sales by Year (18-20)'!G23/'SECLE10 Sales by Year (18-20)'!G63</f>
        <v>0.033832732248380772</v>
      </c>
      <c r="H23" s="3">
        <f>'SECLE10 Sales by Year (18-20)'!H23/'SECLE10 Sales by Year (18-20)'!H63</f>
        <v>0.033995421250662232</v>
      </c>
      <c r="I23" s="3">
        <f>'SECLE10 Sales by Year (18-20)'!I23/'SECLE10 Sales by Year (18-20)'!I63</f>
        <v>0.034637476999276634</v>
      </c>
      <c r="J23" s="3">
        <f>'SECLE10 Sales by Year (18-20)'!J23/'SECLE10 Sales by Year (18-20)'!J63</f>
        <v>0.03408696419647312</v>
      </c>
      <c r="K23" s="3">
        <f>'SECLE10 Sales by Year (18-20)'!K23/'SECLE10 Sales by Year (18-20)'!K63</f>
        <v>0.034057241402732981</v>
      </c>
      <c r="L23" s="3">
        <f>'SECLE10 Sales by Year (18-20)'!L23/'SECLE10 Sales by Year (18-20)'!L63</f>
        <v>0.035680839956674933</v>
      </c>
      <c r="M23" s="3">
        <f>'SECLE10 Sales by Year (18-20)'!M23/'SECLE10 Sales by Year (18-20)'!M63</f>
        <v>0.035744012503465393</v>
      </c>
      <c r="N23" s="3">
        <f>'SECLE10 Sales by Year (18-20)'!N23/'SECLE10 Sales by Year (18-20)'!N63</f>
        <v>0.036312402905216909</v>
      </c>
      <c r="O23" s="3">
        <f>'SECLE10 Sales by Year (18-20)'!O23/'SECLE10 Sales by Year (18-20)'!O63</f>
        <v>0.035831726447351088</v>
      </c>
      <c r="P23" s="60">
        <f>'SECLE10 Sales by Year (18-20)'!P23/'SECLE10 Sales by Year (18-20)'!P63</f>
        <v>0.0346121205160883</v>
      </c>
    </row>
    <row r="24" spans="1:16" ht="13.8">
      <c r="A24" s="1">
        <f t="shared" si="0"/>
        <v>14</v>
      </c>
      <c r="B24" s="8" t="s">
        <v>6</v>
      </c>
      <c r="C24" s="57" t="s">
        <v>1</v>
      </c>
      <c r="D24" s="58">
        <f>'SECLE10 Sales by Year (18-20)'!D24/'SECLE10 Sales by Year (18-20)'!D64</f>
        <v>0.034442291240858611</v>
      </c>
      <c r="E24" s="58">
        <f>'SECLE10 Sales by Year (18-20)'!E24/'SECLE10 Sales by Year (18-20)'!E64</f>
        <v>0.033849340538815977</v>
      </c>
      <c r="F24" s="58">
        <f>'SECLE10 Sales by Year (18-20)'!F24/'SECLE10 Sales by Year (18-20)'!F64</f>
        <v>0.03298799016825428</v>
      </c>
      <c r="G24" s="58">
        <f>'SECLE10 Sales by Year (18-20)'!G24/'SECLE10 Sales by Year (18-20)'!G64</f>
        <v>0.033588185580837267</v>
      </c>
      <c r="H24" s="58">
        <f>'SECLE10 Sales by Year (18-20)'!H24/'SECLE10 Sales by Year (18-20)'!H64</f>
        <v>0.033767276151355489</v>
      </c>
      <c r="I24" s="58">
        <f>'SECLE10 Sales by Year (18-20)'!I24/'SECLE10 Sales by Year (18-20)'!I64</f>
        <v>0.034315832115505776</v>
      </c>
      <c r="J24" s="58">
        <f>'SECLE10 Sales by Year (18-20)'!J24/'SECLE10 Sales by Year (18-20)'!J64</f>
        <v>0.033466782969043193</v>
      </c>
      <c r="K24" s="58">
        <f>'SECLE10 Sales by Year (18-20)'!K24/'SECLE10 Sales by Year (18-20)'!K64</f>
        <v>0.033843150729337169</v>
      </c>
      <c r="L24" s="58">
        <f>'SECLE10 Sales by Year (18-20)'!L24/'SECLE10 Sales by Year (18-20)'!L64</f>
        <v>0.035039487803446005</v>
      </c>
      <c r="M24" s="58">
        <f>'SECLE10 Sales by Year (18-20)'!M24/'SECLE10 Sales by Year (18-20)'!M64</f>
        <v>0.035228047857883235</v>
      </c>
      <c r="N24" s="58">
        <f>'SECLE10 Sales by Year (18-20)'!N24/'SECLE10 Sales by Year (18-20)'!N64</f>
        <v>0.035561820788697768</v>
      </c>
      <c r="O24" s="58">
        <f>'SECLE10 Sales by Year (18-20)'!O24/'SECLE10 Sales by Year (18-20)'!O64</f>
        <v>0.03493110131835743</v>
      </c>
      <c r="P24" s="61">
        <f>'SECLE10 Sales by Year (18-20)'!P24/'SECLE10 Sales by Year (18-20)'!P64</f>
        <v>0.034247598658405452</v>
      </c>
    </row>
    <row r="25" spans="1:16" ht="13.8">
      <c r="A25" s="1">
        <f t="shared" si="0"/>
        <v>15</v>
      </c>
      <c r="B25" s="8"/>
      <c r="C25" s="4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</row>
    <row r="26" spans="1:17" ht="13.8">
      <c r="A26" s="1">
        <f t="shared" si="0"/>
        <v>16</v>
      </c>
      <c r="B26" s="8" t="s">
        <v>7</v>
      </c>
      <c r="C26" s="2">
        <f>+C21</f>
        <v>2018</v>
      </c>
      <c r="D26" s="3">
        <f>'SECLE10 Sales by Year (18-20)'!D26/'SECLE10 Sales by Year (18-20)'!D61</f>
        <v>0.033982570140987926</v>
      </c>
      <c r="E26" s="3">
        <f>'SECLE10 Sales by Year (18-20)'!E26/'SECLE10 Sales by Year (18-20)'!E$61</f>
        <v>0.031594726159656458</v>
      </c>
      <c r="F26" s="3">
        <f>'SECLE10 Sales by Year (18-20)'!F26/'SECLE10 Sales by Year (18-20)'!F$61</f>
        <v>0.031119904686408312</v>
      </c>
      <c r="G26" s="3">
        <f>'SECLE10 Sales by Year (18-20)'!G26/'SECLE10 Sales by Year (18-20)'!G$61</f>
        <v>0.032106356295639175</v>
      </c>
      <c r="H26" s="3">
        <f>'SECLE10 Sales by Year (18-20)'!H26/'SECLE10 Sales by Year (18-20)'!H$61</f>
        <v>0.031991253754570265</v>
      </c>
      <c r="I26" s="3">
        <f>'SECLE10 Sales by Year (18-20)'!I26/'SECLE10 Sales by Year (18-20)'!I$61</f>
        <v>0.033016263744291813</v>
      </c>
      <c r="J26" s="3">
        <f>'SECLE10 Sales by Year (18-20)'!J26/'SECLE10 Sales by Year (18-20)'!J$61</f>
        <v>0.032038724902371203</v>
      </c>
      <c r="K26" s="3">
        <f>'SECLE10 Sales by Year (18-20)'!K26/'SECLE10 Sales by Year (18-20)'!K$61</f>
        <v>0.033415958564973064</v>
      </c>
      <c r="L26" s="3">
        <f>'SECLE10 Sales by Year (18-20)'!L26/'SECLE10 Sales by Year (18-20)'!L$61</f>
        <v>0.03471759763823367</v>
      </c>
      <c r="M26" s="3">
        <f>'SECLE10 Sales by Year (18-20)'!M26/'SECLE10 Sales by Year (18-20)'!M$61</f>
        <v>0.034576800234335951</v>
      </c>
      <c r="N26" s="3">
        <f>'SECLE10 Sales by Year (18-20)'!N26/'SECLE10 Sales by Year (18-20)'!N$61</f>
        <v>0.034594640719660272</v>
      </c>
      <c r="O26" s="3">
        <f>'SECLE10 Sales by Year (18-20)'!O26/'SECLE10 Sales by Year (18-20)'!O$61</f>
        <v>0.03482637367651762</v>
      </c>
      <c r="P26" s="60">
        <f>'SECLE10 Sales by Year (18-20)'!P26/'SECLE10 Sales by Year (18-20)'!P$61</f>
        <v>0.033157977517816455</v>
      </c>
      <c r="Q26" s="4"/>
    </row>
    <row r="27" spans="1:16" ht="13.8">
      <c r="A27" s="1">
        <f t="shared" si="0"/>
        <v>17</v>
      </c>
      <c r="B27" s="8" t="s">
        <v>7</v>
      </c>
      <c r="C27" s="2">
        <f>+C22</f>
        <v>2019</v>
      </c>
      <c r="D27" s="3">
        <f>'SECLE10 Sales by Year (18-20)'!D27/'SECLE10 Sales by Year (18-20)'!D62</f>
        <v>0.033611328818168765</v>
      </c>
      <c r="E27" s="3">
        <f>'SECLE10 Sales by Year (18-20)'!E27/'SECLE10 Sales by Year (18-20)'!E$62</f>
        <v>0.034893515131479036</v>
      </c>
      <c r="F27" s="3">
        <f>'SECLE10 Sales by Year (18-20)'!F27/'SECLE10 Sales by Year (18-20)'!F$62</f>
        <v>0.033987484613753186</v>
      </c>
      <c r="G27" s="3">
        <f>'SECLE10 Sales by Year (18-20)'!G27/'SECLE10 Sales by Year (18-20)'!G$62</f>
        <v>0.033606537247700706</v>
      </c>
      <c r="H27" s="3">
        <f>'SECLE10 Sales by Year (18-20)'!H27/'SECLE10 Sales by Year (18-20)'!H$62</f>
        <v>0.034055668341249595</v>
      </c>
      <c r="I27" s="3">
        <f>'SECLE10 Sales by Year (18-20)'!I27/'SECLE10 Sales by Year (18-20)'!I$62</f>
        <v>0.035171204475651072</v>
      </c>
      <c r="J27" s="3">
        <f>'SECLE10 Sales by Year (18-20)'!J27/'SECLE10 Sales by Year (18-20)'!J$62</f>
        <v>0.034233139311925995</v>
      </c>
      <c r="K27" s="3">
        <f>'SECLE10 Sales by Year (18-20)'!K27/'SECLE10 Sales by Year (18-20)'!K$62</f>
        <v>0.034249451897653195</v>
      </c>
      <c r="L27" s="3">
        <f>'SECLE10 Sales by Year (18-20)'!L27/'SECLE10 Sales by Year (18-20)'!L$62</f>
        <v>0.034279364001989741</v>
      </c>
      <c r="M27" s="3">
        <f>'SECLE10 Sales by Year (18-20)'!M27/'SECLE10 Sales by Year (18-20)'!M$62</f>
        <v>0.034450989371262203</v>
      </c>
      <c r="N27" s="3">
        <f>'SECLE10 Sales by Year (18-20)'!N27/'SECLE10 Sales by Year (18-20)'!N$62</f>
        <v>0.034082831048445957</v>
      </c>
      <c r="O27" s="3">
        <f>'SECLE10 Sales by Year (18-20)'!O27/'SECLE10 Sales by Year (18-20)'!O$62</f>
        <v>0.033589844999131264</v>
      </c>
      <c r="P27" s="60">
        <f>'SECLE10 Sales by Year (18-20)'!P27/'SECLE10 Sales by Year (18-20)'!P$62</f>
        <v>0.034194747267216698</v>
      </c>
    </row>
    <row r="28" spans="1:16" ht="14.4" thickBot="1">
      <c r="A28" s="1">
        <f t="shared" si="0"/>
        <v>18</v>
      </c>
      <c r="B28" s="8" t="s">
        <v>7</v>
      </c>
      <c r="C28" s="2">
        <f>+C23</f>
        <v>2020</v>
      </c>
      <c r="D28" s="3">
        <f>'SECLE10 Sales by Year (18-20)'!D28/'SECLE10 Sales by Year (18-20)'!D63</f>
        <v>0.033921068415006896</v>
      </c>
      <c r="E28" s="3">
        <f>'SECLE10 Sales by Year (18-20)'!E28/'SECLE10 Sales by Year (18-20)'!E63</f>
        <v>0.032975841300079002</v>
      </c>
      <c r="F28" s="3">
        <f>'SECLE10 Sales by Year (18-20)'!F28/'SECLE10 Sales by Year (18-20)'!F63</f>
        <v>0.033654853340828919</v>
      </c>
      <c r="G28" s="3">
        <f>'SECLE10 Sales by Year (18-20)'!G28/'SECLE10 Sales by Year (18-20)'!G63</f>
        <v>0.03328743482470619</v>
      </c>
      <c r="H28" s="3">
        <f>'SECLE10 Sales by Year (18-20)'!H28/'SECLE10 Sales by Year (18-20)'!H63</f>
        <v>0.03386849800837799</v>
      </c>
      <c r="I28" s="3">
        <f>'SECLE10 Sales by Year (18-20)'!I28/'SECLE10 Sales by Year (18-20)'!I63</f>
        <v>0.034280198017879869</v>
      </c>
      <c r="J28" s="3">
        <f>'SECLE10 Sales by Year (18-20)'!J28/'SECLE10 Sales by Year (18-20)'!J63</f>
        <v>0.034032636431411224</v>
      </c>
      <c r="K28" s="3">
        <f>'SECLE10 Sales by Year (18-20)'!K28/'SECLE10 Sales by Year (18-20)'!K63</f>
        <v>0.034131964070305651</v>
      </c>
      <c r="L28" s="3">
        <f>'SECLE10 Sales by Year (18-20)'!L28/'SECLE10 Sales by Year (18-20)'!L63</f>
        <v>0.034964286046934155</v>
      </c>
      <c r="M28" s="3">
        <f>'SECLE10 Sales by Year (18-20)'!M28/'SECLE10 Sales by Year (18-20)'!M63</f>
        <v>0.034287753046369128</v>
      </c>
      <c r="N28" s="3">
        <f>'SECLE10 Sales by Year (18-20)'!N28/'SECLE10 Sales by Year (18-20)'!N63</f>
        <v>0.034749896887065181</v>
      </c>
      <c r="O28" s="3">
        <f>'SECLE10 Sales by Year (18-20)'!O28/'SECLE10 Sales by Year (18-20)'!O63</f>
        <v>0.03395454208248274</v>
      </c>
      <c r="P28" s="60">
        <f>'SECLE10 Sales by Year (18-20)'!P28/'SECLE10 Sales by Year (18-20)'!P63</f>
        <v>0.034028953374978931</v>
      </c>
    </row>
    <row r="29" spans="1:16" ht="13.8">
      <c r="A29" s="1">
        <f t="shared" si="0"/>
        <v>19</v>
      </c>
      <c r="B29" s="8" t="s">
        <v>7</v>
      </c>
      <c r="C29" s="57" t="s">
        <v>1</v>
      </c>
      <c r="D29" s="58">
        <f>'SECLE10 Sales by Year (18-20)'!D29/'SECLE10 Sales by Year (18-20)'!D64</f>
        <v>0.033840665964939842</v>
      </c>
      <c r="E29" s="58">
        <f>'SECLE10 Sales by Year (18-20)'!E29/'SECLE10 Sales by Year (18-20)'!E64</f>
        <v>0.033122569203814442</v>
      </c>
      <c r="F29" s="58">
        <f>'SECLE10 Sales by Year (18-20)'!F29/'SECLE10 Sales by Year (18-20)'!F64</f>
        <v>0.032911985460753933</v>
      </c>
      <c r="G29" s="58">
        <f>'SECLE10 Sales by Year (18-20)'!G29/'SECLE10 Sales by Year (18-20)'!G64</f>
        <v>0.032995359112791917</v>
      </c>
      <c r="H29" s="58">
        <f>'SECLE10 Sales by Year (18-20)'!H29/'SECLE10 Sales by Year (18-20)'!H64</f>
        <v>0.033300036893878698</v>
      </c>
      <c r="I29" s="58">
        <f>'SECLE10 Sales by Year (18-20)'!I29/'SECLE10 Sales by Year (18-20)'!I64</f>
        <v>0.034121209450940049</v>
      </c>
      <c r="J29" s="58">
        <f>'SECLE10 Sales by Year (18-20)'!J29/'SECLE10 Sales by Year (18-20)'!J64</f>
        <v>0.033384502174515156</v>
      </c>
      <c r="K29" s="58">
        <f>'SECLE10 Sales by Year (18-20)'!K29/'SECLE10 Sales by Year (18-20)'!K64</f>
        <v>0.033927506584336888</v>
      </c>
      <c r="L29" s="58">
        <f>'SECLE10 Sales by Year (18-20)'!L29/'SECLE10 Sales by Year (18-20)'!L64</f>
        <v>0.03464140144224747</v>
      </c>
      <c r="M29" s="58">
        <f>'SECLE10 Sales by Year (18-20)'!M29/'SECLE10 Sales by Year (18-20)'!M64</f>
        <v>0.034439973382442556</v>
      </c>
      <c r="N29" s="58">
        <f>'SECLE10 Sales by Year (18-20)'!N29/'SECLE10 Sales by Year (18-20)'!N64</f>
        <v>0.034472008205746273</v>
      </c>
      <c r="O29" s="58">
        <f>'SECLE10 Sales by Year (18-20)'!O29/'SECLE10 Sales by Year (18-20)'!O64</f>
        <v>0.034126422792338781</v>
      </c>
      <c r="P29" s="61">
        <f>'SECLE10 Sales by Year (18-20)'!P29/'SECLE10 Sales by Year (18-20)'!P64</f>
        <v>0.033789270682595039</v>
      </c>
    </row>
    <row r="30" spans="1:16" ht="13.8">
      <c r="A30" s="1">
        <f t="shared" si="0"/>
        <v>20</v>
      </c>
      <c r="B30" s="8"/>
      <c r="C30" s="4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</row>
    <row r="31" spans="1:17" ht="13.8">
      <c r="A31" s="1">
        <f t="shared" si="0"/>
        <v>21</v>
      </c>
      <c r="B31" s="8" t="s">
        <v>8</v>
      </c>
      <c r="C31" s="2">
        <f>+C26</f>
        <v>2018</v>
      </c>
      <c r="D31" s="3">
        <f>'SECLE10 Sales by Year (18-20)'!D31/'SECLE10 Sales by Year (18-20)'!D61</f>
        <v>0.044826888008719867</v>
      </c>
      <c r="E31" s="3">
        <f>'SECLE10 Sales by Year (18-20)'!E31/'SECLE10 Sales by Year (18-20)'!E$61</f>
        <v>0.042836707933247446</v>
      </c>
      <c r="F31" s="3">
        <f>'SECLE10 Sales by Year (18-20)'!F31/'SECLE10 Sales by Year (18-20)'!F$61</f>
        <v>0.040353123331443044</v>
      </c>
      <c r="G31" s="3">
        <f>'SECLE10 Sales by Year (18-20)'!G31/'SECLE10 Sales by Year (18-20)'!G$61</f>
        <v>0.041162917435102406</v>
      </c>
      <c r="H31" s="3">
        <f>'SECLE10 Sales by Year (18-20)'!H31/'SECLE10 Sales by Year (18-20)'!H$61</f>
        <v>0.041330817334637726</v>
      </c>
      <c r="I31" s="3">
        <f>'SECLE10 Sales by Year (18-20)'!I31/'SECLE10 Sales by Year (18-20)'!I$61</f>
        <v>0.04502018226083665</v>
      </c>
      <c r="J31" s="3">
        <f>'SECLE10 Sales by Year (18-20)'!J31/'SECLE10 Sales by Year (18-20)'!J$61</f>
        <v>0.045840672741458637</v>
      </c>
      <c r="K31" s="3">
        <f>'SECLE10 Sales by Year (18-20)'!K31/'SECLE10 Sales by Year (18-20)'!K$61</f>
        <v>0.047095413598071532</v>
      </c>
      <c r="L31" s="3">
        <f>'SECLE10 Sales by Year (18-20)'!L31/'SECLE10 Sales by Year (18-20)'!L$61</f>
        <v>0.048127111762191907</v>
      </c>
      <c r="M31" s="3">
        <f>'SECLE10 Sales by Year (18-20)'!M31/'SECLE10 Sales by Year (18-20)'!M$61</f>
        <v>0.045460407380511249</v>
      </c>
      <c r="N31" s="3">
        <f>'SECLE10 Sales by Year (18-20)'!N31/'SECLE10 Sales by Year (18-20)'!N$61</f>
        <v>0.04268109473443385</v>
      </c>
      <c r="O31" s="3">
        <f>'SECLE10 Sales by Year (18-20)'!O31/'SECLE10 Sales by Year (18-20)'!O$61</f>
        <v>0.043144855603394323</v>
      </c>
      <c r="P31" s="60">
        <f>'SECLE10 Sales by Year (18-20)'!P31/'SECLE10 Sales by Year (18-20)'!P$61</f>
        <v>0.044193869848773722</v>
      </c>
      <c r="Q31" s="4"/>
    </row>
    <row r="32" spans="1:16" ht="13.8">
      <c r="A32" s="1">
        <f t="shared" si="0"/>
        <v>22</v>
      </c>
      <c r="B32" s="8" t="s">
        <v>8</v>
      </c>
      <c r="C32" s="2">
        <f>+C27</f>
        <v>2019</v>
      </c>
      <c r="D32" s="3">
        <f>'SECLE10 Sales by Year (18-20)'!D32/'SECLE10 Sales by Year (18-20)'!D62</f>
        <v>0.042069684873153948</v>
      </c>
      <c r="E32" s="3">
        <f>'SECLE10 Sales by Year (18-20)'!E32/'SECLE10 Sales by Year (18-20)'!E$62</f>
        <v>0.044700702868881372</v>
      </c>
      <c r="F32" s="3">
        <f>'SECLE10 Sales by Year (18-20)'!F32/'SECLE10 Sales by Year (18-20)'!F$62</f>
        <v>0.043231105844156424</v>
      </c>
      <c r="G32" s="3">
        <f>'SECLE10 Sales by Year (18-20)'!G32/'SECLE10 Sales by Year (18-20)'!G$62</f>
        <v>0.041704675485135068</v>
      </c>
      <c r="H32" s="3">
        <f>'SECLE10 Sales by Year (18-20)'!H32/'SECLE10 Sales by Year (18-20)'!H$62</f>
        <v>0.04152808450977287</v>
      </c>
      <c r="I32" s="3">
        <f>'SECLE10 Sales by Year (18-20)'!I32/'SECLE10 Sales by Year (18-20)'!I$62</f>
        <v>0.044252704418980902</v>
      </c>
      <c r="J32" s="3">
        <f>'SECLE10 Sales by Year (18-20)'!J32/'SECLE10 Sales by Year (18-20)'!J$62</f>
        <v>0.044524977719874147</v>
      </c>
      <c r="K32" s="3">
        <f>'SECLE10 Sales by Year (18-20)'!K32/'SECLE10 Sales by Year (18-20)'!K$62</f>
        <v>0.045378689636236487</v>
      </c>
      <c r="L32" s="3">
        <f>'SECLE10 Sales by Year (18-20)'!L32/'SECLE10 Sales by Year (18-20)'!L$62</f>
        <v>0.046668498295474703</v>
      </c>
      <c r="M32" s="3">
        <f>'SECLE10 Sales by Year (18-20)'!M32/'SECLE10 Sales by Year (18-20)'!M$62</f>
        <v>0.04590880345230073</v>
      </c>
      <c r="N32" s="3">
        <f>'SECLE10 Sales by Year (18-20)'!N32/'SECLE10 Sales by Year (18-20)'!N$62</f>
        <v>0.041997296299234994</v>
      </c>
      <c r="O32" s="3">
        <f>'SECLE10 Sales by Year (18-20)'!O32/'SECLE10 Sales by Year (18-20)'!O$62</f>
        <v>0.041965780416224688</v>
      </c>
      <c r="P32" s="60">
        <f>'SECLE10 Sales by Year (18-20)'!P32/'SECLE10 Sales by Year (18-20)'!P$62</f>
        <v>0.043814380263728497</v>
      </c>
    </row>
    <row r="33" spans="1:16" ht="14.4" thickBot="1">
      <c r="A33" s="1">
        <f t="shared" si="0"/>
        <v>23</v>
      </c>
      <c r="B33" s="8" t="s">
        <v>8</v>
      </c>
      <c r="C33" s="2">
        <f>+C28</f>
        <v>2020</v>
      </c>
      <c r="D33" s="3">
        <f>'SECLE10 Sales by Year (18-20)'!D33/'SECLE10 Sales by Year (18-20)'!D63</f>
        <v>0.042964994052352608</v>
      </c>
      <c r="E33" s="3">
        <f>'SECLE10 Sales by Year (18-20)'!E33/'SECLE10 Sales by Year (18-20)'!E63</f>
        <v>0.043653158036535904</v>
      </c>
      <c r="F33" s="3">
        <f>'SECLE10 Sales by Year (18-20)'!F33/'SECLE10 Sales by Year (18-20)'!F63</f>
        <v>0.042593472035784348</v>
      </c>
      <c r="G33" s="3">
        <f>'SECLE10 Sales by Year (18-20)'!G33/'SECLE10 Sales by Year (18-20)'!G63</f>
        <v>0.041480431737150839</v>
      </c>
      <c r="H33" s="3">
        <f>'SECLE10 Sales by Year (18-20)'!H33/'SECLE10 Sales by Year (18-20)'!H63</f>
        <v>0.041822822358407862</v>
      </c>
      <c r="I33" s="3">
        <f>'SECLE10 Sales by Year (18-20)'!I33/'SECLE10 Sales by Year (18-20)'!I63</f>
        <v>0.044036584213681826</v>
      </c>
      <c r="J33" s="3">
        <f>'SECLE10 Sales by Year (18-20)'!J33/'SECLE10 Sales by Year (18-20)'!J63</f>
        <v>0.045992028234862641</v>
      </c>
      <c r="K33" s="3">
        <f>'SECLE10 Sales by Year (18-20)'!K33/'SECLE10 Sales by Year (18-20)'!K63</f>
        <v>0.046109204092650354</v>
      </c>
      <c r="L33" s="3">
        <f>'SECLE10 Sales by Year (18-20)'!L33/'SECLE10 Sales by Year (18-20)'!L63</f>
        <v>0.046099073815714958</v>
      </c>
      <c r="M33" s="3">
        <f>'SECLE10 Sales by Year (18-20)'!M33/'SECLE10 Sales by Year (18-20)'!M63</f>
        <v>0.043857144856610152</v>
      </c>
      <c r="N33" s="3">
        <f>'SECLE10 Sales by Year (18-20)'!N33/'SECLE10 Sales by Year (18-20)'!N63</f>
        <v>0.042232595640994158</v>
      </c>
      <c r="O33" s="3">
        <f>'SECLE10 Sales by Year (18-20)'!O33/'SECLE10 Sales by Year (18-20)'!O63</f>
        <v>0.042869259138063054</v>
      </c>
      <c r="P33" s="60">
        <f>'SECLE10 Sales by Year (18-20)'!P33/'SECLE10 Sales by Year (18-20)'!P63</f>
        <v>0.043804616670551501</v>
      </c>
    </row>
    <row r="34" spans="1:16" ht="13.8">
      <c r="A34" s="1">
        <f t="shared" si="0"/>
        <v>24</v>
      </c>
      <c r="B34" s="8" t="s">
        <v>8</v>
      </c>
      <c r="C34" s="57" t="s">
        <v>1</v>
      </c>
      <c r="D34" s="58">
        <f>'SECLE10 Sales by Year (18-20)'!D34/'SECLE10 Sales by Year (18-20)'!D64</f>
        <v>0.043330200539240998</v>
      </c>
      <c r="E34" s="58">
        <f>'SECLE10 Sales by Year (18-20)'!E34/'SECLE10 Sales by Year (18-20)'!E64</f>
        <v>0.043711485849427523</v>
      </c>
      <c r="F34" s="58">
        <f>'SECLE10 Sales by Year (18-20)'!F34/'SECLE10 Sales by Year (18-20)'!F64</f>
        <v>0.042054132359818058</v>
      </c>
      <c r="G34" s="58">
        <f>'SECLE10 Sales by Year (18-20)'!G34/'SECLE10 Sales by Year (18-20)'!G64</f>
        <v>0.041448919488800688</v>
      </c>
      <c r="H34" s="58">
        <f>'SECLE10 Sales by Year (18-20)'!H34/'SECLE10 Sales by Year (18-20)'!H64</f>
        <v>0.041557382740771538</v>
      </c>
      <c r="I34" s="58">
        <f>'SECLE10 Sales by Year (18-20)'!I34/'SECLE10 Sales by Year (18-20)'!I64</f>
        <v>0.044453719086128829</v>
      </c>
      <c r="J34" s="58">
        <f>'SECLE10 Sales by Year (18-20)'!J34/'SECLE10 Sales by Year (18-20)'!J64</f>
        <v>0.045476404714919184</v>
      </c>
      <c r="K34" s="58">
        <f>'SECLE10 Sales by Year (18-20)'!K34/'SECLE10 Sales by Year (18-20)'!K64</f>
        <v>0.046203534786910139</v>
      </c>
      <c r="L34" s="58">
        <f>'SECLE10 Sales by Year (18-20)'!L34/'SECLE10 Sales by Year (18-20)'!L64</f>
        <v>0.046955516984599689</v>
      </c>
      <c r="M34" s="58">
        <f>'SECLE10 Sales by Year (18-20)'!M34/'SECLE10 Sales by Year (18-20)'!M64</f>
        <v>0.045120442417632745</v>
      </c>
      <c r="N34" s="58">
        <f>'SECLE10 Sales by Year (18-20)'!N34/'SECLE10 Sales by Year (18-20)'!N64</f>
        <v>0.042293629649458583</v>
      </c>
      <c r="O34" s="58">
        <f>'SECLE10 Sales by Year (18-20)'!O34/'SECLE10 Sales by Year (18-20)'!O64</f>
        <v>0.042654705626473652</v>
      </c>
      <c r="P34" s="61">
        <f>'SECLE10 Sales by Year (18-20)'!P34/'SECLE10 Sales by Year (18-20)'!P64</f>
        <v>0.043940015038750675</v>
      </c>
    </row>
    <row r="35" spans="1:3" ht="13.8">
      <c r="A35" s="1">
        <f t="shared" si="0"/>
        <v>25</v>
      </c>
      <c r="B35" s="8"/>
      <c r="C35" s="4"/>
    </row>
    <row r="36" spans="1:17" ht="13.8">
      <c r="A36" s="1">
        <f t="shared" si="0"/>
        <v>26</v>
      </c>
      <c r="B36" s="8" t="s">
        <v>3</v>
      </c>
      <c r="C36" s="2">
        <f>+C31</f>
        <v>2018</v>
      </c>
      <c r="D36" s="3">
        <f>'SECLE10 Sales by Year (18-20)'!D36/'SECLE10 Sales by Year (18-20)'!D61</f>
        <v>0.037832805895339765</v>
      </c>
      <c r="E36" s="3">
        <f>'SECLE10 Sales by Year (18-20)'!E36/'SECLE10 Sales by Year (18-20)'!E$61</f>
        <v>0.035900831216889216</v>
      </c>
      <c r="F36" s="3">
        <f>'SECLE10 Sales by Year (18-20)'!F36/'SECLE10 Sales by Year (18-20)'!F$61</f>
        <v>0.037091846114333013</v>
      </c>
      <c r="G36" s="3">
        <f>'SECLE10 Sales by Year (18-20)'!G36/'SECLE10 Sales by Year (18-20)'!G$61</f>
        <v>0.035825327367640401</v>
      </c>
      <c r="H36" s="3">
        <f>'SECLE10 Sales by Year (18-20)'!H36/'SECLE10 Sales by Year (18-20)'!H$61</f>
        <v>0.03586488026787979</v>
      </c>
      <c r="I36" s="3">
        <f>'SECLE10 Sales by Year (18-20)'!I36/'SECLE10 Sales by Year (18-20)'!I$61</f>
        <v>0.03766502588365811</v>
      </c>
      <c r="J36" s="3">
        <f>'SECLE10 Sales by Year (18-20)'!J36/'SECLE10 Sales by Year (18-20)'!J$61</f>
        <v>0.037643782657317694</v>
      </c>
      <c r="K36" s="3">
        <f>'SECLE10 Sales by Year (18-20)'!K36/'SECLE10 Sales by Year (18-20)'!K$61</f>
        <v>0.039406027160804935</v>
      </c>
      <c r="L36" s="3">
        <f>'SECLE10 Sales by Year (18-20)'!L36/'SECLE10 Sales by Year (18-20)'!L$61</f>
        <v>0.040164529064661822</v>
      </c>
      <c r="M36" s="3">
        <f>'SECLE10 Sales by Year (18-20)'!M36/'SECLE10 Sales by Year (18-20)'!M$61</f>
        <v>0.03945081826074661</v>
      </c>
      <c r="N36" s="3">
        <f>'SECLE10 Sales by Year (18-20)'!N36/'SECLE10 Sales by Year (18-20)'!N$61</f>
        <v>0.038424654923440917</v>
      </c>
      <c r="O36" s="3">
        <f>'SECLE10 Sales by Year (18-20)'!O36/'SECLE10 Sales by Year (18-20)'!O$61</f>
        <v>0.037941594352550082</v>
      </c>
      <c r="P36" s="60">
        <f>'SECLE10 Sales by Year (18-20)'!P36/'SECLE10 Sales by Year (18-20)'!P$61</f>
        <v>0.03782741840315778</v>
      </c>
      <c r="Q36" s="4"/>
    </row>
    <row r="37" spans="1:16" ht="13.8">
      <c r="A37" s="1">
        <f t="shared" si="0"/>
        <v>27</v>
      </c>
      <c r="B37" s="8" t="s">
        <v>3</v>
      </c>
      <c r="C37" s="2">
        <f>+C32</f>
        <v>2019</v>
      </c>
      <c r="D37" s="3">
        <f>'SECLE10 Sales by Year (18-20)'!D37/'SECLE10 Sales by Year (18-20)'!D62</f>
        <v>0.037328712326133114</v>
      </c>
      <c r="E37" s="3">
        <f>'SECLE10 Sales by Year (18-20)'!E37/'SECLE10 Sales by Year (18-20)'!E$62</f>
        <v>0.038876106856190418</v>
      </c>
      <c r="F37" s="3">
        <f>'SECLE10 Sales by Year (18-20)'!F37/'SECLE10 Sales by Year (18-20)'!F$62</f>
        <v>0.038344606330402813</v>
      </c>
      <c r="G37" s="3">
        <f>'SECLE10 Sales by Year (18-20)'!G37/'SECLE10 Sales by Year (18-20)'!G$62</f>
        <v>0.037359441311934437</v>
      </c>
      <c r="H37" s="3">
        <f>'SECLE10 Sales by Year (18-20)'!H37/'SECLE10 Sales by Year (18-20)'!H$62</f>
        <v>0.037633937423359562</v>
      </c>
      <c r="I37" s="3">
        <f>'SECLE10 Sales by Year (18-20)'!I37/'SECLE10 Sales by Year (18-20)'!I$62</f>
        <v>0.038585280858479801</v>
      </c>
      <c r="J37" s="3">
        <f>'SECLE10 Sales by Year (18-20)'!J37/'SECLE10 Sales by Year (18-20)'!J$62</f>
        <v>0.03804186367129405</v>
      </c>
      <c r="K37" s="3">
        <f>'SECLE10 Sales by Year (18-20)'!K37/'SECLE10 Sales by Year (18-20)'!K$62</f>
        <v>0.038395869076064106</v>
      </c>
      <c r="L37" s="3">
        <f>'SECLE10 Sales by Year (18-20)'!L37/'SECLE10 Sales by Year (18-20)'!L$62</f>
        <v>0.039767062378732794</v>
      </c>
      <c r="M37" s="3">
        <f>'SECLE10 Sales by Year (18-20)'!M37/'SECLE10 Sales by Year (18-20)'!M$62</f>
        <v>0.040004570128305279</v>
      </c>
      <c r="N37" s="3">
        <f>'SECLE10 Sales by Year (18-20)'!N37/'SECLE10 Sales by Year (18-20)'!N$62</f>
        <v>0.038151940187680096</v>
      </c>
      <c r="O37" s="3">
        <f>'SECLE10 Sales by Year (18-20)'!O37/'SECLE10 Sales by Year (18-20)'!O$62</f>
        <v>0.037742904216129095</v>
      </c>
      <c r="P37" s="60">
        <f>'SECLE10 Sales by Year (18-20)'!P37/'SECLE10 Sales by Year (18-20)'!P$62</f>
        <v>0.038406801265052061</v>
      </c>
    </row>
    <row r="38" spans="1:16" ht="14.4" thickBot="1">
      <c r="A38" s="1">
        <f t="shared" si="0"/>
        <v>28</v>
      </c>
      <c r="B38" s="8" t="s">
        <v>3</v>
      </c>
      <c r="C38" s="2">
        <f>+C33</f>
        <v>2020</v>
      </c>
      <c r="D38" s="3">
        <f>'SECLE10 Sales by Year (18-20)'!D38/'SECLE10 Sales by Year (18-20)'!D63</f>
        <v>0.037259976038760211</v>
      </c>
      <c r="E38" s="3">
        <f>'SECLE10 Sales by Year (18-20)'!E38/'SECLE10 Sales by Year (18-20)'!E63</f>
        <v>0.037028646266000872</v>
      </c>
      <c r="F38" s="3">
        <f>'SECLE10 Sales by Year (18-20)'!F38/'SECLE10 Sales by Year (18-20)'!F63</f>
        <v>0.038368037931042556</v>
      </c>
      <c r="G38" s="3">
        <f>'SECLE10 Sales by Year (18-20)'!G38/'SECLE10 Sales by Year (18-20)'!G63</f>
        <v>0.037920188733110115</v>
      </c>
      <c r="H38" s="3">
        <f>'SECLE10 Sales by Year (18-20)'!H38/'SECLE10 Sales by Year (18-20)'!H63</f>
        <v>0.038720111264541453</v>
      </c>
      <c r="I38" s="3">
        <f>'SECLE10 Sales by Year (18-20)'!I38/'SECLE10 Sales by Year (18-20)'!I63</f>
        <v>0.039291803669783541</v>
      </c>
      <c r="J38" s="3">
        <f>'SECLE10 Sales by Year (18-20)'!J38/'SECLE10 Sales by Year (18-20)'!J63</f>
        <v>0.039127266637101608</v>
      </c>
      <c r="K38" s="3">
        <f>'SECLE10 Sales by Year (18-20)'!K38/'SECLE10 Sales by Year (18-20)'!K63</f>
        <v>0.040083571527880113</v>
      </c>
      <c r="L38" s="3">
        <f>'SECLE10 Sales by Year (18-20)'!L38/'SECLE10 Sales by Year (18-20)'!L63</f>
        <v>0.040510860224418882</v>
      </c>
      <c r="M38" s="3">
        <f>'SECLE10 Sales by Year (18-20)'!M38/'SECLE10 Sales by Year (18-20)'!M63</f>
        <v>0.039644469102751399</v>
      </c>
      <c r="N38" s="3">
        <f>'SECLE10 Sales by Year (18-20)'!N38/'SECLE10 Sales by Year (18-20)'!N63</f>
        <v>0.039069846332125402</v>
      </c>
      <c r="O38" s="3">
        <f>'SECLE10 Sales by Year (18-20)'!O38/'SECLE10 Sales by Year (18-20)'!O63</f>
        <v>0.037947336448801168</v>
      </c>
      <c r="P38" s="60">
        <f>'SECLE10 Sales by Year (18-20)'!P38/'SECLE10 Sales by Year (18-20)'!P63</f>
        <v>0.038803014939942128</v>
      </c>
    </row>
    <row r="39" spans="1:16" ht="13.8">
      <c r="A39" s="1">
        <f t="shared" si="0"/>
        <v>29</v>
      </c>
      <c r="B39" s="8" t="s">
        <v>3</v>
      </c>
      <c r="C39" s="57" t="s">
        <v>1</v>
      </c>
      <c r="D39" s="58">
        <f>'SECLE10 Sales by Year (18-20)'!D39/'SECLE10 Sales by Year (18-20)'!D64</f>
        <v>0.037485930729524684</v>
      </c>
      <c r="E39" s="58">
        <f>'SECLE10 Sales by Year (18-20)'!E39/'SECLE10 Sales by Year (18-20)'!E64</f>
        <v>0.037241356490234592</v>
      </c>
      <c r="F39" s="58">
        <f>'SECLE10 Sales by Year (18-20)'!F39/'SECLE10 Sales by Year (18-20)'!F64</f>
        <v>0.037928951175391981</v>
      </c>
      <c r="G39" s="58">
        <f>'SECLE10 Sales by Year (18-20)'!G39/'SECLE10 Sales by Year (18-20)'!G64</f>
        <v>0.037019602505126939</v>
      </c>
      <c r="H39" s="58">
        <f>'SECLE10 Sales by Year (18-20)'!H39/'SECLE10 Sales by Year (18-20)'!H64</f>
        <v>0.037391153159175947</v>
      </c>
      <c r="I39" s="58">
        <f>'SECLE10 Sales by Year (18-20)'!I39/'SECLE10 Sales by Year (18-20)'!I64</f>
        <v>0.038489287571783999</v>
      </c>
      <c r="J39" s="58">
        <f>'SECLE10 Sales by Year (18-20)'!J39/'SECLE10 Sales by Year (18-20)'!J64</f>
        <v>0.038256566811930889</v>
      </c>
      <c r="K39" s="58">
        <f>'SECLE10 Sales by Year (18-20)'!K39/'SECLE10 Sales by Year (18-20)'!K64</f>
        <v>0.039297678614890044</v>
      </c>
      <c r="L39" s="58">
        <f>'SECLE10 Sales by Year (18-20)'!L39/'SECLE10 Sales by Year (18-20)'!L64</f>
        <v>0.040134919893604834</v>
      </c>
      <c r="M39" s="58">
        <f>'SECLE10 Sales by Year (18-20)'!M39/'SECLE10 Sales by Year (18-20)'!M64</f>
        <v>0.039714086812164283</v>
      </c>
      <c r="N39" s="58">
        <f>'SECLE10 Sales by Year (18-20)'!N39/'SECLE10 Sales by Year (18-20)'!N64</f>
        <v>0.038551069810065362</v>
      </c>
      <c r="O39" s="58">
        <f>'SECLE10 Sales by Year (18-20)'!O39/'SECLE10 Sales by Year (18-20)'!O64</f>
        <v>0.037875644263131836</v>
      </c>
      <c r="P39" s="61">
        <f>'SECLE10 Sales by Year (18-20)'!P39/'SECLE10 Sales by Year (18-20)'!P64</f>
        <v>0.03833829770776577</v>
      </c>
    </row>
    <row r="40" spans="1:2" ht="13.8">
      <c r="A40" s="1">
        <f t="shared" si="0"/>
        <v>30</v>
      </c>
      <c r="B40" s="8"/>
    </row>
    <row r="41" spans="1:17" ht="13.8">
      <c r="A41" s="1">
        <f t="shared" si="0"/>
        <v>31</v>
      </c>
      <c r="B41" s="8" t="s">
        <v>9</v>
      </c>
      <c r="C41" s="2">
        <f>+C36</f>
        <v>2018</v>
      </c>
      <c r="D41" s="3">
        <f>'SECLE10 Sales by Year (18-20)'!D41/'SECLE10 Sales by Year (18-20)'!D61</f>
        <v>0.030279245797765357</v>
      </c>
      <c r="E41" s="3">
        <f>'SECLE10 Sales by Year (18-20)'!E41/'SECLE10 Sales by Year (18-20)'!E$61</f>
        <v>0.028242975072111754</v>
      </c>
      <c r="F41" s="3">
        <f>'SECLE10 Sales by Year (18-20)'!F41/'SECLE10 Sales by Year (18-20)'!F$61</f>
        <v>0.027952918659992228</v>
      </c>
      <c r="G41" s="3">
        <f>'SECLE10 Sales by Year (18-20)'!G41/'SECLE10 Sales by Year (18-20)'!G$61</f>
        <v>0.028268815165327945</v>
      </c>
      <c r="H41" s="3">
        <f>'SECLE10 Sales by Year (18-20)'!H41/'SECLE10 Sales by Year (18-20)'!H$61</f>
        <v>0.030050431591494332</v>
      </c>
      <c r="I41" s="3">
        <f>'SECLE10 Sales by Year (18-20)'!I41/'SECLE10 Sales by Year (18-20)'!I$61</f>
        <v>0.030513030351922193</v>
      </c>
      <c r="J41" s="3">
        <f>'SECLE10 Sales by Year (18-20)'!J41/'SECLE10 Sales by Year (18-20)'!J$61</f>
        <v>0.031075552121128031</v>
      </c>
      <c r="K41" s="3">
        <f>'SECLE10 Sales by Year (18-20)'!K41/'SECLE10 Sales by Year (18-20)'!K$61</f>
        <v>0.030553026089284264</v>
      </c>
      <c r="L41" s="3">
        <f>'SECLE10 Sales by Year (18-20)'!L41/'SECLE10 Sales by Year (18-20)'!L$61</f>
        <v>0.0295812423859593</v>
      </c>
      <c r="M41" s="3">
        <f>'SECLE10 Sales by Year (18-20)'!M41/'SECLE10 Sales by Year (18-20)'!M$61</f>
        <v>0.028054558535654174</v>
      </c>
      <c r="N41" s="3">
        <f>'SECLE10 Sales by Year (18-20)'!N41/'SECLE10 Sales by Year (18-20)'!N$61</f>
        <v>0.029297844218909415</v>
      </c>
      <c r="O41" s="3">
        <f>'SECLE10 Sales by Year (18-20)'!O41/'SECLE10 Sales by Year (18-20)'!O$61</f>
        <v>0.029435118535807329</v>
      </c>
      <c r="P41" s="60">
        <f>'SECLE10 Sales by Year (18-20)'!P41/'SECLE10 Sales by Year (18-20)'!P$61</f>
        <v>0.02950955558171527</v>
      </c>
      <c r="Q41" s="4"/>
    </row>
    <row r="42" spans="1:16" ht="13.8">
      <c r="A42" s="1">
        <f t="shared" si="0"/>
        <v>32</v>
      </c>
      <c r="B42" s="8" t="s">
        <v>9</v>
      </c>
      <c r="C42" s="2">
        <f>+C37</f>
        <v>2019</v>
      </c>
      <c r="D42" s="3">
        <f>'SECLE10 Sales by Year (18-20)'!D42/'SECLE10 Sales by Year (18-20)'!D62</f>
        <v>0.029432447806119186</v>
      </c>
      <c r="E42" s="3">
        <f>'SECLE10 Sales by Year (18-20)'!E42/'SECLE10 Sales by Year (18-20)'!E$62</f>
        <v>0.029643149889762015</v>
      </c>
      <c r="F42" s="3">
        <f>'SECLE10 Sales by Year (18-20)'!F42/'SECLE10 Sales by Year (18-20)'!F$62</f>
        <v>0.028270759581426986</v>
      </c>
      <c r="G42" s="3">
        <f>'SECLE10 Sales by Year (18-20)'!G42/'SECLE10 Sales by Year (18-20)'!G$62</f>
        <v>0.028471198501613639</v>
      </c>
      <c r="H42" s="3">
        <f>'SECLE10 Sales by Year (18-20)'!H42/'SECLE10 Sales by Year (18-20)'!H$62</f>
        <v>0.028458161224390498</v>
      </c>
      <c r="I42" s="3">
        <f>'SECLE10 Sales by Year (18-20)'!I42/'SECLE10 Sales by Year (18-20)'!I$62</f>
        <v>0.02778237873877154</v>
      </c>
      <c r="J42" s="3">
        <f>'SECLE10 Sales by Year (18-20)'!J42/'SECLE10 Sales by Year (18-20)'!J$62</f>
        <v>0.029639292068127543</v>
      </c>
      <c r="K42" s="3">
        <f>'SECLE10 Sales by Year (18-20)'!K42/'SECLE10 Sales by Year (18-20)'!K$62</f>
        <v>0.03175351162257712</v>
      </c>
      <c r="L42" s="3">
        <f>'SECLE10 Sales by Year (18-20)'!L42/'SECLE10 Sales by Year (18-20)'!L$62</f>
        <v>0.03018660732113107</v>
      </c>
      <c r="M42" s="3">
        <f>'SECLE10 Sales by Year (18-20)'!M42/'SECLE10 Sales by Year (18-20)'!M$62</f>
        <v>0.02902130808858255</v>
      </c>
      <c r="N42" s="3">
        <f>'SECLE10 Sales by Year (18-20)'!N42/'SECLE10 Sales by Year (18-20)'!N$62</f>
        <v>0.030111390585188493</v>
      </c>
      <c r="O42" s="3">
        <f>'SECLE10 Sales by Year (18-20)'!O42/'SECLE10 Sales by Year (18-20)'!O$62</f>
        <v>0.030200411992538975</v>
      </c>
      <c r="P42" s="60">
        <f>'SECLE10 Sales by Year (18-20)'!P42/'SECLE10 Sales by Year (18-20)'!P$62</f>
        <v>0.029477076742134876</v>
      </c>
    </row>
    <row r="43" spans="1:16" ht="14.4" thickBot="1">
      <c r="A43" s="1">
        <f t="shared" si="0"/>
        <v>33</v>
      </c>
      <c r="B43" s="8" t="s">
        <v>9</v>
      </c>
      <c r="C43" s="2">
        <f>+C38</f>
        <v>2020</v>
      </c>
      <c r="D43" s="3">
        <f>'SECLE10 Sales by Year (18-20)'!D43/'SECLE10 Sales by Year (18-20)'!D63</f>
        <v>0.030144970652825467</v>
      </c>
      <c r="E43" s="3">
        <f>'SECLE10 Sales by Year (18-20)'!E43/'SECLE10 Sales by Year (18-20)'!E63</f>
        <v>0.02998672699932289</v>
      </c>
      <c r="F43" s="3">
        <f>'SECLE10 Sales by Year (18-20)'!F43/'SECLE10 Sales by Year (18-20)'!F63</f>
        <v>0.029233892997943149</v>
      </c>
      <c r="G43" s="3">
        <f>'SECLE10 Sales by Year (18-20)'!G43/'SECLE10 Sales by Year (18-20)'!G63</f>
        <v>0.02920624900592135</v>
      </c>
      <c r="H43" s="3">
        <f>'SECLE10 Sales by Year (18-20)'!H43/'SECLE10 Sales by Year (18-20)'!H63</f>
        <v>0.029561255871720409</v>
      </c>
      <c r="I43" s="3">
        <f>'SECLE10 Sales by Year (18-20)'!I43/'SECLE10 Sales by Year (18-20)'!I63</f>
        <v>0.030018552649587336</v>
      </c>
      <c r="J43" s="3">
        <f>'SECLE10 Sales by Year (18-20)'!J43/'SECLE10 Sales by Year (18-20)'!J63</f>
        <v>0.031483994423894615</v>
      </c>
      <c r="K43" s="3">
        <f>'SECLE10 Sales by Year (18-20)'!K43/'SECLE10 Sales by Year (18-20)'!K63</f>
        <v>0.031061582315377895</v>
      </c>
      <c r="L43" s="3">
        <f>'SECLE10 Sales by Year (18-20)'!L43/'SECLE10 Sales by Year (18-20)'!L63</f>
        <v>0.030122599740198062</v>
      </c>
      <c r="M43" s="3">
        <f>'SECLE10 Sales by Year (18-20)'!M43/'SECLE10 Sales by Year (18-20)'!M63</f>
        <v>0.028423231953073422</v>
      </c>
      <c r="N43" s="3">
        <f>'SECLE10 Sales by Year (18-20)'!N43/'SECLE10 Sales by Year (18-20)'!N63</f>
        <v>0.029457660655969265</v>
      </c>
      <c r="O43" s="3">
        <f>'SECLE10 Sales by Year (18-20)'!O43/'SECLE10 Sales by Year (18-20)'!O63</f>
        <v>0.030303972153898434</v>
      </c>
      <c r="P43" s="60">
        <f>'SECLE10 Sales by Year (18-20)'!P43/'SECLE10 Sales by Year (18-20)'!P63</f>
        <v>0.029979189599388438</v>
      </c>
    </row>
    <row r="44" spans="1:16" ht="13.8">
      <c r="A44" s="1">
        <f t="shared" si="0"/>
        <v>34</v>
      </c>
      <c r="B44" s="8" t="s">
        <v>9</v>
      </c>
      <c r="C44" s="57" t="s">
        <v>1</v>
      </c>
      <c r="D44" s="58">
        <f>'SECLE10 Sales by Year (18-20)'!D44/'SECLE10 Sales by Year (18-20)'!D64</f>
        <v>0.029957457417538916</v>
      </c>
      <c r="E44" s="58">
        <f>'SECLE10 Sales by Year (18-20)'!E44/'SECLE10 Sales by Year (18-20)'!E64</f>
        <v>0.02925960780346535</v>
      </c>
      <c r="F44" s="58">
        <f>'SECLE10 Sales by Year (18-20)'!F44/'SECLE10 Sales by Year (18-20)'!F64</f>
        <v>0.028472731343882188</v>
      </c>
      <c r="G44" s="58">
        <f>'SECLE10 Sales by Year (18-20)'!G44/'SECLE10 Sales by Year (18-20)'!G64</f>
        <v>0.028638880833099411</v>
      </c>
      <c r="H44" s="58">
        <f>'SECLE10 Sales by Year (18-20)'!H44/'SECLE10 Sales by Year (18-20)'!H64</f>
        <v>0.029352258709319404</v>
      </c>
      <c r="I44" s="58">
        <f>'SECLE10 Sales by Year (18-20)'!I44/'SECLE10 Sales by Year (18-20)'!I64</f>
        <v>0.029471807929892496</v>
      </c>
      <c r="J44" s="58">
        <f>'SECLE10 Sales by Year (18-20)'!J44/'SECLE10 Sales by Year (18-20)'!J64</f>
        <v>0.030757833005009293</v>
      </c>
      <c r="K44" s="58">
        <f>'SECLE10 Sales by Year (18-20)'!K44/'SECLE10 Sales by Year (18-20)'!K64</f>
        <v>0.031116751463174171</v>
      </c>
      <c r="L44" s="58">
        <f>'SECLE10 Sales by Year (18-20)'!L44/'SECLE10 Sales by Year (18-20)'!L64</f>
        <v>0.029970718906342755</v>
      </c>
      <c r="M44" s="58">
        <f>'SECLE10 Sales by Year (18-20)'!M44/'SECLE10 Sales by Year (18-20)'!M64</f>
        <v>0.028523792353269593</v>
      </c>
      <c r="N44" s="58">
        <f>'SECLE10 Sales by Year (18-20)'!N44/'SECLE10 Sales by Year (18-20)'!N64</f>
        <v>0.029631396514847863</v>
      </c>
      <c r="O44" s="58">
        <f>'SECLE10 Sales by Year (18-20)'!O44/'SECLE10 Sales by Year (18-20)'!O64</f>
        <v>0.029973360629120236</v>
      </c>
      <c r="P44" s="61">
        <f>'SECLE10 Sales by Year (18-20)'!P44/'SECLE10 Sales by Year (18-20)'!P64</f>
        <v>0.029650474424599112</v>
      </c>
    </row>
    <row r="45" spans="1:3" ht="13.8">
      <c r="A45" s="1">
        <f t="shared" si="0"/>
        <v>35</v>
      </c>
      <c r="B45" s="8"/>
      <c r="C45" s="4"/>
    </row>
    <row r="46" spans="1:17" ht="13.8">
      <c r="A46" s="1">
        <f t="shared" si="0"/>
        <v>36</v>
      </c>
      <c r="B46" s="8" t="s">
        <v>4</v>
      </c>
      <c r="C46" s="2">
        <f>+C41</f>
        <v>2018</v>
      </c>
      <c r="D46" s="3">
        <f>'SECLE10 Sales by Year (18-20)'!D46/'SECLE10 Sales by Year (18-20)'!D61</f>
        <v>0.028187325629819477</v>
      </c>
      <c r="E46" s="3">
        <f>'SECLE10 Sales by Year (18-20)'!E46/'SECLE10 Sales by Year (18-20)'!E$61</f>
        <v>0.025897372351827389</v>
      </c>
      <c r="F46" s="3">
        <f>'SECLE10 Sales by Year (18-20)'!F46/'SECLE10 Sales by Year (18-20)'!F$61</f>
        <v>0.026076139469095778</v>
      </c>
      <c r="G46" s="3">
        <f>'SECLE10 Sales by Year (18-20)'!G46/'SECLE10 Sales by Year (18-20)'!G$61</f>
        <v>0.026315226290618526</v>
      </c>
      <c r="H46" s="3">
        <f>'SECLE10 Sales by Year (18-20)'!H46/'SECLE10 Sales by Year (18-20)'!H$61</f>
        <v>0.026129751197188824</v>
      </c>
      <c r="I46" s="3">
        <f>'SECLE10 Sales by Year (18-20)'!I46/'SECLE10 Sales by Year (18-20)'!I$61</f>
        <v>0.027473023448276991</v>
      </c>
      <c r="J46" s="3">
        <f>'SECLE10 Sales by Year (18-20)'!J46/'SECLE10 Sales by Year (18-20)'!J$61</f>
        <v>0.027087884520866953</v>
      </c>
      <c r="K46" s="3">
        <f>'SECLE10 Sales by Year (18-20)'!K46/'SECLE10 Sales by Year (18-20)'!K$61</f>
        <v>0.02755428398502795</v>
      </c>
      <c r="L46" s="3">
        <f>'SECLE10 Sales by Year (18-20)'!L46/'SECLE10 Sales by Year (18-20)'!L$61</f>
        <v>0.027241133662904225</v>
      </c>
      <c r="M46" s="3">
        <f>'SECLE10 Sales by Year (18-20)'!M46/'SECLE10 Sales by Year (18-20)'!M$61</f>
        <v>0.02633947307569463</v>
      </c>
      <c r="N46" s="3">
        <f>'SECLE10 Sales by Year (18-20)'!N46/'SECLE10 Sales by Year (18-20)'!N$61</f>
        <v>0.026144368270157734</v>
      </c>
      <c r="O46" s="3">
        <f>'SECLE10 Sales by Year (18-20)'!O46/'SECLE10 Sales by Year (18-20)'!O$61</f>
        <v>0.026858125547276363</v>
      </c>
      <c r="P46" s="60">
        <f>'SECLE10 Sales by Year (18-20)'!P46/'SECLE10 Sales by Year (18-20)'!P$61</f>
        <v>0.026831143163737234</v>
      </c>
      <c r="Q46" s="4"/>
    </row>
    <row r="47" spans="1:16" ht="13.8">
      <c r="A47" s="1">
        <f t="shared" si="0"/>
        <v>37</v>
      </c>
      <c r="B47" s="8" t="s">
        <v>4</v>
      </c>
      <c r="C47" s="2">
        <f>+C42</f>
        <v>2019</v>
      </c>
      <c r="D47" s="3">
        <f>'SECLE10 Sales by Year (18-20)'!D47/'SECLE10 Sales by Year (18-20)'!D62</f>
        <v>0.026021995491800395</v>
      </c>
      <c r="E47" s="3">
        <f>'SECLE10 Sales by Year (18-20)'!E47/'SECLE10 Sales by Year (18-20)'!E$62</f>
        <v>0.026991042122533931</v>
      </c>
      <c r="F47" s="3">
        <f>'SECLE10 Sales by Year (18-20)'!F47/'SECLE10 Sales by Year (18-20)'!F$62</f>
        <v>0.026501325575738643</v>
      </c>
      <c r="G47" s="3">
        <f>'SECLE10 Sales by Year (18-20)'!G47/'SECLE10 Sales by Year (18-20)'!G$62</f>
        <v>0.025332832570555155</v>
      </c>
      <c r="H47" s="3">
        <f>'SECLE10 Sales by Year (18-20)'!H47/'SECLE10 Sales by Year (18-20)'!H$62</f>
        <v>0.02538491278937453</v>
      </c>
      <c r="I47" s="3">
        <f>'SECLE10 Sales by Year (18-20)'!I47/'SECLE10 Sales by Year (18-20)'!I$62</f>
        <v>0.024811164232378211</v>
      </c>
      <c r="J47" s="3">
        <f>'SECLE10 Sales by Year (18-20)'!J47/'SECLE10 Sales by Year (18-20)'!J$62</f>
        <v>0.025851632852088902</v>
      </c>
      <c r="K47" s="3">
        <f>'SECLE10 Sales by Year (18-20)'!K47/'SECLE10 Sales by Year (18-20)'!K$62</f>
        <v>0.026658223103825523</v>
      </c>
      <c r="L47" s="3">
        <f>'SECLE10 Sales by Year (18-20)'!L47/'SECLE10 Sales by Year (18-20)'!L$62</f>
        <v>0.026229841298393831</v>
      </c>
      <c r="M47" s="3">
        <f>'SECLE10 Sales by Year (18-20)'!M47/'SECLE10 Sales by Year (18-20)'!M$62</f>
        <v>0.026048947431329024</v>
      </c>
      <c r="N47" s="3">
        <f>'SECLE10 Sales by Year (18-20)'!N47/'SECLE10 Sales by Year (18-20)'!N$62</f>
        <v>0.02564640797308208</v>
      </c>
      <c r="O47" s="3">
        <f>'SECLE10 Sales by Year (18-20)'!O47/'SECLE10 Sales by Year (18-20)'!O$62</f>
        <v>0.026340939713471158</v>
      </c>
      <c r="P47" s="60">
        <f>'SECLE10 Sales by Year (18-20)'!P47/'SECLE10 Sales by Year (18-20)'!P$62</f>
        <v>0.026017209222770357</v>
      </c>
    </row>
    <row r="48" spans="1:16" ht="14.4" thickBot="1">
      <c r="A48" s="1">
        <f t="shared" si="0"/>
        <v>38</v>
      </c>
      <c r="B48" s="8" t="s">
        <v>4</v>
      </c>
      <c r="C48" s="2">
        <f>+C43</f>
        <v>2020</v>
      </c>
      <c r="D48" s="3">
        <f>'SECLE10 Sales by Year (18-20)'!D48/'SECLE10 Sales by Year (18-20)'!D63</f>
        <v>0.026339829792594961</v>
      </c>
      <c r="E48" s="3">
        <f>'SECLE10 Sales by Year (18-20)'!E48/'SECLE10 Sales by Year (18-20)'!E63</f>
        <v>0.026181071993112814</v>
      </c>
      <c r="F48" s="3">
        <f>'SECLE10 Sales by Year (18-20)'!F48/'SECLE10 Sales by Year (18-20)'!F63</f>
        <v>0.025815805204043106</v>
      </c>
      <c r="G48" s="3">
        <f>'SECLE10 Sales by Year (18-20)'!G48/'SECLE10 Sales by Year (18-20)'!G63</f>
        <v>0.025522729876252828</v>
      </c>
      <c r="H48" s="3">
        <f>'SECLE10 Sales by Year (18-20)'!H48/'SECLE10 Sales by Year (18-20)'!H63</f>
        <v>0.025156836909372423</v>
      </c>
      <c r="I48" s="3">
        <f>'SECLE10 Sales by Year (18-20)'!I48/'SECLE10 Sales by Year (18-20)'!I63</f>
        <v>0.024874282664855907</v>
      </c>
      <c r="J48" s="3">
        <f>'SECLE10 Sales by Year (18-20)'!J48/'SECLE10 Sales by Year (18-20)'!J63</f>
        <v>0.026082461018090267</v>
      </c>
      <c r="K48" s="3">
        <f>'SECLE10 Sales by Year (18-20)'!K48/'SECLE10 Sales by Year (18-20)'!K63</f>
        <v>0.025869802264178305</v>
      </c>
      <c r="L48" s="3">
        <f>'SECLE10 Sales by Year (18-20)'!L48/'SECLE10 Sales by Year (18-20)'!L63</f>
        <v>0.025686300993516997</v>
      </c>
      <c r="M48" s="3">
        <f>'SECLE10 Sales by Year (18-20)'!M48/'SECLE10 Sales by Year (18-20)'!M63</f>
        <v>0.024482818818646931</v>
      </c>
      <c r="N48" s="3">
        <f>'SECLE10 Sales by Year (18-20)'!N48/'SECLE10 Sales by Year (18-20)'!N63</f>
        <v>0.025082702401174561</v>
      </c>
      <c r="O48" s="3">
        <f>'SECLE10 Sales by Year (18-20)'!O48/'SECLE10 Sales by Year (18-20)'!O63</f>
        <v>0.025274621284214212</v>
      </c>
      <c r="P48" s="60">
        <f>'SECLE10 Sales by Year (18-20)'!P48/'SECLE10 Sales by Year (18-20)'!P63</f>
        <v>0.025559006631389304</v>
      </c>
    </row>
    <row r="49" spans="1:16" ht="13.8">
      <c r="A49" s="1">
        <f t="shared" si="0"/>
        <v>39</v>
      </c>
      <c r="B49" s="8" t="s">
        <v>4</v>
      </c>
      <c r="C49" s="57" t="s">
        <v>1</v>
      </c>
      <c r="D49" s="58">
        <f>'SECLE10 Sales by Year (18-20)'!D49/'SECLE10 Sales by Year (18-20)'!D64</f>
        <v>0.026890516748308984</v>
      </c>
      <c r="E49" s="58">
        <f>'SECLE10 Sales by Year (18-20)'!E49/'SECLE10 Sales by Year (18-20)'!E64</f>
        <v>0.02634850954968784</v>
      </c>
      <c r="F49" s="58">
        <f>'SECLE10 Sales by Year (18-20)'!F49/'SECLE10 Sales by Year (18-20)'!F64</f>
        <v>0.026137523606867663</v>
      </c>
      <c r="G49" s="58">
        <f>'SECLE10 Sales by Year (18-20)'!G49/'SECLE10 Sales by Year (18-20)'!G64</f>
        <v>0.025726933247934482</v>
      </c>
      <c r="H49" s="58">
        <f>'SECLE10 Sales by Year (18-20)'!H49/'SECLE10 Sales by Year (18-20)'!H64</f>
        <v>0.025561565329714441</v>
      </c>
      <c r="I49" s="58">
        <f>'SECLE10 Sales by Year (18-20)'!I49/'SECLE10 Sales by Year (18-20)'!I64</f>
        <v>0.025771813882141115</v>
      </c>
      <c r="J49" s="58">
        <f>'SECLE10 Sales by Year (18-20)'!J49/'SECLE10 Sales by Year (18-20)'!J64</f>
        <v>0.026368460146406956</v>
      </c>
      <c r="K49" s="58">
        <f>'SECLE10 Sales by Year (18-20)'!K49/'SECLE10 Sales by Year (18-20)'!K64</f>
        <v>0.02670148542019431</v>
      </c>
      <c r="L49" s="58">
        <f>'SECLE10 Sales by Year (18-20)'!L49/'SECLE10 Sales by Year (18-20)'!L64</f>
        <v>0.026380912952055</v>
      </c>
      <c r="M49" s="58">
        <f>'SECLE10 Sales by Year (18-20)'!M49/'SECLE10 Sales by Year (18-20)'!M64</f>
        <v>0.025649780687400692</v>
      </c>
      <c r="N49" s="58">
        <f>'SECLE10 Sales by Year (18-20)'!N49/'SECLE10 Sales by Year (18-20)'!N64</f>
        <v>0.025611605509181307</v>
      </c>
      <c r="O49" s="58">
        <f>'SECLE10 Sales by Year (18-20)'!O49/'SECLE10 Sales by Year (18-20)'!O64</f>
        <v>0.02617654776661844</v>
      </c>
      <c r="P49" s="61">
        <f>'SECLE10 Sales by Year (18-20)'!P49/'SECLE10 Sales by Year (18-20)'!P64</f>
        <v>0.026145269150333186</v>
      </c>
    </row>
    <row r="50" spans="1:2" ht="13.8">
      <c r="A50" s="1">
        <f t="shared" si="0"/>
        <v>40</v>
      </c>
      <c r="B50" s="8"/>
    </row>
    <row r="51" spans="1:17" ht="13.8">
      <c r="A51" s="1">
        <f t="shared" si="0"/>
        <v>41</v>
      </c>
      <c r="B51" s="8" t="s">
        <v>2</v>
      </c>
      <c r="C51" s="2">
        <f>+C46</f>
        <v>2018</v>
      </c>
      <c r="D51" s="3">
        <f>'SECLE10 Sales by Year (18-20)'!D51/'SECLE10 Sales by Year (18-20)'!D61</f>
        <v>0.09919935652339211</v>
      </c>
      <c r="E51" s="3">
        <f>'SECLE10 Sales by Year (18-20)'!E51/'SECLE10 Sales by Year (18-20)'!E$61</f>
        <v>0.14335316283500244</v>
      </c>
      <c r="F51" s="3">
        <f>'SECLE10 Sales by Year (18-20)'!F51/'SECLE10 Sales by Year (18-20)'!F$61</f>
        <v>0.14372722059904519</v>
      </c>
      <c r="G51" s="3">
        <f>'SECLE10 Sales by Year (18-20)'!G51/'SECLE10 Sales by Year (18-20)'!G$61</f>
        <v>0.12692369118917124</v>
      </c>
      <c r="H51" s="3">
        <f>'SECLE10 Sales by Year (18-20)'!H51/'SECLE10 Sales by Year (18-20)'!H$61</f>
        <v>0.13293334375498575</v>
      </c>
      <c r="I51" s="3">
        <f>'SECLE10 Sales by Year (18-20)'!I51/'SECLE10 Sales by Year (18-20)'!I$61</f>
        <v>0.12062070887908977</v>
      </c>
      <c r="J51" s="3">
        <f>'SECLE10 Sales by Year (18-20)'!J51/'SECLE10 Sales by Year (18-20)'!J$61</f>
        <v>0.13088425483774208</v>
      </c>
      <c r="K51" s="3">
        <f>'SECLE10 Sales by Year (18-20)'!K51/'SECLE10 Sales by Year (18-20)'!K$61</f>
        <v>0.1176158173027201</v>
      </c>
      <c r="L51" s="3">
        <f>'SECLE10 Sales by Year (18-20)'!L51/'SECLE10 Sales by Year (18-20)'!L$61</f>
        <v>0.1087684315959168</v>
      </c>
      <c r="M51" s="3">
        <f>'SECLE10 Sales by Year (18-20)'!M51/'SECLE10 Sales by Year (18-20)'!M$61</f>
        <v>0.10818372501705854</v>
      </c>
      <c r="N51" s="3">
        <f>'SECLE10 Sales by Year (18-20)'!N51/'SECLE10 Sales by Year (18-20)'!N$61</f>
        <v>0.11155634593492175</v>
      </c>
      <c r="O51" s="3">
        <f>'SECLE10 Sales by Year (18-20)'!O51/'SECLE10 Sales by Year (18-20)'!O$61</f>
        <v>0.11528566836093032</v>
      </c>
      <c r="P51" s="60">
        <f>'SECLE10 Sales by Year (18-20)'!P51/'SECLE10 Sales by Year (18-20)'!P$61</f>
        <v>0.12147682341237492</v>
      </c>
      <c r="Q51" s="4"/>
    </row>
    <row r="52" spans="1:16" ht="13.8">
      <c r="A52" s="1">
        <f t="shared" si="0"/>
        <v>42</v>
      </c>
      <c r="B52" s="8" t="s">
        <v>2</v>
      </c>
      <c r="C52" s="2">
        <f>+C47</f>
        <v>2019</v>
      </c>
      <c r="D52" s="3">
        <f>'SECLE10 Sales by Year (18-20)'!D52/'SECLE10 Sales by Year (18-20)'!D62</f>
        <v>0.1207980148847575</v>
      </c>
      <c r="E52" s="3">
        <f>'SECLE10 Sales by Year (18-20)'!E52/'SECLE10 Sales by Year (18-20)'!E$62</f>
        <v>0.12621720269177414</v>
      </c>
      <c r="F52" s="3">
        <f>'SECLE10 Sales by Year (18-20)'!F52/'SECLE10 Sales by Year (18-20)'!F$62</f>
        <v>0.12789942024454939</v>
      </c>
      <c r="G52" s="3">
        <f>'SECLE10 Sales by Year (18-20)'!G52/'SECLE10 Sales by Year (18-20)'!G$62</f>
        <v>0.14122102607995171</v>
      </c>
      <c r="H52" s="3">
        <f>'SECLE10 Sales by Year (18-20)'!H52/'SECLE10 Sales by Year (18-20)'!H$62</f>
        <v>0.13671953248500787</v>
      </c>
      <c r="I52" s="3">
        <f>'SECLE10 Sales by Year (18-20)'!I52/'SECLE10 Sales by Year (18-20)'!I$62</f>
        <v>0.12513958569024389</v>
      </c>
      <c r="J52" s="3">
        <f>'SECLE10 Sales by Year (18-20)'!J52/'SECLE10 Sales by Year (18-20)'!J$62</f>
        <v>0.13561664237337032</v>
      </c>
      <c r="K52" s="3">
        <f>'SECLE10 Sales by Year (18-20)'!K52/'SECLE10 Sales by Year (18-20)'!K$62</f>
        <v>0.13485583988339761</v>
      </c>
      <c r="L52" s="3">
        <f>'SECLE10 Sales by Year (18-20)'!L52/'SECLE10 Sales by Year (18-20)'!L$62</f>
        <v>0.12742460698980337</v>
      </c>
      <c r="M52" s="3">
        <f>'SECLE10 Sales by Year (18-20)'!M52/'SECLE10 Sales by Year (18-20)'!M$62</f>
        <v>0.11895952063846892</v>
      </c>
      <c r="N52" s="3">
        <f>'SECLE10 Sales by Year (18-20)'!N52/'SECLE10 Sales by Year (18-20)'!N$62</f>
        <v>0.12682249166996704</v>
      </c>
      <c r="O52" s="3">
        <f>'SECLE10 Sales by Year (18-20)'!O52/'SECLE10 Sales by Year (18-20)'!O$62</f>
        <v>0.12539921833643986</v>
      </c>
      <c r="P52" s="60">
        <f>'SECLE10 Sales by Year (18-20)'!P52/'SECLE10 Sales by Year (18-20)'!P$62</f>
        <v>0.12873956846686621</v>
      </c>
    </row>
    <row r="53" spans="1:16" ht="14.4" thickBot="1">
      <c r="A53" s="1">
        <f t="shared" si="0"/>
        <v>43</v>
      </c>
      <c r="B53" s="8" t="s">
        <v>2</v>
      </c>
      <c r="C53" s="2">
        <f>+C48</f>
        <v>2020</v>
      </c>
      <c r="D53" s="3">
        <f>'SECLE10 Sales by Year (18-20)'!D53/'SECLE10 Sales by Year (18-20)'!D63</f>
        <v>0.12539217219661303</v>
      </c>
      <c r="E53" s="3">
        <f>'SECLE10 Sales by Year (18-20)'!E53/'SECLE10 Sales by Year (18-20)'!E63</f>
        <v>0.12534585031680684</v>
      </c>
      <c r="F53" s="3">
        <f>'SECLE10 Sales by Year (18-20)'!F53/'SECLE10 Sales by Year (18-20)'!F63</f>
        <v>0.12694184985421791</v>
      </c>
      <c r="G53" s="3">
        <f>'SECLE10 Sales by Year (18-20)'!G53/'SECLE10 Sales by Year (18-20)'!G63</f>
        <v>0.12761919199236116</v>
      </c>
      <c r="H53" s="3">
        <f>'SECLE10 Sales by Year (18-20)'!H53/'SECLE10 Sales by Year (18-20)'!H63</f>
        <v>0.12700332759088442</v>
      </c>
      <c r="I53" s="3">
        <f>'SECLE10 Sales by Year (18-20)'!I53/'SECLE10 Sales by Year (18-20)'!I63</f>
        <v>0.12082024777634057</v>
      </c>
      <c r="J53" s="3">
        <f>'SECLE10 Sales by Year (18-20)'!J53/'SECLE10 Sales by Year (18-20)'!J63</f>
        <v>0.12123827740563412</v>
      </c>
      <c r="K53" s="3">
        <f>'SECLE10 Sales by Year (18-20)'!K53/'SECLE10 Sales by Year (18-20)'!K63</f>
        <v>0.1193726869665219</v>
      </c>
      <c r="L53" s="3">
        <f>'SECLE10 Sales by Year (18-20)'!L53/'SECLE10 Sales by Year (18-20)'!L63</f>
        <v>0.11711047492648996</v>
      </c>
      <c r="M53" s="3">
        <f>'SECLE10 Sales by Year (18-20)'!M53/'SECLE10 Sales by Year (18-20)'!M63</f>
        <v>0.11360503178681218</v>
      </c>
      <c r="N53" s="3">
        <f>'SECLE10 Sales by Year (18-20)'!N53/'SECLE10 Sales by Year (18-20)'!N63</f>
        <v>0.11294158280925677</v>
      </c>
      <c r="O53" s="3">
        <f>'SECLE10 Sales by Year (18-20)'!O53/'SECLE10 Sales by Year (18-20)'!O63</f>
        <v>0.11048241875542322</v>
      </c>
      <c r="P53" s="60">
        <f>'SECLE10 Sales by Year (18-20)'!P53/'SECLE10 Sales by Year (18-20)'!P63</f>
        <v>0.12055931587514077</v>
      </c>
    </row>
    <row r="54" spans="1:16" ht="13.8">
      <c r="A54" s="1">
        <f t="shared" si="0"/>
        <v>44</v>
      </c>
      <c r="B54" s="8" t="s">
        <v>2</v>
      </c>
      <c r="C54" s="57" t="s">
        <v>1</v>
      </c>
      <c r="D54" s="58">
        <f>'SECLE10 Sales by Year (18-20)'!D54/'SECLE10 Sales by Year (18-20)'!D64</f>
        <v>0.114581382930998</v>
      </c>
      <c r="E54" s="58">
        <f>'SECLE10 Sales by Year (18-20)'!E54/'SECLE10 Sales by Year (18-20)'!E64</f>
        <v>0.13197133228328542</v>
      </c>
      <c r="F54" s="58">
        <f>'SECLE10 Sales by Year (18-20)'!F54/'SECLE10 Sales by Year (18-20)'!F64</f>
        <v>0.13293848077985254</v>
      </c>
      <c r="G54" s="58">
        <f>'SECLE10 Sales by Year (18-20)'!G54/'SECLE10 Sales by Year (18-20)'!G64</f>
        <v>0.13200133792893717</v>
      </c>
      <c r="H54" s="58">
        <f>'SECLE10 Sales by Year (18-20)'!H54/'SECLE10 Sales by Year (18-20)'!H64</f>
        <v>0.13229045620177715</v>
      </c>
      <c r="I54" s="58">
        <f>'SECLE10 Sales by Year (18-20)'!I54/'SECLE10 Sales by Year (18-20)'!I64</f>
        <v>0.12214320311227384</v>
      </c>
      <c r="J54" s="58">
        <f>'SECLE10 Sales by Year (18-20)'!J54/'SECLE10 Sales by Year (18-20)'!J64</f>
        <v>0.12920341226471621</v>
      </c>
      <c r="K54" s="58">
        <f>'SECLE10 Sales by Year (18-20)'!K54/'SECLE10 Sales by Year (18-20)'!K64</f>
        <v>0.12387507743520877</v>
      </c>
      <c r="L54" s="58">
        <f>'SECLE10 Sales by Year (18-20)'!L54/'SECLE10 Sales by Year (18-20)'!L64</f>
        <v>0.11808370052025663</v>
      </c>
      <c r="M54" s="58">
        <f>'SECLE10 Sales by Year (18-20)'!M54/'SECLE10 Sales by Year (18-20)'!M64</f>
        <v>0.11382630389289172</v>
      </c>
      <c r="N54" s="58">
        <f>'SECLE10 Sales by Year (18-20)'!N54/'SECLE10 Sales by Year (18-20)'!N64</f>
        <v>0.11726527762473628</v>
      </c>
      <c r="O54" s="58">
        <f>'SECLE10 Sales by Year (18-20)'!O54/'SECLE10 Sales by Year (18-20)'!O64</f>
        <v>0.11720358674374454</v>
      </c>
      <c r="P54" s="61">
        <f>'SECLE10 Sales by Year (18-20)'!P54/'SECLE10 Sales by Year (18-20)'!P64</f>
        <v>0.12362936188311112</v>
      </c>
    </row>
    <row r="55" spans="1:3" ht="13.8">
      <c r="A55" s="1">
        <f t="shared" si="0"/>
        <v>45</v>
      </c>
      <c r="B55" s="8"/>
      <c r="C55" s="4"/>
    </row>
    <row r="56" spans="1:16" ht="13.8">
      <c r="A56" s="1">
        <f t="shared" si="0"/>
        <v>46</v>
      </c>
      <c r="B56" s="8" t="s">
        <v>48</v>
      </c>
      <c r="C56" s="2">
        <f>+C51</f>
        <v>2018</v>
      </c>
      <c r="D56" s="3">
        <f>'SECLE10 Sales by Year (18-20)'!D56/'SECLE10 Sales by Year (18-20)'!D61</f>
        <v>0.033809151052803313</v>
      </c>
      <c r="E56" s="3">
        <f>'SECLE10 Sales by Year (18-20)'!E56/'SECLE10 Sales by Year (18-20)'!E$61</f>
        <v>0.033103730257171449</v>
      </c>
      <c r="F56" s="3">
        <f>'SECLE10 Sales by Year (18-20)'!F56/'SECLE10 Sales by Year (18-20)'!F$61</f>
        <v>0.03191687409754651</v>
      </c>
      <c r="G56" s="3">
        <f>'SECLE10 Sales by Year (18-20)'!G56/'SECLE10 Sales by Year (18-20)'!G$61</f>
        <v>0.030711211388040567</v>
      </c>
      <c r="H56" s="3">
        <f>'SECLE10 Sales by Year (18-20)'!H56/'SECLE10 Sales by Year (18-20)'!H$61</f>
        <v>0.030759812471631159</v>
      </c>
      <c r="I56" s="3">
        <f>'SECLE10 Sales by Year (18-20)'!I56/'SECLE10 Sales by Year (18-20)'!I$61</f>
        <v>0.032534207610276464</v>
      </c>
      <c r="J56" s="3">
        <f>'SECLE10 Sales by Year (18-20)'!J56/'SECLE10 Sales by Year (18-20)'!J$61</f>
        <v>0.033609644157777036</v>
      </c>
      <c r="K56" s="3">
        <f>'SECLE10 Sales by Year (18-20)'!K56/'SECLE10 Sales by Year (18-20)'!K$61</f>
        <v>0.034543240505549785</v>
      </c>
      <c r="L56" s="3">
        <f>'SECLE10 Sales by Year (18-20)'!L56/'SECLE10 Sales by Year (18-20)'!L$61</f>
        <v>0.034324517107738525</v>
      </c>
      <c r="M56" s="3">
        <f>'SECLE10 Sales by Year (18-20)'!M56/'SECLE10 Sales by Year (18-20)'!M$61</f>
        <v>0.032711774414776802</v>
      </c>
      <c r="N56" s="3">
        <f>'SECLE10 Sales by Year (18-20)'!N56/'SECLE10 Sales by Year (18-20)'!N$61</f>
        <v>0.031789874850790545</v>
      </c>
      <c r="O56" s="3">
        <f>'SECLE10 Sales by Year (18-20)'!O56/'SECLE10 Sales by Year (18-20)'!O$61</f>
        <v>0.032772963555102216</v>
      </c>
      <c r="P56" s="60">
        <f>'SECLE10 Sales by Year (18-20)'!P56/'SECLE10 Sales by Year (18-20)'!P$61</f>
        <v>0.03284363091764822</v>
      </c>
    </row>
    <row r="57" spans="1:16" ht="13.8">
      <c r="A57" s="1">
        <f t="shared" si="0"/>
        <v>47</v>
      </c>
      <c r="B57" s="8" t="s">
        <v>48</v>
      </c>
      <c r="C57" s="2">
        <f>+C52</f>
        <v>2019</v>
      </c>
      <c r="D57" s="3">
        <f>'SECLE10 Sales by Year (18-20)'!D57/'SECLE10 Sales by Year (18-20)'!D62</f>
        <v>0.032690211863740118</v>
      </c>
      <c r="E57" s="3">
        <f>'SECLE10 Sales by Year (18-20)'!E57/'SECLE10 Sales by Year (18-20)'!E$62</f>
        <v>0.034559357340546222</v>
      </c>
      <c r="F57" s="3">
        <f>'SECLE10 Sales by Year (18-20)'!F57/'SECLE10 Sales by Year (18-20)'!F$62</f>
        <v>0.033694536973478503</v>
      </c>
      <c r="G57" s="3">
        <f>'SECLE10 Sales by Year (18-20)'!G57/'SECLE10 Sales by Year (18-20)'!G$62</f>
        <v>0.03161561308012005</v>
      </c>
      <c r="H57" s="3">
        <f>'SECLE10 Sales by Year (18-20)'!H57/'SECLE10 Sales by Year (18-20)'!H$62</f>
        <v>0.030877889578574468</v>
      </c>
      <c r="I57" s="3">
        <f>'SECLE10 Sales by Year (18-20)'!I57/'SECLE10 Sales by Year (18-20)'!I$62</f>
        <v>0.032021932101412583</v>
      </c>
      <c r="J57" s="3">
        <f>'SECLE10 Sales by Year (18-20)'!J57/'SECLE10 Sales by Year (18-20)'!J$62</f>
        <v>0.032793211802645494</v>
      </c>
      <c r="K57" s="3">
        <f>'SECLE10 Sales by Year (18-20)'!K57/'SECLE10 Sales by Year (18-20)'!K$62</f>
        <v>0.033424050748986571</v>
      </c>
      <c r="L57" s="3">
        <f>'SECLE10 Sales by Year (18-20)'!L57/'SECLE10 Sales by Year (18-20)'!L$62</f>
        <v>0.033783637507891894</v>
      </c>
      <c r="M57" s="3">
        <f>'SECLE10 Sales by Year (18-20)'!M57/'SECLE10 Sales by Year (18-20)'!M$62</f>
        <v>0.032772880050073457</v>
      </c>
      <c r="N57" s="3">
        <f>'SECLE10 Sales by Year (18-20)'!N57/'SECLE10 Sales by Year (18-20)'!N$62</f>
        <v>0.032385844905494766</v>
      </c>
      <c r="O57" s="3">
        <f>'SECLE10 Sales by Year (18-20)'!O57/'SECLE10 Sales by Year (18-20)'!O$62</f>
        <v>0.032624035512215439</v>
      </c>
      <c r="P57" s="60">
        <f>'SECLE10 Sales by Year (18-20)'!P57/'SECLE10 Sales by Year (18-20)'!P$62</f>
        <v>0.032836926894488035</v>
      </c>
    </row>
    <row r="58" spans="1:16" ht="14.4" thickBot="1">
      <c r="A58" s="1">
        <f t="shared" si="0"/>
        <v>48</v>
      </c>
      <c r="B58" s="8" t="s">
        <v>48</v>
      </c>
      <c r="C58" s="2">
        <f>+C53</f>
        <v>2020</v>
      </c>
      <c r="D58" s="3">
        <f>'SECLE10 Sales by Year (18-20)'!D58/'SECLE10 Sales by Year (18-20)'!D63</f>
        <v>0.033107633701829828</v>
      </c>
      <c r="E58" s="3">
        <f>'SECLE10 Sales by Year (18-20)'!E58/'SECLE10 Sales by Year (18-20)'!E63</f>
        <v>0.032990220958184116</v>
      </c>
      <c r="F58" s="3">
        <f>'SECLE10 Sales by Year (18-20)'!F58/'SECLE10 Sales by Year (18-20)'!F63</f>
        <v>0.032226327958928526</v>
      </c>
      <c r="G58" s="3">
        <f>'SECLE10 Sales by Year (18-20)'!G58/'SECLE10 Sales by Year (18-20)'!G63</f>
        <v>0.031240708248937352</v>
      </c>
      <c r="H58" s="3">
        <f>'SECLE10 Sales by Year (18-20)'!H58/'SECLE10 Sales by Year (18-20)'!H63</f>
        <v>0.030840866402160848</v>
      </c>
      <c r="I58" s="3">
        <f>'SECLE10 Sales by Year (18-20)'!I58/'SECLE10 Sales by Year (18-20)'!I63</f>
        <v>0.031788958541914034</v>
      </c>
      <c r="J58" s="3">
        <f>'SECLE10 Sales by Year (18-20)'!J58/'SECLE10 Sales by Year (18-20)'!J63</f>
        <v>0.0338984394349486</v>
      </c>
      <c r="K58" s="3">
        <f>'SECLE10 Sales by Year (18-20)'!K58/'SECLE10 Sales by Year (18-20)'!K63</f>
        <v>0.034459504940396041</v>
      </c>
      <c r="L58" s="3">
        <f>'SECLE10 Sales by Year (18-20)'!L58/'SECLE10 Sales by Year (18-20)'!L63</f>
        <v>0.033419787689061904</v>
      </c>
      <c r="M58" s="3">
        <f>'SECLE10 Sales by Year (18-20)'!M58/'SECLE10 Sales by Year (18-20)'!M63</f>
        <v>0.031809946758003922</v>
      </c>
      <c r="N58" s="3">
        <f>'SECLE10 Sales by Year (18-20)'!N58/'SECLE10 Sales by Year (18-20)'!N63</f>
        <v>0.030741235279060482</v>
      </c>
      <c r="O58" s="3">
        <f>'SECLE10 Sales by Year (18-20)'!O58/'SECLE10 Sales by Year (18-20)'!O63</f>
        <v>0.031542284549509039</v>
      </c>
      <c r="P58" s="60">
        <f>'SECLE10 Sales by Year (18-20)'!P58/'SECLE10 Sales by Year (18-20)'!P63</f>
        <v>0.032456229600242983</v>
      </c>
    </row>
    <row r="59" spans="1:16" ht="13.8">
      <c r="A59" s="1">
        <f t="shared" si="0"/>
        <v>49</v>
      </c>
      <c r="B59" s="8" t="s">
        <v>48</v>
      </c>
      <c r="C59" s="57" t="s">
        <v>1</v>
      </c>
      <c r="D59" s="58">
        <f>'SECLE10 Sales by Year (18-20)'!D59/'SECLE10 Sales by Year (18-20)'!D64</f>
        <v>0.033218801726496591</v>
      </c>
      <c r="E59" s="58">
        <f>'SECLE10 Sales by Year (18-20)'!E59/'SECLE10 Sales by Year (18-20)'!E64</f>
        <v>0.033547986513458375</v>
      </c>
      <c r="F59" s="58">
        <f>'SECLE10 Sales by Year (18-20)'!F59/'SECLE10 Sales by Year (18-20)'!F64</f>
        <v>0.032622486979954159</v>
      </c>
      <c r="G59" s="58">
        <f>'SECLE10 Sales by Year (18-20)'!G59/'SECLE10 Sales by Year (18-20)'!G64</f>
        <v>0.031188479585156963</v>
      </c>
      <c r="H59" s="58">
        <f>'SECLE10 Sales by Year (18-20)'!H59/'SECLE10 Sales by Year (18-20)'!H64</f>
        <v>0.030826125265072533</v>
      </c>
      <c r="I59" s="58">
        <f>'SECLE10 Sales by Year (18-20)'!I59/'SECLE10 Sales by Year (18-20)'!I64</f>
        <v>0.032127343837748984</v>
      </c>
      <c r="J59" s="58">
        <f>'SECLE10 Sales by Year (18-20)'!J59/'SECLE10 Sales by Year (18-20)'!J64</f>
        <v>0.033447645686353847</v>
      </c>
      <c r="K59" s="58">
        <f>'SECLE10 Sales by Year (18-20)'!K59/'SECLE10 Sales by Year (18-20)'!K64</f>
        <v>0.034146938598593114</v>
      </c>
      <c r="L59" s="58">
        <f>'SECLE10 Sales by Year (18-20)'!L59/'SECLE10 Sales by Year (18-20)'!L64</f>
        <v>0.033840870096331126</v>
      </c>
      <c r="M59" s="58">
        <f>'SECLE10 Sales by Year (18-20)'!M59/'SECLE10 Sales by Year (18-20)'!M64</f>
        <v>0.032450688754277958</v>
      </c>
      <c r="N59" s="58">
        <f>'SECLE10 Sales by Year (18-20)'!N59/'SECLE10 Sales by Year (18-20)'!N64</f>
        <v>0.031636798424881832</v>
      </c>
      <c r="O59" s="58">
        <f>'SECLE10 Sales by Year (18-20)'!O59/'SECLE10 Sales by Year (18-20)'!O64</f>
        <v>0.032329566958050678</v>
      </c>
      <c r="P59" s="61">
        <f>'SECLE10 Sales by Year (18-20)'!P59/'SECLE10 Sales by Year (18-20)'!P64</f>
        <v>0.032716090963022935</v>
      </c>
    </row>
    <row r="60" spans="1:1" ht="13.8">
      <c r="A60" s="1">
        <f t="shared" si="0"/>
        <v>50</v>
      </c>
    </row>
    <row r="61" spans="1:16" ht="13.8">
      <c r="A61" s="1">
        <f t="shared" si="0"/>
        <v>51</v>
      </c>
      <c r="B61" s="1" t="s">
        <v>34</v>
      </c>
      <c r="C61" s="2">
        <f>+C56</f>
        <v>2018</v>
      </c>
      <c r="D61" s="11">
        <f t="shared" si="1" ref="D61:O61">SUM(D26,D31,D36,D41,D46,D51,D56,D21,D16,D11)</f>
        <v>0.99999999999999989</v>
      </c>
      <c r="E61" s="11">
        <f t="shared" si="1"/>
        <v>1</v>
      </c>
      <c r="F61" s="11">
        <f t="shared" si="1"/>
        <v>1</v>
      </c>
      <c r="G61" s="11">
        <f t="shared" si="1"/>
        <v>0.99999999999999978</v>
      </c>
      <c r="H61" s="11">
        <f t="shared" si="1"/>
        <v>1</v>
      </c>
      <c r="I61" s="11">
        <f t="shared" si="1"/>
        <v>1</v>
      </c>
      <c r="J61" s="11">
        <f t="shared" si="1"/>
        <v>1</v>
      </c>
      <c r="K61" s="11">
        <f t="shared" si="1"/>
        <v>1</v>
      </c>
      <c r="L61" s="11">
        <f t="shared" si="1"/>
        <v>1</v>
      </c>
      <c r="M61" s="11">
        <f t="shared" si="1"/>
        <v>1</v>
      </c>
      <c r="N61" s="11">
        <f t="shared" si="1"/>
        <v>0.99999999999999989</v>
      </c>
      <c r="O61" s="11">
        <f t="shared" si="1"/>
        <v>1</v>
      </c>
      <c r="P61" s="11">
        <f>SUM(P26,P31,P36,P41,P46,P51,P56,P21,P16,P11)</f>
        <v>1</v>
      </c>
    </row>
    <row r="62" spans="1:16" ht="13.8">
      <c r="A62" s="1">
        <f t="shared" si="0"/>
        <v>52</v>
      </c>
      <c r="B62" s="1" t="s">
        <v>34</v>
      </c>
      <c r="C62" s="2">
        <f>+C57</f>
        <v>2019</v>
      </c>
      <c r="D62" s="11">
        <f t="shared" si="2" ref="D62:P62">SUM(D27,D32,D37,D42,D47,D52,D57,D22,D17,D12)</f>
        <v>0.99999999999999989</v>
      </c>
      <c r="E62" s="11">
        <f t="shared" si="2"/>
        <v>1</v>
      </c>
      <c r="F62" s="11">
        <f t="shared" si="2"/>
        <v>0.99999999999999989</v>
      </c>
      <c r="G62" s="11">
        <f t="shared" si="2"/>
        <v>1</v>
      </c>
      <c r="H62" s="11">
        <f t="shared" si="2"/>
        <v>1</v>
      </c>
      <c r="I62" s="11">
        <f t="shared" si="2"/>
        <v>0.99999999999999989</v>
      </c>
      <c r="J62" s="11">
        <f t="shared" si="2"/>
        <v>1</v>
      </c>
      <c r="K62" s="11">
        <f t="shared" si="2"/>
        <v>1</v>
      </c>
      <c r="L62" s="11">
        <f t="shared" si="2"/>
        <v>0.99999999999999989</v>
      </c>
      <c r="M62" s="11">
        <f t="shared" si="2"/>
        <v>1</v>
      </c>
      <c r="N62" s="11">
        <f t="shared" si="2"/>
        <v>1</v>
      </c>
      <c r="O62" s="11">
        <f t="shared" si="2"/>
        <v>1</v>
      </c>
      <c r="P62" s="11">
        <f t="shared" si="2"/>
        <v>1</v>
      </c>
    </row>
    <row r="63" spans="1:16" ht="14.4" thickBot="1">
      <c r="A63" s="1">
        <f t="shared" si="0"/>
        <v>53</v>
      </c>
      <c r="B63" s="1" t="s">
        <v>34</v>
      </c>
      <c r="C63" s="2">
        <f>+C58</f>
        <v>2020</v>
      </c>
      <c r="D63" s="11">
        <f t="shared" si="3" ref="D63:P64">SUM(D28,D33,D38,D43,D48,D53,D58,D23,D18,D13)</f>
        <v>1</v>
      </c>
      <c r="E63" s="11">
        <f t="shared" si="3"/>
        <v>1.0000000000000002</v>
      </c>
      <c r="F63" s="11">
        <f t="shared" si="3"/>
        <v>1.0000000000000002</v>
      </c>
      <c r="G63" s="11">
        <f t="shared" si="3"/>
        <v>1</v>
      </c>
      <c r="H63" s="11">
        <f t="shared" si="3"/>
        <v>1</v>
      </c>
      <c r="I63" s="11">
        <f t="shared" si="3"/>
        <v>1</v>
      </c>
      <c r="J63" s="11">
        <f t="shared" si="3"/>
        <v>1</v>
      </c>
      <c r="K63" s="11">
        <f t="shared" si="3"/>
        <v>1</v>
      </c>
      <c r="L63" s="11">
        <f t="shared" si="3"/>
        <v>1</v>
      </c>
      <c r="M63" s="11">
        <f t="shared" si="3"/>
        <v>1</v>
      </c>
      <c r="N63" s="11">
        <f t="shared" si="3"/>
        <v>1</v>
      </c>
      <c r="O63" s="11">
        <f t="shared" si="3"/>
        <v>0.99999999999999989</v>
      </c>
      <c r="P63" s="11">
        <f t="shared" si="3"/>
        <v>1</v>
      </c>
    </row>
    <row r="64" spans="1:16" ht="14.4" thickTop="1">
      <c r="A64" s="1">
        <f t="shared" si="0"/>
        <v>54</v>
      </c>
      <c r="B64" s="1" t="s">
        <v>34</v>
      </c>
      <c r="C64" s="63" t="str">
        <f>+C59</f>
        <v xml:space="preserve">Total </v>
      </c>
      <c r="D64" s="64">
        <f t="shared" si="3"/>
        <v>1</v>
      </c>
      <c r="E64" s="64">
        <f t="shared" si="3"/>
        <v>0.99999999999999989</v>
      </c>
      <c r="F64" s="64">
        <f t="shared" si="3"/>
        <v>1</v>
      </c>
      <c r="G64" s="64">
        <f t="shared" si="3"/>
        <v>0.99999999999999978</v>
      </c>
      <c r="H64" s="64">
        <f t="shared" si="3"/>
        <v>1</v>
      </c>
      <c r="I64" s="64">
        <f t="shared" si="3"/>
        <v>1</v>
      </c>
      <c r="J64" s="64">
        <f t="shared" si="3"/>
        <v>1</v>
      </c>
      <c r="K64" s="64">
        <f t="shared" si="3"/>
        <v>1</v>
      </c>
      <c r="L64" s="64">
        <f t="shared" si="3"/>
        <v>1</v>
      </c>
      <c r="M64" s="64">
        <f t="shared" si="3"/>
        <v>1.0000000000000002</v>
      </c>
      <c r="N64" s="64">
        <f t="shared" si="3"/>
        <v>0.99999999999999967</v>
      </c>
      <c r="O64" s="64">
        <f t="shared" si="3"/>
        <v>1</v>
      </c>
      <c r="P64" s="64">
        <f t="shared" si="3"/>
        <v>1</v>
      </c>
    </row>
  </sheetData>
  <mergeCells count="7">
    <mergeCell ref="B8:P8"/>
    <mergeCell ref="B5:F5"/>
    <mergeCell ref="B6:P6"/>
    <mergeCell ref="B1:P1"/>
    <mergeCell ref="B2:P2"/>
    <mergeCell ref="B3:P3"/>
    <mergeCell ref="B4:P4"/>
  </mergeCells>
  <printOptions horizontalCentered="1"/>
  <pageMargins left="0.5" right="0.5" top="0.7" bottom="1" header="0.5" footer="0.43"/>
  <pageSetup orientation="landscape" scale="53" r:id="rId1"/>
  <headerFooter alignWithMargins="0">
    <oddHeader>&amp;RWP/II-H-5.2/2
Page &amp;P of &amp;N</oddHeader>
    <oddFooter>&amp;R]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1:P64"/>
  <sheetViews>
    <sheetView view="pageBreakPreview" zoomScaleNormal="100" zoomScaleSheetLayoutView="100" workbookViewId="0" topLeftCell="A1"/>
  </sheetViews>
  <sheetFormatPr defaultColWidth="9.11428571428571" defaultRowHeight="14.25"/>
  <cols>
    <col min="1" max="1" width="9.14285714285714" style="1"/>
    <col min="2" max="2" width="18.4285714285714" style="1" customWidth="1"/>
    <col min="3" max="3" width="6.85714285714286" style="1" customWidth="1"/>
    <col min="4" max="15" width="8.71428571428571" style="1" customWidth="1"/>
    <col min="16" max="16" width="9.71428571428571" style="1" customWidth="1"/>
    <col min="17" max="16384" width="9.14285714285714" style="1"/>
  </cols>
  <sheetData>
    <row r="1" spans="1:16" ht="15.6">
      <c r="A1" s="14"/>
      <c r="B1" s="70" t="s">
        <v>10</v>
      </c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</row>
    <row r="2" spans="1:16" ht="15.6">
      <c r="A2" s="14"/>
      <c r="B2" s="70" t="s">
        <v>11</v>
      </c>
      <c r="C2" s="70"/>
      <c r="D2" s="70"/>
      <c r="E2" s="70"/>
      <c r="F2" s="70"/>
      <c r="G2" s="71"/>
      <c r="H2" s="71"/>
      <c r="I2" s="71"/>
      <c r="J2" s="71"/>
      <c r="K2" s="71"/>
      <c r="L2" s="71"/>
      <c r="M2" s="71"/>
      <c r="N2" s="71"/>
      <c r="O2" s="71"/>
      <c r="P2" s="71"/>
    </row>
    <row r="3" spans="1:16" ht="15.6">
      <c r="A3" s="14"/>
      <c r="B3" s="70" t="s">
        <v>39</v>
      </c>
      <c r="C3" s="70"/>
      <c r="D3" s="70"/>
      <c r="E3" s="70"/>
      <c r="F3" s="70"/>
      <c r="G3" s="71"/>
      <c r="H3" s="71"/>
      <c r="I3" s="71"/>
      <c r="J3" s="71"/>
      <c r="K3" s="71"/>
      <c r="L3" s="71"/>
      <c r="M3" s="71"/>
      <c r="N3" s="71"/>
      <c r="O3" s="71"/>
      <c r="P3" s="71"/>
    </row>
    <row r="4" spans="1:16" ht="15.6">
      <c r="A4" s="14"/>
      <c r="B4" s="70" t="str">
        <f>+'SECLE10 Seasonal Weights'!B4:P4</f>
        <v>FOR THE TEST YEAR ENDING DECEMBER 31, 2021</v>
      </c>
      <c r="C4" s="70"/>
      <c r="D4" s="70"/>
      <c r="E4" s="70"/>
      <c r="F4" s="70"/>
      <c r="G4" s="71"/>
      <c r="H4" s="71"/>
      <c r="I4" s="71"/>
      <c r="J4" s="71"/>
      <c r="K4" s="71"/>
      <c r="L4" s="71"/>
      <c r="M4" s="71"/>
      <c r="N4" s="71"/>
      <c r="O4" s="71"/>
      <c r="P4" s="71"/>
    </row>
    <row r="5" spans="1:16" ht="15.6">
      <c r="A5" s="14"/>
      <c r="B5" s="70"/>
      <c r="C5" s="70"/>
      <c r="D5" s="70"/>
      <c r="E5" s="70"/>
      <c r="F5" s="70"/>
      <c r="G5" s="17"/>
      <c r="H5" s="17"/>
      <c r="I5" s="18"/>
      <c r="J5" s="18"/>
      <c r="K5" s="18"/>
      <c r="L5" s="18"/>
      <c r="M5" s="18"/>
      <c r="N5" s="18"/>
      <c r="O5" s="18"/>
      <c r="P5" s="18"/>
    </row>
    <row r="6" spans="1:16" ht="15.6">
      <c r="A6" s="14"/>
      <c r="B6" s="70" t="s">
        <v>38</v>
      </c>
      <c r="C6" s="70"/>
      <c r="D6" s="70"/>
      <c r="E6" s="70"/>
      <c r="F6" s="70"/>
      <c r="G6" s="71"/>
      <c r="H6" s="71"/>
      <c r="I6" s="71"/>
      <c r="J6" s="71"/>
      <c r="K6" s="71"/>
      <c r="L6" s="71"/>
      <c r="M6" s="71"/>
      <c r="N6" s="71"/>
      <c r="O6" s="71"/>
      <c r="P6" s="71"/>
    </row>
    <row r="7" spans="1:16" ht="15.6">
      <c r="A7" s="14"/>
      <c r="B7" s="15"/>
      <c r="C7" s="15"/>
      <c r="D7" s="15"/>
      <c r="E7" s="15"/>
      <c r="F7" s="15"/>
      <c r="G7" s="16"/>
      <c r="H7" s="16"/>
      <c r="I7" s="18"/>
      <c r="J7" s="18"/>
      <c r="K7" s="18"/>
      <c r="L7" s="18"/>
      <c r="M7" s="18"/>
      <c r="N7" s="18"/>
      <c r="O7" s="18"/>
      <c r="P7" s="18"/>
    </row>
    <row r="8" spans="1:16" ht="15.6">
      <c r="A8" s="14"/>
      <c r="B8" s="72" t="s">
        <v>44</v>
      </c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</row>
    <row r="9" spans="1:16" ht="14.4">
      <c r="A9" s="14" t="s">
        <v>12</v>
      </c>
      <c r="B9" s="14" t="s">
        <v>13</v>
      </c>
      <c r="C9" s="19" t="s">
        <v>14</v>
      </c>
      <c r="D9" s="19" t="s">
        <v>15</v>
      </c>
      <c r="E9" s="19" t="s">
        <v>16</v>
      </c>
      <c r="F9" s="19" t="s">
        <v>17</v>
      </c>
      <c r="G9" s="19" t="s">
        <v>18</v>
      </c>
      <c r="H9" s="19" t="s">
        <v>19</v>
      </c>
      <c r="I9" s="19" t="s">
        <v>20</v>
      </c>
      <c r="J9" s="19" t="s">
        <v>21</v>
      </c>
      <c r="K9" s="19" t="s">
        <v>22</v>
      </c>
      <c r="L9" s="19" t="s">
        <v>23</v>
      </c>
      <c r="M9" s="19" t="s">
        <v>24</v>
      </c>
      <c r="N9" s="19" t="s">
        <v>25</v>
      </c>
      <c r="O9" s="19" t="s">
        <v>26</v>
      </c>
      <c r="P9" s="19" t="s">
        <v>41</v>
      </c>
    </row>
    <row r="10" spans="1:16" ht="15.75" customHeight="1">
      <c r="A10" s="20" t="s">
        <v>27</v>
      </c>
      <c r="B10" s="21" t="s">
        <v>28</v>
      </c>
      <c r="C10" s="21" t="s">
        <v>33</v>
      </c>
      <c r="D10" s="22">
        <v>36892</v>
      </c>
      <c r="E10" s="23">
        <v>36923</v>
      </c>
      <c r="F10" s="23">
        <v>36951</v>
      </c>
      <c r="G10" s="23">
        <v>36982</v>
      </c>
      <c r="H10" s="23">
        <v>37012</v>
      </c>
      <c r="I10" s="23">
        <v>37043</v>
      </c>
      <c r="J10" s="23">
        <v>37073</v>
      </c>
      <c r="K10" s="23">
        <v>37104</v>
      </c>
      <c r="L10" s="23">
        <v>37135</v>
      </c>
      <c r="M10" s="23">
        <v>37165</v>
      </c>
      <c r="N10" s="23">
        <v>37196</v>
      </c>
      <c r="O10" s="23">
        <v>37226</v>
      </c>
      <c r="P10" s="24" t="s">
        <v>0</v>
      </c>
    </row>
    <row r="11" spans="1:16" ht="14.4">
      <c r="A11" s="1">
        <v>1</v>
      </c>
      <c r="B11" s="17" t="s">
        <v>29</v>
      </c>
      <c r="C11" s="4">
        <f>+'SECLE10 Weights by Year (18-20)'!C11</f>
        <v>2018</v>
      </c>
      <c r="D11" s="9">
        <v>106704.64600000002</v>
      </c>
      <c r="E11" s="9">
        <v>98569.825999999986</v>
      </c>
      <c r="F11" s="9">
        <v>89926.301999999996</v>
      </c>
      <c r="G11" s="9">
        <v>82140.841000000015</v>
      </c>
      <c r="H11" s="9">
        <v>80006.008000000002</v>
      </c>
      <c r="I11" s="9">
        <v>97041.623000000021</v>
      </c>
      <c r="J11" s="9">
        <v>110777.14000000001</v>
      </c>
      <c r="K11" s="9">
        <v>109709.39000000001</v>
      </c>
      <c r="L11" s="9">
        <v>103271.133</v>
      </c>
      <c r="M11" s="9">
        <v>89470.744000000006</v>
      </c>
      <c r="N11" s="9">
        <v>79562.5</v>
      </c>
      <c r="O11" s="9">
        <v>89506.524999999994</v>
      </c>
      <c r="P11" s="51">
        <f>SUM(D11:O11)</f>
        <v>1136686.6780000001</v>
      </c>
    </row>
    <row r="12" spans="1:16" ht="14.4">
      <c r="A12" s="1">
        <f>+A11+1</f>
        <v>2</v>
      </c>
      <c r="B12" s="17" t="s">
        <v>29</v>
      </c>
      <c r="C12" s="4">
        <f>+'SECLE10 Weights by Year (18-20)'!C12</f>
        <v>2019</v>
      </c>
      <c r="D12" s="9">
        <v>97973.461999999985</v>
      </c>
      <c r="E12" s="9">
        <v>92638.839999999997</v>
      </c>
      <c r="F12" s="9">
        <v>91168.667000000001</v>
      </c>
      <c r="G12" s="9">
        <v>79931.244999999995</v>
      </c>
      <c r="H12" s="9">
        <v>79649.588000000003</v>
      </c>
      <c r="I12" s="9">
        <v>88323.492000000013</v>
      </c>
      <c r="J12" s="9">
        <v>96969.843000000008</v>
      </c>
      <c r="K12" s="9">
        <v>104030.23100000001</v>
      </c>
      <c r="L12" s="9">
        <v>111369</v>
      </c>
      <c r="M12" s="9">
        <v>100336.72700000001</v>
      </c>
      <c r="N12" s="9">
        <v>84564.349000000002</v>
      </c>
      <c r="O12" s="9">
        <v>89131.051999999996</v>
      </c>
      <c r="P12" s="52">
        <f>SUM(D12:O12)</f>
        <v>1116086.496</v>
      </c>
    </row>
    <row r="13" spans="1:16" ht="15" thickBot="1">
      <c r="A13" s="1">
        <f t="shared" si="0" ref="A13:A64">+A12+1</f>
        <v>3</v>
      </c>
      <c r="B13" s="17" t="s">
        <v>29</v>
      </c>
      <c r="C13" s="4">
        <f>+'SECLE10 Weights by Year (18-20)'!C13</f>
        <v>2020</v>
      </c>
      <c r="D13" s="9">
        <v>92306.881999999983</v>
      </c>
      <c r="E13" s="9">
        <v>90883.330000000016</v>
      </c>
      <c r="F13" s="9">
        <v>86078.601999999999</v>
      </c>
      <c r="G13" s="9">
        <v>77172.508000000016</v>
      </c>
      <c r="H13" s="9">
        <v>77341.10100000001</v>
      </c>
      <c r="I13" s="9">
        <v>89373.610000000015</v>
      </c>
      <c r="J13" s="9">
        <v>102664.326</v>
      </c>
      <c r="K13" s="9">
        <v>106801.63799999998</v>
      </c>
      <c r="L13" s="9">
        <v>102271.47200000001</v>
      </c>
      <c r="M13" s="9">
        <v>87699.781000000003</v>
      </c>
      <c r="N13" s="9">
        <v>85845.55799999999</v>
      </c>
      <c r="O13" s="9">
        <v>85161.571999999986</v>
      </c>
      <c r="P13" s="52">
        <f>SUM(D13:O13)</f>
        <v>1083600.3799999999</v>
      </c>
    </row>
    <row r="14" spans="1:16" ht="14.4">
      <c r="A14" s="1">
        <f t="shared" si="0"/>
        <v>4</v>
      </c>
      <c r="B14" s="17" t="s">
        <v>29</v>
      </c>
      <c r="C14" s="49" t="s">
        <v>1</v>
      </c>
      <c r="D14" s="50">
        <f t="shared" si="1" ref="D14:O14">SUM(D11:D13)</f>
        <v>296984.98999999999</v>
      </c>
      <c r="E14" s="50">
        <f t="shared" si="1"/>
        <v>282091.99599999998</v>
      </c>
      <c r="F14" s="50">
        <f t="shared" si="1"/>
        <v>267173.571</v>
      </c>
      <c r="G14" s="50">
        <f t="shared" si="1"/>
        <v>239244.59400000004</v>
      </c>
      <c r="H14" s="50">
        <f t="shared" si="1"/>
        <v>236996.69700000004</v>
      </c>
      <c r="I14" s="50">
        <f t="shared" si="1"/>
        <v>274738.72500000009</v>
      </c>
      <c r="J14" s="50">
        <f t="shared" si="1"/>
        <v>310411.30900000001</v>
      </c>
      <c r="K14" s="50">
        <f t="shared" si="1"/>
        <v>320541.25900000002</v>
      </c>
      <c r="L14" s="50">
        <f t="shared" si="1"/>
        <v>316911.60499999998</v>
      </c>
      <c r="M14" s="50">
        <f t="shared" si="1"/>
        <v>277507.25200000004</v>
      </c>
      <c r="N14" s="50">
        <f t="shared" si="1"/>
        <v>249972.40699999998</v>
      </c>
      <c r="O14" s="50">
        <f t="shared" si="1"/>
        <v>263799.14899999998</v>
      </c>
      <c r="P14" s="53">
        <f>SUM(D14:O14)</f>
        <v>3336373.5540000005</v>
      </c>
    </row>
    <row r="15" spans="1:16" ht="13.8">
      <c r="A15" s="1">
        <f t="shared" si="0"/>
        <v>5</v>
      </c>
      <c r="B15" s="8"/>
      <c r="C15" s="12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</row>
    <row r="16" spans="1:16" ht="13.8">
      <c r="A16" s="1">
        <f t="shared" si="0"/>
        <v>6</v>
      </c>
      <c r="B16" s="8" t="s">
        <v>5</v>
      </c>
      <c r="C16" s="4">
        <f>+C11</f>
        <v>2018</v>
      </c>
      <c r="D16" s="9">
        <v>6744.049</v>
      </c>
      <c r="E16" s="9">
        <v>5967.152</v>
      </c>
      <c r="F16" s="9">
        <v>4966.7310000000007</v>
      </c>
      <c r="G16" s="9">
        <v>4776.7089999999998</v>
      </c>
      <c r="H16" s="9">
        <v>4781.6390000000001</v>
      </c>
      <c r="I16" s="9">
        <v>6318.0140000000001</v>
      </c>
      <c r="J16" s="9">
        <v>7111.5259999999998</v>
      </c>
      <c r="K16" s="9">
        <v>7194.2960000000003</v>
      </c>
      <c r="L16" s="9">
        <v>6781.5289999999995</v>
      </c>
      <c r="M16" s="9">
        <v>5681.5490000000009</v>
      </c>
      <c r="N16" s="9">
        <v>4761.4979999999996</v>
      </c>
      <c r="O16" s="9">
        <v>5496.0639999999994</v>
      </c>
      <c r="P16" s="52">
        <f>SUM(D16:O16)</f>
        <v>70580.756000000008</v>
      </c>
    </row>
    <row r="17" spans="1:16" ht="13.8">
      <c r="A17" s="1">
        <f t="shared" si="0"/>
        <v>7</v>
      </c>
      <c r="B17" s="8" t="s">
        <v>5</v>
      </c>
      <c r="C17" s="4">
        <f t="shared" si="2" ref="C17:C18">+C12</f>
        <v>2019</v>
      </c>
      <c r="D17" s="9">
        <v>5647.5950000000003</v>
      </c>
      <c r="E17" s="9">
        <v>5933.5119999999997</v>
      </c>
      <c r="F17" s="9">
        <v>5340.1869999999999</v>
      </c>
      <c r="G17" s="9">
        <v>4685.695999999999</v>
      </c>
      <c r="H17" s="9">
        <v>4810.3450000000003</v>
      </c>
      <c r="I17" s="9">
        <v>5794.6000000000004</v>
      </c>
      <c r="J17" s="9">
        <v>6370.8830000000007</v>
      </c>
      <c r="K17" s="9">
        <v>6766.2599999999993</v>
      </c>
      <c r="L17" s="9">
        <v>7208.8499999999995</v>
      </c>
      <c r="M17" s="9">
        <v>6289.7719999999999</v>
      </c>
      <c r="N17" s="9">
        <v>4977.7420000000011</v>
      </c>
      <c r="O17" s="9">
        <v>5259.0840000000007</v>
      </c>
      <c r="P17" s="52">
        <f>SUM(D17:O17)</f>
        <v>69084.525999999998</v>
      </c>
    </row>
    <row r="18" spans="1:16" ht="14.4" thickBot="1">
      <c r="A18" s="1">
        <f t="shared" si="0"/>
        <v>8</v>
      </c>
      <c r="B18" s="8" t="s">
        <v>5</v>
      </c>
      <c r="C18" s="4">
        <f t="shared" si="2"/>
        <v>2020</v>
      </c>
      <c r="D18" s="9">
        <v>5496.1459999999997</v>
      </c>
      <c r="E18" s="9">
        <v>5529.2459999999992</v>
      </c>
      <c r="F18" s="9">
        <v>5125.0170000000007</v>
      </c>
      <c r="G18" s="9">
        <v>4565.5659999999998</v>
      </c>
      <c r="H18" s="9">
        <v>4615.0810000000001</v>
      </c>
      <c r="I18" s="9">
        <v>5608.9469999999992</v>
      </c>
      <c r="J18" s="9">
        <v>6762.7260000000015</v>
      </c>
      <c r="K18" s="9">
        <v>6961.7120000000004</v>
      </c>
      <c r="L18" s="9">
        <v>6777.9789999999994</v>
      </c>
      <c r="M18" s="9">
        <v>5426.5079999999998</v>
      </c>
      <c r="N18" s="9">
        <v>5033.9609999999993</v>
      </c>
      <c r="O18" s="9">
        <v>4991.7250000000004</v>
      </c>
      <c r="P18" s="52">
        <f>SUM(D18:O18)</f>
        <v>66894.614000000001</v>
      </c>
    </row>
    <row r="19" spans="1:16" ht="13.8">
      <c r="A19" s="1">
        <f t="shared" si="0"/>
        <v>9</v>
      </c>
      <c r="B19" s="8" t="s">
        <v>5</v>
      </c>
      <c r="C19" s="49" t="s">
        <v>1</v>
      </c>
      <c r="D19" s="50">
        <f t="shared" si="3" ref="D19:O19">SUM(D16:D18)</f>
        <v>17887.790000000001</v>
      </c>
      <c r="E19" s="50">
        <f t="shared" si="3"/>
        <v>17429.91</v>
      </c>
      <c r="F19" s="50">
        <f t="shared" si="3"/>
        <v>15431.935000000001</v>
      </c>
      <c r="G19" s="50">
        <f t="shared" si="3"/>
        <v>14027.970999999998</v>
      </c>
      <c r="H19" s="50">
        <f t="shared" si="3"/>
        <v>14207.065000000001</v>
      </c>
      <c r="I19" s="50">
        <f t="shared" si="3"/>
        <v>17721.561000000002</v>
      </c>
      <c r="J19" s="50">
        <f t="shared" si="3"/>
        <v>20245.135000000002</v>
      </c>
      <c r="K19" s="50">
        <f t="shared" si="3"/>
        <v>20922.268</v>
      </c>
      <c r="L19" s="50">
        <f t="shared" si="3"/>
        <v>20768.358</v>
      </c>
      <c r="M19" s="50">
        <f t="shared" si="3"/>
        <v>17397.828999999998</v>
      </c>
      <c r="N19" s="50">
        <f t="shared" si="3"/>
        <v>14773.201000000001</v>
      </c>
      <c r="O19" s="50">
        <f t="shared" si="3"/>
        <v>15746.873000000001</v>
      </c>
      <c r="P19" s="53">
        <f>SUM(D19:O19)</f>
        <v>206559.89600000001</v>
      </c>
    </row>
    <row r="20" spans="1:16" ht="13.8">
      <c r="A20" s="1">
        <f t="shared" si="0"/>
        <v>10</v>
      </c>
      <c r="B20" s="8"/>
      <c r="C20" s="12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</row>
    <row r="21" spans="1:16" ht="13.8">
      <c r="A21" s="1">
        <f t="shared" si="0"/>
        <v>11</v>
      </c>
      <c r="B21" s="8" t="s">
        <v>6</v>
      </c>
      <c r="C21" s="4">
        <f>+C16</f>
        <v>2018</v>
      </c>
      <c r="D21" s="9">
        <v>6173.1869999999999</v>
      </c>
      <c r="E21" s="9">
        <v>5582.9639999999999</v>
      </c>
      <c r="F21" s="9">
        <v>4759.5240000000003</v>
      </c>
      <c r="G21" s="9">
        <v>4510.7489999999998</v>
      </c>
      <c r="H21" s="9">
        <v>4416.4470000000001</v>
      </c>
      <c r="I21" s="9">
        <v>5443.192</v>
      </c>
      <c r="J21" s="9">
        <v>6084.3729999999996</v>
      </c>
      <c r="K21" s="9">
        <v>6209.4759999999997</v>
      </c>
      <c r="L21" s="9">
        <v>6094.5219999999999</v>
      </c>
      <c r="M21" s="9">
        <v>5158.4750000000004</v>
      </c>
      <c r="N21" s="9">
        <v>4607.0550000000003</v>
      </c>
      <c r="O21" s="9">
        <v>5160.3860000000004</v>
      </c>
      <c r="P21" s="52">
        <f>SUM(D21:O21)</f>
        <v>64200.349999999999</v>
      </c>
    </row>
    <row r="22" spans="1:16" ht="13.8">
      <c r="A22" s="1">
        <f t="shared" si="0"/>
        <v>12</v>
      </c>
      <c r="B22" s="8" t="s">
        <v>6</v>
      </c>
      <c r="C22" s="4">
        <f t="shared" si="4" ref="C22:C23">+C17</f>
        <v>2019</v>
      </c>
      <c r="D22" s="9">
        <v>5412.232</v>
      </c>
      <c r="E22" s="9">
        <v>5466.2139999999999</v>
      </c>
      <c r="F22" s="9">
        <v>5053.7709999999997</v>
      </c>
      <c r="G22" s="9">
        <v>4514.0529999999999</v>
      </c>
      <c r="H22" s="9">
        <v>4561.7969999999996</v>
      </c>
      <c r="I22" s="9">
        <v>5121.4930000000004</v>
      </c>
      <c r="J22" s="9">
        <v>5608.0060000000003</v>
      </c>
      <c r="K22" s="9">
        <v>6004.9660000000003</v>
      </c>
      <c r="L22" s="9">
        <v>6426.1670000000004</v>
      </c>
      <c r="M22" s="9">
        <v>5811.4830000000002</v>
      </c>
      <c r="N22" s="9">
        <v>4908.5219999999999</v>
      </c>
      <c r="O22" s="9">
        <v>5029.1899999999996</v>
      </c>
      <c r="P22" s="52">
        <f>SUM(D22:O22)</f>
        <v>63917.894</v>
      </c>
    </row>
    <row r="23" spans="1:16" ht="14.4" thickBot="1">
      <c r="A23" s="1">
        <f t="shared" si="0"/>
        <v>13</v>
      </c>
      <c r="B23" s="8" t="s">
        <v>6</v>
      </c>
      <c r="C23" s="4">
        <f t="shared" si="4"/>
        <v>2020</v>
      </c>
      <c r="D23" s="9">
        <v>5195.848</v>
      </c>
      <c r="E23" s="9">
        <v>5019.6930000000002</v>
      </c>
      <c r="F23" s="9">
        <v>4892.3609999999999</v>
      </c>
      <c r="G23" s="9">
        <v>4321.7129999999997</v>
      </c>
      <c r="H23" s="9">
        <v>4359.9380000000001</v>
      </c>
      <c r="I23" s="9">
        <v>5138.5339999999997</v>
      </c>
      <c r="J23" s="9">
        <v>5882.8000000000002</v>
      </c>
      <c r="K23" s="9">
        <v>6102.9200000000001</v>
      </c>
      <c r="L23" s="9">
        <v>6113.9859999999999</v>
      </c>
      <c r="M23" s="9">
        <v>5135.7399999999998</v>
      </c>
      <c r="N23" s="9">
        <v>5081.6020000000008</v>
      </c>
      <c r="O23" s="9">
        <v>4956.0889999999999</v>
      </c>
      <c r="P23" s="52">
        <f>SUM(D23:O23)</f>
        <v>62201.223999999995</v>
      </c>
    </row>
    <row r="24" spans="1:16" ht="13.8">
      <c r="A24" s="1">
        <f t="shared" si="0"/>
        <v>14</v>
      </c>
      <c r="B24" s="8" t="s">
        <v>6</v>
      </c>
      <c r="C24" s="49" t="s">
        <v>1</v>
      </c>
      <c r="D24" s="50">
        <f t="shared" si="5" ref="D24:O24">SUM(D21:D23)</f>
        <v>16781.267</v>
      </c>
      <c r="E24" s="50">
        <f t="shared" si="5"/>
        <v>16068.870999999999</v>
      </c>
      <c r="F24" s="50">
        <f t="shared" si="5"/>
        <v>14705.655999999999</v>
      </c>
      <c r="G24" s="50">
        <f t="shared" si="5"/>
        <v>13346.514999999999</v>
      </c>
      <c r="H24" s="50">
        <f t="shared" si="5"/>
        <v>13338.181999999999</v>
      </c>
      <c r="I24" s="50">
        <f t="shared" si="5"/>
        <v>15703.219000000001</v>
      </c>
      <c r="J24" s="50">
        <f t="shared" si="5"/>
        <v>17575.179</v>
      </c>
      <c r="K24" s="50">
        <f t="shared" si="5"/>
        <v>18317.362000000001</v>
      </c>
      <c r="L24" s="50">
        <f t="shared" si="5"/>
        <v>18634.674999999999</v>
      </c>
      <c r="M24" s="50">
        <f t="shared" si="5"/>
        <v>16105.698</v>
      </c>
      <c r="N24" s="50">
        <f t="shared" si="5"/>
        <v>14597.179000000002</v>
      </c>
      <c r="O24" s="50">
        <f t="shared" si="5"/>
        <v>15145.665000000001</v>
      </c>
      <c r="P24" s="53">
        <f>SUM(D24:O24)</f>
        <v>190319.46799999999</v>
      </c>
    </row>
    <row r="25" spans="1:16" ht="13.8">
      <c r="A25" s="1">
        <f t="shared" si="0"/>
        <v>15</v>
      </c>
      <c r="B25" s="8"/>
      <c r="C25" s="12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</row>
    <row r="26" spans="1:16" ht="13.8">
      <c r="A26" s="1">
        <f t="shared" si="0"/>
        <v>16</v>
      </c>
      <c r="B26" s="8" t="s">
        <v>7</v>
      </c>
      <c r="C26" s="4">
        <f>+C21</f>
        <v>2018</v>
      </c>
      <c r="D26" s="9">
        <v>5875.3590000000004</v>
      </c>
      <c r="E26" s="9">
        <v>5278.9640000000009</v>
      </c>
      <c r="F26" s="9">
        <v>4686.2439999999997</v>
      </c>
      <c r="G26" s="9">
        <v>4325.1630000000005</v>
      </c>
      <c r="H26" s="9">
        <v>4253.3639999999996</v>
      </c>
      <c r="I26" s="9">
        <v>5336.4369999999999</v>
      </c>
      <c r="J26" s="9">
        <v>6001.5429999999997</v>
      </c>
      <c r="K26" s="9">
        <v>6141.8999999999996</v>
      </c>
      <c r="L26" s="9">
        <v>5955.5420000000013</v>
      </c>
      <c r="M26" s="9">
        <v>5061.7510000000002</v>
      </c>
      <c r="N26" s="9">
        <v>4487.9470000000001</v>
      </c>
      <c r="O26" s="9">
        <v>5131.8699999999999</v>
      </c>
      <c r="P26" s="52">
        <f>SUM(D26:O26)</f>
        <v>62536.083999999995</v>
      </c>
    </row>
    <row r="27" spans="1:16" ht="13.8">
      <c r="A27" s="1">
        <f t="shared" si="0"/>
        <v>17</v>
      </c>
      <c r="B27" s="8" t="s">
        <v>7</v>
      </c>
      <c r="C27" s="4">
        <f t="shared" si="6" ref="C27:C28">+C22</f>
        <v>2019</v>
      </c>
      <c r="D27" s="9">
        <v>5404.8620000000001</v>
      </c>
      <c r="E27" s="9">
        <v>5466.2969999999996</v>
      </c>
      <c r="F27" s="9">
        <v>5166.9049999999997</v>
      </c>
      <c r="G27" s="9">
        <v>4533.7300000000005</v>
      </c>
      <c r="H27" s="9">
        <v>4556.5970000000007</v>
      </c>
      <c r="I27" s="9">
        <v>5192.1899999999996</v>
      </c>
      <c r="J27" s="9">
        <v>5657.0019999999995</v>
      </c>
      <c r="K27" s="9">
        <v>6104.8090000000002</v>
      </c>
      <c r="L27" s="9">
        <v>6476.2200000000003</v>
      </c>
      <c r="M27" s="9">
        <v>5757.1490000000003</v>
      </c>
      <c r="N27" s="9">
        <v>4798.9499999999998</v>
      </c>
      <c r="O27" s="9">
        <v>4968.4520000000002</v>
      </c>
      <c r="P27" s="52">
        <f>SUM(D27:O27)</f>
        <v>64083.162999999993</v>
      </c>
    </row>
    <row r="28" spans="1:16" ht="14.4" thickBot="1">
      <c r="A28" s="1">
        <f t="shared" si="0"/>
        <v>18</v>
      </c>
      <c r="B28" s="8" t="s">
        <v>7</v>
      </c>
      <c r="C28" s="4">
        <f t="shared" si="6"/>
        <v>2020</v>
      </c>
      <c r="D28" s="9">
        <v>5207.9170000000004</v>
      </c>
      <c r="E28" s="9">
        <v>4978.5990000000002</v>
      </c>
      <c r="F28" s="9">
        <v>4818.6250000000009</v>
      </c>
      <c r="G28" s="9">
        <v>4252.058</v>
      </c>
      <c r="H28" s="9">
        <v>4343.6599999999999</v>
      </c>
      <c r="I28" s="9">
        <v>5085.5309999999999</v>
      </c>
      <c r="J28" s="9">
        <v>5873.424</v>
      </c>
      <c r="K28" s="9">
        <v>6116.3099999999995</v>
      </c>
      <c r="L28" s="9">
        <v>5991.2030000000004</v>
      </c>
      <c r="M28" s="9">
        <v>4926.5029999999997</v>
      </c>
      <c r="N28" s="9">
        <v>4862.9430000000002</v>
      </c>
      <c r="O28" s="9">
        <v>4696.4450000000006</v>
      </c>
      <c r="P28" s="52">
        <f>SUM(D28:O28)</f>
        <v>61153.217999999993</v>
      </c>
    </row>
    <row r="29" spans="1:16" ht="13.8">
      <c r="A29" s="1">
        <f t="shared" si="0"/>
        <v>19</v>
      </c>
      <c r="B29" s="8" t="s">
        <v>7</v>
      </c>
      <c r="C29" s="49" t="s">
        <v>1</v>
      </c>
      <c r="D29" s="50">
        <f t="shared" si="7" ref="D29:O29">SUM(D26:D28)</f>
        <v>16488.138000000003</v>
      </c>
      <c r="E29" s="50">
        <f t="shared" si="7"/>
        <v>15723.860000000001</v>
      </c>
      <c r="F29" s="50">
        <f t="shared" si="7"/>
        <v>14671.774000000001</v>
      </c>
      <c r="G29" s="50">
        <f t="shared" si="7"/>
        <v>13110.951000000001</v>
      </c>
      <c r="H29" s="50">
        <f t="shared" si="7"/>
        <v>13153.620999999999</v>
      </c>
      <c r="I29" s="50">
        <f t="shared" si="7"/>
        <v>15614.157999999999</v>
      </c>
      <c r="J29" s="50">
        <f t="shared" si="7"/>
        <v>17531.968999999997</v>
      </c>
      <c r="K29" s="50">
        <f t="shared" si="7"/>
        <v>18363.019</v>
      </c>
      <c r="L29" s="50">
        <f t="shared" si="7"/>
        <v>18422.965000000004</v>
      </c>
      <c r="M29" s="50">
        <f t="shared" si="7"/>
        <v>15745.403000000002</v>
      </c>
      <c r="N29" s="50">
        <f t="shared" si="7"/>
        <v>14149.84</v>
      </c>
      <c r="O29" s="50">
        <f t="shared" si="7"/>
        <v>14796.767</v>
      </c>
      <c r="P29" s="53">
        <f>SUM(D29:O29)</f>
        <v>187772.465</v>
      </c>
    </row>
    <row r="30" spans="1:16" ht="14.4">
      <c r="A30" s="1">
        <f t="shared" si="0"/>
        <v>20</v>
      </c>
      <c r="B30" s="8"/>
      <c r="C30" s="13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</row>
    <row r="31" spans="1:16" ht="13.8">
      <c r="A31" s="1">
        <f t="shared" si="0"/>
        <v>21</v>
      </c>
      <c r="B31" s="8" t="s">
        <v>8</v>
      </c>
      <c r="C31" s="4">
        <f>+C26</f>
        <v>2018</v>
      </c>
      <c r="D31" s="9">
        <v>7750.2690000000002</v>
      </c>
      <c r="E31" s="9">
        <v>7157.3159999999989</v>
      </c>
      <c r="F31" s="9">
        <v>6076.6440000000002</v>
      </c>
      <c r="G31" s="9">
        <v>5545.2049999999999</v>
      </c>
      <c r="H31" s="9">
        <v>5495.0960000000005</v>
      </c>
      <c r="I31" s="9">
        <v>7276.6370000000006</v>
      </c>
      <c r="J31" s="9">
        <v>8586.9449999999997</v>
      </c>
      <c r="K31" s="9">
        <v>8656.2029999999995</v>
      </c>
      <c r="L31" s="9">
        <v>8255.8429999999989</v>
      </c>
      <c r="M31" s="9">
        <v>6655.0190000000002</v>
      </c>
      <c r="N31" s="9">
        <v>5536.9989999999998</v>
      </c>
      <c r="O31" s="9">
        <v>6357.6469999999999</v>
      </c>
      <c r="P31" s="52">
        <f>SUM(D31:O31)</f>
        <v>83349.822999999989</v>
      </c>
    </row>
    <row r="32" spans="1:16" ht="13.8">
      <c r="A32" s="1">
        <f t="shared" si="0"/>
        <v>22</v>
      </c>
      <c r="B32" s="8" t="s">
        <v>8</v>
      </c>
      <c r="C32" s="4">
        <f t="shared" si="8" ref="C32:C33">+C27</f>
        <v>2019</v>
      </c>
      <c r="D32" s="9">
        <v>6765.0059999999994</v>
      </c>
      <c r="E32" s="9">
        <v>7002.6570000000002</v>
      </c>
      <c r="F32" s="9">
        <v>6572.1549999999997</v>
      </c>
      <c r="G32" s="9">
        <v>5626.2190000000001</v>
      </c>
      <c r="H32" s="9">
        <v>5556.3949999999995</v>
      </c>
      <c r="I32" s="9">
        <v>6532.857</v>
      </c>
      <c r="J32" s="9">
        <v>7357.7210000000005</v>
      </c>
      <c r="K32" s="9">
        <v>8088.5449999999992</v>
      </c>
      <c r="L32" s="9">
        <v>8816.8339999999989</v>
      </c>
      <c r="M32" s="9">
        <v>7671.8790000000008</v>
      </c>
      <c r="N32" s="9">
        <v>5913.3269999999993</v>
      </c>
      <c r="O32" s="9">
        <v>6207.3809999999994</v>
      </c>
      <c r="P32" s="52">
        <f>SUM(D32:O32)</f>
        <v>82110.975999999995</v>
      </c>
    </row>
    <row r="33" spans="1:16" ht="14.4" thickBot="1">
      <c r="A33" s="1">
        <f t="shared" si="0"/>
        <v>23</v>
      </c>
      <c r="B33" s="8" t="s">
        <v>8</v>
      </c>
      <c r="C33" s="4">
        <f t="shared" si="8"/>
        <v>2020</v>
      </c>
      <c r="D33" s="9">
        <v>6596.4350000000004</v>
      </c>
      <c r="E33" s="9">
        <v>6590.6299999999992</v>
      </c>
      <c r="F33" s="9">
        <v>6098.4360000000006</v>
      </c>
      <c r="G33" s="9">
        <v>5298.6120000000001</v>
      </c>
      <c r="H33" s="9">
        <v>5363.8079999999991</v>
      </c>
      <c r="I33" s="9">
        <v>6532.9089999999997</v>
      </c>
      <c r="J33" s="9">
        <v>7937.4009999999998</v>
      </c>
      <c r="K33" s="9">
        <v>8262.5830000000005</v>
      </c>
      <c r="L33" s="9">
        <v>7899.1719999999996</v>
      </c>
      <c r="M33" s="9">
        <v>6301.4440000000004</v>
      </c>
      <c r="N33" s="9">
        <v>5910.0810000000001</v>
      </c>
      <c r="O33" s="9">
        <v>5929.4899999999998</v>
      </c>
      <c r="P33" s="52">
        <f>SUM(D33:O33)</f>
        <v>78721.001000000004</v>
      </c>
    </row>
    <row r="34" spans="1:16" ht="13.8">
      <c r="A34" s="1">
        <f t="shared" si="0"/>
        <v>24</v>
      </c>
      <c r="B34" s="8" t="s">
        <v>8</v>
      </c>
      <c r="C34" s="49" t="s">
        <v>1</v>
      </c>
      <c r="D34" s="50">
        <f t="shared" si="9" ref="D34:O34">SUM(D31:D33)</f>
        <v>21111.709999999999</v>
      </c>
      <c r="E34" s="50">
        <f t="shared" si="9"/>
        <v>20750.602999999996</v>
      </c>
      <c r="F34" s="50">
        <f t="shared" si="9"/>
        <v>18747.235000000001</v>
      </c>
      <c r="G34" s="50">
        <f t="shared" si="9"/>
        <v>16470.036</v>
      </c>
      <c r="H34" s="50">
        <f t="shared" si="9"/>
        <v>16415.298999999999</v>
      </c>
      <c r="I34" s="50">
        <f t="shared" si="9"/>
        <v>20342.402999999998</v>
      </c>
      <c r="J34" s="50">
        <f t="shared" si="9"/>
        <v>23882.067000000003</v>
      </c>
      <c r="K34" s="50">
        <f t="shared" si="9"/>
        <v>25007.330999999998</v>
      </c>
      <c r="L34" s="50">
        <f t="shared" si="9"/>
        <v>24971.848999999995</v>
      </c>
      <c r="M34" s="50">
        <f t="shared" si="9"/>
        <v>20628.342000000001</v>
      </c>
      <c r="N34" s="50">
        <f t="shared" si="9"/>
        <v>17360.406999999999</v>
      </c>
      <c r="O34" s="50">
        <f t="shared" si="9"/>
        <v>18494.517999999996</v>
      </c>
      <c r="P34" s="53">
        <f>SUM(D34:O34)</f>
        <v>244181.79999999999</v>
      </c>
    </row>
    <row r="35" spans="1:16" ht="13.8">
      <c r="A35" s="1">
        <f t="shared" si="0"/>
        <v>25</v>
      </c>
      <c r="B35" s="8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</row>
    <row r="36" spans="1:16" ht="13.8">
      <c r="A36" s="1">
        <f t="shared" si="0"/>
        <v>26</v>
      </c>
      <c r="B36" s="8" t="s">
        <v>3</v>
      </c>
      <c r="C36" s="4">
        <f>+C31</f>
        <v>2018</v>
      </c>
      <c r="D36" s="9">
        <v>6541.0390000000007</v>
      </c>
      <c r="E36" s="9">
        <v>5998.4440000000013</v>
      </c>
      <c r="F36" s="9">
        <v>5585.5389999999998</v>
      </c>
      <c r="G36" s="9">
        <v>4826.1590000000006</v>
      </c>
      <c r="H36" s="9">
        <v>4768.3779999999997</v>
      </c>
      <c r="I36" s="9">
        <v>6087.8189999999995</v>
      </c>
      <c r="J36" s="9">
        <v>7051.491</v>
      </c>
      <c r="K36" s="9">
        <v>7242.8829999999998</v>
      </c>
      <c r="L36" s="9">
        <v>6889.9220000000005</v>
      </c>
      <c r="M36" s="9">
        <v>5775.2659999999996</v>
      </c>
      <c r="N36" s="9">
        <v>4984.8130000000001</v>
      </c>
      <c r="O36" s="9">
        <v>5590.9160000000002</v>
      </c>
      <c r="P36" s="52">
        <f>SUM(D36:O36)</f>
        <v>71342.668999999994</v>
      </c>
    </row>
    <row r="37" spans="1:16" ht="13.8">
      <c r="A37" s="1">
        <f t="shared" si="0"/>
        <v>27</v>
      </c>
      <c r="B37" s="8" t="s">
        <v>3</v>
      </c>
      <c r="C37" s="4">
        <f t="shared" si="10" ref="C37:C38">+C32</f>
        <v>2019</v>
      </c>
      <c r="D37" s="9">
        <v>6002.6350000000002</v>
      </c>
      <c r="E37" s="9">
        <v>6090.1959999999999</v>
      </c>
      <c r="F37" s="9">
        <v>5829.2910000000002</v>
      </c>
      <c r="G37" s="9">
        <v>5040.0200000000004</v>
      </c>
      <c r="H37" s="9">
        <v>5035.3639999999996</v>
      </c>
      <c r="I37" s="9">
        <v>5696.1970000000001</v>
      </c>
      <c r="J37" s="9">
        <v>6286.3909999999996</v>
      </c>
      <c r="K37" s="9">
        <v>6843.8890000000001</v>
      </c>
      <c r="L37" s="9">
        <v>7512.982</v>
      </c>
      <c r="M37" s="9">
        <v>6685.2150000000001</v>
      </c>
      <c r="N37" s="9">
        <v>5371.8909999999996</v>
      </c>
      <c r="O37" s="9">
        <v>5582.7529999999997</v>
      </c>
      <c r="P37" s="52">
        <f>SUM(D37:O37)</f>
        <v>71976.823999999993</v>
      </c>
    </row>
    <row r="38" spans="1:16" ht="14.4" thickBot="1">
      <c r="A38" s="1">
        <f t="shared" si="0"/>
        <v>28</v>
      </c>
      <c r="B38" s="8" t="s">
        <v>3</v>
      </c>
      <c r="C38" s="4">
        <f t="shared" si="10"/>
        <v>2020</v>
      </c>
      <c r="D38" s="9">
        <v>5720.5410000000002</v>
      </c>
      <c r="E38" s="9">
        <v>5590.4800000000005</v>
      </c>
      <c r="F38" s="9">
        <v>5493.4480000000003</v>
      </c>
      <c r="G38" s="9">
        <v>4843.835</v>
      </c>
      <c r="H38" s="9">
        <v>4965.8829999999998</v>
      </c>
      <c r="I38" s="9">
        <v>5829.0119999999997</v>
      </c>
      <c r="J38" s="9">
        <v>6752.6659999999993</v>
      </c>
      <c r="K38" s="9">
        <v>7182.8139999999994</v>
      </c>
      <c r="L38" s="9">
        <v>6941.6200000000008</v>
      </c>
      <c r="M38" s="9">
        <v>5696.1620000000003</v>
      </c>
      <c r="N38" s="9">
        <v>5467.482</v>
      </c>
      <c r="O38" s="9">
        <v>5248.7109999999993</v>
      </c>
      <c r="P38" s="52">
        <f>SUM(D38:O38)</f>
        <v>69732.653999999995</v>
      </c>
    </row>
    <row r="39" spans="1:16" ht="13.8">
      <c r="A39" s="1">
        <f t="shared" si="0"/>
        <v>29</v>
      </c>
      <c r="B39" s="8" t="s">
        <v>3</v>
      </c>
      <c r="C39" s="49" t="s">
        <v>1</v>
      </c>
      <c r="D39" s="50">
        <f t="shared" si="11" ref="D39:O39">SUM(D36:D38)</f>
        <v>18264.215</v>
      </c>
      <c r="E39" s="50">
        <f t="shared" si="11"/>
        <v>17679.120000000003</v>
      </c>
      <c r="F39" s="50">
        <f t="shared" si="11"/>
        <v>16908.277999999998</v>
      </c>
      <c r="G39" s="50">
        <f t="shared" si="11"/>
        <v>14710.013999999999</v>
      </c>
      <c r="H39" s="50">
        <f t="shared" si="11"/>
        <v>14769.624999999998</v>
      </c>
      <c r="I39" s="50">
        <f t="shared" si="11"/>
        <v>17613.027999999998</v>
      </c>
      <c r="J39" s="50">
        <f t="shared" si="11"/>
        <v>20090.547999999999</v>
      </c>
      <c r="K39" s="50">
        <f t="shared" si="11"/>
        <v>21269.585999999999</v>
      </c>
      <c r="L39" s="50">
        <f t="shared" si="11"/>
        <v>21344.524000000001</v>
      </c>
      <c r="M39" s="50">
        <f t="shared" si="11"/>
        <v>18156.643</v>
      </c>
      <c r="N39" s="50">
        <f t="shared" si="11"/>
        <v>15824.186</v>
      </c>
      <c r="O39" s="50">
        <f t="shared" si="11"/>
        <v>16422.379999999997</v>
      </c>
      <c r="P39" s="53">
        <f>SUM(D39:O39)</f>
        <v>213052.147</v>
      </c>
    </row>
    <row r="40" spans="1:16" ht="13.8">
      <c r="A40" s="1">
        <f t="shared" si="0"/>
        <v>30</v>
      </c>
      <c r="B40" s="8"/>
      <c r="C40" s="12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</row>
    <row r="41" spans="1:16" ht="13.8">
      <c r="A41" s="1">
        <f t="shared" si="0"/>
        <v>31</v>
      </c>
      <c r="B41" s="8" t="s">
        <v>9</v>
      </c>
      <c r="C41" s="4">
        <f>+C36</f>
        <v>2018</v>
      </c>
      <c r="D41" s="9">
        <v>5235.0789999999988</v>
      </c>
      <c r="E41" s="9">
        <v>4718.9409999999989</v>
      </c>
      <c r="F41" s="9">
        <v>4209.3380000000006</v>
      </c>
      <c r="G41" s="9">
        <v>3808.1939999999995</v>
      </c>
      <c r="H41" s="9">
        <v>3995.3240000000001</v>
      </c>
      <c r="I41" s="9">
        <v>4931.8379999999988</v>
      </c>
      <c r="J41" s="9">
        <v>5821.1200000000008</v>
      </c>
      <c r="K41" s="9">
        <v>5615.6889999999994</v>
      </c>
      <c r="L41" s="9">
        <v>5074.4390000000003</v>
      </c>
      <c r="M41" s="9">
        <v>4106.9500000000007</v>
      </c>
      <c r="N41" s="9">
        <v>3800.7959999999994</v>
      </c>
      <c r="O41" s="9">
        <v>4337.4369999999999</v>
      </c>
      <c r="P41" s="52">
        <f>SUM(D41:O41)</f>
        <v>55655.144999999997</v>
      </c>
    </row>
    <row r="42" spans="1:16" ht="13.8">
      <c r="A42" s="1">
        <f t="shared" si="0"/>
        <v>32</v>
      </c>
      <c r="B42" s="8" t="s">
        <v>9</v>
      </c>
      <c r="C42" s="4">
        <f t="shared" si="12" ref="C42:C43">+C37</f>
        <v>2019</v>
      </c>
      <c r="D42" s="9">
        <v>4732.8779999999997</v>
      </c>
      <c r="E42" s="9">
        <v>4643.7929999999997</v>
      </c>
      <c r="F42" s="9">
        <v>4297.8269999999993</v>
      </c>
      <c r="G42" s="9">
        <v>3840.9410000000003</v>
      </c>
      <c r="H42" s="9">
        <v>3807.6589999999997</v>
      </c>
      <c r="I42" s="9">
        <v>4101.4060000000009</v>
      </c>
      <c r="J42" s="9">
        <v>4897.8720000000012</v>
      </c>
      <c r="K42" s="9">
        <v>5659.9190000000008</v>
      </c>
      <c r="L42" s="9">
        <v>5702.9969999999994</v>
      </c>
      <c r="M42" s="9">
        <v>4849.7879999999996</v>
      </c>
      <c r="N42" s="9">
        <v>4239.7610000000004</v>
      </c>
      <c r="O42" s="9">
        <v>4467.1030000000001</v>
      </c>
      <c r="P42" s="52">
        <f>SUM(D42:O42)</f>
        <v>55241.944000000003</v>
      </c>
    </row>
    <row r="43" spans="1:16" ht="14.4" thickBot="1">
      <c r="A43" s="1">
        <f t="shared" si="0"/>
        <v>33</v>
      </c>
      <c r="B43" s="8" t="s">
        <v>9</v>
      </c>
      <c r="C43" s="4">
        <f t="shared" si="12"/>
        <v>2020</v>
      </c>
      <c r="D43" s="9">
        <v>4628.1709999999994</v>
      </c>
      <c r="E43" s="9">
        <v>4527.3109999999997</v>
      </c>
      <c r="F43" s="9">
        <v>4185.6419999999998</v>
      </c>
      <c r="G43" s="9">
        <v>3730.7370000000005</v>
      </c>
      <c r="H43" s="9">
        <v>3791.2529999999997</v>
      </c>
      <c r="I43" s="9">
        <v>4453.3079999999991</v>
      </c>
      <c r="J43" s="9">
        <v>5433.5740000000005</v>
      </c>
      <c r="K43" s="9">
        <v>5566.1099999999997</v>
      </c>
      <c r="L43" s="9">
        <v>5161.5699999999988</v>
      </c>
      <c r="M43" s="9">
        <v>4083.8820000000005</v>
      </c>
      <c r="N43" s="9">
        <v>4122.3409999999994</v>
      </c>
      <c r="O43" s="9">
        <v>4191.5140000000001</v>
      </c>
      <c r="P43" s="52">
        <f>SUM(D43:O43)</f>
        <v>53875.413</v>
      </c>
    </row>
    <row r="44" spans="1:16" ht="13.8">
      <c r="A44" s="1">
        <f t="shared" si="0"/>
        <v>34</v>
      </c>
      <c r="B44" s="8" t="s">
        <v>9</v>
      </c>
      <c r="C44" s="49" t="s">
        <v>1</v>
      </c>
      <c r="D44" s="50">
        <f t="shared" si="13" ref="D44:O44">SUM(D41:D43)</f>
        <v>14596.127999999997</v>
      </c>
      <c r="E44" s="50">
        <f t="shared" si="13"/>
        <v>13890.044999999998</v>
      </c>
      <c r="F44" s="50">
        <f t="shared" si="13"/>
        <v>12692.807000000001</v>
      </c>
      <c r="G44" s="50">
        <f t="shared" si="13"/>
        <v>11379.872000000001</v>
      </c>
      <c r="H44" s="50">
        <f t="shared" si="13"/>
        <v>11594.236000000001</v>
      </c>
      <c r="I44" s="50">
        <f t="shared" si="13"/>
        <v>13486.551999999998</v>
      </c>
      <c r="J44" s="50">
        <f t="shared" si="13"/>
        <v>16152.566000000003</v>
      </c>
      <c r="K44" s="50">
        <f t="shared" si="13"/>
        <v>16841.718000000001</v>
      </c>
      <c r="L44" s="50">
        <f t="shared" si="13"/>
        <v>15939.005999999998</v>
      </c>
      <c r="M44" s="50">
        <f t="shared" si="13"/>
        <v>13040.620000000003</v>
      </c>
      <c r="N44" s="50">
        <f t="shared" si="13"/>
        <v>12162.897999999999</v>
      </c>
      <c r="O44" s="50">
        <f t="shared" si="13"/>
        <v>12996.054</v>
      </c>
      <c r="P44" s="53">
        <f>SUM(D44:O44)</f>
        <v>164772.50199999998</v>
      </c>
    </row>
    <row r="45" spans="1:16" ht="13.8">
      <c r="A45" s="1">
        <f t="shared" si="0"/>
        <v>35</v>
      </c>
      <c r="B45" s="8"/>
      <c r="C45" s="12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</row>
    <row r="46" spans="1:16" ht="13.8">
      <c r="A46" s="1">
        <f t="shared" si="0"/>
        <v>36</v>
      </c>
      <c r="B46" s="8" t="s">
        <v>4</v>
      </c>
      <c r="C46" s="4">
        <f>+C41</f>
        <v>2018</v>
      </c>
      <c r="D46" s="9">
        <v>4873.3999999999996</v>
      </c>
      <c r="E46" s="9">
        <v>4327.0290000000005</v>
      </c>
      <c r="F46" s="9">
        <v>3926.7200000000003</v>
      </c>
      <c r="G46" s="9">
        <v>3545.0190000000002</v>
      </c>
      <c r="H46" s="9">
        <v>3474.0540000000001</v>
      </c>
      <c r="I46" s="9">
        <v>4440.4800000000005</v>
      </c>
      <c r="J46" s="9">
        <v>5074.1439999999993</v>
      </c>
      <c r="K46" s="9">
        <v>5064.5160000000005</v>
      </c>
      <c r="L46" s="9">
        <v>4673.0110000000004</v>
      </c>
      <c r="M46" s="9">
        <v>3855.8760000000002</v>
      </c>
      <c r="N46" s="9">
        <v>3391.6970000000001</v>
      </c>
      <c r="O46" s="9">
        <v>3957.7020000000002</v>
      </c>
      <c r="P46" s="52">
        <f>SUM(D46:O46)</f>
        <v>50603.647999999994</v>
      </c>
    </row>
    <row r="47" spans="1:16" ht="13.8">
      <c r="A47" s="1">
        <f t="shared" si="0"/>
        <v>37</v>
      </c>
      <c r="B47" s="8" t="s">
        <v>4</v>
      </c>
      <c r="C47" s="4">
        <f t="shared" si="14" ref="C47:C48">+C42</f>
        <v>2019</v>
      </c>
      <c r="D47" s="9">
        <v>4184.4609999999993</v>
      </c>
      <c r="E47" s="9">
        <v>4228.3230000000003</v>
      </c>
      <c r="F47" s="9">
        <v>4028.8310000000001</v>
      </c>
      <c r="G47" s="9">
        <v>3417.5559999999996</v>
      </c>
      <c r="H47" s="9">
        <v>3396.4629999999997</v>
      </c>
      <c r="I47" s="9">
        <v>3662.777</v>
      </c>
      <c r="J47" s="9">
        <v>4271.9639999999999</v>
      </c>
      <c r="K47" s="9">
        <v>4751.7070000000003</v>
      </c>
      <c r="L47" s="9">
        <v>4955.4660000000003</v>
      </c>
      <c r="M47" s="9">
        <v>4353.0730000000003</v>
      </c>
      <c r="N47" s="9">
        <v>3611.0799999999999</v>
      </c>
      <c r="O47" s="9">
        <v>3896.2280000000001</v>
      </c>
      <c r="P47" s="52">
        <f>SUM(D47:O47)</f>
        <v>48757.929000000004</v>
      </c>
    </row>
    <row r="48" spans="1:16" ht="14.4" thickBot="1">
      <c r="A48" s="1">
        <f t="shared" si="0"/>
        <v>38</v>
      </c>
      <c r="B48" s="8" t="s">
        <v>4</v>
      </c>
      <c r="C48" s="4">
        <f t="shared" si="14"/>
        <v>2020</v>
      </c>
      <c r="D48" s="9">
        <v>4043.9659999999999</v>
      </c>
      <c r="E48" s="9">
        <v>3952.7440000000001</v>
      </c>
      <c r="F48" s="9">
        <v>3696.2480000000005</v>
      </c>
      <c r="G48" s="9">
        <v>3260.2130000000002</v>
      </c>
      <c r="H48" s="9">
        <v>3226.3830000000003</v>
      </c>
      <c r="I48" s="9">
        <v>3690.1459999999997</v>
      </c>
      <c r="J48" s="9">
        <v>4501.366</v>
      </c>
      <c r="K48" s="9">
        <v>4635.7640000000001</v>
      </c>
      <c r="L48" s="9">
        <v>4401.4009999999998</v>
      </c>
      <c r="M48" s="9">
        <v>3517.7190000000001</v>
      </c>
      <c r="N48" s="9">
        <v>3510.1039999999998</v>
      </c>
      <c r="O48" s="9">
        <v>3495.8760000000002</v>
      </c>
      <c r="P48" s="52">
        <f>SUM(D48:O48)</f>
        <v>45931.929999999993</v>
      </c>
    </row>
    <row r="49" spans="1:16" ht="13.8">
      <c r="A49" s="1">
        <f t="shared" si="0"/>
        <v>39</v>
      </c>
      <c r="B49" s="8" t="s">
        <v>4</v>
      </c>
      <c r="C49" s="49" t="s">
        <v>1</v>
      </c>
      <c r="D49" s="50">
        <f t="shared" si="15" ref="D49:O49">SUM(D46:D48)</f>
        <v>13101.826999999999</v>
      </c>
      <c r="E49" s="50">
        <f t="shared" si="15"/>
        <v>12508.096000000001</v>
      </c>
      <c r="F49" s="50">
        <f t="shared" si="15"/>
        <v>11651.799000000001</v>
      </c>
      <c r="G49" s="50">
        <f t="shared" si="15"/>
        <v>10222.788000000001</v>
      </c>
      <c r="H49" s="50">
        <f t="shared" si="15"/>
        <v>10096.9</v>
      </c>
      <c r="I49" s="50">
        <f t="shared" si="15"/>
        <v>11793.403</v>
      </c>
      <c r="J49" s="50">
        <f t="shared" si="15"/>
        <v>13847.474</v>
      </c>
      <c r="K49" s="50">
        <f t="shared" si="15"/>
        <v>14451.987000000001</v>
      </c>
      <c r="L49" s="50">
        <f t="shared" si="15"/>
        <v>14029.878000000001</v>
      </c>
      <c r="M49" s="50">
        <f t="shared" si="15"/>
        <v>11726.668000000002</v>
      </c>
      <c r="N49" s="50">
        <f t="shared" si="15"/>
        <v>10512.880999999999</v>
      </c>
      <c r="O49" s="50">
        <f t="shared" si="15"/>
        <v>11349.806000000001</v>
      </c>
      <c r="P49" s="53">
        <f>SUM(D49:O49)</f>
        <v>145293.50700000001</v>
      </c>
    </row>
    <row r="50" spans="1:16" ht="13.8">
      <c r="A50" s="1">
        <f t="shared" si="0"/>
        <v>40</v>
      </c>
      <c r="B50" s="8"/>
      <c r="C50" s="12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</row>
    <row r="51" spans="1:16" ht="13.8">
      <c r="A51" s="1">
        <f t="shared" si="0"/>
        <v>41</v>
      </c>
      <c r="B51" s="8" t="s">
        <v>2</v>
      </c>
      <c r="C51" s="4">
        <f>+C46</f>
        <v>2018</v>
      </c>
      <c r="D51" s="9">
        <v>17150.905000000002</v>
      </c>
      <c r="E51" s="9">
        <v>23951.977999999996</v>
      </c>
      <c r="F51" s="9">
        <v>21643.409</v>
      </c>
      <c r="G51" s="9">
        <v>17098.347999999998</v>
      </c>
      <c r="H51" s="9">
        <v>17674.014999999999</v>
      </c>
      <c r="I51" s="9">
        <v>19495.991999999998</v>
      </c>
      <c r="J51" s="9">
        <v>24517.439000000002</v>
      </c>
      <c r="K51" s="9">
        <v>21617.951999999997</v>
      </c>
      <c r="L51" s="9">
        <v>18658.403999999999</v>
      </c>
      <c r="M51" s="9">
        <v>15837.182000000001</v>
      </c>
      <c r="N51" s="9">
        <v>14472.154000000001</v>
      </c>
      <c r="O51" s="9">
        <v>16988.018</v>
      </c>
      <c r="P51" s="52">
        <f>SUM(D51:O51)</f>
        <v>229105.79600000003</v>
      </c>
    </row>
    <row r="52" spans="1:16" ht="13.8">
      <c r="A52" s="1">
        <f t="shared" si="0"/>
        <v>42</v>
      </c>
      <c r="B52" s="8" t="s">
        <v>2</v>
      </c>
      <c r="C52" s="4">
        <f t="shared" si="16" ref="C52:C53">+C47</f>
        <v>2019</v>
      </c>
      <c r="D52" s="9">
        <v>19424.897000000004</v>
      </c>
      <c r="E52" s="9">
        <v>19772.748999999996</v>
      </c>
      <c r="F52" s="9">
        <v>19443.75</v>
      </c>
      <c r="G52" s="9">
        <v>19051.591</v>
      </c>
      <c r="H52" s="9">
        <v>18292.866999999998</v>
      </c>
      <c r="I52" s="9">
        <v>18473.877</v>
      </c>
      <c r="J52" s="9">
        <v>22410.554000000004</v>
      </c>
      <c r="K52" s="9">
        <v>24037.439999999995</v>
      </c>
      <c r="L52" s="9">
        <v>24073.661000000004</v>
      </c>
      <c r="M52" s="9">
        <v>19879.477999999999</v>
      </c>
      <c r="N52" s="9">
        <v>17856.932000000001</v>
      </c>
      <c r="O52" s="9">
        <v>18548.463</v>
      </c>
      <c r="P52" s="52">
        <f>SUM(D52:O52)</f>
        <v>241266.25899999999</v>
      </c>
    </row>
    <row r="53" spans="1:16" ht="14.4" thickBot="1">
      <c r="A53" s="1">
        <f t="shared" si="0"/>
        <v>43</v>
      </c>
      <c r="B53" s="8" t="s">
        <v>2</v>
      </c>
      <c r="C53" s="4">
        <f t="shared" si="16"/>
        <v>2020</v>
      </c>
      <c r="D53" s="9">
        <v>19251.517</v>
      </c>
      <c r="E53" s="9">
        <v>18924.360999999997</v>
      </c>
      <c r="F53" s="9">
        <v>18175.244000000002</v>
      </c>
      <c r="G53" s="9">
        <v>16301.773000000001</v>
      </c>
      <c r="H53" s="9">
        <v>16288.271000000003</v>
      </c>
      <c r="I53" s="9">
        <v>17923.907999999996</v>
      </c>
      <c r="J53" s="9">
        <v>20923.556999999997</v>
      </c>
      <c r="K53" s="9">
        <v>21391.103000000003</v>
      </c>
      <c r="L53" s="9">
        <v>20067.123000000003</v>
      </c>
      <c r="M53" s="9">
        <v>16322.898999999999</v>
      </c>
      <c r="N53" s="9">
        <v>15805.183000000001</v>
      </c>
      <c r="O53" s="9">
        <v>15281.448999999999</v>
      </c>
      <c r="P53" s="52">
        <f>SUM(D53:O53)</f>
        <v>216656.38799999998</v>
      </c>
    </row>
    <row r="54" spans="1:16" ht="13.8">
      <c r="A54" s="1">
        <f t="shared" si="0"/>
        <v>44</v>
      </c>
      <c r="B54" s="8" t="s">
        <v>2</v>
      </c>
      <c r="C54" s="49" t="s">
        <v>1</v>
      </c>
      <c r="D54" s="50">
        <f t="shared" si="17" ref="D54:O54">SUM(D51:D53)</f>
        <v>55827.31900000001</v>
      </c>
      <c r="E54" s="50">
        <f t="shared" si="17"/>
        <v>62649.087999999989</v>
      </c>
      <c r="F54" s="50">
        <f t="shared" si="17"/>
        <v>59262.403000000006</v>
      </c>
      <c r="G54" s="50">
        <f t="shared" si="17"/>
        <v>52451.712</v>
      </c>
      <c r="H54" s="50">
        <f t="shared" si="17"/>
        <v>52255.152999999998</v>
      </c>
      <c r="I54" s="50">
        <f t="shared" si="17"/>
        <v>55893.776999999995</v>
      </c>
      <c r="J54" s="50">
        <f t="shared" si="17"/>
        <v>67851.550000000003</v>
      </c>
      <c r="K54" s="50">
        <f t="shared" si="17"/>
        <v>67046.494999999995</v>
      </c>
      <c r="L54" s="50">
        <f t="shared" si="17"/>
        <v>62799.188000000009</v>
      </c>
      <c r="M54" s="50">
        <f t="shared" si="17"/>
        <v>52039.559000000001</v>
      </c>
      <c r="N54" s="50">
        <f t="shared" si="17"/>
        <v>48134.269</v>
      </c>
      <c r="O54" s="50">
        <f t="shared" si="17"/>
        <v>50817.93</v>
      </c>
      <c r="P54" s="53">
        <f>SUM(D54:O54)</f>
        <v>687028.44299999997</v>
      </c>
    </row>
    <row r="55" spans="1:16" ht="14.4">
      <c r="A55" s="1">
        <f t="shared" si="0"/>
        <v>45</v>
      </c>
      <c r="B55" s="8"/>
      <c r="C55" s="13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</row>
    <row r="56" spans="1:16" ht="13.8">
      <c r="A56" s="1">
        <f t="shared" si="0"/>
        <v>46</v>
      </c>
      <c r="B56" s="8" t="s">
        <v>48</v>
      </c>
      <c r="C56" s="4">
        <f>+C51</f>
        <v>2018</v>
      </c>
      <c r="D56" s="9">
        <v>5845.3760000000002</v>
      </c>
      <c r="E56" s="9">
        <v>5531.0939999999991</v>
      </c>
      <c r="F56" s="9">
        <v>4806.2569999999996</v>
      </c>
      <c r="G56" s="9">
        <v>4137.2179999999998</v>
      </c>
      <c r="H56" s="9">
        <v>4089.6390000000001</v>
      </c>
      <c r="I56" s="9">
        <v>5258.5220000000008</v>
      </c>
      <c r="J56" s="9">
        <v>6295.8100000000004</v>
      </c>
      <c r="K56" s="9">
        <v>6349.0959999999986</v>
      </c>
      <c r="L56" s="9">
        <v>5888.1120000000001</v>
      </c>
      <c r="M56" s="9">
        <v>4788.7269999999999</v>
      </c>
      <c r="N56" s="9">
        <v>4124.0860000000002</v>
      </c>
      <c r="O56" s="9">
        <v>4829.2879999999996</v>
      </c>
      <c r="P56" s="52">
        <f>SUM(D56:O56)</f>
        <v>61943.224999999999</v>
      </c>
    </row>
    <row r="57" spans="1:16" ht="13.8">
      <c r="A57" s="1">
        <f t="shared" si="0"/>
        <v>47</v>
      </c>
      <c r="B57" s="8" t="s">
        <v>48</v>
      </c>
      <c r="C57" s="4">
        <f t="shared" si="18" ref="C57:C58">+C52</f>
        <v>2019</v>
      </c>
      <c r="D57" s="9">
        <v>5256.7420000000002</v>
      </c>
      <c r="E57" s="9">
        <v>5413.9489999999996</v>
      </c>
      <c r="F57" s="9">
        <v>5122.3700000000008</v>
      </c>
      <c r="G57" s="9">
        <v>4265.1419999999998</v>
      </c>
      <c r="H57" s="9">
        <v>4131.415</v>
      </c>
      <c r="I57" s="9">
        <v>4727.2749999999996</v>
      </c>
      <c r="J57" s="9">
        <v>5419.0550000000003</v>
      </c>
      <c r="K57" s="9">
        <v>5957.6849999999995</v>
      </c>
      <c r="L57" s="9">
        <v>6382.5650000000005</v>
      </c>
      <c r="M57" s="9">
        <v>5476.7179999999998</v>
      </c>
      <c r="N57" s="9">
        <v>4560.0100000000011</v>
      </c>
      <c r="O57" s="9">
        <v>4825.5940000000001</v>
      </c>
      <c r="P57" s="52">
        <f>SUM(D57:O57)</f>
        <v>61538.520000000004</v>
      </c>
    </row>
    <row r="58" spans="1:16" ht="14.4" thickBot="1">
      <c r="A58" s="1">
        <f t="shared" si="0"/>
        <v>48</v>
      </c>
      <c r="B58" s="8" t="s">
        <v>48</v>
      </c>
      <c r="C58" s="4">
        <f t="shared" si="18"/>
        <v>2020</v>
      </c>
      <c r="D58" s="9">
        <v>5083.0299999999997</v>
      </c>
      <c r="E58" s="9">
        <v>4980.7700000000004</v>
      </c>
      <c r="F58" s="9">
        <v>4614.0919999999996</v>
      </c>
      <c r="G58" s="9">
        <v>3990.6139999999996</v>
      </c>
      <c r="H58" s="9">
        <v>3955.3639999999996</v>
      </c>
      <c r="I58" s="9">
        <v>4715.9510000000009</v>
      </c>
      <c r="J58" s="9">
        <v>5850.2640000000001</v>
      </c>
      <c r="K58" s="9">
        <v>6175.0040000000008</v>
      </c>
      <c r="L58" s="9">
        <v>5726.5500000000002</v>
      </c>
      <c r="M58" s="9">
        <v>4570.4889999999996</v>
      </c>
      <c r="N58" s="9">
        <v>4301.9659999999994</v>
      </c>
      <c r="O58" s="9">
        <v>4362.7919999999995</v>
      </c>
      <c r="P58" s="52">
        <f>SUM(D58:O58)</f>
        <v>58326.886000000013</v>
      </c>
    </row>
    <row r="59" spans="1:16" ht="13.8">
      <c r="A59" s="1">
        <f t="shared" si="0"/>
        <v>49</v>
      </c>
      <c r="B59" s="8" t="s">
        <v>48</v>
      </c>
      <c r="C59" s="49" t="s">
        <v>1</v>
      </c>
      <c r="D59" s="50">
        <f t="shared" si="19" ref="D59:O59">SUM(D56:D58)</f>
        <v>16185.148000000001</v>
      </c>
      <c r="E59" s="50">
        <f t="shared" si="19"/>
        <v>15925.812999999998</v>
      </c>
      <c r="F59" s="50">
        <f t="shared" si="19"/>
        <v>14542.719000000001</v>
      </c>
      <c r="G59" s="50">
        <f t="shared" si="19"/>
        <v>12392.974</v>
      </c>
      <c r="H59" s="50">
        <f t="shared" si="19"/>
        <v>12176.418</v>
      </c>
      <c r="I59" s="50">
        <f t="shared" si="19"/>
        <v>14701.748000000001</v>
      </c>
      <c r="J59" s="50">
        <f t="shared" si="19"/>
        <v>17565.129000000001</v>
      </c>
      <c r="K59" s="50">
        <f t="shared" si="19"/>
        <v>18481.785</v>
      </c>
      <c r="L59" s="50">
        <f t="shared" si="19"/>
        <v>17997.226999999999</v>
      </c>
      <c r="M59" s="50">
        <f t="shared" si="19"/>
        <v>14835.933999999999</v>
      </c>
      <c r="N59" s="50">
        <f t="shared" si="19"/>
        <v>12986.062000000002</v>
      </c>
      <c r="O59" s="50">
        <f t="shared" si="19"/>
        <v>14017.673999999999</v>
      </c>
      <c r="P59" s="53">
        <f>SUM(D59:O59)</f>
        <v>181808.63100000002</v>
      </c>
    </row>
    <row r="60" spans="1:16" ht="13.8">
      <c r="A60" s="1">
        <f t="shared" si="0"/>
        <v>50</v>
      </c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</row>
    <row r="61" spans="1:16" ht="13.8">
      <c r="A61" s="1">
        <f t="shared" si="0"/>
        <v>51</v>
      </c>
      <c r="B61" s="1" t="s">
        <v>34</v>
      </c>
      <c r="C61" s="4">
        <f>+C56</f>
        <v>2018</v>
      </c>
      <c r="D61" s="9">
        <f t="shared" si="20" ref="D61:O61">SUM(D26,D31,D36,D41,D46,D51,D56,D21,D16,D11)</f>
        <v>172893.30900000004</v>
      </c>
      <c r="E61" s="9">
        <f t="shared" si="20"/>
        <v>167083.70799999998</v>
      </c>
      <c r="F61" s="9">
        <f t="shared" si="20"/>
        <v>150586.70799999998</v>
      </c>
      <c r="G61" s="9">
        <f t="shared" si="20"/>
        <v>134713.60500000004</v>
      </c>
      <c r="H61" s="9">
        <f t="shared" si="20"/>
        <v>132953.96400000001</v>
      </c>
      <c r="I61" s="9">
        <f t="shared" si="20"/>
        <v>161630.554</v>
      </c>
      <c r="J61" s="9">
        <f t="shared" si="20"/>
        <v>187321.53100000002</v>
      </c>
      <c r="K61" s="9">
        <f t="shared" si="20"/>
        <v>183801.40100000001</v>
      </c>
      <c r="L61" s="9">
        <f t="shared" si="20"/>
        <v>171542.457</v>
      </c>
      <c r="M61" s="9">
        <f t="shared" si="20"/>
        <v>146391.53899999999</v>
      </c>
      <c r="N61" s="9">
        <f t="shared" si="20"/>
        <v>129729.54500000001</v>
      </c>
      <c r="O61" s="9">
        <f t="shared" si="20"/>
        <v>147355.853</v>
      </c>
      <c r="P61" s="52">
        <f>SUM(P26,P31,P36,P41,P46,P51,P56,P21,P16,P11)</f>
        <v>1886004.1740000001</v>
      </c>
    </row>
    <row r="62" spans="1:16" ht="13.8">
      <c r="A62" s="1">
        <f t="shared" si="0"/>
        <v>52</v>
      </c>
      <c r="B62" s="1" t="s">
        <v>34</v>
      </c>
      <c r="C62" s="4">
        <f t="shared" si="21" ref="C62:C63">+C57</f>
        <v>2019</v>
      </c>
      <c r="D62" s="9">
        <f t="shared" si="22" ref="D62:O62">SUM(D27,D32,D37,D42,D47,D52,D57,D22,D17,D12)</f>
        <v>160804.76999999999</v>
      </c>
      <c r="E62" s="9">
        <f t="shared" si="22"/>
        <v>156656.53</v>
      </c>
      <c r="F62" s="9">
        <f t="shared" si="22"/>
        <v>152023.75400000002</v>
      </c>
      <c r="G62" s="9">
        <f t="shared" si="22"/>
        <v>134906.193</v>
      </c>
      <c r="H62" s="9">
        <f t="shared" si="22"/>
        <v>133798.48999999999</v>
      </c>
      <c r="I62" s="9">
        <f t="shared" si="22"/>
        <v>147626.16400000002</v>
      </c>
      <c r="J62" s="9">
        <f t="shared" si="22"/>
        <v>165249.29100000003</v>
      </c>
      <c r="K62" s="9">
        <f t="shared" si="22"/>
        <v>178245.451</v>
      </c>
      <c r="L62" s="9">
        <f t="shared" si="22"/>
        <v>188924.74200000003</v>
      </c>
      <c r="M62" s="9">
        <f t="shared" si="22"/>
        <v>167111.28200000001</v>
      </c>
      <c r="N62" s="9">
        <f t="shared" si="22"/>
        <v>140802.56400000001</v>
      </c>
      <c r="O62" s="9">
        <f t="shared" si="22"/>
        <v>147915.29999999999</v>
      </c>
      <c r="P62" s="52">
        <f>SUM(P27,P32,P37,P42,P47,P52,P57,P22,P17,P12)</f>
        <v>1874064.531</v>
      </c>
    </row>
    <row r="63" spans="1:16" ht="14.4" thickBot="1">
      <c r="A63" s="1">
        <f t="shared" si="0"/>
        <v>53</v>
      </c>
      <c r="B63" s="1" t="s">
        <v>34</v>
      </c>
      <c r="C63" s="4">
        <f t="shared" si="21"/>
        <v>2020</v>
      </c>
      <c r="D63" s="9">
        <f t="shared" si="23" ref="D63:O63">SUM(D28,D33,D38,D43,D48,D53,D58,D23,D18,D13)</f>
        <v>153530.45299999998</v>
      </c>
      <c r="E63" s="9">
        <f t="shared" si="23"/>
        <v>150977.16399999999</v>
      </c>
      <c r="F63" s="9">
        <f t="shared" si="23"/>
        <v>143177.715</v>
      </c>
      <c r="G63" s="9">
        <f t="shared" si="23"/>
        <v>127737.62900000002</v>
      </c>
      <c r="H63" s="9">
        <f t="shared" si="23"/>
        <v>128250.74200000001</v>
      </c>
      <c r="I63" s="9">
        <f t="shared" si="23"/>
        <v>148351.856</v>
      </c>
      <c r="J63" s="9">
        <f t="shared" si="23"/>
        <v>172582.10399999999</v>
      </c>
      <c r="K63" s="9">
        <f t="shared" si="23"/>
        <v>179195.95799999998</v>
      </c>
      <c r="L63" s="9">
        <f t="shared" si="23"/>
        <v>171352.076</v>
      </c>
      <c r="M63" s="9">
        <f t="shared" si="23"/>
        <v>143681.12700000001</v>
      </c>
      <c r="N63" s="9">
        <f t="shared" si="23"/>
        <v>139941.22099999999</v>
      </c>
      <c r="O63" s="9">
        <f t="shared" si="23"/>
        <v>138315.663</v>
      </c>
      <c r="P63" s="52">
        <f>SUM(P28,P33,P38,P43,P48,P53,P58,P23,P18,P13)</f>
        <v>1797093.7079999999</v>
      </c>
    </row>
    <row r="64" spans="1:16" ht="14.4" thickBot="1">
      <c r="A64" s="1">
        <f t="shared" si="0"/>
        <v>54</v>
      </c>
      <c r="B64" s="1" t="s">
        <v>34</v>
      </c>
      <c r="C64" s="54" t="s">
        <v>1</v>
      </c>
      <c r="D64" s="55">
        <f t="shared" si="24" ref="D64:O64">SUM(D61:D63)</f>
        <v>487228.53200000001</v>
      </c>
      <c r="E64" s="55">
        <f t="shared" si="24"/>
        <v>474717.402</v>
      </c>
      <c r="F64" s="55">
        <f t="shared" si="24"/>
        <v>445788.17700000003</v>
      </c>
      <c r="G64" s="55">
        <f t="shared" si="24"/>
        <v>397357.42700000008</v>
      </c>
      <c r="H64" s="50">
        <f t="shared" si="24"/>
        <v>395003.19600000005</v>
      </c>
      <c r="I64" s="55">
        <f t="shared" si="24"/>
        <v>457608.57400000002</v>
      </c>
      <c r="J64" s="55">
        <f t="shared" si="24"/>
        <v>525152.92599999998</v>
      </c>
      <c r="K64" s="55">
        <f t="shared" si="24"/>
        <v>541242.81000000006</v>
      </c>
      <c r="L64" s="55">
        <f t="shared" si="24"/>
        <v>531819.27500000002</v>
      </c>
      <c r="M64" s="55">
        <f t="shared" si="24"/>
        <v>457183.94799999997</v>
      </c>
      <c r="N64" s="55">
        <f t="shared" si="24"/>
        <v>410473.33000000007</v>
      </c>
      <c r="O64" s="55">
        <f t="shared" si="24"/>
        <v>433586.81599999999</v>
      </c>
      <c r="P64" s="56">
        <f>SUM(P61:P63)</f>
        <v>5557162.4129999997</v>
      </c>
    </row>
  </sheetData>
  <mergeCells count="7">
    <mergeCell ref="B8:P8"/>
    <mergeCell ref="B5:F5"/>
    <mergeCell ref="B6:P6"/>
    <mergeCell ref="B1:P1"/>
    <mergeCell ref="B2:P2"/>
    <mergeCell ref="B3:P3"/>
    <mergeCell ref="B4:P4"/>
  </mergeCells>
  <printOptions horizontalCentered="1"/>
  <pageMargins left="0.5" right="0.5" top="0.7" bottom="1" header="0.5" footer="0.43"/>
  <pageSetup orientation="landscape" scale="53" r:id="rId1"/>
  <headerFooter alignWithMargins="0">
    <oddHeader>&amp;RWP/II-H-5.2/2
Page &amp;P of &amp;N</oddHeader>
    <oddFooter>&amp;R]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15.0300</AppVers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SECLE10 Seasonal Weights</vt:lpstr>
      <vt:lpstr>SECLE10 Monthly Weather Weights</vt:lpstr>
      <vt:lpstr>SECLE10 Weights by Year (18-20)</vt:lpstr>
      <vt:lpstr>SECLE10 Sales by Year (18-20)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