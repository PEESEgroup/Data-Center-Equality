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Section II (Test Year Data)\Schedule H (Historic Billing Determinants)\Schedule II-H WP\"/>
    </mc:Choice>
  </mc:AlternateContent>
  <bookViews>
    <workbookView xWindow="240" yWindow="540" windowWidth="14955" windowHeight="7500" tabRatio="753" activeTab="0"/>
  </bookViews>
  <sheets>
    <sheet name="Weather Adjustment" sheetId="10" r:id="rId2"/>
    <sheet name="Residential" sheetId="3" r:id="rId3"/>
    <sheet name="SecLE10" sheetId="4" r:id="rId4"/>
    <sheet name="SecGT10" sheetId="5" r:id="rId5"/>
    <sheet name="SGT10_IDR_NIDR" sheetId="7" r:id="rId6"/>
    <sheet name="PrmGT10D" sheetId="6" r:id="rId7"/>
    <sheet name="PrmGT10D IDR_NIDR" sheetId="8" r:id="rId8"/>
    <sheet name="Substation" sheetId="23" r:id="rId9"/>
  </sheets>
  <externalReferences>
    <externalReference r:id="rId12"/>
    <externalReference r:id="rId13"/>
    <externalReference r:id="rId14"/>
  </externalReferences>
  <definedNames>
    <definedName name="I">"a1..m50"</definedName>
    <definedName name="_xlnm.Print_Area" localSheetId="5">PrmGT10D!$A$1:$T$71</definedName>
    <definedName name="_xlnm.Print_Area" localSheetId="6">'PrmGT10D IDR_NIDR'!$A$1:$R$65</definedName>
    <definedName name="_xlnm.Print_Area" localSheetId="1">Residential!$A$1:$AB$65</definedName>
    <definedName name="_xlnm.Print_Area" localSheetId="3">SecGT10!$A$1:$Y$64</definedName>
    <definedName name="_xlnm.Print_Area" localSheetId="2">SecLE10!$A$1:$X$65</definedName>
    <definedName name="_xlnm.Print_Area" localSheetId="4">SGT10_IDR_NIDR!$A$1:$S$71</definedName>
    <definedName name="_xlnm.Print_Area" localSheetId="7">Substation!$A$1:$T$71</definedName>
    <definedName name="_xlnm.Print_Area" localSheetId="0">'Weather Adjustment'!$A$1:$AB$69</definedName>
  </definedNames>
  <calcPr calcId="152511"/>
</workbook>
</file>

<file path=xl/calcChain.xml><?xml version="1.0" encoding="utf-8"?>
<calcChain xmlns="http://schemas.openxmlformats.org/spreadsheetml/2006/main">
  <c r="AA66" i="10" l="1"/>
</calcChain>
</file>

<file path=xl/sharedStrings.xml><?xml version="1.0" encoding="utf-8"?>
<sst xmlns="http://schemas.openxmlformats.org/spreadsheetml/2006/main" count="412" uniqueCount="133">
  <si>
    <t>Line</t>
  </si>
  <si>
    <t>Year</t>
  </si>
  <si>
    <t>Month</t>
  </si>
  <si>
    <t>Residential</t>
  </si>
  <si>
    <t>Total GSL</t>
  </si>
  <si>
    <t>Total GPL</t>
  </si>
  <si>
    <t>Transmission</t>
  </si>
  <si>
    <t>Lighting</t>
  </si>
  <si>
    <t>Total</t>
  </si>
  <si>
    <t>Adjustment</t>
  </si>
  <si>
    <t>WP/II-H-1.2/1</t>
  </si>
  <si>
    <t>MONTHLY SALES DATA</t>
  </si>
  <si>
    <t>PUC DOCKET NO</t>
  </si>
  <si>
    <t>CDD Model</t>
  </si>
  <si>
    <t>Coefficient</t>
  </si>
  <si>
    <t>(a)</t>
  </si>
  <si>
    <t>CoolIndex</t>
  </si>
  <si>
    <t>CoolUse</t>
  </si>
  <si>
    <t>(b)</t>
  </si>
  <si>
    <t>(c)</t>
  </si>
  <si>
    <t>CDD Model Scaler</t>
  </si>
  <si>
    <t>Customer</t>
  </si>
  <si>
    <t>(d)</t>
  </si>
  <si>
    <t>CDD Coefficient</t>
  </si>
  <si>
    <t>(e) = (a*b*c*d)/1000</t>
  </si>
  <si>
    <t>Actual CDD</t>
  </si>
  <si>
    <t>(f)</t>
  </si>
  <si>
    <t>Normal CDD</t>
  </si>
  <si>
    <t>(g)</t>
  </si>
  <si>
    <t>CDD Deviation</t>
  </si>
  <si>
    <t>CDD MWH</t>
  </si>
  <si>
    <t>(i)=e*h</t>
  </si>
  <si>
    <t>HDD Model</t>
  </si>
  <si>
    <t>HDD Model Scaler</t>
  </si>
  <si>
    <t>HDD MWH</t>
  </si>
  <si>
    <t>HDD Coefficient</t>
  </si>
  <si>
    <t>Actual HDD</t>
  </si>
  <si>
    <t>Normal HDD</t>
  </si>
  <si>
    <t>HDD Deviation</t>
  </si>
  <si>
    <t>NIDR KWH Share</t>
  </si>
  <si>
    <t>IDR KWH Share</t>
  </si>
  <si>
    <t>(c) = (a*b)/1000</t>
  </si>
  <si>
    <t>(e)</t>
  </si>
  <si>
    <t>(f)=e-d</t>
  </si>
  <si>
    <t>(g)=c*f</t>
  </si>
  <si>
    <t>(h)=g-f</t>
  </si>
  <si>
    <t>IDR KWH</t>
  </si>
  <si>
    <t>NIDR KWH</t>
  </si>
  <si>
    <t>(d)=a/c</t>
  </si>
  <si>
    <t>(e)=b/c</t>
  </si>
  <si>
    <t>Large KWH</t>
  </si>
  <si>
    <t>Large KWH Adjustment</t>
  </si>
  <si>
    <t>IDR KWH Adjustment</t>
  </si>
  <si>
    <t>NIDR KWH Adjustment</t>
  </si>
  <si>
    <t>ONCOR ELECTRIC DELIVERY COMPANY LLC</t>
  </si>
  <si>
    <t>Residential Weather Adjustment (MWH)</t>
  </si>
  <si>
    <t>HeatIndex</t>
  </si>
  <si>
    <t>HeatUse</t>
  </si>
  <si>
    <t>Secondary Service Less Than or Equal to 10 KW Weather Adjustment (MWH)</t>
  </si>
  <si>
    <t>Secondary Service Greater Than 10 KW Weather Adjustment (MWH)</t>
  </si>
  <si>
    <t>Primary Service Greater Than 10 KW Weather Adjustment (MWH)</t>
  </si>
  <si>
    <t>(h)</t>
  </si>
  <si>
    <t>(i)</t>
  </si>
  <si>
    <t>(j)</t>
  </si>
  <si>
    <t>(k)</t>
  </si>
  <si>
    <t>(l)</t>
  </si>
  <si>
    <t>(m)</t>
  </si>
  <si>
    <t>(n) = (j*k*l*m)/1000</t>
  </si>
  <si>
    <t>(o)</t>
  </si>
  <si>
    <t>(p)</t>
  </si>
  <si>
    <t>(j) = (h*i)/1000</t>
  </si>
  <si>
    <t xml:space="preserve"> </t>
  </si>
  <si>
    <t>SPONSOR:  D. E. NELSON</t>
  </si>
  <si>
    <t>(i)=h-g</t>
  </si>
  <si>
    <t>(j)=f*i</t>
  </si>
  <si>
    <t>(n)</t>
  </si>
  <si>
    <t>(q)</t>
  </si>
  <si>
    <t>(r)</t>
  </si>
  <si>
    <t>No.</t>
  </si>
  <si>
    <t>SECLE10</t>
  </si>
  <si>
    <t>SECGT10_IDR</t>
  </si>
  <si>
    <t>SECGT10_NIDR</t>
  </si>
  <si>
    <t>PRMLE10</t>
  </si>
  <si>
    <t>PRMGT10_IDR_NoSUB</t>
  </si>
  <si>
    <t>PRMGT10_IDR_SUB</t>
  </si>
  <si>
    <t>PRMGT10_NIDR</t>
  </si>
  <si>
    <t>SECGT10</t>
  </si>
  <si>
    <t>PRMGT10</t>
  </si>
  <si>
    <t>Secondary Service Greater Than 10 KW IDR and Non-IDR Weather Adjustment (MWH)</t>
  </si>
  <si>
    <t>(g)=f*d</t>
  </si>
  <si>
    <t>KWH Adjustment</t>
  </si>
  <si>
    <t>(d)=c-b</t>
  </si>
  <si>
    <t>(e)=a*d</t>
  </si>
  <si>
    <t>Primary Service Greater Than 10 KW IDR and Non-IDR Weather Adjustment (MWH)</t>
  </si>
  <si>
    <t>(s)</t>
  </si>
  <si>
    <t>(t)</t>
  </si>
  <si>
    <t>(u)</t>
  </si>
  <si>
    <t>(v)</t>
  </si>
  <si>
    <t>(w)</t>
  </si>
  <si>
    <t>(x)</t>
  </si>
  <si>
    <t>(y)</t>
  </si>
  <si>
    <t>(z)</t>
  </si>
  <si>
    <t>(aa)</t>
  </si>
  <si>
    <t>(bb)</t>
  </si>
  <si>
    <t>(cc)</t>
  </si>
  <si>
    <t>(dd)</t>
  </si>
  <si>
    <t>(ee)</t>
  </si>
  <si>
    <t>(ff)</t>
  </si>
  <si>
    <t>(gg)</t>
  </si>
  <si>
    <t>(q)=p-o</t>
  </si>
  <si>
    <t>(r)=n*q</t>
  </si>
  <si>
    <t>(s)=i+r</t>
  </si>
  <si>
    <t>(m)=l-k</t>
  </si>
  <si>
    <t>(n)=j*m</t>
  </si>
  <si>
    <t>(o)=g+n</t>
  </si>
  <si>
    <t>(k)=e+j</t>
  </si>
  <si>
    <t>PRMGT10_IDR</t>
  </si>
  <si>
    <t>_NoSUB KWH</t>
  </si>
  <si>
    <t>(h)=f-g</t>
  </si>
  <si>
    <t>Customer Count</t>
  </si>
  <si>
    <t>*By Class, December Ended Customer Count/Current Month*Current Month Weather Adjustment MWH</t>
  </si>
  <si>
    <t>Page 1 of 8</t>
  </si>
  <si>
    <t>Page 2 of 8</t>
  </si>
  <si>
    <t>Page 3 of 8</t>
  </si>
  <si>
    <t>Page 4 of 8</t>
  </si>
  <si>
    <t>Page 6 of 8</t>
  </si>
  <si>
    <t>Page 7 of 8</t>
  </si>
  <si>
    <t>Page 8 of 8</t>
  </si>
  <si>
    <t>Customer-Adjusted Weather*</t>
  </si>
  <si>
    <t>TEST YEAR ENDING December 31, 2021</t>
  </si>
  <si>
    <t>Weather Adjustment (MWH) By Class (based on 20-year average weather 2001-2020)</t>
  </si>
  <si>
    <t>SUBSTATION Weather Adjustment (MWH)</t>
  </si>
  <si>
    <t>Page 5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</si>
</sst>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0_)"/>
    <numFmt numFmtId="165" formatCode="0.0%"/>
    <numFmt numFmtId="166" formatCode="#,##0.000_);\(#,##0.000\)"/>
    <numFmt numFmtId="167" formatCode="#,##0.0000_);\(#,##0.0000\)"/>
    <numFmt numFmtId="168" formatCode="0.0000000%"/>
  </numFmts>
  <fonts count="10">
    <font>
      <sz val="1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2"/>
      <color indexed="12"/>
      <name val="Arial"/>
      <family val="2"/>
    </font>
    <font>
      <u val="single"/>
      <sz val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indexed="8"/>
      </top>
      <bottom/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96">
    <xf numFmtId="0" fontId="0" fillId="0" borderId="0" xfId="0"/>
    <xf numFmtId="0" fontId="3" fillId="0" borderId="0" xfId="0" applyFont="1" applyProtection="1">
      <protection/>
    </xf>
    <xf numFmtId="0" fontId="4" fillId="0" borderId="0" xfId="0" applyFont="1" applyProtection="1">
      <protection/>
    </xf>
    <xf numFmtId="37" fontId="3" fillId="0" borderId="0" xfId="0" applyNumberFormat="1" applyFont="1" applyProtection="1">
      <protection/>
    </xf>
    <xf numFmtId="0" fontId="3" fillId="0" borderId="0" xfId="0" applyFont="1" applyAlignment="1" applyProtection="1">
      <alignment horizontal="centerContinuous"/>
      <protection/>
    </xf>
    <xf numFmtId="0" fontId="4" fillId="0" borderId="0" xfId="0" applyFont="1" applyAlignment="1" applyProtection="1">
      <alignment horizontal="centerContinuous"/>
      <protection/>
    </xf>
    <xf numFmtId="37" fontId="3" fillId="0" borderId="0" xfId="0" applyNumberFormat="1" applyFont="1" applyAlignment="1" applyProtection="1">
      <alignment horizontal="centerContinuous"/>
      <protection/>
    </xf>
    <xf numFmtId="0" fontId="4" fillId="0" borderId="0" xfId="0" applyFont="1" applyAlignment="1" applyProtection="1">
      <alignment horizontal="centerContinuous"/>
      <protection/>
    </xf>
    <xf numFmtId="0" fontId="0" fillId="0" borderId="0" xfId="0" applyAlignment="1">
      <alignment horizontal="centerContinuous"/>
    </xf>
    <xf numFmtId="37" fontId="4" fillId="0" borderId="0" xfId="0" applyNumberFormat="1" applyFont="1" applyAlignment="1" applyProtection="1">
      <alignment horizontal="centerContinuous"/>
      <protection/>
    </xf>
    <xf numFmtId="37" fontId="3" fillId="0" borderId="0" xfId="0" applyNumberFormat="1" applyFont="1" applyAlignment="1" applyProtection="1">
      <alignment horizontal="center"/>
      <protection/>
    </xf>
    <xf numFmtId="0" fontId="3" fillId="0" borderId="0" xfId="0" applyFont="1" applyAlignment="1" applyProtection="1">
      <alignment horizontal="center"/>
      <protection/>
    </xf>
    <xf numFmtId="37" fontId="3" fillId="0" borderId="0" xfId="0" applyNumberFormat="1" applyFont="1" applyBorder="1" applyAlignment="1" applyProtection="1">
      <alignment horizontal="center"/>
      <protection/>
    </xf>
    <xf numFmtId="37" fontId="3" fillId="0" borderId="0" xfId="0" applyNumberFormat="1" applyFont="1" applyBorder="1" applyAlignment="1" applyProtection="1">
      <alignment horizontal="center" wrapText="1"/>
      <protection/>
    </xf>
    <xf numFmtId="37" fontId="3" fillId="0" borderId="0" xfId="0" applyNumberFormat="1" applyFont="1" applyBorder="1" applyProtection="1">
      <protection/>
    </xf>
    <xf numFmtId="37" fontId="3" fillId="0" borderId="1" xfId="0" applyNumberFormat="1" applyFont="1" applyBorder="1" applyProtection="1">
      <protection/>
    </xf>
    <xf numFmtId="37" fontId="3" fillId="0" borderId="1" xfId="0" applyNumberFormat="1" applyFont="1" applyBorder="1" applyAlignment="1" applyProtection="1">
      <alignment horizontal="center"/>
      <protection/>
    </xf>
    <xf numFmtId="0" fontId="3" fillId="0" borderId="2" xfId="0" applyFont="1" applyBorder="1" applyProtection="1">
      <protection/>
    </xf>
    <xf numFmtId="0" fontId="3" fillId="0" borderId="0" xfId="0" applyFont="1" applyAlignment="1" applyProtection="1">
      <alignment horizontal="right"/>
      <protection/>
    </xf>
    <xf numFmtId="164" fontId="6" fillId="0" borderId="0" xfId="0" applyNumberFormat="1" applyFont="1" applyProtection="1">
      <protection locked="0"/>
    </xf>
    <xf numFmtId="37" fontId="6" fillId="0" borderId="0" xfId="0" applyNumberFormat="1" applyFont="1" applyProtection="1">
      <protection locked="0"/>
    </xf>
    <xf numFmtId="0" fontId="6" fillId="0" borderId="0" xfId="0" applyFont="1" applyProtection="1" quotePrefix="1">
      <protection locked="0"/>
    </xf>
    <xf numFmtId="37" fontId="3" fillId="0" borderId="2" xfId="0" applyNumberFormat="1" applyFont="1" applyBorder="1" applyProtection="1">
      <protection/>
    </xf>
    <xf numFmtId="0" fontId="2" fillId="0" borderId="0" xfId="0" applyFont="1"/>
    <xf numFmtId="0" fontId="6" fillId="0" borderId="0" xfId="0" applyFont="1" applyAlignment="1" applyProtection="1" quotePrefix="1">
      <alignment horizontal="centerContinuous"/>
      <protection locked="0"/>
    </xf>
    <xf numFmtId="164" fontId="6" fillId="0" borderId="0" xfId="0" applyNumberFormat="1" applyFont="1" applyAlignment="1" applyProtection="1">
      <alignment horizontal="centerContinuous"/>
      <protection locked="0"/>
    </xf>
    <xf numFmtId="0" fontId="3" fillId="0" borderId="1" xfId="0" applyFont="1" applyBorder="1" applyProtection="1">
      <protection/>
    </xf>
    <xf numFmtId="37" fontId="3" fillId="0" borderId="0" xfId="0" applyNumberFormat="1" applyFont="1"/>
    <xf numFmtId="0" fontId="3" fillId="0" borderId="0" xfId="0" applyFont="1"/>
    <xf numFmtId="3" fontId="3" fillId="0" borderId="0" xfId="0" applyNumberFormat="1" applyFont="1"/>
    <xf numFmtId="37" fontId="3" fillId="0" borderId="0" xfId="0" applyNumberFormat="1" applyFont="1" applyBorder="1"/>
    <xf numFmtId="3" fontId="3" fillId="0" borderId="0" xfId="0" applyNumberFormat="1" applyFont="1" applyBorder="1"/>
    <xf numFmtId="37" fontId="3" fillId="0" borderId="0" xfId="0" applyNumberFormat="1" applyFont="1" applyBorder="1" applyAlignment="1">
      <alignment horizontal="centerContinuous"/>
    </xf>
    <xf numFmtId="37" fontId="3" fillId="0" borderId="0" xfId="0" applyNumberFormat="1" applyFont="1" applyAlignment="1">
      <alignment horizontal="centerContinuous"/>
    </xf>
    <xf numFmtId="3" fontId="3" fillId="0" borderId="0" xfId="0" applyNumberFormat="1" applyFont="1" applyAlignment="1">
      <alignment horizontal="centerContinuous"/>
    </xf>
    <xf numFmtId="0" fontId="3" fillId="0" borderId="0" xfId="0" applyFont="1" applyAlignment="1">
      <alignment horizontal="centerContinuous"/>
    </xf>
    <xf numFmtId="3" fontId="3" fillId="0" borderId="0" xfId="0" applyNumberFormat="1" applyFont="1" applyBorder="1" applyAlignment="1">
      <alignment horizontal="centerContinuous"/>
    </xf>
    <xf numFmtId="0" fontId="3" fillId="0" borderId="0" xfId="0" applyFont="1"/>
    <xf numFmtId="0" fontId="4" fillId="0" borderId="0" xfId="0" applyFont="1" applyAlignment="1">
      <alignment horizontal="centerContinuous"/>
    </xf>
    <xf numFmtId="0" fontId="3" fillId="0" borderId="0" xfId="0" applyFont="1" applyAlignment="1" applyProtection="1">
      <alignment horizontal="left"/>
      <protection/>
    </xf>
    <xf numFmtId="37" fontId="3" fillId="0" borderId="1" xfId="0" applyNumberFormat="1" applyFont="1" applyBorder="1"/>
    <xf numFmtId="0" fontId="8" fillId="0" borderId="0" xfId="0" applyFont="1" applyAlignment="1">
      <alignment horizontal="centerContinuous"/>
    </xf>
    <xf numFmtId="37" fontId="9" fillId="0" borderId="0" xfId="0" applyNumberFormat="1" applyFont="1" applyAlignment="1" applyProtection="1">
      <alignment horizontal="centerContinuous"/>
      <protection locked="0"/>
    </xf>
    <xf numFmtId="166" fontId="6" fillId="0" borderId="0" xfId="0" applyNumberFormat="1" applyFont="1" applyProtection="1">
      <protection locked="0"/>
    </xf>
    <xf numFmtId="166" fontId="3" fillId="0" borderId="0" xfId="0" applyNumberFormat="1" applyFont="1"/>
    <xf numFmtId="3" fontId="3" fillId="0" borderId="1" xfId="0" applyNumberFormat="1" applyFont="1" applyBorder="1"/>
    <xf numFmtId="0" fontId="3" fillId="0" borderId="1" xfId="0" applyFont="1" applyBorder="1"/>
    <xf numFmtId="0" fontId="3" fillId="0" borderId="0" xfId="0" applyFont="1" applyBorder="1" applyProtection="1">
      <protection/>
    </xf>
    <xf numFmtId="0" fontId="6" fillId="0" borderId="0" xfId="0" applyFont="1" applyBorder="1" applyProtection="1" quotePrefix="1">
      <protection locked="0"/>
    </xf>
    <xf numFmtId="164" fontId="6" fillId="0" borderId="0" xfId="0" applyNumberFormat="1" applyFont="1" applyBorder="1" applyProtection="1">
      <protection locked="0"/>
    </xf>
    <xf numFmtId="0" fontId="0" fillId="0" borderId="0" xfId="0" applyBorder="1"/>
    <xf numFmtId="0" fontId="3" fillId="0" borderId="0" xfId="0" applyFont="1" applyBorder="1"/>
    <xf numFmtId="0" fontId="3" fillId="0" borderId="0" xfId="0" applyFont="1" applyBorder="1" applyAlignment="1" applyProtection="1">
      <alignment horizontal="center"/>
      <protection/>
    </xf>
    <xf numFmtId="0" fontId="2" fillId="0" borderId="0" xfId="0" applyFont="1" applyBorder="1"/>
    <xf numFmtId="0" fontId="3" fillId="0" borderId="0" xfId="0" applyFont="1" applyBorder="1" applyAlignment="1" applyProtection="1">
      <alignment horizontal="left"/>
      <protection/>
    </xf>
    <xf numFmtId="0" fontId="3" fillId="0" borderId="0" xfId="0" applyFont="1" applyBorder="1" applyAlignment="1" applyProtection="1">
      <alignment horizontal="right"/>
      <protection/>
    </xf>
    <xf numFmtId="37" fontId="7" fillId="0" borderId="0" xfId="0" applyNumberFormat="1" applyFont="1" applyBorder="1"/>
    <xf numFmtId="0" fontId="3" fillId="0" borderId="0" xfId="0" applyFont="1" applyBorder="1" applyAlignment="1">
      <alignment horizontal="left"/>
    </xf>
    <xf numFmtId="0" fontId="3" fillId="0" borderId="0" xfId="0" applyFont="1" applyBorder="1"/>
    <xf numFmtId="37" fontId="6" fillId="0" borderId="0" xfId="0" applyNumberFormat="1" applyFont="1" applyBorder="1" applyProtection="1">
      <protection locked="0"/>
    </xf>
    <xf numFmtId="37" fontId="3" fillId="0" borderId="1" xfId="0" applyNumberFormat="1" applyFont="1" applyBorder="1" applyAlignment="1" applyProtection="1" quotePrefix="1">
      <alignment horizontal="center"/>
      <protection/>
    </xf>
    <xf numFmtId="37" fontId="5" fillId="0" borderId="1" xfId="0" applyNumberFormat="1" applyFont="1" applyBorder="1" applyAlignment="1" applyProtection="1" quotePrefix="1">
      <alignment horizontal="center"/>
      <protection/>
    </xf>
    <xf numFmtId="0" fontId="3" fillId="0" borderId="0" xfId="0" applyFont="1" applyProtection="1" quotePrefix="1">
      <protection locked="0"/>
    </xf>
    <xf numFmtId="10" fontId="0" fillId="0" borderId="0" xfId="15" applyNumberFormat="1" applyFont="1"/>
    <xf numFmtId="165" fontId="0" fillId="0" borderId="0" xfId="15" applyNumberFormat="1" applyFont="1"/>
    <xf numFmtId="0" fontId="4" fillId="0" borderId="0" xfId="0" applyFont="1" applyAlignment="1">
      <alignment horizontal="centerContinuous"/>
    </xf>
    <xf numFmtId="166" fontId="6" fillId="0" borderId="1" xfId="0" applyNumberFormat="1" applyFont="1" applyBorder="1" applyProtection="1">
      <protection locked="0"/>
    </xf>
    <xf numFmtId="164" fontId="6" fillId="0" borderId="0" xfId="0" applyNumberFormat="1" applyFont="1" applyAlignment="1" applyProtection="1">
      <alignment horizontal="right"/>
      <protection locked="0"/>
    </xf>
    <xf numFmtId="166" fontId="6" fillId="0" borderId="0" xfId="0" applyNumberFormat="1" applyFont="1" applyBorder="1" applyProtection="1">
      <protection locked="0"/>
    </xf>
    <xf numFmtId="37" fontId="6" fillId="0" borderId="1" xfId="0" applyNumberFormat="1" applyFont="1" applyBorder="1" applyProtection="1">
      <protection locked="0"/>
    </xf>
    <xf numFmtId="167" fontId="6" fillId="0" borderId="0" xfId="0" applyNumberFormat="1" applyFont="1" applyProtection="1">
      <protection locked="0"/>
    </xf>
    <xf numFmtId="167" fontId="3" fillId="0" borderId="0" xfId="0" applyNumberFormat="1" applyFont="1" applyProtection="1">
      <protection/>
    </xf>
    <xf numFmtId="37" fontId="3" fillId="0" borderId="3" xfId="0" applyNumberFormat="1" applyFont="1" applyBorder="1"/>
    <xf numFmtId="3" fontId="3" fillId="0" borderId="3" xfId="0" applyNumberFormat="1" applyFont="1" applyBorder="1"/>
    <xf numFmtId="0" fontId="3" fillId="0" borderId="3" xfId="0" applyFont="1" applyBorder="1"/>
    <xf numFmtId="167" fontId="3" fillId="0" borderId="0" xfId="0" applyNumberFormat="1" applyFont="1"/>
    <xf numFmtId="37" fontId="3" fillId="0" borderId="3" xfId="0" applyNumberFormat="1" applyFont="1" applyBorder="1" applyProtection="1">
      <protection/>
    </xf>
    <xf numFmtId="166" fontId="6" fillId="0" borderId="3" xfId="0" applyNumberFormat="1" applyFont="1" applyBorder="1" applyProtection="1">
      <protection locked="0"/>
    </xf>
    <xf numFmtId="37" fontId="7" fillId="0" borderId="3" xfId="0" applyNumberFormat="1" applyFont="1" applyBorder="1"/>
    <xf numFmtId="0" fontId="3" fillId="0" borderId="3" xfId="0" applyFont="1" applyBorder="1" applyProtection="1">
      <protection/>
    </xf>
    <xf numFmtId="164" fontId="6" fillId="0" borderId="3" xfId="0" applyNumberFormat="1" applyFont="1" applyBorder="1" applyProtection="1">
      <protection locked="0"/>
    </xf>
    <xf numFmtId="0" fontId="0" fillId="0" borderId="3" xfId="0" applyBorder="1"/>
    <xf numFmtId="37" fontId="0" fillId="0" borderId="0" xfId="0" applyNumberFormat="1"/>
    <xf numFmtId="0" fontId="0" fillId="0" borderId="0" xfId="0" applyFont="1"/>
    <xf numFmtId="0" fontId="3" fillId="0" borderId="0" xfId="0" applyFont="1" applyAlignment="1" applyProtection="1">
      <alignment horizontal="center"/>
      <protection/>
    </xf>
    <xf numFmtId="37" fontId="3" fillId="0" borderId="0" xfId="0" applyNumberFormat="1" applyFont="1" applyAlignment="1" applyProtection="1">
      <alignment horizontal="center"/>
      <protection/>
    </xf>
    <xf numFmtId="168" fontId="0" fillId="0" borderId="0" xfId="15" applyNumberFormat="1" applyFont="1"/>
    <xf numFmtId="43" fontId="0" fillId="0" borderId="0" xfId="0" applyNumberFormat="1"/>
    <xf numFmtId="166" fontId="0" fillId="0" borderId="0" xfId="0" applyNumberFormat="1" applyBorder="1"/>
    <xf numFmtId="166" fontId="0" fillId="0" borderId="0" xfId="0" applyNumberFormat="1" applyFill="1" applyBorder="1"/>
    <xf numFmtId="0" fontId="3" fillId="0" borderId="0" xfId="0" applyFont="1" applyAlignment="1" applyProtection="1">
      <alignment horizontal="center"/>
      <protection/>
    </xf>
    <xf numFmtId="0" fontId="0" fillId="0" borderId="0" xfId="0" applyAlignment="1">
      <alignment/>
    </xf>
    <xf numFmtId="37" fontId="3" fillId="0" borderId="0" xfId="0" applyNumberFormat="1" applyFont="1" applyAlignment="1" applyProtection="1">
      <alignment horizontal="center"/>
      <protection/>
    </xf>
    <xf numFmtId="0" fontId="3" fillId="0" borderId="0" xfId="0" applyFont="1" applyBorder="1" applyAlignment="1" applyProtection="1">
      <alignment horizontal="center"/>
      <protection/>
    </xf>
    <xf numFmtId="0" fontId="0" fillId="0" borderId="0" xfId="0" applyBorder="1" applyAlignment="1">
      <alignment/>
    </xf>
    <xf numFmtId="0" fontId="0" fillId="0" borderId="0" xfId="0" applyBorder="1" applyAlignment="1">
      <alignment horizont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2.xml" /><Relationship Id="rId5" Type="http://schemas.openxmlformats.org/officeDocument/2006/relationships/worksheet" Target="worksheets/sheet4.xml" /><Relationship Id="rId7" Type="http://schemas.openxmlformats.org/officeDocument/2006/relationships/worksheet" Target="worksheets/sheet6.xml" /><Relationship Id="rId9" Type="http://schemas.openxmlformats.org/officeDocument/2006/relationships/worksheet" Target="worksheets/sheet8.xml" /><Relationship Id="rId2" Type="http://schemas.openxmlformats.org/officeDocument/2006/relationships/worksheet" Target="worksheets/sheet1.xml" /><Relationship Id="rId14" Type="http://schemas.openxmlformats.org/officeDocument/2006/relationships/externalLink" Target="externalLinks/externalLink3.xml" /><Relationship Id="rId15" Type="http://schemas.openxmlformats.org/officeDocument/2006/relationships/calcChain" Target="calcChain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12" Type="http://schemas.openxmlformats.org/officeDocument/2006/relationships/externalLink" Target="externalLinks/externalLink1.xml" /><Relationship Id="rId1" Type="http://schemas.openxmlformats.org/officeDocument/2006/relationships/theme" Target="theme/theme1.xml" /><Relationship Id="rId4" Type="http://schemas.openxmlformats.org/officeDocument/2006/relationships/worksheet" Target="worksheets/sheet3.xml" /><Relationship Id="rId6" Type="http://schemas.openxmlformats.org/officeDocument/2006/relationships/worksheet" Target="worksheets/sheet5.xml" /><Relationship Id="rId8" Type="http://schemas.openxmlformats.org/officeDocument/2006/relationships/worksheet" Target="worksheets/sheet7.xml" /><Relationship Id="rId13" Type="http://schemas.openxmlformats.org/officeDocument/2006/relationships/externalLink" Target="externalLinks/externalLink2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/Section%20II%20(Test%20Year%20Data)/Schedule%20H%20(Historic%20Billing%20Determinants)/II-H-1.2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/Section%20II%20(Test%20Year%20Data)/Schedule%20H%20(Historic%20Billing%20Determinants)/II-H-2.1%20pages%208-27.xlsx" TargetMode="External" /></Relationships>
</file>

<file path=xl/externalLinks/_rels/externalLink3.xml.rels><?xml version="1.0" encoding="UTF-8" standalone="yes"?><Relationships xmlns="http://schemas.openxmlformats.org/package/2006/relationships"><Relationship Id="rId1" Type="http://schemas.openxmlformats.org/officeDocument/2006/relationships/externalLinkPath" Target="/Section%20II%20(Test%20Year%20Data)/Schedule%20H%20(Historic%20Billing%20Determinants)/II-H-5.2%20Pages%203-35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S"/>
      <sheetName val="GS SEC SMALL"/>
      <sheetName val="GS SEC LRG NONIDR"/>
      <sheetName val="GS SEC LRG IDR "/>
      <sheetName val="GS PRI SMALL"/>
      <sheetName val="GS PRI LRG NONIDR"/>
      <sheetName val="GS PRI LRG IDR "/>
      <sheetName val="GS PRI LRG SUB"/>
      <sheetName val="TRANSMISSION"/>
      <sheetName val="SL - UNMETERED"/>
      <sheetName val="SL - METERED NON CO"/>
      <sheetName val="SL - METERED CO OWNED"/>
      <sheetName val="OUTDOOR LIGHTING"/>
      <sheetName val="WHOLESALE-SUB"/>
      <sheetName val="WHOLESALE-DLS"/>
    </sheetNames>
    <sheetDataSet>
      <sheetData sheetId="0">
        <row r="16">
          <cell r="E16">
            <v>3202892</v>
          </cell>
        </row>
        <row r="18">
          <cell r="E18">
            <v>3208216</v>
          </cell>
        </row>
        <row r="20">
          <cell r="E20">
            <v>3214871</v>
          </cell>
        </row>
        <row r="22">
          <cell r="E22">
            <v>3221873</v>
          </cell>
        </row>
        <row r="24">
          <cell r="E24">
            <v>3228777</v>
          </cell>
        </row>
        <row r="26">
          <cell r="E26">
            <v>3234379</v>
          </cell>
        </row>
        <row r="28">
          <cell r="E28">
            <v>3236273</v>
          </cell>
        </row>
        <row r="30">
          <cell r="E30">
            <v>3240184</v>
          </cell>
        </row>
        <row r="32">
          <cell r="E32">
            <v>3244734</v>
          </cell>
        </row>
        <row r="34">
          <cell r="E34">
            <v>3248681</v>
          </cell>
        </row>
        <row r="36">
          <cell r="E36">
            <v>3253575</v>
          </cell>
        </row>
        <row r="38">
          <cell r="E38">
            <v>3258283</v>
          </cell>
        </row>
      </sheetData>
      <sheetData sheetId="1">
        <row r="16">
          <cell r="E16">
            <v>296726</v>
          </cell>
        </row>
        <row r="18">
          <cell r="E18">
            <v>296916</v>
          </cell>
        </row>
        <row r="20">
          <cell r="E20">
            <v>297390</v>
          </cell>
        </row>
        <row r="22">
          <cell r="E22">
            <v>299035</v>
          </cell>
        </row>
        <row r="24">
          <cell r="E24">
            <v>299788</v>
          </cell>
        </row>
        <row r="26">
          <cell r="E26">
            <v>300604</v>
          </cell>
        </row>
        <row r="28">
          <cell r="E28">
            <v>301274</v>
          </cell>
        </row>
        <row r="30">
          <cell r="E30">
            <v>301519</v>
          </cell>
        </row>
        <row r="32">
          <cell r="E32">
            <v>302471</v>
          </cell>
        </row>
        <row r="34">
          <cell r="E34">
            <v>303108</v>
          </cell>
        </row>
        <row r="36">
          <cell r="E36">
            <v>303828</v>
          </cell>
        </row>
        <row r="38">
          <cell r="E38">
            <v>304430</v>
          </cell>
        </row>
      </sheetData>
      <sheetData sheetId="2">
        <row r="16">
          <cell r="E16">
            <v>195067</v>
          </cell>
          <cell r="I16">
            <v>1998993921</v>
          </cell>
        </row>
        <row r="18">
          <cell r="E18">
            <v>195641</v>
          </cell>
          <cell r="I18">
            <v>1977503676</v>
          </cell>
        </row>
        <row r="20">
          <cell r="E20">
            <v>196641</v>
          </cell>
          <cell r="I20">
            <v>2201181387</v>
          </cell>
        </row>
        <row r="22">
          <cell r="E22">
            <v>196661</v>
          </cell>
          <cell r="I22">
            <v>1800792498</v>
          </cell>
        </row>
        <row r="24">
          <cell r="E24">
            <v>197010</v>
          </cell>
          <cell r="I24">
            <v>2029244473</v>
          </cell>
        </row>
        <row r="26">
          <cell r="E26">
            <v>197289</v>
          </cell>
          <cell r="I26">
            <v>2281615721</v>
          </cell>
        </row>
        <row r="28">
          <cell r="E28">
            <v>197702</v>
          </cell>
          <cell r="I28">
            <v>2773542025</v>
          </cell>
        </row>
        <row r="30">
          <cell r="E30">
            <v>198092</v>
          </cell>
          <cell r="I30">
            <v>2813879859</v>
          </cell>
        </row>
        <row r="32">
          <cell r="E32">
            <v>197946</v>
          </cell>
          <cell r="I32">
            <v>2861233955</v>
          </cell>
        </row>
        <row r="34">
          <cell r="E34">
            <v>197922</v>
          </cell>
          <cell r="I34">
            <v>2450797322</v>
          </cell>
        </row>
        <row r="36">
          <cell r="E36">
            <v>197868</v>
          </cell>
          <cell r="I36">
            <v>2065732092</v>
          </cell>
        </row>
        <row r="38">
          <cell r="E38">
            <v>198142</v>
          </cell>
          <cell r="I38">
            <v>1930751950</v>
          </cell>
        </row>
      </sheetData>
      <sheetData sheetId="3">
        <row r="16">
          <cell r="E16">
            <v>5289</v>
          </cell>
          <cell r="I16">
            <v>1351918368</v>
          </cell>
        </row>
        <row r="18">
          <cell r="E18">
            <v>5291</v>
          </cell>
          <cell r="I18">
            <v>1326371430</v>
          </cell>
        </row>
        <row r="20">
          <cell r="E20">
            <v>5289</v>
          </cell>
          <cell r="I20">
            <v>1339560309</v>
          </cell>
        </row>
        <row r="22">
          <cell r="E22">
            <v>5290</v>
          </cell>
          <cell r="I22">
            <v>1346806153</v>
          </cell>
        </row>
        <row r="24">
          <cell r="E24">
            <v>5309</v>
          </cell>
          <cell r="I24">
            <v>1406273540</v>
          </cell>
        </row>
        <row r="26">
          <cell r="E26">
            <v>5371</v>
          </cell>
          <cell r="I26">
            <v>1462016083</v>
          </cell>
        </row>
        <row r="28">
          <cell r="E28">
            <v>5367</v>
          </cell>
          <cell r="I28">
            <v>1695733062</v>
          </cell>
        </row>
        <row r="30">
          <cell r="E30">
            <v>5364</v>
          </cell>
          <cell r="I30">
            <v>1697138007</v>
          </cell>
        </row>
        <row r="32">
          <cell r="E32">
            <v>5374</v>
          </cell>
          <cell r="I32">
            <v>1692406091</v>
          </cell>
        </row>
        <row r="34">
          <cell r="E34">
            <v>5455</v>
          </cell>
          <cell r="I34">
            <v>1554722199</v>
          </cell>
        </row>
        <row r="36">
          <cell r="E36">
            <v>5449</v>
          </cell>
          <cell r="I36">
            <v>1463865882</v>
          </cell>
        </row>
        <row r="38">
          <cell r="E38">
            <v>5446</v>
          </cell>
          <cell r="I38">
            <v>1408196282</v>
          </cell>
        </row>
      </sheetData>
      <sheetData sheetId="4">
        <row r="16">
          <cell r="E16">
            <v>2979</v>
          </cell>
        </row>
        <row r="18">
          <cell r="E18">
            <v>2976</v>
          </cell>
        </row>
        <row r="20">
          <cell r="E20">
            <v>3005</v>
          </cell>
        </row>
        <row r="22">
          <cell r="E22">
            <v>3034</v>
          </cell>
        </row>
        <row r="24">
          <cell r="E24">
            <v>3065</v>
          </cell>
        </row>
        <row r="26">
          <cell r="E26">
            <v>3069</v>
          </cell>
        </row>
        <row r="28">
          <cell r="E28">
            <v>3081</v>
          </cell>
        </row>
        <row r="30">
          <cell r="E30">
            <v>3093</v>
          </cell>
        </row>
        <row r="32">
          <cell r="E32">
            <v>3096</v>
          </cell>
        </row>
        <row r="34">
          <cell r="E34">
            <v>3111</v>
          </cell>
        </row>
        <row r="36">
          <cell r="E36">
            <v>3103</v>
          </cell>
        </row>
        <row r="38">
          <cell r="E38">
            <v>3101</v>
          </cell>
        </row>
      </sheetData>
      <sheetData sheetId="5">
        <row r="16">
          <cell r="E16">
            <v>5712</v>
          </cell>
          <cell r="I16">
            <v>142162335</v>
          </cell>
        </row>
        <row r="18">
          <cell r="E18">
            <v>5688</v>
          </cell>
          <cell r="I18">
            <v>136104227</v>
          </cell>
        </row>
        <row r="20">
          <cell r="E20">
            <v>5669</v>
          </cell>
          <cell r="I20">
            <v>125450911</v>
          </cell>
        </row>
        <row r="22">
          <cell r="E22">
            <v>5641</v>
          </cell>
          <cell r="I22">
            <v>146049568</v>
          </cell>
        </row>
        <row r="24">
          <cell r="E24">
            <v>5598</v>
          </cell>
          <cell r="I24">
            <v>168470619</v>
          </cell>
        </row>
        <row r="26">
          <cell r="E26">
            <v>5545</v>
          </cell>
          <cell r="I26">
            <v>176125535</v>
          </cell>
        </row>
        <row r="28">
          <cell r="E28">
            <v>5545</v>
          </cell>
          <cell r="I28">
            <v>182621139</v>
          </cell>
        </row>
        <row r="30">
          <cell r="E30">
            <v>5534</v>
          </cell>
          <cell r="I30">
            <v>112099971</v>
          </cell>
        </row>
        <row r="32">
          <cell r="E32">
            <v>5544</v>
          </cell>
          <cell r="I32">
            <v>170101246</v>
          </cell>
        </row>
        <row r="34">
          <cell r="E34">
            <v>5543</v>
          </cell>
          <cell r="I34">
            <v>216102761</v>
          </cell>
        </row>
        <row r="36">
          <cell r="E36">
            <v>5551</v>
          </cell>
          <cell r="I36">
            <v>157504876</v>
          </cell>
        </row>
        <row r="38">
          <cell r="E38">
            <v>5560</v>
          </cell>
          <cell r="I38">
            <v>168890297</v>
          </cell>
        </row>
      </sheetData>
      <sheetData sheetId="6">
        <row r="16">
          <cell r="E16">
            <v>1521</v>
          </cell>
          <cell r="I16">
            <v>1196329426</v>
          </cell>
        </row>
        <row r="18">
          <cell r="E18">
            <v>1525</v>
          </cell>
          <cell r="I18">
            <v>1150822551</v>
          </cell>
        </row>
        <row r="20">
          <cell r="E20">
            <v>1522</v>
          </cell>
          <cell r="I20">
            <v>1014192818</v>
          </cell>
        </row>
        <row r="22">
          <cell r="E22">
            <v>1519</v>
          </cell>
          <cell r="I22">
            <v>1181580735</v>
          </cell>
        </row>
        <row r="24">
          <cell r="E24">
            <v>1531</v>
          </cell>
          <cell r="I24">
            <v>1246661858</v>
          </cell>
        </row>
        <row r="26">
          <cell r="E26">
            <v>1565</v>
          </cell>
          <cell r="I26">
            <v>1284301945</v>
          </cell>
        </row>
        <row r="28">
          <cell r="E28">
            <v>1564</v>
          </cell>
          <cell r="I28">
            <v>1342534030</v>
          </cell>
        </row>
        <row r="30">
          <cell r="E30">
            <v>1560</v>
          </cell>
          <cell r="I30">
            <v>1253721174</v>
          </cell>
        </row>
        <row r="32">
          <cell r="E32">
            <v>1556</v>
          </cell>
          <cell r="I32">
            <v>1307569606</v>
          </cell>
        </row>
        <row r="34">
          <cell r="E34">
            <v>1600</v>
          </cell>
          <cell r="I34">
            <v>1300302492</v>
          </cell>
        </row>
        <row r="36">
          <cell r="E36">
            <v>1597</v>
          </cell>
          <cell r="I36">
            <v>1256982908</v>
          </cell>
        </row>
        <row r="38">
          <cell r="E38">
            <v>1598</v>
          </cell>
          <cell r="I38">
            <v>1336111748</v>
          </cell>
        </row>
      </sheetData>
      <sheetData sheetId="7">
        <row r="16">
          <cell r="E16">
            <v>121</v>
          </cell>
        </row>
        <row r="18">
          <cell r="E18">
            <v>121</v>
          </cell>
        </row>
        <row r="20">
          <cell r="E20">
            <v>122</v>
          </cell>
        </row>
        <row r="22">
          <cell r="E22">
            <v>122</v>
          </cell>
        </row>
        <row r="24">
          <cell r="E24">
            <v>122</v>
          </cell>
        </row>
        <row r="26">
          <cell r="E26">
            <v>124</v>
          </cell>
        </row>
        <row r="28">
          <cell r="E28">
            <v>124</v>
          </cell>
        </row>
        <row r="30">
          <cell r="E30">
            <v>128</v>
          </cell>
        </row>
        <row r="32">
          <cell r="E32">
            <v>129</v>
          </cell>
        </row>
        <row r="34">
          <cell r="E34">
            <v>129</v>
          </cell>
        </row>
        <row r="36">
          <cell r="E36">
            <v>129</v>
          </cell>
        </row>
        <row r="38">
          <cell r="E38">
            <v>130</v>
          </cell>
        </row>
      </sheetData>
      <sheetData sheetId="8">
        <row r="16">
          <cell r="E16">
            <v>268</v>
          </cell>
        </row>
        <row r="18">
          <cell r="E18">
            <v>269</v>
          </cell>
        </row>
        <row r="20">
          <cell r="E20">
            <v>270</v>
          </cell>
        </row>
        <row r="22">
          <cell r="E22">
            <v>275</v>
          </cell>
        </row>
        <row r="24">
          <cell r="E24">
            <v>277</v>
          </cell>
        </row>
        <row r="26">
          <cell r="E26">
            <v>278</v>
          </cell>
        </row>
        <row r="28">
          <cell r="E28">
            <v>282</v>
          </cell>
        </row>
        <row r="30">
          <cell r="E30">
            <v>282</v>
          </cell>
        </row>
        <row r="32">
          <cell r="E32">
            <v>283</v>
          </cell>
        </row>
        <row r="34">
          <cell r="E34">
            <v>283</v>
          </cell>
        </row>
        <row r="36">
          <cell r="E36">
            <v>283</v>
          </cell>
        </row>
        <row r="38">
          <cell r="E38">
            <v>283</v>
          </cell>
        </row>
      </sheetData>
      <sheetData sheetId="9">
        <row r="16">
          <cell r="E16">
            <v>2831</v>
          </cell>
        </row>
        <row r="18">
          <cell r="E18">
            <v>2833</v>
          </cell>
        </row>
        <row r="20">
          <cell r="E20">
            <v>2833</v>
          </cell>
        </row>
        <row r="22">
          <cell r="E22">
            <v>2835</v>
          </cell>
        </row>
        <row r="24">
          <cell r="E24">
            <v>2839</v>
          </cell>
        </row>
        <row r="26">
          <cell r="E26">
            <v>2858</v>
          </cell>
        </row>
        <row r="28">
          <cell r="E28">
            <v>2863</v>
          </cell>
        </row>
        <row r="30">
          <cell r="E30">
            <v>2866</v>
          </cell>
        </row>
        <row r="32">
          <cell r="E32">
            <v>2865</v>
          </cell>
        </row>
        <row r="34">
          <cell r="E34">
            <v>2865</v>
          </cell>
        </row>
        <row r="36">
          <cell r="E36">
            <v>2866</v>
          </cell>
        </row>
        <row r="38">
          <cell r="E38">
            <v>2866</v>
          </cell>
        </row>
      </sheetData>
      <sheetData sheetId="10">
        <row r="16">
          <cell r="E16">
            <v>760</v>
          </cell>
        </row>
        <row r="18">
          <cell r="E18">
            <v>758</v>
          </cell>
        </row>
        <row r="20">
          <cell r="E20">
            <v>758</v>
          </cell>
        </row>
        <row r="22">
          <cell r="E22">
            <v>757</v>
          </cell>
        </row>
        <row r="24">
          <cell r="E24">
            <v>757</v>
          </cell>
        </row>
        <row r="26">
          <cell r="E26">
            <v>756</v>
          </cell>
        </row>
        <row r="28">
          <cell r="E28">
            <v>755</v>
          </cell>
        </row>
        <row r="30">
          <cell r="E30">
            <v>755</v>
          </cell>
        </row>
        <row r="32">
          <cell r="E32">
            <v>753</v>
          </cell>
        </row>
        <row r="34">
          <cell r="E34">
            <v>753</v>
          </cell>
        </row>
        <row r="36">
          <cell r="E36">
            <v>753</v>
          </cell>
        </row>
        <row r="38">
          <cell r="E38">
            <v>752</v>
          </cell>
        </row>
      </sheetData>
      <sheetData sheetId="11">
        <row r="16">
          <cell r="E16">
            <v>66</v>
          </cell>
        </row>
        <row r="18">
          <cell r="E18">
            <v>66</v>
          </cell>
        </row>
        <row r="20">
          <cell r="E20">
            <v>66</v>
          </cell>
        </row>
        <row r="22">
          <cell r="E22">
            <v>66</v>
          </cell>
        </row>
        <row r="24">
          <cell r="E24">
            <v>66</v>
          </cell>
        </row>
        <row r="26">
          <cell r="E26">
            <v>66</v>
          </cell>
        </row>
        <row r="28">
          <cell r="E28">
            <v>66</v>
          </cell>
        </row>
        <row r="30">
          <cell r="E30">
            <v>66</v>
          </cell>
        </row>
        <row r="32">
          <cell r="E32">
            <v>66</v>
          </cell>
        </row>
        <row r="34">
          <cell r="E34">
            <v>66</v>
          </cell>
        </row>
        <row r="36">
          <cell r="E36">
            <v>66</v>
          </cell>
        </row>
        <row r="38">
          <cell r="E38">
            <v>66</v>
          </cell>
        </row>
      </sheetData>
      <sheetData sheetId="12">
        <row r="16">
          <cell r="E16">
            <v>52686</v>
          </cell>
        </row>
        <row r="18">
          <cell r="E18">
            <v>52606</v>
          </cell>
        </row>
        <row r="20">
          <cell r="E20">
            <v>52558</v>
          </cell>
        </row>
        <row r="22">
          <cell r="E22">
            <v>52550</v>
          </cell>
        </row>
        <row r="24">
          <cell r="E24">
            <v>52472</v>
          </cell>
        </row>
        <row r="26">
          <cell r="E26">
            <v>52409</v>
          </cell>
        </row>
        <row r="28">
          <cell r="E28">
            <v>52225</v>
          </cell>
        </row>
        <row r="30">
          <cell r="E30">
            <v>52044</v>
          </cell>
        </row>
        <row r="32">
          <cell r="E32">
            <v>51912</v>
          </cell>
        </row>
        <row r="34">
          <cell r="E34">
            <v>51724</v>
          </cell>
        </row>
        <row r="36">
          <cell r="E36">
            <v>51603</v>
          </cell>
        </row>
        <row r="38">
          <cell r="E38">
            <v>51524</v>
          </cell>
        </row>
      </sheetData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S Model"/>
      <sheetName val="RES Model Graph"/>
      <sheetName val="SECLE10KW Model"/>
      <sheetName val="SECLE10KW Model Graph"/>
      <sheetName val="SECGT10KW Model"/>
      <sheetName val="SECGT10KW Model Graph"/>
      <sheetName val="PRMGT10KWD Model"/>
      <sheetName val="PRMGT10KWD Model Graph"/>
      <sheetName val="SUB Model"/>
      <sheetName val="SUB Model Graph"/>
      <sheetName val="RES B Model"/>
      <sheetName val="RES B Model Graph"/>
      <sheetName val="SECLE10KW B Model"/>
      <sheetName val="SECLE10KW B Model Graph"/>
      <sheetName val="SECGT10KW B Model"/>
      <sheetName val="SECGT10KW B Model Graph"/>
      <sheetName val="PRMGT10KWD B Model"/>
      <sheetName val="PRMGT10KWD B Model Graph"/>
      <sheetName val="SUB B Model"/>
      <sheetName val="SUB B Model Graph"/>
    </sheetNames>
    <sheetDataSet>
      <sheetData sheetId="0">
        <row r="17">
          <cell r="C17">
            <v>2.055</v>
          </cell>
        </row>
        <row r="18">
          <cell r="C18">
            <v>2.289</v>
          </cell>
        </row>
      </sheetData>
      <sheetData sheetId="1"/>
      <sheetData sheetId="2">
        <row r="17">
          <cell r="C17">
            <v>0.298</v>
          </cell>
        </row>
        <row r="18">
          <cell r="C18">
            <v>0.459</v>
          </cell>
        </row>
      </sheetData>
      <sheetData sheetId="3"/>
      <sheetData sheetId="4">
        <row r="17">
          <cell r="C17">
            <v>5.945</v>
          </cell>
        </row>
        <row r="18">
          <cell r="C18">
            <v>11.532</v>
          </cell>
        </row>
      </sheetData>
      <sheetData sheetId="5"/>
      <sheetData sheetId="6">
        <row r="17">
          <cell r="C17">
            <v>194.17</v>
          </cell>
        </row>
      </sheetData>
      <sheetData sheetId="7"/>
      <sheetData sheetId="8">
        <row r="17">
          <cell r="C17">
            <v>8.826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ES"/>
      <sheetName val="SECLE10KW"/>
      <sheetName val="SECGT10KW"/>
      <sheetName val="PRMGT10KWD"/>
      <sheetName val="SUBSTATION"/>
      <sheetName val="COOLING Weighting"/>
      <sheetName val="COOLING Weighting (2)"/>
      <sheetName val="HEATING Weighting"/>
      <sheetName val="HEATING Weighting (2)"/>
      <sheetName val="Simple Averages_0121"/>
      <sheetName val="Simple Averages_0720"/>
      <sheetName val="Simple Averages_0114"/>
      <sheetName val="Simple Averages_0714"/>
      <sheetName val="Smoothed Normal for 0121"/>
      <sheetName val="Smoothed Normal for 0720"/>
      <sheetName val="Smoothed Normal for 0114"/>
      <sheetName val="Smoothed Normal for 0714"/>
      <sheetName val="Cycle 18 HDD Feb 20"/>
      <sheetName val="Cycle 17 CDD Aug 20"/>
      <sheetName val="Cycle 16 HDD Feb 21"/>
      <sheetName val="Cycle 13 CDD Aug 21"/>
      <sheetName val="Billed Feb 20 HDD"/>
      <sheetName val="Billed Aug 20 CDD"/>
      <sheetName val="Billed Feb 21 HDD"/>
      <sheetName val="Billed Aug 21 CDD"/>
      <sheetName val="Spline Degree Days 2020"/>
      <sheetName val="Spline Degree Days 2021"/>
      <sheetName val="Res Seasonal Weights"/>
      <sheetName val="SECTE10KW Seasonal Weights"/>
      <sheetName val="SECGT10KW Seasonal Weights"/>
      <sheetName val="PRMGT10KWD Seasonal Weights"/>
      <sheetName val="Substation Seasonal Weights"/>
      <sheetName val="Class Spline Weights"/>
    </sheetNames>
    <sheetDataSet>
      <sheetData sheetId="0">
        <row r="13">
          <cell r="C13">
            <v>198.480359807048</v>
          </cell>
          <cell r="D13">
            <v>0.0530639474285714</v>
          </cell>
          <cell r="E13">
            <v>222.138702081106</v>
          </cell>
          <cell r="F13">
            <v>1.81729624282195</v>
          </cell>
        </row>
        <row r="14">
          <cell r="C14">
            <v>234.817806933571</v>
          </cell>
          <cell r="D14">
            <v>0.0727204853333333</v>
          </cell>
          <cell r="E14">
            <v>221.207764415745</v>
          </cell>
          <cell r="F14">
            <v>1.34664601895943</v>
          </cell>
        </row>
        <row r="15">
          <cell r="C15">
            <v>311.735188085333</v>
          </cell>
          <cell r="D15">
            <v>3.37962017157143</v>
          </cell>
          <cell r="E15">
            <v>159.634192116835</v>
          </cell>
          <cell r="F15">
            <v>5.14965339171648</v>
          </cell>
        </row>
        <row r="16">
          <cell r="C16">
            <v>25.4180941483333</v>
          </cell>
          <cell r="D16">
            <v>15.6883776019524</v>
          </cell>
          <cell r="E16">
            <v>54.5181729477146</v>
          </cell>
          <cell r="F16">
            <v>22.9561119148615</v>
          </cell>
        </row>
        <row r="17">
          <cell r="C17">
            <v>15.0681662753333</v>
          </cell>
          <cell r="D17">
            <v>41.6072244152381</v>
          </cell>
          <cell r="E17">
            <v>12.3304372705656</v>
          </cell>
          <cell r="F17">
            <v>76.1285512512779</v>
          </cell>
        </row>
        <row r="18">
          <cell r="C18">
            <v>1.10509710709524</v>
          </cell>
          <cell r="D18">
            <v>140.655209359762</v>
          </cell>
          <cell r="E18">
            <v>1.04841889230854</v>
          </cell>
          <cell r="F18">
            <v>214.748516550333</v>
          </cell>
        </row>
        <row r="19">
          <cell r="C19">
            <v>0.000573952000000002</v>
          </cell>
          <cell r="D19">
            <v>352.363935845048</v>
          </cell>
          <cell r="E19">
            <v>0.0106850700867383</v>
          </cell>
          <cell r="F19">
            <v>383.154292505572</v>
          </cell>
        </row>
        <row r="20">
          <cell r="C20">
            <v>0</v>
          </cell>
          <cell r="D20">
            <v>386.178830634714</v>
          </cell>
          <cell r="E20">
            <v>0.000284785658986175</v>
          </cell>
          <cell r="F20">
            <v>444.568570390681</v>
          </cell>
        </row>
        <row r="21">
          <cell r="C21">
            <v>0</v>
          </cell>
          <cell r="D21">
            <v>385.150649304333</v>
          </cell>
          <cell r="E21">
            <v>0.040852733731394</v>
          </cell>
          <cell r="F21">
            <v>383.9392036919</v>
          </cell>
        </row>
        <row r="22">
          <cell r="C22">
            <v>0.230662822523809</v>
          </cell>
          <cell r="D22">
            <v>218.247431607952</v>
          </cell>
          <cell r="E22">
            <v>2.29698447415447</v>
          </cell>
          <cell r="F22">
            <v>204.880599980553</v>
          </cell>
        </row>
        <row r="23">
          <cell r="C23">
            <v>16.4727152380952</v>
          </cell>
          <cell r="D23">
            <v>70.4235504597619</v>
          </cell>
          <cell r="E23">
            <v>26.8196696480172</v>
          </cell>
          <cell r="F23">
            <v>57.3989064994622</v>
          </cell>
        </row>
        <row r="24">
          <cell r="C24">
            <v>59.0336641769524</v>
          </cell>
          <cell r="D24">
            <v>7.75445695580953</v>
          </cell>
          <cell r="E24">
            <v>119.805315405725</v>
          </cell>
          <cell r="F24">
            <v>9.72822431541138</v>
          </cell>
        </row>
      </sheetData>
      <sheetData sheetId="1">
        <row r="13">
          <cell r="C13">
            <v>227.607780267571</v>
          </cell>
          <cell r="D13">
            <v>0.0302336775238095</v>
          </cell>
          <cell r="E13">
            <v>249.974008265032</v>
          </cell>
          <cell r="F13">
            <v>1.15722952266986</v>
          </cell>
        </row>
        <row r="14">
          <cell r="C14">
            <v>260.638135076333</v>
          </cell>
          <cell r="D14">
            <v>0.0489667969523809</v>
          </cell>
          <cell r="E14">
            <v>247.18634984068</v>
          </cell>
          <cell r="F14">
            <v>0.858200855966635</v>
          </cell>
        </row>
        <row r="15">
          <cell r="C15">
            <v>335.050912156143</v>
          </cell>
          <cell r="D15">
            <v>2.23140743838095</v>
          </cell>
          <cell r="E15">
            <v>176.700099919726</v>
          </cell>
          <cell r="F15">
            <v>3.39746812342491</v>
          </cell>
        </row>
        <row r="16">
          <cell r="C16">
            <v>27.5427768896667</v>
          </cell>
          <cell r="D16">
            <v>10.4070341377143</v>
          </cell>
          <cell r="E16">
            <v>59.318212636486</v>
          </cell>
          <cell r="F16">
            <v>16.0363761977239</v>
          </cell>
        </row>
        <row r="17">
          <cell r="C17">
            <v>17.0769075848571</v>
          </cell>
          <cell r="D17">
            <v>29.7070234431429</v>
          </cell>
          <cell r="E17">
            <v>12.705528414639</v>
          </cell>
          <cell r="F17">
            <v>55.8889862029585</v>
          </cell>
        </row>
        <row r="18">
          <cell r="C18">
            <v>0.764117858571429</v>
          </cell>
          <cell r="D18">
            <v>104.493255045</v>
          </cell>
          <cell r="E18">
            <v>0.938002576743215</v>
          </cell>
          <cell r="F18">
            <v>162.595457896217</v>
          </cell>
        </row>
        <row r="19">
          <cell r="C19">
            <v>0</v>
          </cell>
          <cell r="D19">
            <v>264.926701007476</v>
          </cell>
          <cell r="E19">
            <v>0.00565797164050178</v>
          </cell>
          <cell r="F19">
            <v>295.557185140993</v>
          </cell>
        </row>
        <row r="20">
          <cell r="C20">
            <v>0</v>
          </cell>
          <cell r="D20">
            <v>291.079376675571</v>
          </cell>
          <cell r="E20">
            <v>0</v>
          </cell>
          <cell r="F20">
            <v>347.286396310887</v>
          </cell>
        </row>
        <row r="21">
          <cell r="C21">
            <v>0</v>
          </cell>
          <cell r="D21">
            <v>290.824035478952</v>
          </cell>
          <cell r="E21">
            <v>0.053763678665137</v>
          </cell>
          <cell r="F21">
            <v>295.001426398707</v>
          </cell>
        </row>
        <row r="22">
          <cell r="C22">
            <v>0.140148406428571</v>
          </cell>
          <cell r="D22">
            <v>160.555653718762</v>
          </cell>
          <cell r="E22">
            <v>2.31273757591315</v>
          </cell>
          <cell r="F22">
            <v>150.605670170211</v>
          </cell>
        </row>
        <row r="23">
          <cell r="C23">
            <v>17.1734343848095</v>
          </cell>
          <cell r="D23">
            <v>49.7882048995238</v>
          </cell>
          <cell r="E23">
            <v>29.2992552908245</v>
          </cell>
          <cell r="F23">
            <v>40.2734322115703</v>
          </cell>
        </row>
        <row r="24">
          <cell r="C24">
            <v>64.3026685151904</v>
          </cell>
          <cell r="D24">
            <v>5.07599485757143</v>
          </cell>
          <cell r="E24">
            <v>134.722146630833</v>
          </cell>
          <cell r="F24">
            <v>6.39913755077258</v>
          </cell>
        </row>
      </sheetData>
      <sheetData sheetId="2">
        <row r="13">
          <cell r="C13">
            <v>134.515386705429</v>
          </cell>
          <cell r="D13">
            <v>0.627170399857143</v>
          </cell>
          <cell r="E13">
            <v>162.214440550138</v>
          </cell>
          <cell r="F13">
            <v>6.11060593772732</v>
          </cell>
        </row>
        <row r="14">
          <cell r="C14">
            <v>171.544564099714</v>
          </cell>
          <cell r="D14">
            <v>0.922515881333334</v>
          </cell>
          <cell r="E14">
            <v>164.210341936897</v>
          </cell>
          <cell r="F14">
            <v>4.92690954668755</v>
          </cell>
        </row>
        <row r="15">
          <cell r="C15">
            <v>264.56695605719</v>
          </cell>
          <cell r="D15">
            <v>10.1134740181429</v>
          </cell>
          <cell r="E15">
            <v>112.335593044263</v>
          </cell>
          <cell r="F15">
            <v>15.1085426349858</v>
          </cell>
        </row>
        <row r="16">
          <cell r="C16">
            <v>6.91791397333333</v>
          </cell>
          <cell r="D16">
            <v>41.9066236567619</v>
          </cell>
          <cell r="E16">
            <v>30.2266013070746</v>
          </cell>
          <cell r="F16">
            <v>50.8590932260857</v>
          </cell>
        </row>
        <row r="17">
          <cell r="C17">
            <v>3.54029546733333</v>
          </cell>
          <cell r="D17">
            <v>83.8254408629048</v>
          </cell>
          <cell r="E17">
            <v>4.68836746194245</v>
          </cell>
          <cell r="F17">
            <v>131.168359967191</v>
          </cell>
        </row>
        <row r="18">
          <cell r="C18">
            <v>0.00738399047619048</v>
          </cell>
          <cell r="D18">
            <v>215.241776290952</v>
          </cell>
          <cell r="E18">
            <v>0.194749718398259</v>
          </cell>
          <cell r="F18">
            <v>298.312174599416</v>
          </cell>
        </row>
        <row r="19">
          <cell r="C19">
            <v>0</v>
          </cell>
          <cell r="D19">
            <v>453.604943661476</v>
          </cell>
          <cell r="E19">
            <v>0.000276941676958525</v>
          </cell>
          <cell r="F19">
            <v>483.816022784612</v>
          </cell>
        </row>
        <row r="20">
          <cell r="C20">
            <v>0</v>
          </cell>
          <cell r="D20">
            <v>485.781958211714</v>
          </cell>
          <cell r="E20">
            <v>0</v>
          </cell>
          <cell r="F20">
            <v>542.70056012177</v>
          </cell>
        </row>
        <row r="21">
          <cell r="C21">
            <v>0</v>
          </cell>
          <cell r="D21">
            <v>482.784894088571</v>
          </cell>
          <cell r="E21">
            <v>0.0111673103457053</v>
          </cell>
          <cell r="F21">
            <v>478.816862028013</v>
          </cell>
        </row>
        <row r="22">
          <cell r="C22">
            <v>0.00147679809523806</v>
          </cell>
          <cell r="D22">
            <v>304.88490241281</v>
          </cell>
          <cell r="E22">
            <v>0.681098299976184</v>
          </cell>
          <cell r="F22">
            <v>283.023254301742</v>
          </cell>
        </row>
        <row r="23">
          <cell r="C23">
            <v>5.83551293823809</v>
          </cell>
          <cell r="D23">
            <v>119.779178008286</v>
          </cell>
          <cell r="E23">
            <v>12.5402383488634</v>
          </cell>
          <cell r="F23">
            <v>98.3251282482859</v>
          </cell>
        </row>
        <row r="24">
          <cell r="C24">
            <v>23.9789543792381</v>
          </cell>
          <cell r="D24">
            <v>23.9600539754286</v>
          </cell>
          <cell r="E24">
            <v>77.2715336231115</v>
          </cell>
          <cell r="F24">
            <v>23.7263277189767</v>
          </cell>
        </row>
      </sheetData>
      <sheetData sheetId="3">
        <row r="13">
          <cell r="D13">
            <v>6.51222446061905</v>
          </cell>
          <cell r="F13">
            <v>13.6270135540839</v>
          </cell>
        </row>
        <row r="14">
          <cell r="D14">
            <v>6.86409916538096</v>
          </cell>
          <cell r="F14">
            <v>12.4171199791731</v>
          </cell>
        </row>
        <row r="15">
          <cell r="D15">
            <v>25.6590319121905</v>
          </cell>
          <cell r="F15">
            <v>36.0405804382093</v>
          </cell>
        </row>
        <row r="16">
          <cell r="D16">
            <v>87.5290996649048</v>
          </cell>
          <cell r="F16">
            <v>103.375330125579</v>
          </cell>
        </row>
        <row r="17">
          <cell r="D17">
            <v>154.03261704819</v>
          </cell>
          <cell r="F17">
            <v>223.893840079017</v>
          </cell>
        </row>
        <row r="18">
          <cell r="D18">
            <v>323.067929513952</v>
          </cell>
          <cell r="F18">
            <v>416.323654199718</v>
          </cell>
        </row>
        <row r="19">
          <cell r="D19">
            <v>539.671498087667</v>
          </cell>
          <cell r="F19">
            <v>599.49521112892</v>
          </cell>
        </row>
        <row r="20">
          <cell r="D20">
            <v>544.17114772619</v>
          </cell>
          <cell r="F20">
            <v>631.840163469521</v>
          </cell>
        </row>
        <row r="21">
          <cell r="D21">
            <v>548.055607430714</v>
          </cell>
          <cell r="F21">
            <v>556.223870181356</v>
          </cell>
        </row>
        <row r="22">
          <cell r="D22">
            <v>386.999194503905</v>
          </cell>
          <cell r="F22">
            <v>354.876049713521</v>
          </cell>
        </row>
        <row r="23">
          <cell r="D23">
            <v>181.66234373981</v>
          </cell>
          <cell r="F23">
            <v>151.588172058587</v>
          </cell>
        </row>
        <row r="24">
          <cell r="D24">
            <v>53.9426415065238</v>
          </cell>
          <cell r="F24">
            <v>46.6084397752536</v>
          </cell>
        </row>
      </sheetData>
      <sheetData sheetId="4">
        <row r="13">
          <cell r="D13">
            <v>94.5369274422857</v>
          </cell>
          <cell r="F13">
            <v>145.631961340779</v>
          </cell>
        </row>
        <row r="14">
          <cell r="D14">
            <v>99.8279051862857</v>
          </cell>
          <cell r="F14">
            <v>137.458665065639</v>
          </cell>
        </row>
        <row r="15">
          <cell r="D15">
            <v>252.488393567429</v>
          </cell>
          <cell r="F15">
            <v>325.107821619532</v>
          </cell>
        </row>
        <row r="16">
          <cell r="D16">
            <v>689.612522108762</v>
          </cell>
          <cell r="F16">
            <v>765.987339565681</v>
          </cell>
        </row>
        <row r="17">
          <cell r="D17">
            <v>1056.07211950362</v>
          </cell>
          <cell r="F17">
            <v>1450.9738049517</v>
          </cell>
        </row>
        <row r="18">
          <cell r="D18">
            <v>1964.48273095429</v>
          </cell>
          <cell r="F18">
            <v>2443.70615069037</v>
          </cell>
        </row>
        <row r="19">
          <cell r="D19">
            <v>3047.98610478324</v>
          </cell>
          <cell r="F19">
            <v>3324.50358194161</v>
          </cell>
        </row>
        <row r="20">
          <cell r="D20">
            <v>3026.70578200981</v>
          </cell>
          <cell r="F20">
            <v>3385.86083333888</v>
          </cell>
        </row>
        <row r="21">
          <cell r="D21">
            <v>3069.81934398919</v>
          </cell>
          <cell r="F21">
            <v>3040.77100361665</v>
          </cell>
        </row>
        <row r="22">
          <cell r="D22">
            <v>2261.94730264086</v>
          </cell>
          <cell r="F22">
            <v>2078.75770763193</v>
          </cell>
        </row>
        <row r="23">
          <cell r="D23">
            <v>1184.53895597886</v>
          </cell>
          <cell r="F23">
            <v>1015.60952000953</v>
          </cell>
        </row>
        <row r="24">
          <cell r="D24">
            <v>492.340842331619</v>
          </cell>
          <cell r="F24">
            <v>394.999468887928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9">
    <pageSetUpPr fitToPage="1"/>
  </sheetPr>
  <dimension ref="A1:AA68"/>
  <sheetViews>
    <sheetView tabSelected="1" zoomScale="60" zoomScaleNormal="60" zoomScaleSheetLayoutView="70" workbookViewId="0" topLeftCell="A1"/>
  </sheetViews>
  <sheetFormatPr defaultRowHeight="12.75"/>
  <cols>
    <col min="1" max="1" width="5.85714285714286" bestFit="1" customWidth="1"/>
    <col min="2" max="2" width="2.71428571428571" customWidth="1"/>
    <col min="3" max="3" width="12.4285714285714" customWidth="1"/>
    <col min="4" max="4" width="2.71428571428571" customWidth="1"/>
    <col min="5" max="5" width="8" customWidth="1"/>
    <col min="6" max="6" width="2.71428571428571" customWidth="1"/>
    <col min="7" max="7" width="16.8571428571429" bestFit="1" customWidth="1"/>
    <col min="8" max="8" width="1.42857142857143" customWidth="1"/>
    <col min="9" max="9" width="17.4285714285714" bestFit="1" customWidth="1"/>
    <col min="10" max="10" width="1.14285714285714" customWidth="1"/>
    <col min="11" max="11" width="18.2857142857143" customWidth="1"/>
    <col min="12" max="12" width="1.14285714285714" customWidth="1"/>
    <col min="13" max="13" width="17.1428571428571" customWidth="1"/>
    <col min="14" max="14" width="1.14285714285714" customWidth="1"/>
    <col min="15" max="15" width="11.8571428571429" bestFit="1" customWidth="1"/>
    <col min="16" max="16" width="1.14285714285714" customWidth="1"/>
    <col min="17" max="17" width="26.5714285714286" bestFit="1" customWidth="1"/>
    <col min="18" max="18" width="2.28571428571429" customWidth="1"/>
    <col min="19" max="19" width="23.5714285714286" bestFit="1" customWidth="1"/>
    <col min="20" max="20" width="1.14285714285714" customWidth="1"/>
    <col min="21" max="21" width="19" bestFit="1" customWidth="1"/>
    <col min="22" max="22" width="1.42857142857143" customWidth="1"/>
    <col min="23" max="23" width="16.8571428571429" bestFit="1" customWidth="1"/>
    <col min="24" max="24" width="1.14285714285714" customWidth="1"/>
    <col min="25" max="25" width="17.2857142857143" customWidth="1"/>
    <col min="26" max="26" width="1.71428571428571" customWidth="1"/>
    <col min="27" max="27" width="17" customWidth="1"/>
    <col min="28" max="28" width="11.7142857142857" bestFit="1" customWidth="1"/>
  </cols>
  <sheetData>
    <row r="1" spans="1:27" ht="15.75">
      <c r="A1" s="1"/>
      <c r="B1" s="1"/>
      <c r="C1" s="1"/>
      <c r="D1" s="1"/>
      <c r="E1" s="1"/>
      <c r="F1" s="1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t="s">
        <v>10</v>
      </c>
    </row>
    <row r="2" spans="1:27" ht="15.75">
      <c r="A2" s="4"/>
      <c r="B2" s="4"/>
      <c r="C2" s="4"/>
      <c r="D2" s="4"/>
      <c r="E2" s="4"/>
      <c r="F2" s="4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t="s">
        <v>121</v>
      </c>
    </row>
    <row r="3" spans="1:26" ht="15.75">
      <c r="A3" s="4"/>
      <c r="B3" s="4"/>
      <c r="C3" s="4"/>
      <c r="D3" s="4"/>
      <c r="E3" s="4"/>
      <c r="F3" s="4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7" ht="15.75">
      <c r="A4" s="7" t="s">
        <v>12</v>
      </c>
      <c r="B4" s="4"/>
      <c r="C4" s="4"/>
      <c r="D4" s="4"/>
      <c r="E4" s="4"/>
      <c r="F4" s="4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8"/>
    </row>
    <row r="5" spans="1:27" ht="15.75">
      <c r="A5" s="7" t="s">
        <v>54</v>
      </c>
      <c r="B5" s="4"/>
      <c r="C5" s="4"/>
      <c r="D5" s="4"/>
      <c r="E5" s="4"/>
      <c r="F5" s="4"/>
      <c r="G5" s="6"/>
      <c r="H5" s="6"/>
      <c r="I5" s="8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8"/>
    </row>
    <row r="6" spans="1:27" ht="15.75">
      <c r="A6" s="9" t="s">
        <v>11</v>
      </c>
      <c r="B6" s="4"/>
      <c r="C6" s="4"/>
      <c r="D6" s="4"/>
      <c r="E6" s="4"/>
      <c r="F6" s="4"/>
      <c r="G6" s="6"/>
      <c r="H6" s="8"/>
      <c r="I6" s="8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8"/>
    </row>
    <row r="7" spans="1:27" ht="15.75">
      <c r="A7" s="65" t="s">
        <v>129</v>
      </c>
      <c r="B7" s="4"/>
      <c r="C7" s="38"/>
      <c r="D7" s="4"/>
      <c r="E7" s="4"/>
      <c r="F7" s="4"/>
      <c r="G7" s="6"/>
      <c r="H7" s="8"/>
      <c r="I7" s="8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8"/>
    </row>
    <row r="8" spans="2:26" ht="15">
      <c r="B8" s="4"/>
      <c r="C8" s="4"/>
      <c r="D8" s="4"/>
      <c r="E8" s="4"/>
      <c r="F8" s="4"/>
      <c r="G8" s="6"/>
      <c r="H8" s="6"/>
      <c r="I8" s="8"/>
      <c r="J8" s="6"/>
      <c r="K8" s="6"/>
      <c r="L8" s="6"/>
      <c r="M8" s="6"/>
      <c r="N8" s="6"/>
      <c r="O8" s="6"/>
      <c r="P8" s="6"/>
      <c r="Q8" s="20"/>
      <c r="R8" s="20"/>
      <c r="S8" s="20"/>
      <c r="T8" s="20"/>
      <c r="U8" s="20"/>
      <c r="V8" s="6"/>
      <c r="W8" s="6"/>
      <c r="X8" s="6"/>
      <c r="Y8" s="6"/>
      <c r="Z8" s="6"/>
    </row>
    <row r="9" spans="1:27" ht="15.75">
      <c r="A9" s="41" t="s">
        <v>72</v>
      </c>
      <c r="B9" s="7"/>
      <c r="C9" s="7"/>
      <c r="D9" s="7"/>
      <c r="E9" s="7"/>
      <c r="F9" s="7"/>
      <c r="G9" s="9"/>
      <c r="H9" s="9"/>
      <c r="I9" s="41"/>
      <c r="J9" s="9"/>
      <c r="K9" s="9"/>
      <c r="L9" s="9"/>
      <c r="M9" s="9"/>
      <c r="N9" s="9"/>
      <c r="O9" s="9"/>
      <c r="P9" s="9"/>
      <c r="Q9" s="42"/>
      <c r="R9" s="42"/>
      <c r="S9" s="42"/>
      <c r="T9" s="42"/>
      <c r="U9" s="42"/>
      <c r="V9" s="9"/>
      <c r="W9" s="9"/>
      <c r="X9" s="9"/>
      <c r="Y9" s="9"/>
      <c r="Z9" s="9"/>
      <c r="AA9" s="41"/>
    </row>
    <row r="10" spans="2:26" ht="15">
      <c r="B10" s="4"/>
      <c r="C10" s="4"/>
      <c r="D10" s="4"/>
      <c r="E10" s="4"/>
      <c r="F10" s="4"/>
      <c r="G10" s="6"/>
      <c r="H10" s="6"/>
      <c r="I10" s="8"/>
      <c r="J10" s="6"/>
      <c r="K10" s="6"/>
      <c r="L10" s="6"/>
      <c r="M10" s="6"/>
      <c r="N10" s="6"/>
      <c r="O10" s="6"/>
      <c r="P10" s="6"/>
      <c r="Q10" s="20"/>
      <c r="R10" s="20"/>
      <c r="S10" s="20"/>
      <c r="T10" s="20"/>
      <c r="U10" s="20"/>
      <c r="V10" s="6"/>
      <c r="W10" s="6"/>
      <c r="X10" s="6"/>
      <c r="Y10" s="6"/>
      <c r="Z10" s="6"/>
    </row>
    <row r="11" spans="1:27" ht="15">
      <c r="A11" s="4" t="s">
        <v>130</v>
      </c>
      <c r="B11" s="4"/>
      <c r="C11" s="4"/>
      <c r="D11" s="4"/>
      <c r="E11" s="4"/>
      <c r="F11" s="4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15">
      <c r="A12" s="4"/>
      <c r="B12" s="4"/>
      <c r="C12" s="4"/>
      <c r="D12" s="4"/>
      <c r="E12" s="4"/>
      <c r="F12" s="4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15">
      <c r="A13" s="11" t="s">
        <v>0</v>
      </c>
      <c r="B13" s="11"/>
      <c r="C13" s="11" t="s">
        <v>1</v>
      </c>
      <c r="D13" s="11"/>
      <c r="E13" s="11" t="s">
        <v>2</v>
      </c>
      <c r="F13" s="1"/>
      <c r="G13" s="12" t="s">
        <v>3</v>
      </c>
      <c r="H13" s="12"/>
      <c r="I13" s="13" t="s">
        <v>79</v>
      </c>
      <c r="J13" s="12"/>
      <c r="K13" s="13" t="s">
        <v>80</v>
      </c>
      <c r="L13" s="12"/>
      <c r="M13" s="12" t="s">
        <v>81</v>
      </c>
      <c r="N13" s="12"/>
      <c r="O13" s="13" t="s">
        <v>82</v>
      </c>
      <c r="P13" s="14"/>
      <c r="Q13" s="14" t="s">
        <v>83</v>
      </c>
      <c r="R13" s="14"/>
      <c r="S13" s="14" t="s">
        <v>84</v>
      </c>
      <c r="T13" s="14"/>
      <c r="U13" s="14" t="s">
        <v>85</v>
      </c>
      <c r="V13" s="14"/>
      <c r="W13" s="12" t="s">
        <v>6</v>
      </c>
      <c r="X13" s="12"/>
      <c r="Y13" s="12" t="s">
        <v>7</v>
      </c>
      <c r="Z13" s="12"/>
      <c r="AA13" s="12" t="s">
        <v>8</v>
      </c>
    </row>
    <row r="14" spans="1:27" ht="15">
      <c r="A14" s="1" t="s">
        <v>78</v>
      </c>
      <c r="B14" s="1"/>
      <c r="C14" s="1"/>
      <c r="D14" s="1"/>
      <c r="E14" s="1"/>
      <c r="F14" s="1"/>
      <c r="G14" s="60" t="s">
        <v>15</v>
      </c>
      <c r="H14" s="16"/>
      <c r="I14" s="60" t="s">
        <v>18</v>
      </c>
      <c r="J14" s="16"/>
      <c r="K14" s="60" t="s">
        <v>19</v>
      </c>
      <c r="L14" s="16"/>
      <c r="M14" s="60" t="s">
        <v>22</v>
      </c>
      <c r="N14" s="16"/>
      <c r="O14" s="60" t="s">
        <v>42</v>
      </c>
      <c r="P14" s="16"/>
      <c r="Q14" s="60" t="s">
        <v>26</v>
      </c>
      <c r="R14" s="16"/>
      <c r="S14" s="60" t="s">
        <v>28</v>
      </c>
      <c r="T14" s="16"/>
      <c r="U14" s="60" t="s">
        <v>61</v>
      </c>
      <c r="V14" s="16"/>
      <c r="W14" s="60" t="s">
        <v>62</v>
      </c>
      <c r="X14" s="16"/>
      <c r="Y14" s="60" t="s">
        <v>63</v>
      </c>
      <c r="Z14" s="16"/>
      <c r="AA14" s="61" t="s">
        <v>64</v>
      </c>
    </row>
    <row r="15" spans="1:27" ht="15">
      <c r="A15" s="17"/>
      <c r="B15" s="1"/>
      <c r="C15" s="17"/>
      <c r="D15" s="1"/>
      <c r="E15" s="17"/>
      <c r="F15" s="1"/>
      <c r="G15" s="14"/>
      <c r="H15" s="3"/>
      <c r="I15" s="14"/>
      <c r="J15" s="3"/>
      <c r="K15" s="3"/>
      <c r="L15" s="3"/>
      <c r="M15" s="3"/>
      <c r="N15" s="3"/>
      <c r="O15" s="14"/>
      <c r="P15" s="3"/>
      <c r="Q15" s="3"/>
      <c r="R15" s="3"/>
      <c r="S15" s="3"/>
      <c r="T15" s="3"/>
      <c r="U15" s="3"/>
      <c r="V15" s="3"/>
      <c r="W15" s="14"/>
      <c r="X15" s="14"/>
      <c r="Y15" s="14"/>
      <c r="Z15" s="14"/>
      <c r="AA15" s="14"/>
    </row>
    <row r="16" spans="1:27" ht="15">
      <c r="A16" s="39">
        <v>1</v>
      </c>
      <c r="B16" s="1"/>
      <c r="C16" s="21">
        <v>2021</v>
      </c>
      <c r="D16" s="1"/>
      <c r="E16" s="19">
        <v>1</v>
      </c>
      <c r="F16" s="1"/>
      <c r="G16" s="20">
        <f>+Residential!Z52</f>
        <v>176298.76117455581</v>
      </c>
      <c r="H16" s="3"/>
      <c r="I16" s="20">
        <f>+SecLE10!W52</f>
        <v>2131.212844733142</v>
      </c>
      <c r="J16" s="3"/>
      <c r="K16" s="20">
        <f>+SGT10_IDR_NIDR!J34</f>
        <v>18422.35899998857</v>
      </c>
      <c r="L16" s="20"/>
      <c r="M16" s="20">
        <f>+SGT10_IDR_NIDR!M34</f>
        <v>27239.946229842772</v>
      </c>
      <c r="N16" s="20"/>
      <c r="O16" s="20">
        <v>0</v>
      </c>
      <c r="P16" s="20"/>
      <c r="Q16" s="20">
        <f>+'PrmGT10D IDR_NIDR'!J34</f>
        <v>1234.7505951583341</v>
      </c>
      <c r="R16" s="20"/>
      <c r="S16" s="20">
        <f>+Substation!Q52</f>
        <v>450.96476918810163</v>
      </c>
      <c r="T16" s="20"/>
      <c r="U16" s="20">
        <f>+'PrmGT10D IDR_NIDR'!M34</f>
        <v>146.72800311972651</v>
      </c>
      <c r="V16" s="20"/>
      <c r="W16" s="20">
        <v>0</v>
      </c>
      <c r="X16" s="20"/>
      <c r="Y16" s="20">
        <v>0</v>
      </c>
      <c r="Z16" s="20"/>
      <c r="AA16" s="3">
        <f>SUM(G16,I16,K16,M16,O16,Q16,S16,U16,W16,Y16,)</f>
        <v>225924.72261658649</v>
      </c>
    </row>
    <row r="17" spans="1:27" ht="15">
      <c r="A17" s="39">
        <f>+A16+1</f>
        <v>2</v>
      </c>
      <c r="B17" s="1"/>
      <c r="C17" s="21">
        <f>C16</f>
        <v>2021</v>
      </c>
      <c r="D17" s="1"/>
      <c r="E17" s="19">
        <v>2</v>
      </c>
      <c r="F17" s="1"/>
      <c r="G17" s="20">
        <f>+Residential!Z53</f>
        <v>-86661.268642152601</v>
      </c>
      <c r="H17" s="3"/>
      <c r="I17" s="20">
        <f>+SecLE10!W53</f>
        <v>-1079.9409651801304</v>
      </c>
      <c r="J17" s="3"/>
      <c r="K17" s="20">
        <f>+SGT10_IDR_NIDR!J35</f>
        <v>207.85351118261542</v>
      </c>
      <c r="L17" s="20"/>
      <c r="M17" s="20">
        <f>+SGT10_IDR_NIDR!M35</f>
        <v>309.89138723617498</v>
      </c>
      <c r="N17" s="20"/>
      <c r="O17" s="20">
        <v>0</v>
      </c>
      <c r="P17" s="20"/>
      <c r="Q17" s="20">
        <f>+'PrmGT10D IDR_NIDR'!J35</f>
        <v>964.19740388147216</v>
      </c>
      <c r="R17" s="20"/>
      <c r="S17" s="20">
        <f>+Substation!Q53</f>
        <v>332.12908669516889</v>
      </c>
      <c r="T17" s="20"/>
      <c r="U17" s="20">
        <f>+'PrmGT10D IDR_NIDR'!M35</f>
        <v>114.03264753255144</v>
      </c>
      <c r="V17" s="20"/>
      <c r="W17" s="20">
        <v>0</v>
      </c>
      <c r="X17" s="20"/>
      <c r="Y17" s="20">
        <v>0</v>
      </c>
      <c r="Z17" s="20"/>
      <c r="AA17" s="3">
        <f t="shared" si="0" ref="AA17:AA27">SUM(G17,I17,K17,M17,O17,Q17,S17,U17,W17,Y17,)</f>
        <v>-85813.105570804735</v>
      </c>
    </row>
    <row r="18" spans="1:27" ht="15">
      <c r="A18" s="39">
        <f t="shared" si="1" ref="A18:A66">+A17+1</f>
        <v>3</v>
      </c>
      <c r="B18" s="1"/>
      <c r="C18" s="21">
        <f>C17</f>
        <v>2021</v>
      </c>
      <c r="D18" s="1"/>
      <c r="E18" s="19">
        <v>3</v>
      </c>
      <c r="F18" s="1"/>
      <c r="G18" s="20">
        <f>+Residential!Z54</f>
        <v>-1051980.5694804248</v>
      </c>
      <c r="H18" s="3"/>
      <c r="I18" s="20">
        <f>+SecLE10!W54</f>
        <v>-13874.230891903953</v>
      </c>
      <c r="J18" s="3"/>
      <c r="K18" s="20">
        <f>+SGT10_IDR_NIDR!J36</f>
        <v>-64738.651007117893</v>
      </c>
      <c r="L18" s="20"/>
      <c r="M18" s="20">
        <f>+SGT10_IDR_NIDR!M36</f>
        <v>-106379.3191384836</v>
      </c>
      <c r="N18" s="20"/>
      <c r="O18" s="20">
        <v>0</v>
      </c>
      <c r="P18" s="20"/>
      <c r="Q18" s="20">
        <f>+'PrmGT10D IDR_NIDR'!J36</f>
        <v>1793.8895277901645</v>
      </c>
      <c r="R18" s="20"/>
      <c r="S18" s="20">
        <f>+Substation!Q54</f>
        <v>640.9390719878686</v>
      </c>
      <c r="T18" s="20"/>
      <c r="U18" s="20">
        <f>+'PrmGT10D IDR_NIDR'!M36</f>
        <v>221.89574950691076</v>
      </c>
      <c r="V18" s="20"/>
      <c r="W18" s="20">
        <v>0</v>
      </c>
      <c r="X18" s="20"/>
      <c r="Y18" s="20">
        <v>0</v>
      </c>
      <c r="Z18" s="20"/>
      <c r="AA18" s="3">
        <f t="shared" si="0"/>
        <v>-1234316.0461686452</v>
      </c>
    </row>
    <row r="19" spans="1:27" ht="15">
      <c r="A19" s="39">
        <f t="shared" si="1"/>
        <v>4</v>
      </c>
      <c r="B19" s="1"/>
      <c r="C19" s="21">
        <f>C18</f>
        <v>2021</v>
      </c>
      <c r="D19" s="1"/>
      <c r="E19" s="19">
        <v>4</v>
      </c>
      <c r="F19" s="1"/>
      <c r="G19" s="20">
        <f>+Residential!Z55</f>
        <v>251522.9695671979</v>
      </c>
      <c r="H19" s="3"/>
      <c r="I19" s="20">
        <f>+SecLE10!W55</f>
        <v>3604.2532627459072</v>
      </c>
      <c r="J19" s="3"/>
      <c r="K19" s="20">
        <f>+SGT10_IDR_NIDR!J37</f>
        <v>20895.176876332414</v>
      </c>
      <c r="L19" s="20"/>
      <c r="M19" s="20">
        <f>+SGT10_IDR_NIDR!M37</f>
        <v>27938.599537481088</v>
      </c>
      <c r="N19" s="20"/>
      <c r="O19" s="20">
        <v>0</v>
      </c>
      <c r="P19" s="20"/>
      <c r="Q19" s="20">
        <f>+'PrmGT10D IDR_NIDR'!J37</f>
        <v>2738.3839665492865</v>
      </c>
      <c r="R19" s="20"/>
      <c r="S19" s="20">
        <f>+Substation!Q55</f>
        <v>674.08413887476217</v>
      </c>
      <c r="T19" s="20"/>
      <c r="U19" s="20">
        <f>+'PrmGT10D IDR_NIDR'!M37</f>
        <v>338.47860199976049</v>
      </c>
      <c r="V19" s="20"/>
      <c r="W19" s="20">
        <v>0</v>
      </c>
      <c r="X19" s="20"/>
      <c r="Y19" s="20">
        <v>0</v>
      </c>
      <c r="Z19" s="20"/>
      <c r="AA19" s="3">
        <f t="shared" si="0"/>
        <v>307711.94595118117</v>
      </c>
    </row>
    <row r="20" spans="1:27" ht="15">
      <c r="A20" s="39">
        <f t="shared" si="1"/>
        <v>5</v>
      </c>
      <c r="B20" s="1"/>
      <c r="C20" s="21">
        <f>C19</f>
        <v>2021</v>
      </c>
      <c r="D20" s="1"/>
      <c r="E20" s="19">
        <v>5</v>
      </c>
      <c r="F20" s="1"/>
      <c r="G20" s="20">
        <f>+Residential!Z56</f>
        <v>207360.00852149999</v>
      </c>
      <c r="H20" s="3"/>
      <c r="I20" s="20">
        <f>+SecLE10!W56</f>
        <v>3212.1834260273367</v>
      </c>
      <c r="J20" s="3"/>
      <c r="K20" s="20">
        <f>+SGT10_IDR_NIDR!J38</f>
        <v>45779.345206769278</v>
      </c>
      <c r="L20" s="20"/>
      <c r="M20" s="20">
        <f>+SGT10_IDR_NIDR!M38</f>
        <v>66059.326721311692</v>
      </c>
      <c r="N20" s="20"/>
      <c r="O20" s="20">
        <v>0</v>
      </c>
      <c r="P20" s="20"/>
      <c r="Q20" s="20">
        <f>+'PrmGT10D IDR_NIDR'!J38</f>
        <v>11950.054590737662</v>
      </c>
      <c r="R20" s="20"/>
      <c r="S20" s="20">
        <f>+Substation!Q56</f>
        <v>3485.4022757647572</v>
      </c>
      <c r="T20" s="20"/>
      <c r="U20" s="20">
        <f>+'PrmGT10D IDR_NIDR'!M38</f>
        <v>1614.8990851578346</v>
      </c>
      <c r="V20" s="20"/>
      <c r="W20" s="20">
        <v>0</v>
      </c>
      <c r="X20" s="20"/>
      <c r="Y20" s="20">
        <v>0</v>
      </c>
      <c r="Z20" s="20"/>
      <c r="AA20" s="3">
        <f t="shared" si="0"/>
        <v>339461.21982726856</v>
      </c>
    </row>
    <row r="21" spans="1:27" ht="15">
      <c r="A21" s="39">
        <f t="shared" si="1"/>
        <v>6</v>
      </c>
      <c r="B21" s="1"/>
      <c r="C21" s="21">
        <f>C20</f>
        <v>2021</v>
      </c>
      <c r="D21" s="1"/>
      <c r="E21" s="19">
        <v>6</v>
      </c>
      <c r="F21" s="1"/>
      <c r="G21" s="20">
        <f>+Residential!Z57</f>
        <v>486767.93086455209</v>
      </c>
      <c r="H21" s="3"/>
      <c r="I21" s="20">
        <f>+SecLE10!W57</f>
        <v>8032.3579465849607</v>
      </c>
      <c r="J21" s="3"/>
      <c r="K21" s="20">
        <f>+SGT10_IDR_NIDR!J39</f>
        <v>75907.148099797181</v>
      </c>
      <c r="L21" s="20"/>
      <c r="M21" s="20">
        <f>+SGT10_IDR_NIDR!M39</f>
        <v>118460.35379131498</v>
      </c>
      <c r="N21" s="20"/>
      <c r="O21" s="20">
        <v>0</v>
      </c>
      <c r="P21" s="20"/>
      <c r="Q21" s="20">
        <f>+'PrmGT10D IDR_NIDR'!J39</f>
        <v>15923.728930481459</v>
      </c>
      <c r="R21" s="20"/>
      <c r="S21" s="20">
        <f>+Substation!Q57</f>
        <v>4229.6259025906475</v>
      </c>
      <c r="T21" s="20"/>
      <c r="U21" s="20">
        <f>+'PrmGT10D IDR_NIDR'!M39</f>
        <v>2183.7351317536341</v>
      </c>
      <c r="V21" s="20"/>
      <c r="W21" s="20">
        <v>0</v>
      </c>
      <c r="X21" s="20"/>
      <c r="Y21" s="20">
        <v>0</v>
      </c>
      <c r="Z21" s="20"/>
      <c r="AA21" s="3">
        <f t="shared" si="0"/>
        <v>711504.88066707493</v>
      </c>
    </row>
    <row r="22" spans="1:27" ht="15">
      <c r="A22" s="39">
        <f t="shared" si="1"/>
        <v>7</v>
      </c>
      <c r="B22" s="1"/>
      <c r="C22" s="21">
        <f t="shared" si="2" ref="C22:C27">C21</f>
        <v>2021</v>
      </c>
      <c r="D22" s="1"/>
      <c r="E22" s="67">
        <v>7</v>
      </c>
      <c r="F22" s="1"/>
      <c r="G22" s="20">
        <f>+Residential!Z58</f>
        <v>202638.35479885669</v>
      </c>
      <c r="H22" s="3"/>
      <c r="I22" s="20">
        <f>+SecLE10!W58</f>
        <v>4236.2373015950088</v>
      </c>
      <c r="J22" s="3"/>
      <c r="K22" s="20">
        <f>+SGT10_IDR_NIDR!J40</f>
        <v>26843.364938180319</v>
      </c>
      <c r="L22" s="20"/>
      <c r="M22" s="20">
        <f>+SGT10_IDR_NIDR!M40</f>
        <v>43905.023978623496</v>
      </c>
      <c r="N22" s="20"/>
      <c r="O22" s="20">
        <v>0</v>
      </c>
      <c r="P22" s="20"/>
      <c r="Q22" s="20">
        <f>+'PrmGT10D IDR_NIDR'!J40</f>
        <v>10225.081236576467</v>
      </c>
      <c r="R22" s="20"/>
      <c r="S22" s="20">
        <f>+Substation!Q58</f>
        <v>2440.5432533997555</v>
      </c>
      <c r="T22" s="20"/>
      <c r="U22" s="20">
        <f>+'PrmGT10D IDR_NIDR'!M40</f>
        <v>1390.8891246437324</v>
      </c>
      <c r="V22" s="20"/>
      <c r="W22" s="20">
        <v>0</v>
      </c>
      <c r="X22" s="20"/>
      <c r="Y22" s="20">
        <v>0</v>
      </c>
      <c r="Z22" s="20"/>
      <c r="AA22" s="3">
        <f t="shared" si="0"/>
        <v>291679.49463187554</v>
      </c>
    </row>
    <row r="23" spans="1:27" ht="15">
      <c r="A23" s="39">
        <f t="shared" si="1"/>
        <v>8</v>
      </c>
      <c r="B23" s="1"/>
      <c r="C23" s="21">
        <f t="shared" si="2"/>
        <v>2021</v>
      </c>
      <c r="D23" s="1"/>
      <c r="E23" s="67">
        <v>8</v>
      </c>
      <c r="F23" s="1"/>
      <c r="G23" s="20">
        <f>+Residential!Z59</f>
        <v>384606.09723345569</v>
      </c>
      <c r="H23" s="3"/>
      <c r="I23" s="20">
        <f>+SecLE10!W59</f>
        <v>7778.895318220113</v>
      </c>
      <c r="J23" s="3"/>
      <c r="K23" s="20">
        <f>+SGT10_IDR_NIDR!J41</f>
        <v>50242.584540825002</v>
      </c>
      <c r="L23" s="20"/>
      <c r="M23" s="20">
        <f>+SGT10_IDR_NIDR!M41</f>
        <v>83302.946560864002</v>
      </c>
      <c r="N23" s="20"/>
      <c r="O23" s="20">
        <v>0</v>
      </c>
      <c r="P23" s="20"/>
      <c r="Q23" s="20">
        <f>+'PrmGT10D IDR_NIDR'!J41</f>
        <v>15625.552777198798</v>
      </c>
      <c r="R23" s="20"/>
      <c r="S23" s="20">
        <f>+Substation!Q59</f>
        <v>3169.9024830303633</v>
      </c>
      <c r="T23" s="20"/>
      <c r="U23" s="20">
        <f>+'PrmGT10D IDR_NIDR'!M41</f>
        <v>1397.1400096836478</v>
      </c>
      <c r="V23" s="20"/>
      <c r="W23" s="20">
        <v>0</v>
      </c>
      <c r="X23" s="20"/>
      <c r="Y23" s="20">
        <v>0</v>
      </c>
      <c r="Z23" s="20"/>
      <c r="AA23" s="3">
        <f t="shared" si="0"/>
        <v>546123.11892327771</v>
      </c>
    </row>
    <row r="24" spans="1:27" ht="15">
      <c r="A24" s="39">
        <f t="shared" si="1"/>
        <v>9</v>
      </c>
      <c r="B24" s="1"/>
      <c r="C24" s="21">
        <f t="shared" si="2"/>
        <v>2021</v>
      </c>
      <c r="D24" s="1"/>
      <c r="E24" s="67">
        <v>9</v>
      </c>
      <c r="F24" s="1"/>
      <c r="G24" s="20">
        <f>+Residential!Z60</f>
        <v>-7699.5543811592734</v>
      </c>
      <c r="H24" s="3"/>
      <c r="I24" s="20">
        <f>+SecLE10!W60</f>
        <v>584.81074266765188</v>
      </c>
      <c r="J24" s="3"/>
      <c r="K24" s="20">
        <f>+SGT10_IDR_NIDR!J42</f>
        <v>-3452.8303325853303</v>
      </c>
      <c r="L24" s="20"/>
      <c r="M24" s="20">
        <f>+SGT10_IDR_NIDR!M42</f>
        <v>-5837.4614940139036</v>
      </c>
      <c r="N24" s="20"/>
      <c r="O24" s="20">
        <v>0</v>
      </c>
      <c r="P24" s="20"/>
      <c r="Q24" s="20">
        <f>+'PrmGT10D IDR_NIDR'!J42</f>
        <v>1403.456448453391</v>
      </c>
      <c r="R24" s="20"/>
      <c r="S24" s="20">
        <f>+Substation!Q60</f>
        <v>-256.38065212806413</v>
      </c>
      <c r="T24" s="20"/>
      <c r="U24" s="20">
        <f>+'PrmGT10D IDR_NIDR'!M42</f>
        <v>182.57512983875245</v>
      </c>
      <c r="V24" s="20"/>
      <c r="W24" s="20">
        <v>0</v>
      </c>
      <c r="X24" s="20"/>
      <c r="Y24" s="20">
        <v>0</v>
      </c>
      <c r="Z24" s="20"/>
      <c r="AA24" s="3">
        <f t="shared" si="0"/>
        <v>-15075.384538926775</v>
      </c>
    </row>
    <row r="25" spans="1:27" ht="15">
      <c r="A25" s="39">
        <f t="shared" si="1"/>
        <v>10</v>
      </c>
      <c r="B25" s="1"/>
      <c r="C25" s="21">
        <f t="shared" si="2"/>
        <v>2021</v>
      </c>
      <c r="D25" s="1"/>
      <c r="E25" s="67">
        <v>10</v>
      </c>
      <c r="F25" s="1"/>
      <c r="G25" s="20">
        <f>+Residential!Z61</f>
        <v>-73526.666254044801</v>
      </c>
      <c r="H25" s="3"/>
      <c r="I25" s="20">
        <f>+SecLE10!W61</f>
        <v>-1188.0654134870595</v>
      </c>
      <c r="J25" s="3"/>
      <c r="K25" s="20">
        <f>+SGT10_IDR_NIDR!J43</f>
        <v>-19582.441487003685</v>
      </c>
      <c r="L25" s="20"/>
      <c r="M25" s="20">
        <f>+SGT10_IDR_NIDR!M43</f>
        <v>-30868.919981614243</v>
      </c>
      <c r="N25" s="20"/>
      <c r="O25" s="20">
        <v>0</v>
      </c>
      <c r="P25" s="20"/>
      <c r="Q25" s="20">
        <f>+'PrmGT10D IDR_NIDR'!J43</f>
        <v>-5348.4667531149826</v>
      </c>
      <c r="R25" s="20"/>
      <c r="S25" s="20">
        <f>+Substation!Q61</f>
        <v>-1616.8313655487896</v>
      </c>
      <c r="T25" s="20"/>
      <c r="U25" s="20">
        <f>+'PrmGT10D IDR_NIDR'!M43</f>
        <v>-888.88427083384613</v>
      </c>
      <c r="V25" s="20"/>
      <c r="W25" s="20">
        <v>0</v>
      </c>
      <c r="X25" s="20"/>
      <c r="Y25" s="20">
        <v>0</v>
      </c>
      <c r="Z25" s="20"/>
      <c r="AA25" s="3">
        <f t="shared" si="0"/>
        <v>-133020.27552564739</v>
      </c>
    </row>
    <row r="26" spans="1:27" ht="15">
      <c r="A26" s="39">
        <f t="shared" si="1"/>
        <v>11</v>
      </c>
      <c r="B26" s="1"/>
      <c r="C26" s="21">
        <f t="shared" si="2"/>
        <v>2021</v>
      </c>
      <c r="D26" s="1"/>
      <c r="E26" s="67">
        <v>11</v>
      </c>
      <c r="F26" s="1"/>
      <c r="G26" s="20">
        <f>+Residential!Z62</f>
        <v>-12177.803043746157</v>
      </c>
      <c r="H26" s="3"/>
      <c r="I26" s="20">
        <f>+SecLE10!W62</f>
        <v>-229.02130307075731</v>
      </c>
      <c r="J26" s="3"/>
      <c r="K26" s="20">
        <f>+SGT10_IDR_NIDR!J44</f>
        <v>-17501.261691346062</v>
      </c>
      <c r="L26" s="20"/>
      <c r="M26" s="20">
        <f>+SGT10_IDR_NIDR!M44</f>
        <v>-24696.878567119831</v>
      </c>
      <c r="N26" s="20"/>
      <c r="O26" s="20">
        <v>0</v>
      </c>
      <c r="P26" s="20"/>
      <c r="Q26" s="20">
        <f>+'PrmGT10D IDR_NIDR'!J44</f>
        <v>-5189.2665188399478</v>
      </c>
      <c r="R26" s="20"/>
      <c r="S26" s="20">
        <f>+Substation!Q62</f>
        <v>-1490.9712018652979</v>
      </c>
      <c r="T26" s="20"/>
      <c r="U26" s="20">
        <f>+'PrmGT10D IDR_NIDR'!M44</f>
        <v>-650.23539650297153</v>
      </c>
      <c r="V26" s="20"/>
      <c r="W26" s="20">
        <v>0</v>
      </c>
      <c r="X26" s="20"/>
      <c r="Y26" s="20">
        <v>0</v>
      </c>
      <c r="Z26" s="20"/>
      <c r="AA26" s="3">
        <f t="shared" si="0"/>
        <v>-61935.43772249102</v>
      </c>
    </row>
    <row r="27" spans="1:27" ht="15">
      <c r="A27" s="39">
        <f t="shared" si="1"/>
        <v>12</v>
      </c>
      <c r="B27" s="1"/>
      <c r="C27" s="21">
        <f t="shared" si="2"/>
        <v>2021</v>
      </c>
      <c r="D27" s="1"/>
      <c r="E27" s="67">
        <v>12</v>
      </c>
      <c r="F27" s="1"/>
      <c r="G27" s="20">
        <f>+Residential!Z63</f>
        <v>448144.99713762506</v>
      </c>
      <c r="H27" s="14"/>
      <c r="I27" s="59">
        <f>+SecLE10!W63</f>
        <v>6573.3521008899124</v>
      </c>
      <c r="J27" s="14"/>
      <c r="K27" s="59">
        <f>+SGT10_IDR_NIDR!J45</f>
        <v>26972.039553561775</v>
      </c>
      <c r="L27" s="59"/>
      <c r="M27" s="59">
        <f>+SGT10_IDR_NIDR!M45</f>
        <v>36980.865969589693</v>
      </c>
      <c r="N27" s="59"/>
      <c r="O27" s="59">
        <v>0</v>
      </c>
      <c r="P27" s="59"/>
      <c r="Q27" s="20">
        <f>+'PrmGT10D IDR_NIDR'!J45</f>
        <v>-1264.2724506892641</v>
      </c>
      <c r="R27" s="59"/>
      <c r="S27" s="20">
        <f>+Substation!Q63</f>
        <v>-859.13496201402131</v>
      </c>
      <c r="T27" s="59"/>
      <c r="U27" s="59">
        <f>+'PrmGT10D IDR_NIDR'!M45</f>
        <v>-159.80949947146746</v>
      </c>
      <c r="V27" s="59"/>
      <c r="W27" s="59">
        <v>0</v>
      </c>
      <c r="X27" s="59"/>
      <c r="Y27" s="59">
        <v>0</v>
      </c>
      <c r="Z27" s="59"/>
      <c r="AA27" s="14">
        <f t="shared" si="0"/>
        <v>516388.03784949164</v>
      </c>
    </row>
    <row r="28" spans="1:27" ht="15">
      <c r="A28" s="39">
        <f t="shared" si="1"/>
        <v>13</v>
      </c>
      <c r="B28" s="1"/>
      <c r="C28" s="1" t="s">
        <v>8</v>
      </c>
      <c r="D28" s="1"/>
      <c r="E28" s="1"/>
      <c r="F28" s="1"/>
      <c r="G28" s="76">
        <f>SUM(G16:G27)</f>
        <v>925293.25749621564</v>
      </c>
      <c r="H28" s="76"/>
      <c r="I28" s="76">
        <f>SUM(I16:I27)</f>
        <v>19782.044369822132</v>
      </c>
      <c r="J28" s="76"/>
      <c r="K28" s="76">
        <f>SUM(K16:K27)</f>
        <v>159994.68720858416</v>
      </c>
      <c r="L28" s="76"/>
      <c r="M28" s="76">
        <f>SUM(M16:M27)</f>
        <v>236414.37499503233</v>
      </c>
      <c r="N28" s="76"/>
      <c r="O28" s="76">
        <f>SUM(O16:O27)</f>
        <v>0</v>
      </c>
      <c r="P28" s="76"/>
      <c r="Q28" s="76">
        <f>SUM(Q16:Q27)</f>
        <v>50057.089754182838</v>
      </c>
      <c r="R28" s="76"/>
      <c r="S28" s="76">
        <f>SUM(S16:S27)</f>
        <v>11200.272799975255</v>
      </c>
      <c r="T28" s="76"/>
      <c r="U28" s="76">
        <f>SUM(U16:U27)</f>
        <v>5891.4443164282657</v>
      </c>
      <c r="V28" s="76"/>
      <c r="W28" s="76">
        <f>SUM(W16:W27)</f>
        <v>0</v>
      </c>
      <c r="X28" s="76"/>
      <c r="Y28" s="76">
        <f>SUM(Y16:Y27)</f>
        <v>0</v>
      </c>
      <c r="Z28" s="76"/>
      <c r="AA28" s="76">
        <f>SUM(AA16:AA27)</f>
        <v>1408633.1709402411</v>
      </c>
    </row>
    <row r="29" spans="1:27" ht="15">
      <c r="A29" s="39">
        <f t="shared" si="1"/>
        <v>14</v>
      </c>
      <c r="B29" s="1"/>
      <c r="C29" s="1"/>
      <c r="D29" s="1"/>
      <c r="E29" s="1"/>
      <c r="F29" s="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">
      <c r="A30" s="39">
        <f t="shared" si="1"/>
        <v>15</v>
      </c>
      <c r="B30" s="4"/>
      <c r="C30" s="4" t="s">
        <v>119</v>
      </c>
      <c r="D30" s="4"/>
      <c r="E30" s="4"/>
      <c r="F30" s="4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15">
      <c r="A31" s="39">
        <f t="shared" si="1"/>
        <v>16</v>
      </c>
      <c r="B31" s="4"/>
      <c r="C31" s="4"/>
      <c r="D31" s="4"/>
      <c r="E31" s="4"/>
      <c r="F31" s="4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15">
      <c r="A32" s="39">
        <f t="shared" si="1"/>
        <v>17</v>
      </c>
      <c r="B32" s="11"/>
      <c r="C32" s="11" t="s">
        <v>1</v>
      </c>
      <c r="D32" s="11"/>
      <c r="E32" s="11" t="s">
        <v>2</v>
      </c>
      <c r="F32" s="1"/>
      <c r="G32" s="12" t="s">
        <v>3</v>
      </c>
      <c r="H32" s="12"/>
      <c r="I32" s="13" t="s">
        <v>79</v>
      </c>
      <c r="J32" s="12"/>
      <c r="K32" s="13" t="s">
        <v>80</v>
      </c>
      <c r="L32" s="12"/>
      <c r="M32" s="12" t="s">
        <v>81</v>
      </c>
      <c r="N32" s="12"/>
      <c r="O32" s="13" t="s">
        <v>82</v>
      </c>
      <c r="P32" s="14"/>
      <c r="Q32" s="14" t="s">
        <v>83</v>
      </c>
      <c r="R32" s="14"/>
      <c r="S32" s="14" t="s">
        <v>84</v>
      </c>
      <c r="T32" s="14"/>
      <c r="U32" s="14" t="s">
        <v>85</v>
      </c>
      <c r="V32" s="14"/>
      <c r="W32" s="12" t="s">
        <v>6</v>
      </c>
      <c r="X32" s="12"/>
      <c r="Y32" s="12" t="s">
        <v>7</v>
      </c>
      <c r="Z32" s="12"/>
      <c r="AA32" s="12" t="s">
        <v>8</v>
      </c>
    </row>
    <row r="33" spans="1:27" ht="15">
      <c r="A33" s="39">
        <f t="shared" si="1"/>
        <v>18</v>
      </c>
      <c r="B33" s="1"/>
      <c r="C33" s="26"/>
      <c r="D33" s="1"/>
      <c r="E33" s="26"/>
      <c r="F33" s="1"/>
      <c r="G33" s="60" t="s">
        <v>65</v>
      </c>
      <c r="H33" s="16"/>
      <c r="I33" s="60" t="s">
        <v>66</v>
      </c>
      <c r="J33" s="16"/>
      <c r="K33" s="60" t="s">
        <v>75</v>
      </c>
      <c r="L33" s="16"/>
      <c r="M33" s="60" t="s">
        <v>68</v>
      </c>
      <c r="N33" s="16"/>
      <c r="O33" s="60" t="s">
        <v>69</v>
      </c>
      <c r="P33" s="16"/>
      <c r="Q33" s="60" t="s">
        <v>76</v>
      </c>
      <c r="R33" s="16"/>
      <c r="S33" s="60" t="s">
        <v>77</v>
      </c>
      <c r="T33" s="16"/>
      <c r="U33" s="60" t="s">
        <v>94</v>
      </c>
      <c r="V33" s="16"/>
      <c r="W33" s="60" t="s">
        <v>95</v>
      </c>
      <c r="X33" s="16"/>
      <c r="Y33" s="60" t="s">
        <v>96</v>
      </c>
      <c r="Z33" s="16"/>
      <c r="AA33" s="61" t="s">
        <v>97</v>
      </c>
    </row>
    <row r="34" spans="1:26" ht="15">
      <c r="A34" s="39">
        <f t="shared" si="1"/>
        <v>19</v>
      </c>
      <c r="B34" s="1"/>
      <c r="C34" s="1"/>
      <c r="D34" s="1"/>
      <c r="E34" s="1"/>
      <c r="F34" s="1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7" ht="15">
      <c r="A35" s="39">
        <f t="shared" si="1"/>
        <v>20</v>
      </c>
      <c r="B35" s="1"/>
      <c r="C35" s="18">
        <f t="shared" si="3" ref="C35:C46">+C16</f>
        <v>2021</v>
      </c>
      <c r="D35" s="18"/>
      <c r="E35" s="18">
        <f t="shared" si="4" ref="E35:E46">+E16</f>
        <v>1</v>
      </c>
      <c r="G35" s="27">
        <f>+[1]RES!E16</f>
        <v>3202892</v>
      </c>
      <c r="H35" s="27"/>
      <c r="I35" s="27">
        <f>+'[1]GS SEC SMALL'!E16</f>
        <v>296726</v>
      </c>
      <c r="J35" s="28"/>
      <c r="K35" s="27">
        <f>+'[1]GS SEC LRG IDR '!E16</f>
        <v>5289</v>
      </c>
      <c r="L35" s="28"/>
      <c r="M35" s="27">
        <f>+'[1]GS SEC LRG NONIDR'!E16</f>
        <v>195067</v>
      </c>
      <c r="N35" s="3"/>
      <c r="O35" s="27">
        <f>+'[1]GS PRI SMALL'!E16</f>
        <v>2979</v>
      </c>
      <c r="P35" s="3"/>
      <c r="Q35" s="27">
        <f>+'[1]GS PRI LRG IDR '!E16</f>
        <v>1521</v>
      </c>
      <c r="R35" s="27"/>
      <c r="S35" s="27">
        <f>+'[1]GS PRI LRG SUB'!E16</f>
        <v>121</v>
      </c>
      <c r="T35" s="3"/>
      <c r="U35" s="27">
        <f>+'[1]GS PRI LRG NONIDR'!E16</f>
        <v>5712</v>
      </c>
      <c r="V35" s="3"/>
      <c r="W35" s="27">
        <f>+[1]TRANSMISSION!E16</f>
        <v>268</v>
      </c>
      <c r="X35" s="3"/>
      <c r="Y35" s="27">
        <f>+'[1]SL - UNMETERED'!E16+'[1]SL - METERED NON CO'!E16+'[1]SL - METERED CO OWNED'!E16+'[1]OUTDOOR LIGHTING'!E16</f>
        <v>56343</v>
      </c>
      <c r="Z35" s="28"/>
      <c r="AA35" s="27">
        <f t="shared" si="5" ref="AA35">SUM(G35:Y35)</f>
        <v>3766918</v>
      </c>
    </row>
    <row r="36" spans="1:27" ht="15">
      <c r="A36" s="39">
        <f t="shared" si="1"/>
        <v>21</v>
      </c>
      <c r="B36" s="1"/>
      <c r="C36" s="18">
        <f t="shared" si="3"/>
        <v>2021</v>
      </c>
      <c r="D36" s="1"/>
      <c r="E36" s="18">
        <f t="shared" si="4"/>
        <v>2</v>
      </c>
      <c r="G36" s="27">
        <f>+[1]RES!E18</f>
        <v>3208216</v>
      </c>
      <c r="H36" s="27"/>
      <c r="I36" s="27">
        <f>+'[1]GS SEC SMALL'!E18</f>
        <v>296916</v>
      </c>
      <c r="J36" s="28"/>
      <c r="K36" s="27">
        <f>+'[1]GS SEC LRG IDR '!E18</f>
        <v>5291</v>
      </c>
      <c r="L36" s="28"/>
      <c r="M36" s="27">
        <f>+'[1]GS SEC LRG NONIDR'!E18</f>
        <v>195641</v>
      </c>
      <c r="N36" s="3"/>
      <c r="O36" s="27">
        <f>+'[1]GS PRI SMALL'!E18</f>
        <v>2976</v>
      </c>
      <c r="P36" s="3"/>
      <c r="Q36" s="27">
        <f>+'[1]GS PRI LRG IDR '!E18</f>
        <v>1525</v>
      </c>
      <c r="R36" s="27"/>
      <c r="S36" s="27">
        <f>+'[1]GS PRI LRG SUB'!E18</f>
        <v>121</v>
      </c>
      <c r="T36" s="3"/>
      <c r="U36" s="27">
        <f>+'[1]GS PRI LRG NONIDR'!E18</f>
        <v>5688</v>
      </c>
      <c r="V36" s="3"/>
      <c r="W36" s="27">
        <f>+[1]TRANSMISSION!E18</f>
        <v>269</v>
      </c>
      <c r="X36" s="3"/>
      <c r="Y36" s="27">
        <f>+'[1]SL - UNMETERED'!E18+'[1]SL - METERED NON CO'!E18+'[1]SL - METERED CO OWNED'!E18+'[1]OUTDOOR LIGHTING'!E18</f>
        <v>56263</v>
      </c>
      <c r="Z36" s="28"/>
      <c r="AA36" s="27">
        <f t="shared" si="6" ref="AA36:AA46">SUM(G36:Y36)</f>
        <v>3772906</v>
      </c>
    </row>
    <row r="37" spans="1:27" ht="15">
      <c r="A37" s="39">
        <f t="shared" si="1"/>
        <v>22</v>
      </c>
      <c r="B37" s="1"/>
      <c r="C37" s="18">
        <f t="shared" si="3"/>
        <v>2021</v>
      </c>
      <c r="D37" s="1"/>
      <c r="E37" s="18">
        <f t="shared" si="4"/>
        <v>3</v>
      </c>
      <c r="G37" s="27">
        <f>+[1]RES!E20</f>
        <v>3214871</v>
      </c>
      <c r="H37" s="27"/>
      <c r="I37" s="27">
        <f>+'[1]GS SEC SMALL'!E20</f>
        <v>297390</v>
      </c>
      <c r="J37" s="28"/>
      <c r="K37" s="27">
        <f>+'[1]GS SEC LRG IDR '!E20</f>
        <v>5289</v>
      </c>
      <c r="L37" s="28"/>
      <c r="M37" s="27">
        <f>+'[1]GS SEC LRG NONIDR'!E20</f>
        <v>196641</v>
      </c>
      <c r="N37" s="3"/>
      <c r="O37" s="27">
        <f>+'[1]GS PRI SMALL'!E20</f>
        <v>3005</v>
      </c>
      <c r="P37" s="3"/>
      <c r="Q37" s="27">
        <f>+'[1]GS PRI LRG IDR '!E20</f>
        <v>1522</v>
      </c>
      <c r="R37" s="27"/>
      <c r="S37" s="27">
        <f>+'[1]GS PRI LRG SUB'!E20</f>
        <v>122</v>
      </c>
      <c r="T37" s="3"/>
      <c r="U37" s="27">
        <f>+'[1]GS PRI LRG NONIDR'!E20</f>
        <v>5669</v>
      </c>
      <c r="V37" s="3"/>
      <c r="W37" s="27">
        <f>+[1]TRANSMISSION!E20</f>
        <v>270</v>
      </c>
      <c r="X37" s="3"/>
      <c r="Y37" s="27">
        <f>+'[1]SL - UNMETERED'!E20+'[1]SL - METERED NON CO'!E20+'[1]SL - METERED CO OWNED'!E20+'[1]OUTDOOR LIGHTING'!E20</f>
        <v>56215</v>
      </c>
      <c r="Z37" s="28"/>
      <c r="AA37" s="27">
        <f t="shared" si="6"/>
        <v>3780994</v>
      </c>
    </row>
    <row r="38" spans="1:27" ht="15">
      <c r="A38" s="39">
        <f t="shared" si="1"/>
        <v>23</v>
      </c>
      <c r="B38" s="1"/>
      <c r="C38" s="18">
        <f t="shared" si="3"/>
        <v>2021</v>
      </c>
      <c r="D38" s="1"/>
      <c r="E38" s="18">
        <f t="shared" si="4"/>
        <v>4</v>
      </c>
      <c r="G38" s="27">
        <f>+[1]RES!E22</f>
        <v>3221873</v>
      </c>
      <c r="H38" s="27"/>
      <c r="I38" s="27">
        <f>+'[1]GS SEC SMALL'!E22</f>
        <v>299035</v>
      </c>
      <c r="J38" s="28"/>
      <c r="K38" s="27">
        <f>+'[1]GS SEC LRG IDR '!E22</f>
        <v>5290</v>
      </c>
      <c r="L38" s="28"/>
      <c r="M38" s="27">
        <f>+'[1]GS SEC LRG NONIDR'!E22</f>
        <v>196661</v>
      </c>
      <c r="N38" s="3"/>
      <c r="O38" s="27">
        <f>+'[1]GS PRI SMALL'!E22</f>
        <v>3034</v>
      </c>
      <c r="P38" s="3"/>
      <c r="Q38" s="27">
        <f>+'[1]GS PRI LRG IDR '!E22</f>
        <v>1519</v>
      </c>
      <c r="R38" s="27"/>
      <c r="S38" s="27">
        <f>+'[1]GS PRI LRG SUB'!E22</f>
        <v>122</v>
      </c>
      <c r="T38" s="3"/>
      <c r="U38" s="27">
        <f>+'[1]GS PRI LRG NONIDR'!E22</f>
        <v>5641</v>
      </c>
      <c r="V38" s="3"/>
      <c r="W38" s="27">
        <f>+[1]TRANSMISSION!E22</f>
        <v>275</v>
      </c>
      <c r="X38" s="3"/>
      <c r="Y38" s="27">
        <f>+'[1]SL - UNMETERED'!E22+'[1]SL - METERED NON CO'!E22+'[1]SL - METERED CO OWNED'!E22+'[1]OUTDOOR LIGHTING'!E22</f>
        <v>56208</v>
      </c>
      <c r="Z38" s="28"/>
      <c r="AA38" s="27">
        <f t="shared" si="6"/>
        <v>3789658</v>
      </c>
    </row>
    <row r="39" spans="1:27" ht="15">
      <c r="A39" s="39">
        <f t="shared" si="1"/>
        <v>24</v>
      </c>
      <c r="B39" s="1"/>
      <c r="C39" s="18">
        <f t="shared" si="3"/>
        <v>2021</v>
      </c>
      <c r="D39" s="1"/>
      <c r="E39" s="18">
        <f t="shared" si="4"/>
        <v>5</v>
      </c>
      <c r="G39" s="27">
        <f>+[1]RES!E24</f>
        <v>3228777</v>
      </c>
      <c r="H39" s="27"/>
      <c r="I39" s="27">
        <f>+'[1]GS SEC SMALL'!E24</f>
        <v>299788</v>
      </c>
      <c r="J39" s="28"/>
      <c r="K39" s="27">
        <f>+'[1]GS SEC LRG IDR '!E24</f>
        <v>5309</v>
      </c>
      <c r="L39" s="28"/>
      <c r="M39" s="27">
        <f>+'[1]GS SEC LRG NONIDR'!E24</f>
        <v>197010</v>
      </c>
      <c r="N39" s="3"/>
      <c r="O39" s="27">
        <f>+'[1]GS PRI SMALL'!E24</f>
        <v>3065</v>
      </c>
      <c r="P39" s="3"/>
      <c r="Q39" s="27">
        <f>+'[1]GS PRI LRG IDR '!E24</f>
        <v>1531</v>
      </c>
      <c r="R39" s="27"/>
      <c r="S39" s="27">
        <f>+'[1]GS PRI LRG SUB'!E24</f>
        <v>122</v>
      </c>
      <c r="T39" s="3"/>
      <c r="U39" s="27">
        <f>+'[1]GS PRI LRG NONIDR'!E24</f>
        <v>5598</v>
      </c>
      <c r="V39" s="3"/>
      <c r="W39" s="27">
        <f>+[1]TRANSMISSION!E24</f>
        <v>277</v>
      </c>
      <c r="X39" s="3"/>
      <c r="Y39" s="27">
        <f>+'[1]SL - UNMETERED'!E24+'[1]SL - METERED NON CO'!E24+'[1]SL - METERED CO OWNED'!E24+'[1]OUTDOOR LIGHTING'!E24</f>
        <v>56134</v>
      </c>
      <c r="Z39" s="28"/>
      <c r="AA39" s="27">
        <f t="shared" si="6"/>
        <v>3797611</v>
      </c>
    </row>
    <row r="40" spans="1:27" ht="15">
      <c r="A40" s="39">
        <f t="shared" si="1"/>
        <v>25</v>
      </c>
      <c r="B40" s="1"/>
      <c r="C40" s="18">
        <f t="shared" si="3"/>
        <v>2021</v>
      </c>
      <c r="D40" s="1"/>
      <c r="E40" s="18">
        <f t="shared" si="4"/>
        <v>6</v>
      </c>
      <c r="G40" s="27">
        <f>+[1]RES!E26</f>
        <v>3234379</v>
      </c>
      <c r="H40" s="27"/>
      <c r="I40" s="27">
        <f>+'[1]GS SEC SMALL'!E26</f>
        <v>300604</v>
      </c>
      <c r="J40" s="28"/>
      <c r="K40" s="27">
        <f>+'[1]GS SEC LRG IDR '!E26</f>
        <v>5371</v>
      </c>
      <c r="L40" s="28"/>
      <c r="M40" s="27">
        <f>+'[1]GS SEC LRG NONIDR'!E26</f>
        <v>197289</v>
      </c>
      <c r="N40" s="3"/>
      <c r="O40" s="27">
        <f>+'[1]GS PRI SMALL'!E26</f>
        <v>3069</v>
      </c>
      <c r="P40" s="3"/>
      <c r="Q40" s="27">
        <f>+'[1]GS PRI LRG IDR '!E26</f>
        <v>1565</v>
      </c>
      <c r="R40" s="27"/>
      <c r="S40" s="27">
        <f>+'[1]GS PRI LRG SUB'!E26</f>
        <v>124</v>
      </c>
      <c r="T40" s="3"/>
      <c r="U40" s="27">
        <f>+'[1]GS PRI LRG NONIDR'!E26</f>
        <v>5545</v>
      </c>
      <c r="V40" s="3"/>
      <c r="W40" s="27">
        <f>+[1]TRANSMISSION!E26</f>
        <v>278</v>
      </c>
      <c r="X40" s="3"/>
      <c r="Y40" s="27">
        <f>+'[1]SL - UNMETERED'!E26+'[1]SL - METERED NON CO'!E26+'[1]SL - METERED CO OWNED'!E26+'[1]OUTDOOR LIGHTING'!E26</f>
        <v>56089</v>
      </c>
      <c r="Z40" s="28"/>
      <c r="AA40" s="27">
        <f t="shared" si="6"/>
        <v>3804313</v>
      </c>
    </row>
    <row r="41" spans="1:27" ht="15">
      <c r="A41" s="39">
        <f t="shared" si="1"/>
        <v>26</v>
      </c>
      <c r="B41" s="1"/>
      <c r="C41" s="18">
        <f t="shared" si="3"/>
        <v>2021</v>
      </c>
      <c r="D41" s="1"/>
      <c r="E41" s="18">
        <f t="shared" si="4"/>
        <v>7</v>
      </c>
      <c r="F41" s="23"/>
      <c r="G41" s="27">
        <f>+[1]RES!E28</f>
        <v>3236273</v>
      </c>
      <c r="H41" s="27"/>
      <c r="I41" s="27">
        <f>+'[1]GS SEC SMALL'!E28</f>
        <v>301274</v>
      </c>
      <c r="J41" s="28"/>
      <c r="K41" s="27">
        <f>+'[1]GS SEC LRG IDR '!E28</f>
        <v>5367</v>
      </c>
      <c r="L41" s="28"/>
      <c r="M41" s="27">
        <f>+'[1]GS SEC LRG NONIDR'!E28</f>
        <v>197702</v>
      </c>
      <c r="N41" s="3"/>
      <c r="O41" s="27">
        <f>+'[1]GS PRI SMALL'!E28</f>
        <v>3081</v>
      </c>
      <c r="P41" s="3"/>
      <c r="Q41" s="27">
        <f>+'[1]GS PRI LRG IDR '!E28</f>
        <v>1564</v>
      </c>
      <c r="R41" s="27"/>
      <c r="S41" s="27">
        <f>+'[1]GS PRI LRG SUB'!E28</f>
        <v>124</v>
      </c>
      <c r="T41" s="3"/>
      <c r="U41" s="27">
        <f>+'[1]GS PRI LRG NONIDR'!E28</f>
        <v>5545</v>
      </c>
      <c r="V41" s="3"/>
      <c r="W41" s="27">
        <f>+[1]TRANSMISSION!E28</f>
        <v>282</v>
      </c>
      <c r="X41" s="3"/>
      <c r="Y41" s="27">
        <f>+'[1]SL - UNMETERED'!E28+'[1]SL - METERED NON CO'!E28+'[1]SL - METERED CO OWNED'!E28+'[1]OUTDOOR LIGHTING'!E28</f>
        <v>55909</v>
      </c>
      <c r="Z41" s="28"/>
      <c r="AA41" s="27">
        <f t="shared" si="6"/>
        <v>3807121</v>
      </c>
    </row>
    <row r="42" spans="1:27" ht="15">
      <c r="A42" s="39">
        <f t="shared" si="1"/>
        <v>27</v>
      </c>
      <c r="B42" s="1"/>
      <c r="C42" s="18">
        <f t="shared" si="3"/>
        <v>2021</v>
      </c>
      <c r="D42" s="1"/>
      <c r="E42" s="18">
        <f t="shared" si="4"/>
        <v>8</v>
      </c>
      <c r="G42" s="27">
        <f>+[1]RES!E30</f>
        <v>3240184</v>
      </c>
      <c r="H42" s="27"/>
      <c r="I42" s="27">
        <f>+'[1]GS SEC SMALL'!E30</f>
        <v>301519</v>
      </c>
      <c r="J42" s="28"/>
      <c r="K42" s="27">
        <f>+'[1]GS SEC LRG IDR '!E30</f>
        <v>5364</v>
      </c>
      <c r="L42" s="28"/>
      <c r="M42" s="27">
        <f>+'[1]GS SEC LRG NONIDR'!E30</f>
        <v>198092</v>
      </c>
      <c r="N42" s="3"/>
      <c r="O42" s="27">
        <f>+'[1]GS PRI SMALL'!E30</f>
        <v>3093</v>
      </c>
      <c r="P42" s="3"/>
      <c r="Q42" s="27">
        <f>+'[1]GS PRI LRG IDR '!E30</f>
        <v>1560</v>
      </c>
      <c r="R42" s="27"/>
      <c r="S42" s="27">
        <f>+'[1]GS PRI LRG SUB'!E30</f>
        <v>128</v>
      </c>
      <c r="T42" s="3"/>
      <c r="U42" s="27">
        <f>+'[1]GS PRI LRG NONIDR'!E30</f>
        <v>5534</v>
      </c>
      <c r="V42" s="3"/>
      <c r="W42" s="27">
        <f>+[1]TRANSMISSION!E30</f>
        <v>282</v>
      </c>
      <c r="X42" s="3"/>
      <c r="Y42" s="27">
        <f>+'[1]SL - UNMETERED'!E30+'[1]SL - METERED NON CO'!E30+'[1]SL - METERED CO OWNED'!E30+'[1]OUTDOOR LIGHTING'!E30</f>
        <v>55731</v>
      </c>
      <c r="Z42" s="28"/>
      <c r="AA42" s="27">
        <f t="shared" si="6"/>
        <v>3811487</v>
      </c>
    </row>
    <row r="43" spans="1:27" ht="15">
      <c r="A43" s="39">
        <f t="shared" si="1"/>
        <v>28</v>
      </c>
      <c r="B43" s="1"/>
      <c r="C43" s="18">
        <f t="shared" si="3"/>
        <v>2021</v>
      </c>
      <c r="D43" s="1"/>
      <c r="E43" s="18">
        <f t="shared" si="4"/>
        <v>9</v>
      </c>
      <c r="G43" s="27">
        <f>+[1]RES!E32</f>
        <v>3244734</v>
      </c>
      <c r="H43" s="27"/>
      <c r="I43" s="27">
        <f>+'[1]GS SEC SMALL'!E32</f>
        <v>302471</v>
      </c>
      <c r="J43" s="28"/>
      <c r="K43" s="27">
        <f>+'[1]GS SEC LRG IDR '!E32</f>
        <v>5374</v>
      </c>
      <c r="L43" s="28"/>
      <c r="M43" s="27">
        <f>+'[1]GS SEC LRG NONIDR'!E32</f>
        <v>197946</v>
      </c>
      <c r="N43" s="3"/>
      <c r="O43" s="27">
        <f>+'[1]GS PRI SMALL'!E32</f>
        <v>3096</v>
      </c>
      <c r="P43" s="3"/>
      <c r="Q43" s="27">
        <f>+'[1]GS PRI LRG IDR '!E32</f>
        <v>1556</v>
      </c>
      <c r="R43" s="27"/>
      <c r="S43" s="27">
        <f>+'[1]GS PRI LRG SUB'!E32</f>
        <v>129</v>
      </c>
      <c r="T43" s="3"/>
      <c r="U43" s="27">
        <f>+'[1]GS PRI LRG NONIDR'!E32</f>
        <v>5544</v>
      </c>
      <c r="V43" s="3"/>
      <c r="W43" s="27">
        <f>+[1]TRANSMISSION!E32</f>
        <v>283</v>
      </c>
      <c r="X43" s="3"/>
      <c r="Y43" s="27">
        <f>+'[1]SL - UNMETERED'!E32+'[1]SL - METERED NON CO'!E32+'[1]SL - METERED CO OWNED'!E32+'[1]OUTDOOR LIGHTING'!E32</f>
        <v>55596</v>
      </c>
      <c r="Z43" s="28"/>
      <c r="AA43" s="27">
        <f t="shared" si="6"/>
        <v>3816729</v>
      </c>
    </row>
    <row r="44" spans="1:27" ht="15">
      <c r="A44" s="39">
        <f t="shared" si="1"/>
        <v>29</v>
      </c>
      <c r="B44" s="1"/>
      <c r="C44" s="18">
        <f t="shared" si="3"/>
        <v>2021</v>
      </c>
      <c r="D44" s="1"/>
      <c r="E44" s="18">
        <f t="shared" si="4"/>
        <v>10</v>
      </c>
      <c r="G44" s="27">
        <f>+[1]RES!E34</f>
        <v>3248681</v>
      </c>
      <c r="H44" s="27"/>
      <c r="I44" s="27">
        <f>+'[1]GS SEC SMALL'!E34</f>
        <v>303108</v>
      </c>
      <c r="J44" s="28"/>
      <c r="K44" s="27">
        <f>+'[1]GS SEC LRG IDR '!E34</f>
        <v>5455</v>
      </c>
      <c r="L44" s="28"/>
      <c r="M44" s="27">
        <f>+'[1]GS SEC LRG NONIDR'!E34</f>
        <v>197922</v>
      </c>
      <c r="N44" s="3"/>
      <c r="O44" s="27">
        <f>+'[1]GS PRI SMALL'!E34</f>
        <v>3111</v>
      </c>
      <c r="P44" s="3"/>
      <c r="Q44" s="27">
        <f>+'[1]GS PRI LRG IDR '!E34</f>
        <v>1600</v>
      </c>
      <c r="R44" s="27"/>
      <c r="S44" s="27">
        <f>+'[1]GS PRI LRG SUB'!E34</f>
        <v>129</v>
      </c>
      <c r="T44" s="3"/>
      <c r="U44" s="27">
        <f>+'[1]GS PRI LRG NONIDR'!E34</f>
        <v>5543</v>
      </c>
      <c r="V44" s="3"/>
      <c r="W44" s="27">
        <f>+[1]TRANSMISSION!E34</f>
        <v>283</v>
      </c>
      <c r="X44" s="3"/>
      <c r="Y44" s="27">
        <f>+'[1]SL - UNMETERED'!E34+'[1]SL - METERED NON CO'!E34+'[1]SL - METERED CO OWNED'!E34+'[1]OUTDOOR LIGHTING'!E34</f>
        <v>55408</v>
      </c>
      <c r="Z44" s="28"/>
      <c r="AA44" s="27">
        <f t="shared" si="6"/>
        <v>3821240</v>
      </c>
    </row>
    <row r="45" spans="1:27" ht="15">
      <c r="A45" s="39">
        <f t="shared" si="1"/>
        <v>30</v>
      </c>
      <c r="B45" s="1"/>
      <c r="C45" s="18">
        <f t="shared" si="3"/>
        <v>2021</v>
      </c>
      <c r="D45" s="1"/>
      <c r="E45" s="18">
        <f t="shared" si="4"/>
        <v>11</v>
      </c>
      <c r="G45" s="27">
        <f>+[1]RES!E36</f>
        <v>3253575</v>
      </c>
      <c r="H45" s="27"/>
      <c r="I45" s="27">
        <f>+'[1]GS SEC SMALL'!E36</f>
        <v>303828</v>
      </c>
      <c r="J45" s="28"/>
      <c r="K45" s="27">
        <f>+'[1]GS SEC LRG IDR '!E36</f>
        <v>5449</v>
      </c>
      <c r="L45" s="28"/>
      <c r="M45" s="27">
        <f>+'[1]GS SEC LRG NONIDR'!E36</f>
        <v>197868</v>
      </c>
      <c r="N45" s="3"/>
      <c r="O45" s="27">
        <f>+'[1]GS PRI SMALL'!E36</f>
        <v>3103</v>
      </c>
      <c r="P45" s="3"/>
      <c r="Q45" s="27">
        <f>+'[1]GS PRI LRG IDR '!E36</f>
        <v>1597</v>
      </c>
      <c r="R45" s="27"/>
      <c r="S45" s="27">
        <f>+'[1]GS PRI LRG SUB'!E36</f>
        <v>129</v>
      </c>
      <c r="T45" s="3"/>
      <c r="U45" s="27">
        <f>+'[1]GS PRI LRG NONIDR'!E36</f>
        <v>5551</v>
      </c>
      <c r="V45" s="3"/>
      <c r="W45" s="27">
        <f>+[1]TRANSMISSION!E36</f>
        <v>283</v>
      </c>
      <c r="X45" s="3"/>
      <c r="Y45" s="27">
        <f>+'[1]SL - UNMETERED'!E36+'[1]SL - METERED NON CO'!E36+'[1]SL - METERED CO OWNED'!E36+'[1]OUTDOOR LIGHTING'!E36</f>
        <v>55288</v>
      </c>
      <c r="Z45" s="28"/>
      <c r="AA45" s="27">
        <f t="shared" si="6"/>
        <v>3826671</v>
      </c>
    </row>
    <row r="46" spans="1:27" ht="15">
      <c r="A46" s="39">
        <f t="shared" si="1"/>
        <v>31</v>
      </c>
      <c r="B46" s="1"/>
      <c r="C46" s="18">
        <f t="shared" si="3"/>
        <v>2021</v>
      </c>
      <c r="D46" s="1"/>
      <c r="E46" s="18">
        <f t="shared" si="4"/>
        <v>12</v>
      </c>
      <c r="G46" s="27">
        <f>+[1]RES!E38</f>
        <v>3258283</v>
      </c>
      <c r="H46" s="27"/>
      <c r="I46" s="27">
        <f>+'[1]GS SEC SMALL'!E38</f>
        <v>304430</v>
      </c>
      <c r="J46" s="28"/>
      <c r="K46" s="27">
        <f>+'[1]GS SEC LRG IDR '!E38</f>
        <v>5446</v>
      </c>
      <c r="L46" s="28"/>
      <c r="M46" s="27">
        <f>+'[1]GS SEC LRG NONIDR'!E38</f>
        <v>198142</v>
      </c>
      <c r="N46" s="3"/>
      <c r="O46" s="27">
        <f>+'[1]GS PRI SMALL'!E38</f>
        <v>3101</v>
      </c>
      <c r="P46" s="3"/>
      <c r="Q46" s="27">
        <f>+'[1]GS PRI LRG IDR '!E38</f>
        <v>1598</v>
      </c>
      <c r="R46" s="27"/>
      <c r="S46" s="27">
        <f>+'[1]GS PRI LRG SUB'!E38</f>
        <v>130</v>
      </c>
      <c r="T46" s="3"/>
      <c r="U46" s="27">
        <f>+'[1]GS PRI LRG NONIDR'!E38</f>
        <v>5560</v>
      </c>
      <c r="V46" s="3"/>
      <c r="W46" s="27">
        <f>+[1]TRANSMISSION!E38</f>
        <v>283</v>
      </c>
      <c r="X46" s="3"/>
      <c r="Y46" s="27">
        <f>+'[1]SL - UNMETERED'!E38+'[1]SL - METERED NON CO'!E38+'[1]SL - METERED CO OWNED'!E38+'[1]OUTDOOR LIGHTING'!E38</f>
        <v>55208</v>
      </c>
      <c r="Z46" s="28"/>
      <c r="AA46" s="27">
        <f t="shared" si="6"/>
        <v>3832181</v>
      </c>
    </row>
    <row r="47" spans="1:27" ht="15">
      <c r="A47" s="39">
        <f t="shared" si="1"/>
        <v>32</v>
      </c>
      <c r="B47" s="1"/>
      <c r="C47" s="1" t="s">
        <v>8</v>
      </c>
      <c r="D47" s="1"/>
      <c r="E47" s="19"/>
      <c r="G47" s="30"/>
      <c r="H47" s="27"/>
      <c r="I47" s="30"/>
      <c r="J47" s="27"/>
      <c r="K47" s="30"/>
      <c r="L47" s="27"/>
      <c r="M47" s="30"/>
      <c r="N47" s="27"/>
      <c r="O47" s="30"/>
      <c r="P47" s="28"/>
      <c r="Q47" s="30"/>
      <c r="R47" s="30"/>
      <c r="S47" s="30"/>
      <c r="T47" s="28"/>
      <c r="U47" s="30"/>
      <c r="V47" s="28"/>
      <c r="W47" s="30"/>
      <c r="X47" s="28"/>
      <c r="Y47" s="31"/>
      <c r="Z47" s="28"/>
      <c r="AA47" s="27"/>
    </row>
    <row r="48" spans="1:27" ht="15">
      <c r="A48" s="39">
        <f t="shared" si="1"/>
        <v>33</v>
      </c>
      <c r="B48" s="1"/>
      <c r="C48" s="1"/>
      <c r="D48" s="1"/>
      <c r="E48" s="19"/>
      <c r="G48" s="30"/>
      <c r="H48" s="27"/>
      <c r="I48" s="30"/>
      <c r="J48" s="27"/>
      <c r="K48" s="30"/>
      <c r="L48" s="27"/>
      <c r="M48" s="30"/>
      <c r="N48" s="27"/>
      <c r="O48" s="30"/>
      <c r="P48" s="28"/>
      <c r="Q48" s="30"/>
      <c r="R48" s="30"/>
      <c r="S48" s="30"/>
      <c r="T48" s="28"/>
      <c r="U48" s="30"/>
      <c r="V48" s="28"/>
      <c r="W48" s="30"/>
      <c r="X48" s="28"/>
      <c r="Y48" s="31"/>
      <c r="Z48" s="28"/>
      <c r="AA48" s="27"/>
    </row>
    <row r="49" spans="1:27" ht="15">
      <c r="A49" s="39">
        <f t="shared" si="1"/>
        <v>34</v>
      </c>
      <c r="B49" s="1"/>
      <c r="C49" s="90" t="s">
        <v>128</v>
      </c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</row>
    <row r="50" spans="1:27" ht="15">
      <c r="A50" s="39">
        <f t="shared" si="1"/>
        <v>35</v>
      </c>
      <c r="B50" s="1"/>
      <c r="C50" s="21"/>
      <c r="D50" s="1"/>
      <c r="E50" s="19"/>
      <c r="G50" s="30"/>
      <c r="H50" s="27"/>
      <c r="I50" s="30"/>
      <c r="J50" s="27"/>
      <c r="K50" s="30"/>
      <c r="L50" s="27"/>
      <c r="M50" s="30"/>
      <c r="N50" s="27"/>
      <c r="O50" s="30"/>
      <c r="P50" s="28"/>
      <c r="Q50" s="30"/>
      <c r="R50" s="30"/>
      <c r="S50" s="30"/>
      <c r="T50" s="28"/>
      <c r="U50" s="30"/>
      <c r="V50" s="28"/>
      <c r="W50" s="30"/>
      <c r="X50" s="28"/>
      <c r="Y50" s="31"/>
      <c r="Z50" s="28"/>
      <c r="AA50" s="27"/>
    </row>
    <row r="51" spans="1:27" ht="15">
      <c r="A51" s="39">
        <f t="shared" si="1"/>
        <v>36</v>
      </c>
      <c r="B51" s="11"/>
      <c r="C51" s="11" t="s">
        <v>1</v>
      </c>
      <c r="D51" s="11"/>
      <c r="E51" s="11" t="s">
        <v>2</v>
      </c>
      <c r="F51" s="1"/>
      <c r="G51" s="12" t="s">
        <v>3</v>
      </c>
      <c r="H51" s="12"/>
      <c r="I51" s="13" t="s">
        <v>79</v>
      </c>
      <c r="J51" s="12"/>
      <c r="K51" s="13" t="s">
        <v>80</v>
      </c>
      <c r="L51" s="12"/>
      <c r="M51" s="12" t="s">
        <v>81</v>
      </c>
      <c r="N51" s="12"/>
      <c r="O51" s="13" t="s">
        <v>82</v>
      </c>
      <c r="P51" s="14"/>
      <c r="Q51" s="14" t="s">
        <v>83</v>
      </c>
      <c r="R51" s="14"/>
      <c r="S51" s="14" t="s">
        <v>84</v>
      </c>
      <c r="T51" s="14"/>
      <c r="U51" s="14" t="s">
        <v>85</v>
      </c>
      <c r="V51" s="14"/>
      <c r="W51" s="12" t="s">
        <v>6</v>
      </c>
      <c r="X51" s="12"/>
      <c r="Y51" s="12" t="s">
        <v>7</v>
      </c>
      <c r="Z51" s="12"/>
      <c r="AA51" s="12" t="s">
        <v>8</v>
      </c>
    </row>
    <row r="52" spans="1:27" ht="15">
      <c r="A52" s="39">
        <f t="shared" si="1"/>
        <v>37</v>
      </c>
      <c r="B52" s="1"/>
      <c r="C52" s="26"/>
      <c r="D52" s="1"/>
      <c r="E52" s="26"/>
      <c r="F52" s="1"/>
      <c r="G52" s="60" t="s">
        <v>98</v>
      </c>
      <c r="H52" s="16"/>
      <c r="I52" s="60" t="s">
        <v>99</v>
      </c>
      <c r="J52" s="16"/>
      <c r="K52" s="60" t="s">
        <v>100</v>
      </c>
      <c r="L52" s="16"/>
      <c r="M52" s="60" t="s">
        <v>101</v>
      </c>
      <c r="N52" s="16"/>
      <c r="O52" s="60" t="s">
        <v>102</v>
      </c>
      <c r="P52" s="16"/>
      <c r="Q52" s="60" t="s">
        <v>103</v>
      </c>
      <c r="R52" s="16"/>
      <c r="S52" s="60" t="s">
        <v>104</v>
      </c>
      <c r="T52" s="16"/>
      <c r="U52" s="60" t="s">
        <v>105</v>
      </c>
      <c r="V52" s="16"/>
      <c r="W52" s="60" t="s">
        <v>106</v>
      </c>
      <c r="X52" s="16"/>
      <c r="Y52" s="60" t="s">
        <v>107</v>
      </c>
      <c r="Z52" s="16"/>
      <c r="AA52" s="61" t="s">
        <v>108</v>
      </c>
    </row>
    <row r="53" spans="1:27" ht="15">
      <c r="A53" s="39">
        <f t="shared" si="1"/>
        <v>38</v>
      </c>
      <c r="C53" s="23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spans="1:27" ht="15">
      <c r="A54" s="39">
        <f t="shared" si="1"/>
        <v>39</v>
      </c>
      <c r="B54" s="1"/>
      <c r="C54" s="18">
        <f t="shared" si="7" ref="C54:C65">+C35</f>
        <v>2021</v>
      </c>
      <c r="D54" s="1"/>
      <c r="E54" s="19">
        <f t="shared" si="8" ref="E54:E65">+E35</f>
        <v>1</v>
      </c>
      <c r="G54" s="27">
        <f t="shared" si="9" ref="G54:G65">(+G$46/G35)*G16</f>
        <v>179347.68217477054</v>
      </c>
      <c r="H54" s="27"/>
      <c r="I54" s="27">
        <f t="shared" si="10" ref="I54:I65">(+I$46/I35)*I16</f>
        <v>2186.5462626197586</v>
      </c>
      <c r="J54" s="27"/>
      <c r="K54" s="27">
        <f t="shared" si="11" ref="K54:K65">(+K$46/K35)*K16</f>
        <v>18969.212916229488</v>
      </c>
      <c r="L54" s="27"/>
      <c r="M54" s="27">
        <f t="shared" si="12" ref="M54:M65">(+M$46/M35)*M16</f>
        <v>27669.351688771072</v>
      </c>
      <c r="N54" s="27"/>
      <c r="O54" s="27">
        <f t="shared" si="13" ref="O54:O65">(+O$46/O35)*O16</f>
        <v>0</v>
      </c>
      <c r="P54" s="28"/>
      <c r="Q54" s="27">
        <f t="shared" si="14" ref="Q54:Q65">(+Q$46/Q35)*Q16</f>
        <v>1297.2593366620763</v>
      </c>
      <c r="R54" s="27"/>
      <c r="S54" s="27">
        <f t="shared" si="15" ref="S54:S65">(+S$46/S35)*S16</f>
        <v>484.50760325994389</v>
      </c>
      <c r="T54" s="28"/>
      <c r="U54" s="27">
        <f t="shared" si="16" ref="U54:U65">(+U$46/U35)*U16</f>
        <v>142.8234764260643</v>
      </c>
      <c r="V54" s="28"/>
      <c r="W54" s="27">
        <f t="shared" si="17" ref="W54:W65">(+W$46/W35)*W16</f>
        <v>0</v>
      </c>
      <c r="X54" s="28"/>
      <c r="Y54" s="27">
        <f t="shared" si="18" ref="Y54:Y65">(+Y$46/Y35)*Y16</f>
        <v>0</v>
      </c>
      <c r="Z54" s="28"/>
      <c r="AA54" s="27">
        <f t="shared" si="19" ref="AA54:AA59">SUM(G54:Y54)</f>
        <v>230097.38345873894</v>
      </c>
    </row>
    <row r="55" spans="1:27" ht="15">
      <c r="A55" s="39">
        <f t="shared" si="1"/>
        <v>40</v>
      </c>
      <c r="B55" s="1"/>
      <c r="C55" s="18">
        <f t="shared" si="7"/>
        <v>2021</v>
      </c>
      <c r="D55" s="1"/>
      <c r="E55" s="19">
        <f t="shared" si="8"/>
        <v>2</v>
      </c>
      <c r="G55" s="27">
        <f t="shared" si="9"/>
        <v>-88013.693085240811</v>
      </c>
      <c r="H55" s="27"/>
      <c r="I55" s="27">
        <f t="shared" si="10"/>
        <v>-1107.2708376436001</v>
      </c>
      <c r="J55" s="27"/>
      <c r="K55" s="27">
        <f t="shared" si="11"/>
        <v>213.94258588178485</v>
      </c>
      <c r="L55" s="27"/>
      <c r="M55" s="27">
        <f t="shared" si="12"/>
        <v>313.85292065441382</v>
      </c>
      <c r="N55" s="27"/>
      <c r="O55" s="27">
        <f t="shared" si="13"/>
        <v>0</v>
      </c>
      <c r="P55" s="28"/>
      <c r="Q55" s="27">
        <f t="shared" si="14"/>
        <v>1010.3524271492408</v>
      </c>
      <c r="R55" s="27"/>
      <c r="S55" s="27">
        <f t="shared" si="15"/>
        <v>356.83290306092528</v>
      </c>
      <c r="T55" s="28"/>
      <c r="U55" s="27">
        <f t="shared" si="16"/>
        <v>111.46651200439275</v>
      </c>
      <c r="V55" s="28"/>
      <c r="W55" s="27">
        <f t="shared" si="17"/>
        <v>0</v>
      </c>
      <c r="X55" s="28"/>
      <c r="Y55" s="27">
        <f t="shared" si="18"/>
        <v>0</v>
      </c>
      <c r="Z55" s="28"/>
      <c r="AA55" s="27">
        <f t="shared" si="19"/>
        <v>-87114.516574133653</v>
      </c>
    </row>
    <row r="56" spans="1:27" ht="15">
      <c r="A56" s="39">
        <f t="shared" si="1"/>
        <v>41</v>
      </c>
      <c r="B56" s="1"/>
      <c r="C56" s="18">
        <f t="shared" si="7"/>
        <v>2021</v>
      </c>
      <c r="D56" s="1"/>
      <c r="E56" s="19">
        <f t="shared" si="8"/>
        <v>3</v>
      </c>
      <c r="G56" s="27">
        <f t="shared" si="9"/>
        <v>-1066185.9856486891</v>
      </c>
      <c r="H56" s="27"/>
      <c r="I56" s="27">
        <f t="shared" si="10"/>
        <v>-14202.670266055753</v>
      </c>
      <c r="J56" s="27"/>
      <c r="K56" s="27">
        <f t="shared" si="11"/>
        <v>-66660.369329696361</v>
      </c>
      <c r="L56" s="27"/>
      <c r="M56" s="27">
        <f t="shared" si="12"/>
        <v>-107191.33371340369</v>
      </c>
      <c r="N56" s="27"/>
      <c r="O56" s="27">
        <f t="shared" si="13"/>
        <v>0</v>
      </c>
      <c r="P56" s="28"/>
      <c r="Q56" s="27">
        <f t="shared" si="14"/>
        <v>1883.4661402159547</v>
      </c>
      <c r="R56" s="27"/>
      <c r="S56" s="27">
        <f t="shared" si="15"/>
        <v>682.96786359363057</v>
      </c>
      <c r="T56" s="28"/>
      <c r="U56" s="27">
        <f t="shared" si="16"/>
        <v>217.62927628478104</v>
      </c>
      <c r="V56" s="28"/>
      <c r="W56" s="27">
        <f t="shared" si="17"/>
        <v>0</v>
      </c>
      <c r="X56" s="28"/>
      <c r="Y56" s="27">
        <f t="shared" si="18"/>
        <v>0</v>
      </c>
      <c r="Z56" s="28"/>
      <c r="AA56" s="27">
        <f t="shared" si="19"/>
        <v>-1251456.2956777504</v>
      </c>
    </row>
    <row r="57" spans="1:27" ht="15">
      <c r="A57" s="39">
        <f t="shared" si="1"/>
        <v>42</v>
      </c>
      <c r="B57" s="1"/>
      <c r="C57" s="18">
        <f t="shared" si="7"/>
        <v>2021</v>
      </c>
      <c r="D57" s="1"/>
      <c r="E57" s="19">
        <f t="shared" si="8"/>
        <v>4</v>
      </c>
      <c r="G57" s="27">
        <f t="shared" si="9"/>
        <v>254365.40045194776</v>
      </c>
      <c r="H57" s="27"/>
      <c r="I57" s="27">
        <f t="shared" si="10"/>
        <v>3669.2789164403384</v>
      </c>
      <c r="J57" s="27"/>
      <c r="K57" s="27">
        <f t="shared" si="11"/>
        <v>21511.367347543728</v>
      </c>
      <c r="L57" s="27"/>
      <c r="M57" s="27">
        <f t="shared" si="12"/>
        <v>28148.997460378912</v>
      </c>
      <c r="N57" s="27"/>
      <c r="O57" s="27">
        <f t="shared" si="13"/>
        <v>0</v>
      </c>
      <c r="P57" s="28"/>
      <c r="Q57" s="27">
        <f t="shared" si="14"/>
        <v>2880.8015658629101</v>
      </c>
      <c r="R57" s="27"/>
      <c r="S57" s="27">
        <f t="shared" si="15"/>
        <v>718.28637748950075</v>
      </c>
      <c r="T57" s="28"/>
      <c r="U57" s="27">
        <f t="shared" si="16"/>
        <v>333.6183348907407</v>
      </c>
      <c r="V57" s="28"/>
      <c r="W57" s="27">
        <f t="shared" si="17"/>
        <v>0</v>
      </c>
      <c r="X57" s="28"/>
      <c r="Y57" s="27">
        <f t="shared" si="18"/>
        <v>0</v>
      </c>
      <c r="Z57" s="28"/>
      <c r="AA57" s="27">
        <f t="shared" si="19"/>
        <v>311627.75045455393</v>
      </c>
    </row>
    <row r="58" spans="1:27" ht="15">
      <c r="A58" s="39">
        <f t="shared" si="1"/>
        <v>43</v>
      </c>
      <c r="B58" s="1"/>
      <c r="C58" s="18">
        <f t="shared" si="7"/>
        <v>2021</v>
      </c>
      <c r="D58" s="1"/>
      <c r="E58" s="19">
        <f t="shared" si="8"/>
        <v>5</v>
      </c>
      <c r="G58" s="27">
        <f t="shared" si="9"/>
        <v>209254.95648831077</v>
      </c>
      <c r="H58" s="27"/>
      <c r="I58" s="27">
        <f t="shared" si="10"/>
        <v>3261.9217593282656</v>
      </c>
      <c r="J58" s="27"/>
      <c r="K58" s="27">
        <f t="shared" si="11"/>
        <v>46960.692031656712</v>
      </c>
      <c r="L58" s="27"/>
      <c r="M58" s="27">
        <f t="shared" si="12"/>
        <v>66438.897087529273</v>
      </c>
      <c r="N58" s="27"/>
      <c r="O58" s="27">
        <f t="shared" si="13"/>
        <v>0</v>
      </c>
      <c r="P58" s="28"/>
      <c r="Q58" s="27">
        <f t="shared" si="14"/>
        <v>12473.01583017556</v>
      </c>
      <c r="R58" s="27"/>
      <c r="S58" s="27">
        <f t="shared" si="15"/>
        <v>3713.9532446673643</v>
      </c>
      <c r="T58" s="28"/>
      <c r="U58" s="27">
        <f t="shared" si="16"/>
        <v>1603.9369263089604</v>
      </c>
      <c r="V58" s="28"/>
      <c r="W58" s="27">
        <f t="shared" si="17"/>
        <v>0</v>
      </c>
      <c r="X58" s="28"/>
      <c r="Y58" s="27">
        <f t="shared" si="18"/>
        <v>0</v>
      </c>
      <c r="Z58" s="28"/>
      <c r="AA58" s="27">
        <f t="shared" si="19"/>
        <v>343707.37336797686</v>
      </c>
    </row>
    <row r="59" spans="1:27" ht="15">
      <c r="A59" s="39">
        <f t="shared" si="1"/>
        <v>44</v>
      </c>
      <c r="B59" s="1"/>
      <c r="C59" s="18">
        <f t="shared" si="7"/>
        <v>2021</v>
      </c>
      <c r="D59" s="1"/>
      <c r="E59" s="19">
        <f t="shared" si="8"/>
        <v>6</v>
      </c>
      <c r="G59" s="30">
        <f t="shared" si="9"/>
        <v>490365.43771807366</v>
      </c>
      <c r="H59" s="30"/>
      <c r="I59" s="30">
        <f t="shared" si="10"/>
        <v>8134.591454800533</v>
      </c>
      <c r="J59" s="30"/>
      <c r="K59" s="30">
        <f t="shared" si="11"/>
        <v>76967.106414354028</v>
      </c>
      <c r="L59" s="30"/>
      <c r="M59" s="30">
        <f t="shared" si="12"/>
        <v>118972.52974529109</v>
      </c>
      <c r="N59" s="30"/>
      <c r="O59" s="30">
        <f t="shared" si="13"/>
        <v>0</v>
      </c>
      <c r="P59" s="51"/>
      <c r="Q59" s="30">
        <f t="shared" si="14"/>
        <v>16259.500850421324</v>
      </c>
      <c r="R59" s="30"/>
      <c r="S59" s="30">
        <f t="shared" si="15"/>
        <v>4434.2852204579367</v>
      </c>
      <c r="T59" s="51"/>
      <c r="U59" s="30">
        <f t="shared" si="16"/>
        <v>2189.6424404959794</v>
      </c>
      <c r="V59" s="51"/>
      <c r="W59" s="30">
        <f t="shared" si="17"/>
        <v>0</v>
      </c>
      <c r="X59" s="51"/>
      <c r="Y59" s="30">
        <f t="shared" si="18"/>
        <v>0</v>
      </c>
      <c r="Z59" s="51"/>
      <c r="AA59" s="30">
        <f t="shared" si="19"/>
        <v>717323.09384389466</v>
      </c>
    </row>
    <row r="60" spans="1:27" ht="15">
      <c r="A60" s="39">
        <f t="shared" si="1"/>
        <v>45</v>
      </c>
      <c r="B60" s="1"/>
      <c r="C60" s="18">
        <f t="shared" si="7"/>
        <v>2021</v>
      </c>
      <c r="D60" s="1"/>
      <c r="E60" s="19">
        <f t="shared" si="8"/>
        <v>7</v>
      </c>
      <c r="G60" s="27">
        <f t="shared" si="9"/>
        <v>204016.50497009466</v>
      </c>
      <c r="H60" s="28"/>
      <c r="I60" s="27">
        <f t="shared" si="10"/>
        <v>4280.61406468719</v>
      </c>
      <c r="J60" s="28"/>
      <c r="K60" s="27">
        <f t="shared" si="11"/>
        <v>27238.488066579095</v>
      </c>
      <c r="L60" s="28"/>
      <c r="M60" s="27">
        <f t="shared" si="12"/>
        <v>44002.737762756151</v>
      </c>
      <c r="N60" s="28"/>
      <c r="O60" s="27">
        <f t="shared" si="13"/>
        <v>0</v>
      </c>
      <c r="P60" s="28"/>
      <c r="Q60" s="27">
        <f t="shared" si="14"/>
        <v>10447.365611284651</v>
      </c>
      <c r="R60" s="27"/>
      <c r="S60" s="27">
        <f t="shared" si="15"/>
        <v>2558.6340559836144</v>
      </c>
      <c r="T60" s="28"/>
      <c r="U60" s="27">
        <f t="shared" si="16"/>
        <v>1394.6516741242838</v>
      </c>
      <c r="V60" s="28"/>
      <c r="W60" s="27">
        <f t="shared" si="17"/>
        <v>0</v>
      </c>
      <c r="X60" s="28"/>
      <c r="Y60" s="27">
        <f t="shared" si="18"/>
        <v>0</v>
      </c>
      <c r="Z60" s="28"/>
      <c r="AA60" s="27">
        <f t="shared" si="20" ref="AA60:AA65">SUM(G60:Y60)</f>
        <v>293938.99620550964</v>
      </c>
    </row>
    <row r="61" spans="1:27" ht="15">
      <c r="A61" s="39">
        <f t="shared" si="1"/>
        <v>46</v>
      </c>
      <c r="B61" s="1"/>
      <c r="C61" s="18">
        <f t="shared" si="7"/>
        <v>2021</v>
      </c>
      <c r="D61" s="1"/>
      <c r="E61" s="19">
        <f t="shared" si="8"/>
        <v>8</v>
      </c>
      <c r="G61" s="27">
        <f t="shared" si="9"/>
        <v>386754.42762266455</v>
      </c>
      <c r="H61" s="27"/>
      <c r="I61" s="27">
        <f t="shared" si="10"/>
        <v>7853.9962712988208</v>
      </c>
      <c r="J61" s="27"/>
      <c r="K61" s="27">
        <f t="shared" si="11"/>
        <v>51010.647913745895</v>
      </c>
      <c r="L61" s="27"/>
      <c r="M61" s="27">
        <f t="shared" si="12"/>
        <v>83323.972888671502</v>
      </c>
      <c r="N61" s="27"/>
      <c r="O61" s="27">
        <f t="shared" si="13"/>
        <v>0</v>
      </c>
      <c r="P61" s="28"/>
      <c r="Q61" s="27">
        <f t="shared" si="14"/>
        <v>16006.175216643384</v>
      </c>
      <c r="R61" s="27"/>
      <c r="S61" s="27">
        <f t="shared" si="15"/>
        <v>3219.4322093277128</v>
      </c>
      <c r="T61" s="28"/>
      <c r="U61" s="27">
        <f t="shared" si="16"/>
        <v>1403.7040935744635</v>
      </c>
      <c r="V61" s="28"/>
      <c r="W61" s="27">
        <f t="shared" si="17"/>
        <v>0</v>
      </c>
      <c r="X61" s="28"/>
      <c r="Y61" s="27">
        <f t="shared" si="18"/>
        <v>0</v>
      </c>
      <c r="Z61" s="28"/>
      <c r="AA61" s="27">
        <f t="shared" si="20"/>
        <v>549572.35621592635</v>
      </c>
    </row>
    <row r="62" spans="1:27" ht="15">
      <c r="A62" s="39">
        <f t="shared" si="1"/>
        <v>47</v>
      </c>
      <c r="B62" s="1"/>
      <c r="C62" s="18">
        <f t="shared" si="7"/>
        <v>2021</v>
      </c>
      <c r="D62" s="1"/>
      <c r="E62" s="19">
        <f t="shared" si="8"/>
        <v>9</v>
      </c>
      <c r="G62" s="27">
        <f t="shared" si="9"/>
        <v>-7731.7053255233795</v>
      </c>
      <c r="H62" s="27"/>
      <c r="I62" s="27">
        <f t="shared" si="10"/>
        <v>588.59835948012619</v>
      </c>
      <c r="J62" s="27"/>
      <c r="K62" s="27">
        <f t="shared" si="11"/>
        <v>-3499.0908059657067</v>
      </c>
      <c r="L62" s="27"/>
      <c r="M62" s="27">
        <f t="shared" si="12"/>
        <v>-5843.241567634117</v>
      </c>
      <c r="N62" s="27"/>
      <c r="O62" s="27">
        <f t="shared" si="13"/>
        <v>0</v>
      </c>
      <c r="P62" s="28"/>
      <c r="Q62" s="27">
        <f t="shared" si="14"/>
        <v>1441.3389489900505</v>
      </c>
      <c r="R62" s="27"/>
      <c r="S62" s="27">
        <f t="shared" si="15"/>
        <v>-258.36809904378555</v>
      </c>
      <c r="T62" s="28"/>
      <c r="U62" s="27">
        <f t="shared" si="16"/>
        <v>183.10204219037945</v>
      </c>
      <c r="V62" s="28"/>
      <c r="W62" s="27">
        <f t="shared" si="17"/>
        <v>0</v>
      </c>
      <c r="X62" s="28"/>
      <c r="Y62" s="27">
        <f t="shared" si="18"/>
        <v>0</v>
      </c>
      <c r="Z62" s="28"/>
      <c r="AA62" s="27">
        <f t="shared" si="20"/>
        <v>-15119.366447506431</v>
      </c>
    </row>
    <row r="63" spans="1:27" ht="15">
      <c r="A63" s="39">
        <f t="shared" si="1"/>
        <v>48</v>
      </c>
      <c r="B63" s="1"/>
      <c r="C63" s="18">
        <f t="shared" si="7"/>
        <v>2021</v>
      </c>
      <c r="D63" s="1"/>
      <c r="E63" s="19">
        <f t="shared" si="8"/>
        <v>10</v>
      </c>
      <c r="G63" s="27">
        <f t="shared" si="9"/>
        <v>-73743.986159991648</v>
      </c>
      <c r="H63" s="27"/>
      <c r="I63" s="27">
        <f t="shared" si="10"/>
        <v>-1193.2471390654998</v>
      </c>
      <c r="J63" s="27"/>
      <c r="K63" s="27">
        <f t="shared" si="11"/>
        <v>-19550.133150911472</v>
      </c>
      <c r="L63" s="27"/>
      <c r="M63" s="27">
        <f t="shared" si="12"/>
        <v>-30903.232298567156</v>
      </c>
      <c r="N63" s="27"/>
      <c r="O63" s="27">
        <f t="shared" si="13"/>
        <v>0</v>
      </c>
      <c r="P63" s="28"/>
      <c r="Q63" s="27">
        <f t="shared" si="14"/>
        <v>-5341.7811696735889</v>
      </c>
      <c r="R63" s="27"/>
      <c r="S63" s="27">
        <f t="shared" si="15"/>
        <v>-1629.3649420259119</v>
      </c>
      <c r="T63" s="28"/>
      <c r="U63" s="27">
        <f t="shared" si="16"/>
        <v>-891.61041779472919</v>
      </c>
      <c r="V63" s="28"/>
      <c r="W63" s="27">
        <f t="shared" si="17"/>
        <v>0</v>
      </c>
      <c r="X63" s="28"/>
      <c r="Y63" s="27">
        <f t="shared" si="18"/>
        <v>0</v>
      </c>
      <c r="Z63" s="28"/>
      <c r="AA63" s="27">
        <f t="shared" si="20"/>
        <v>-133253.35527802998</v>
      </c>
    </row>
    <row r="64" spans="1:27" ht="15">
      <c r="A64" s="39">
        <f t="shared" si="1"/>
        <v>49</v>
      </c>
      <c r="B64" s="1"/>
      <c r="C64" s="18">
        <f t="shared" si="7"/>
        <v>2021</v>
      </c>
      <c r="D64" s="1"/>
      <c r="E64" s="19">
        <f t="shared" si="8"/>
        <v>11</v>
      </c>
      <c r="G64" s="27">
        <f t="shared" si="9"/>
        <v>-12195.424612860117</v>
      </c>
      <c r="H64" s="27"/>
      <c r="I64" s="27">
        <f t="shared" si="10"/>
        <v>-229.47508226309179</v>
      </c>
      <c r="J64" s="27"/>
      <c r="K64" s="27">
        <f t="shared" si="11"/>
        <v>-17491.626201334311</v>
      </c>
      <c r="L64" s="27"/>
      <c r="M64" s="27">
        <f t="shared" si="12"/>
        <v>-24731.077855167372</v>
      </c>
      <c r="N64" s="27"/>
      <c r="O64" s="27">
        <f t="shared" si="13"/>
        <v>0</v>
      </c>
      <c r="P64" s="28"/>
      <c r="Q64" s="27">
        <f t="shared" si="14"/>
        <v>-5192.515903009541</v>
      </c>
      <c r="R64" s="27"/>
      <c r="S64" s="27">
        <f t="shared" si="15"/>
        <v>-1502.5291181588273</v>
      </c>
      <c r="T64" s="28"/>
      <c r="U64" s="27">
        <f t="shared" si="16"/>
        <v>-651.2896423268819</v>
      </c>
      <c r="V64" s="28"/>
      <c r="W64" s="27">
        <f t="shared" si="17"/>
        <v>0</v>
      </c>
      <c r="X64" s="28"/>
      <c r="Y64" s="27">
        <f t="shared" si="18"/>
        <v>0</v>
      </c>
      <c r="Z64" s="28"/>
      <c r="AA64" s="27">
        <f t="shared" si="20"/>
        <v>-61993.938415120138</v>
      </c>
    </row>
    <row r="65" spans="1:27" ht="15">
      <c r="A65" s="39">
        <f t="shared" si="1"/>
        <v>50</v>
      </c>
      <c r="B65" s="1"/>
      <c r="C65" s="18">
        <f t="shared" si="7"/>
        <v>2021</v>
      </c>
      <c r="D65" s="1"/>
      <c r="E65" s="19">
        <f t="shared" si="8"/>
        <v>12</v>
      </c>
      <c r="G65" s="40">
        <f t="shared" si="9"/>
        <v>448144.99713762506</v>
      </c>
      <c r="H65" s="40"/>
      <c r="I65" s="40">
        <f t="shared" si="10"/>
        <v>6573.3521008899124</v>
      </c>
      <c r="J65" s="40"/>
      <c r="K65" s="40">
        <f t="shared" si="11"/>
        <v>26972.039553561775</v>
      </c>
      <c r="L65" s="40"/>
      <c r="M65" s="40">
        <f t="shared" si="12"/>
        <v>36980.865969589693</v>
      </c>
      <c r="N65" s="40"/>
      <c r="O65" s="40">
        <f t="shared" si="13"/>
        <v>0</v>
      </c>
      <c r="P65" s="46"/>
      <c r="Q65" s="40">
        <f t="shared" si="14"/>
        <v>-1264.2724506892641</v>
      </c>
      <c r="R65" s="40"/>
      <c r="S65" s="40">
        <f t="shared" si="15"/>
        <v>-859.13496201402131</v>
      </c>
      <c r="T65" s="46"/>
      <c r="U65" s="40">
        <f t="shared" si="16"/>
        <v>-159.80949947146746</v>
      </c>
      <c r="V65" s="46"/>
      <c r="W65" s="40">
        <f t="shared" si="17"/>
        <v>0</v>
      </c>
      <c r="X65" s="46"/>
      <c r="Y65" s="40">
        <f t="shared" si="18"/>
        <v>0</v>
      </c>
      <c r="Z65" s="46"/>
      <c r="AA65" s="40">
        <f t="shared" si="20"/>
        <v>516388.03784949164</v>
      </c>
    </row>
    <row r="66" spans="1:27" ht="15">
      <c r="A66" s="39">
        <f t="shared" si="1"/>
        <v>51</v>
      </c>
      <c r="C66" s="37" t="s">
        <v>8</v>
      </c>
      <c r="G66" s="27">
        <f>SUM(G54:G65)</f>
        <v>924378.61173118185</v>
      </c>
      <c r="H66" s="27"/>
      <c r="I66" s="27">
        <f>SUM(I54:I65)</f>
        <v>19816.235864516999</v>
      </c>
      <c r="J66" s="27"/>
      <c r="K66" s="27">
        <f>SUM(K54:K65)</f>
        <v>162642.27734164463</v>
      </c>
      <c r="L66" s="27"/>
      <c r="M66" s="27">
        <f>SUM(M54:M65)</f>
        <v>237182.32008886978</v>
      </c>
      <c r="N66" s="27"/>
      <c r="O66" s="27">
        <f>SUM(O54:O65)</f>
        <v>0</v>
      </c>
      <c r="P66" s="28"/>
      <c r="Q66" s="27">
        <f>SUM(Q54:Q65)</f>
        <v>51900.706404032768</v>
      </c>
      <c r="R66" s="27"/>
      <c r="S66" s="27">
        <f>SUM(S54:S65)</f>
        <v>11919.502356598083</v>
      </c>
      <c r="T66" s="28"/>
      <c r="U66" s="27">
        <f>SUM(U54:U65)</f>
        <v>5877.8652167069667</v>
      </c>
      <c r="V66" s="28"/>
      <c r="W66" s="27">
        <f>SUM(W54:W65)</f>
        <v>0</v>
      </c>
      <c r="X66" s="28"/>
      <c r="Y66" s="27">
        <f>SUM(Y54:Y65)</f>
        <v>0</v>
      </c>
      <c r="Z66" s="28"/>
      <c r="AA66" s="27">
        <f>SUM(AA54:AA65)</f>
        <v>1413717.5190035515</v>
      </c>
    </row>
    <row r="67" spans="3:27" ht="15">
      <c r="C67" s="23"/>
      <c r="G67" s="27"/>
      <c r="H67" s="27"/>
      <c r="I67" s="27"/>
      <c r="J67" s="27"/>
      <c r="K67" s="27"/>
      <c r="L67" s="27"/>
      <c r="M67" s="27"/>
      <c r="N67" s="27"/>
      <c r="O67" s="27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spans="3:3" ht="12.75">
      <c r="C68" s="83" t="s">
        <v>120</v>
      </c>
    </row>
  </sheetData>
  <mergeCells count="1">
    <mergeCell ref="C49:AA49"/>
  </mergeCells>
  <printOptions horizontalCentered="1"/>
  <pageMargins left="0.25" right="0" top="1.5" bottom="0.25" header="0.5" footer="0.5"/>
  <pageSetup orientation="landscape" scale="49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20">
    <pageSetUpPr fitToPage="1"/>
  </sheetPr>
  <dimension ref="A1:AF66"/>
  <sheetViews>
    <sheetView zoomScale="70" zoomScaleNormal="70" zoomScaleSheetLayoutView="70" workbookViewId="0" topLeftCell="A1"/>
  </sheetViews>
  <sheetFormatPr defaultRowHeight="12.75"/>
  <cols>
    <col min="1" max="1" width="5.85714285714286" bestFit="1" customWidth="1"/>
    <col min="2" max="2" width="2.71428571428571" customWidth="1"/>
    <col min="3" max="3" width="12.4285714285714" customWidth="1"/>
    <col min="4" max="4" width="2.71428571428571" customWidth="1"/>
    <col min="5" max="5" width="8" customWidth="1"/>
    <col min="6" max="6" width="2.71428571428571" customWidth="1"/>
    <col min="7" max="7" width="16.8571428571429" bestFit="1" customWidth="1"/>
    <col min="8" max="8" width="1.42857142857143" customWidth="1"/>
    <col min="9" max="9" width="17.4285714285714" bestFit="1" customWidth="1"/>
    <col min="10" max="10" width="1.14285714285714" customWidth="1"/>
    <col min="11" max="11" width="15.5714285714286" customWidth="1"/>
    <col min="12" max="12" width="1.14285714285714" customWidth="1"/>
    <col min="13" max="13" width="16.1428571428571" customWidth="1"/>
    <col min="14" max="14" width="1.14285714285714" customWidth="1"/>
    <col min="15" max="15" width="16.8571428571429" hidden="1" customWidth="1"/>
    <col min="16" max="16" width="21.5714285714286" customWidth="1"/>
    <col min="17" max="17" width="1.14285714285714" customWidth="1"/>
    <col min="18" max="18" width="15.5714285714286" customWidth="1"/>
    <col min="19" max="19" width="1.14285714285714" customWidth="1"/>
    <col min="20" max="20" width="16.1428571428571" customWidth="1"/>
    <col min="21" max="21" width="1.42857142857143" customWidth="1"/>
    <col min="22" max="22" width="16.8571428571429" hidden="1" customWidth="1"/>
    <col min="23" max="23" width="1.28571428571429" hidden="1" customWidth="1"/>
    <col min="24" max="24" width="16.8571428571429" bestFit="1" customWidth="1"/>
    <col min="25" max="25" width="1.14285714285714" customWidth="1"/>
    <col min="26" max="26" width="17.2857142857143" customWidth="1"/>
    <col min="27" max="27" width="1.71428571428571" customWidth="1"/>
    <col min="28" max="28" width="12" bestFit="1" customWidth="1"/>
    <col min="29" max="29" width="13.1428571428571" bestFit="1" customWidth="1"/>
    <col min="30" max="30" width="11.4285714285714" bestFit="1" customWidth="1"/>
    <col min="31" max="32" width="11.2857142857143" bestFit="1" customWidth="1"/>
  </cols>
  <sheetData>
    <row r="1" spans="1:27" ht="15.75">
      <c r="A1" s="1"/>
      <c r="B1" s="1"/>
      <c r="C1" s="1"/>
      <c r="D1" s="1"/>
      <c r="E1" s="1"/>
      <c r="F1" s="1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t="s">
        <v>10</v>
      </c>
      <c r="AA1" s="3"/>
    </row>
    <row r="2" spans="1:27" ht="15.75">
      <c r="A2" s="4"/>
      <c r="B2" s="4"/>
      <c r="C2" s="4"/>
      <c r="D2" s="4"/>
      <c r="E2" s="4"/>
      <c r="F2" s="4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t="s">
        <v>122</v>
      </c>
      <c r="AA2" s="6"/>
    </row>
    <row r="3" spans="1:27" ht="15.75">
      <c r="A3" s="4"/>
      <c r="B3" s="4"/>
      <c r="C3" s="4"/>
      <c r="D3" s="4"/>
      <c r="E3" s="4"/>
      <c r="F3" s="4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5.75">
      <c r="A4" s="7" t="str">
        <f>+'Weather Adjustment'!A4</f>
        <v>PUC DOCKET NO</v>
      </c>
      <c r="B4" s="4"/>
      <c r="C4" s="4"/>
      <c r="D4" s="4"/>
      <c r="E4" s="4"/>
      <c r="F4" s="4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5.75">
      <c r="A5" s="7" t="str">
        <f>+'Weather Adjustment'!A5</f>
        <v>ONCOR ELECTRIC DELIVERY COMPANY LLC</v>
      </c>
      <c r="B5" s="4"/>
      <c r="C5" s="4"/>
      <c r="D5" s="4"/>
      <c r="E5" s="4"/>
      <c r="F5" s="4"/>
      <c r="G5" s="6"/>
      <c r="H5" s="6"/>
      <c r="I5" s="8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5.75">
      <c r="A6" s="9" t="str">
        <f>+'Weather Adjustment'!A6</f>
        <v>MONTHLY SALES DATA</v>
      </c>
      <c r="B6" s="4"/>
      <c r="C6" s="4"/>
      <c r="D6" s="4"/>
      <c r="E6" s="4"/>
      <c r="F6" s="4"/>
      <c r="G6" s="6"/>
      <c r="H6" s="8"/>
      <c r="I6" s="8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5.75">
      <c r="A7" s="65" t="str">
        <f>+'Weather Adjustment'!A7</f>
        <v>TEST YEAR ENDING December 31, 2021</v>
      </c>
      <c r="B7" s="4"/>
      <c r="C7" s="38"/>
      <c r="D7" s="4"/>
      <c r="E7" s="4"/>
      <c r="F7" s="4"/>
      <c r="G7" s="6"/>
      <c r="H7" s="8"/>
      <c r="I7" s="8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2:27" ht="15">
      <c r="B8" s="4"/>
      <c r="C8" s="4"/>
      <c r="D8" s="4"/>
      <c r="E8" s="4"/>
      <c r="F8" s="4"/>
      <c r="G8" s="6"/>
      <c r="H8" s="6"/>
      <c r="I8" s="8"/>
      <c r="J8" s="6"/>
      <c r="K8" s="6"/>
      <c r="L8" s="6"/>
      <c r="M8" s="6"/>
      <c r="N8" s="6"/>
      <c r="O8" s="6"/>
      <c r="P8" s="6"/>
      <c r="Q8" s="6"/>
      <c r="R8" s="20"/>
      <c r="S8" s="20"/>
      <c r="T8" s="20"/>
      <c r="U8" s="6"/>
      <c r="V8" s="6"/>
      <c r="W8" s="6"/>
      <c r="X8" s="6"/>
      <c r="Y8" s="6"/>
      <c r="Z8" s="6"/>
      <c r="AA8" s="6"/>
    </row>
    <row r="9" spans="1:27" ht="15.75">
      <c r="A9" s="41" t="str">
        <f>+'Weather Adjustment'!A9</f>
        <v>SPONSOR:  D. E. NELSON</v>
      </c>
      <c r="B9" s="7"/>
      <c r="C9" s="7"/>
      <c r="D9" s="7"/>
      <c r="E9" s="7"/>
      <c r="F9" s="7"/>
      <c r="G9" s="9"/>
      <c r="H9" s="9"/>
      <c r="I9" s="41"/>
      <c r="J9" s="9"/>
      <c r="K9" s="9"/>
      <c r="L9" s="9"/>
      <c r="M9" s="9"/>
      <c r="N9" s="9"/>
      <c r="O9" s="9"/>
      <c r="P9" s="9"/>
      <c r="Q9" s="9"/>
      <c r="R9" s="42"/>
      <c r="S9" s="42"/>
      <c r="T9" s="42"/>
      <c r="U9" s="9"/>
      <c r="V9" s="9"/>
      <c r="W9" s="9"/>
      <c r="X9" s="9"/>
      <c r="Y9" s="9"/>
      <c r="Z9" s="9"/>
      <c r="AA9" s="9"/>
    </row>
    <row r="10" spans="2:27" ht="15">
      <c r="B10" s="4"/>
      <c r="C10" s="4"/>
      <c r="D10" s="4"/>
      <c r="E10" s="4"/>
      <c r="F10" s="4"/>
      <c r="G10" s="6"/>
      <c r="H10" s="6"/>
      <c r="I10" s="8"/>
      <c r="J10" s="6"/>
      <c r="K10" s="6"/>
      <c r="L10" s="6"/>
      <c r="M10" s="6"/>
      <c r="N10" s="6"/>
      <c r="O10" s="6"/>
      <c r="P10" s="6"/>
      <c r="Q10" s="6"/>
      <c r="R10" s="20"/>
      <c r="S10" s="20"/>
      <c r="T10" s="20"/>
      <c r="U10" s="6"/>
      <c r="V10" s="6"/>
      <c r="W10" s="6"/>
      <c r="X10" s="6"/>
      <c r="Y10" s="6"/>
      <c r="Z10" s="6"/>
      <c r="AA10" s="6"/>
    </row>
    <row r="11" spans="1:27" ht="15">
      <c r="A11" s="4" t="s">
        <v>55</v>
      </c>
      <c r="B11" s="4"/>
      <c r="C11" s="4"/>
      <c r="D11" s="4"/>
      <c r="E11" s="4"/>
      <c r="F11" s="4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15">
      <c r="A12" s="1"/>
      <c r="B12" s="1"/>
      <c r="C12" s="1"/>
      <c r="D12" s="1"/>
      <c r="E12" s="1"/>
      <c r="F12" s="1"/>
      <c r="G12" s="10" t="s">
        <v>13</v>
      </c>
      <c r="H12" s="3"/>
      <c r="I12" s="92" t="s">
        <v>20</v>
      </c>
      <c r="J12" s="92"/>
      <c r="K12" s="92"/>
      <c r="L12" s="3"/>
      <c r="M12" s="3"/>
      <c r="N12" s="3"/>
      <c r="O12" s="3"/>
      <c r="P12" s="3"/>
      <c r="Q12" s="3"/>
      <c r="R12" s="3"/>
      <c r="S12" s="3"/>
      <c r="T12" s="3"/>
      <c r="U12" s="3"/>
      <c r="V12" s="10"/>
      <c r="W12" s="3"/>
      <c r="X12" s="10"/>
      <c r="Y12" s="10"/>
      <c r="Z12" s="12" t="s">
        <v>30</v>
      </c>
      <c r="AA12" s="10"/>
    </row>
    <row r="13" spans="1:27" ht="15">
      <c r="A13" s="11" t="s">
        <v>0</v>
      </c>
      <c r="B13" s="11"/>
      <c r="C13" s="11" t="s">
        <v>1</v>
      </c>
      <c r="D13" s="11"/>
      <c r="E13" s="11" t="s">
        <v>2</v>
      </c>
      <c r="F13" s="1"/>
      <c r="G13" s="12" t="s">
        <v>14</v>
      </c>
      <c r="H13" s="12"/>
      <c r="I13" s="13" t="s">
        <v>16</v>
      </c>
      <c r="J13" s="12"/>
      <c r="K13" s="13" t="s">
        <v>17</v>
      </c>
      <c r="L13" s="12"/>
      <c r="M13" s="12" t="s">
        <v>21</v>
      </c>
      <c r="N13" s="12"/>
      <c r="O13" s="12" t="s">
        <v>4</v>
      </c>
      <c r="P13" s="13" t="s">
        <v>23</v>
      </c>
      <c r="Q13" s="14"/>
      <c r="R13" s="14" t="s">
        <v>25</v>
      </c>
      <c r="S13" s="14"/>
      <c r="T13" s="14" t="s">
        <v>27</v>
      </c>
      <c r="U13" s="14"/>
      <c r="V13" s="13" t="s">
        <v>5</v>
      </c>
      <c r="W13" s="14"/>
      <c r="X13" s="12" t="s">
        <v>29</v>
      </c>
      <c r="Y13" s="12"/>
      <c r="Z13" s="12" t="s">
        <v>9</v>
      </c>
      <c r="AA13" s="12"/>
    </row>
    <row r="14" spans="1:27" ht="15">
      <c r="A14" s="1"/>
      <c r="B14" s="1"/>
      <c r="C14" s="1"/>
      <c r="D14" s="1"/>
      <c r="E14" s="1"/>
      <c r="F14" s="1"/>
      <c r="G14" s="16" t="s">
        <v>15</v>
      </c>
      <c r="H14" s="15"/>
      <c r="I14" s="16" t="s">
        <v>18</v>
      </c>
      <c r="J14" s="15"/>
      <c r="K14" s="16" t="s">
        <v>19</v>
      </c>
      <c r="L14" s="15"/>
      <c r="M14" s="16" t="s">
        <v>22</v>
      </c>
      <c r="N14" s="15"/>
      <c r="O14" s="15"/>
      <c r="P14" s="15" t="s">
        <v>24</v>
      </c>
      <c r="Q14" s="15"/>
      <c r="R14" s="16" t="s">
        <v>26</v>
      </c>
      <c r="S14" s="15"/>
      <c r="T14" s="16" t="s">
        <v>28</v>
      </c>
      <c r="U14" s="15"/>
      <c r="V14" s="15"/>
      <c r="W14" s="15"/>
      <c r="X14" s="16" t="s">
        <v>45</v>
      </c>
      <c r="Y14" s="15"/>
      <c r="Z14" s="16" t="s">
        <v>31</v>
      </c>
      <c r="AA14" s="15"/>
    </row>
    <row r="15" spans="1:27" ht="15">
      <c r="A15" s="17"/>
      <c r="B15" s="1"/>
      <c r="C15" s="17"/>
      <c r="D15" s="1"/>
      <c r="E15" s="17"/>
      <c r="F15" s="1"/>
      <c r="G15" s="12"/>
      <c r="H15" s="3"/>
      <c r="I15" s="14"/>
      <c r="J15" s="3"/>
      <c r="K15" s="3"/>
      <c r="L15" s="3"/>
      <c r="M15" s="3"/>
      <c r="N15" s="3"/>
      <c r="O15" s="3"/>
      <c r="P15" s="14"/>
      <c r="Q15" s="3"/>
      <c r="R15" s="3"/>
      <c r="S15" s="3"/>
      <c r="T15" s="3"/>
      <c r="U15" s="3"/>
      <c r="V15" s="14"/>
      <c r="W15" s="3"/>
      <c r="X15" s="14"/>
      <c r="Y15" s="14"/>
      <c r="Z15" s="14"/>
      <c r="AA15" s="14"/>
    </row>
    <row r="16" spans="1:28" ht="15">
      <c r="A16" s="39">
        <v>1</v>
      </c>
      <c r="B16" s="1"/>
      <c r="C16" s="62">
        <f>+'Weather Adjustment'!C16</f>
        <v>2021</v>
      </c>
      <c r="D16" s="1"/>
      <c r="E16" s="19">
        <f>+'Weather Adjustment'!E16</f>
        <v>1</v>
      </c>
      <c r="F16" s="1"/>
      <c r="G16" s="43">
        <f>+'[2]RES Model'!$C$18</f>
        <v>2.2890000000000001</v>
      </c>
      <c r="H16" s="3"/>
      <c r="I16" s="70">
        <v>0.82999999999999996</v>
      </c>
      <c r="J16" s="71"/>
      <c r="K16" s="70">
        <v>1.0700000000000001</v>
      </c>
      <c r="L16" s="20"/>
      <c r="M16" s="20">
        <f>+'Weather Adjustment'!G35</f>
        <v>3202892</v>
      </c>
      <c r="N16" s="20"/>
      <c r="O16" s="20">
        <f t="shared" si="0" ref="O16:O21">SUM(K16,M16)</f>
        <v>3202893.0699999998</v>
      </c>
      <c r="P16" s="20">
        <f>PRODUCT(G16,I16,K16,M16)/1000</f>
        <v>6511.0339137228011</v>
      </c>
      <c r="Q16" s="20"/>
      <c r="R16" s="43">
        <f>+[3]RES!D13</f>
        <v>0.053063947428571394</v>
      </c>
      <c r="S16" s="20"/>
      <c r="T16" s="43">
        <f>+[3]RES!F13</f>
        <v>1.8172962428219546</v>
      </c>
      <c r="U16" s="20"/>
      <c r="V16" s="20">
        <f t="shared" si="1" ref="V16:V21">SUM(R16,T16)</f>
        <v>1.870360190250526</v>
      </c>
      <c r="W16" s="20"/>
      <c r="X16" s="43">
        <f>+T16-R16</f>
        <v>1.7642322953933831</v>
      </c>
      <c r="Y16" s="20"/>
      <c r="Z16" s="20">
        <f>+P16*X16</f>
        <v>11486.976306991341</v>
      </c>
      <c r="AA16" s="20"/>
      <c r="AB16" s="88"/>
    </row>
    <row r="17" spans="1:32" ht="15">
      <c r="A17" s="39">
        <f>+A16+1</f>
        <v>2</v>
      </c>
      <c r="B17" s="1"/>
      <c r="C17" s="62">
        <f>+'Weather Adjustment'!C17</f>
        <v>2021</v>
      </c>
      <c r="D17" s="1"/>
      <c r="E17" s="19">
        <f>+'Weather Adjustment'!E17</f>
        <v>2</v>
      </c>
      <c r="F17" s="1"/>
      <c r="G17" s="43">
        <f>+G16</f>
        <v>2.2890000000000001</v>
      </c>
      <c r="H17" s="3"/>
      <c r="I17" s="70">
        <v>0.82999999999999996</v>
      </c>
      <c r="J17" s="71"/>
      <c r="K17" s="70">
        <v>1.0700000000000001</v>
      </c>
      <c r="L17" s="20"/>
      <c r="M17" s="20">
        <f>+'Weather Adjustment'!G36</f>
        <v>3208216</v>
      </c>
      <c r="N17" s="20"/>
      <c r="O17" s="20">
        <f t="shared" si="0"/>
        <v>3208217.0699999998</v>
      </c>
      <c r="P17" s="20">
        <f t="shared" si="2" ref="P17:P27">PRODUCT(G17,I17,K17,M17)/1000</f>
        <v>6521.8568651544001</v>
      </c>
      <c r="Q17" s="20"/>
      <c r="R17" s="43">
        <f>+[3]RES!D14</f>
        <v>0.072720485333333321</v>
      </c>
      <c r="S17" s="20"/>
      <c r="T17" s="43">
        <f>+[3]RES!F14</f>
        <v>1.3466460189594285</v>
      </c>
      <c r="U17" s="20"/>
      <c r="V17" s="20">
        <f t="shared" si="1"/>
        <v>1.4193665042927619</v>
      </c>
      <c r="W17" s="20"/>
      <c r="X17" s="43">
        <f t="shared" si="3" ref="X17:X28">+T17-R17</f>
        <v>1.2739255336260951</v>
      </c>
      <c r="Y17" s="20"/>
      <c r="Z17" s="20">
        <f t="shared" si="4" ref="Z17:Z27">+P17*X17</f>
        <v>8308.3599871748302</v>
      </c>
      <c r="AA17" s="20"/>
      <c r="AB17" s="88"/>
      <c r="AE17" s="86"/>
      <c r="AF17" s="86"/>
    </row>
    <row r="18" spans="1:32" ht="15">
      <c r="A18" s="39">
        <f t="shared" si="5" ref="A18:A64">+A17+1</f>
        <v>3</v>
      </c>
      <c r="B18" s="1"/>
      <c r="C18" s="62">
        <f>+'Weather Adjustment'!C18</f>
        <v>2021</v>
      </c>
      <c r="D18" s="1"/>
      <c r="E18" s="19">
        <f>+'Weather Adjustment'!E18</f>
        <v>3</v>
      </c>
      <c r="F18" s="1"/>
      <c r="G18" s="43">
        <f t="shared" si="6" ref="G18:G27">+G17</f>
        <v>2.2890000000000001</v>
      </c>
      <c r="H18" s="3"/>
      <c r="I18" s="70">
        <v>0.82999999999999996</v>
      </c>
      <c r="J18" s="71"/>
      <c r="K18" s="70">
        <v>1.0700000000000001</v>
      </c>
      <c r="L18" s="20"/>
      <c r="M18" s="20">
        <f>+'Weather Adjustment'!G37</f>
        <v>3214871</v>
      </c>
      <c r="N18" s="20"/>
      <c r="O18" s="20">
        <f t="shared" si="0"/>
        <v>3214872.0699999998</v>
      </c>
      <c r="P18" s="20">
        <f t="shared" si="2"/>
        <v>6535.3855544439002</v>
      </c>
      <c r="Q18" s="20"/>
      <c r="R18" s="43">
        <f>+[3]RES!D15</f>
        <v>3.3796201715714322</v>
      </c>
      <c r="S18" s="20"/>
      <c r="T18" s="43">
        <f>+[3]RES!F15</f>
        <v>5.1496533917164751</v>
      </c>
      <c r="U18" s="20"/>
      <c r="V18" s="20">
        <f t="shared" si="1"/>
        <v>8.5292735632879069</v>
      </c>
      <c r="W18" s="20"/>
      <c r="X18" s="43">
        <f t="shared" si="3"/>
        <v>1.7700332201450428</v>
      </c>
      <c r="Y18" s="20"/>
      <c r="Z18" s="20">
        <f t="shared" si="4"/>
        <v>11567.849537821732</v>
      </c>
      <c r="AA18" s="20"/>
      <c r="AB18" s="88"/>
      <c r="AE18" s="86"/>
      <c r="AF18" s="86"/>
    </row>
    <row r="19" spans="1:32" ht="15">
      <c r="A19" s="39">
        <f t="shared" si="5"/>
        <v>4</v>
      </c>
      <c r="B19" s="1"/>
      <c r="C19" s="62">
        <f>+'Weather Adjustment'!C19</f>
        <v>2021</v>
      </c>
      <c r="D19" s="1"/>
      <c r="E19" s="19">
        <f>+'Weather Adjustment'!E19</f>
        <v>4</v>
      </c>
      <c r="F19" s="1"/>
      <c r="G19" s="43">
        <f t="shared" si="6"/>
        <v>2.2890000000000001</v>
      </c>
      <c r="H19" s="3"/>
      <c r="I19" s="70">
        <v>0.82999999999999996</v>
      </c>
      <c r="J19" s="71"/>
      <c r="K19" s="70">
        <v>1.0700000000000001</v>
      </c>
      <c r="L19" s="20"/>
      <c r="M19" s="20">
        <f>+'Weather Adjustment'!G38</f>
        <v>3221873</v>
      </c>
      <c r="N19" s="20"/>
      <c r="O19" s="20">
        <f t="shared" si="0"/>
        <v>3221874.0699999998</v>
      </c>
      <c r="P19" s="20">
        <f t="shared" si="2"/>
        <v>6549.6196464657014</v>
      </c>
      <c r="Q19" s="20"/>
      <c r="R19" s="43">
        <f>+[3]RES!D16</f>
        <v>15.688377601952391</v>
      </c>
      <c r="S19" s="20"/>
      <c r="T19" s="43">
        <f>+[3]RES!F16</f>
        <v>22.956111914861474</v>
      </c>
      <c r="U19" s="20"/>
      <c r="V19" s="20">
        <f t="shared" si="1"/>
        <v>38.644489516813863</v>
      </c>
      <c r="W19" s="20"/>
      <c r="X19" s="43">
        <f t="shared" si="3"/>
        <v>7.2677343129090826</v>
      </c>
      <c r="Y19" s="20"/>
      <c r="Z19" s="20">
        <f t="shared" si="4"/>
        <v>47600.895441122229</v>
      </c>
      <c r="AA19" s="20"/>
      <c r="AB19" s="88"/>
      <c r="AE19" s="86"/>
      <c r="AF19" s="86"/>
    </row>
    <row r="20" spans="1:32" ht="15">
      <c r="A20" s="39">
        <f t="shared" si="5"/>
        <v>5</v>
      </c>
      <c r="B20" s="1"/>
      <c r="C20" s="62">
        <f>+'Weather Adjustment'!C20</f>
        <v>2021</v>
      </c>
      <c r="D20" s="1"/>
      <c r="E20" s="19">
        <f>+'Weather Adjustment'!E20</f>
        <v>5</v>
      </c>
      <c r="F20" s="1"/>
      <c r="G20" s="43">
        <f t="shared" si="6"/>
        <v>2.2890000000000001</v>
      </c>
      <c r="H20" s="3"/>
      <c r="I20" s="70">
        <v>0.82999999999999996</v>
      </c>
      <c r="J20" s="71"/>
      <c r="K20" s="70">
        <v>1.0700000000000001</v>
      </c>
      <c r="L20" s="20"/>
      <c r="M20" s="20">
        <f>+'Weather Adjustment'!G39</f>
        <v>3228777</v>
      </c>
      <c r="N20" s="20"/>
      <c r="O20" s="20">
        <f t="shared" si="0"/>
        <v>3228778.0699999998</v>
      </c>
      <c r="P20" s="20">
        <f t="shared" si="2"/>
        <v>6563.6545181193005</v>
      </c>
      <c r="Q20" s="20"/>
      <c r="R20" s="43">
        <f>+[3]RES!D17</f>
        <v>41.607224415238122</v>
      </c>
      <c r="S20" s="20"/>
      <c r="T20" s="43">
        <f>+[3]RES!F17</f>
        <v>76.128551251277941</v>
      </c>
      <c r="U20" s="20"/>
      <c r="V20" s="20">
        <f t="shared" si="1"/>
        <v>117.73577566651606</v>
      </c>
      <c r="W20" s="20"/>
      <c r="X20" s="43">
        <f t="shared" si="3"/>
        <v>34.521326836039819</v>
      </c>
      <c r="Y20" s="20"/>
      <c r="Z20" s="20">
        <f t="shared" si="4"/>
        <v>226586.06285884581</v>
      </c>
      <c r="AA20" s="20"/>
      <c r="AB20" s="88"/>
      <c r="AE20" s="86"/>
      <c r="AF20" s="86"/>
    </row>
    <row r="21" spans="1:32" ht="15">
      <c r="A21" s="39">
        <f t="shared" si="5"/>
        <v>6</v>
      </c>
      <c r="B21" s="1"/>
      <c r="C21" s="62">
        <f>+'Weather Adjustment'!C21</f>
        <v>2021</v>
      </c>
      <c r="D21" s="1"/>
      <c r="E21" s="19">
        <f>+'Weather Adjustment'!E21</f>
        <v>6</v>
      </c>
      <c r="F21" s="1"/>
      <c r="G21" s="43">
        <f t="shared" si="6"/>
        <v>2.2890000000000001</v>
      </c>
      <c r="H21" s="3"/>
      <c r="I21" s="70">
        <v>0.82999999999999996</v>
      </c>
      <c r="J21" s="71"/>
      <c r="K21" s="70">
        <v>1.0700000000000001</v>
      </c>
      <c r="L21" s="20"/>
      <c r="M21" s="20">
        <f>+'Weather Adjustment'!G40</f>
        <v>3234379</v>
      </c>
      <c r="N21" s="20"/>
      <c r="O21" s="20">
        <f t="shared" si="0"/>
        <v>3234380.0699999998</v>
      </c>
      <c r="P21" s="20">
        <f t="shared" si="2"/>
        <v>6575.0426048811005</v>
      </c>
      <c r="Q21" s="20"/>
      <c r="R21" s="43">
        <f>+[3]RES!D18</f>
        <v>140.65520935976198</v>
      </c>
      <c r="S21" s="20"/>
      <c r="T21" s="43">
        <f>+[3]RES!F18</f>
        <v>214.7485165503328</v>
      </c>
      <c r="U21" s="20"/>
      <c r="V21" s="20">
        <f t="shared" si="1"/>
        <v>355.40372591009475</v>
      </c>
      <c r="W21" s="20"/>
      <c r="X21" s="43">
        <f t="shared" si="3"/>
        <v>74.093307190570812</v>
      </c>
      <c r="Y21" s="20"/>
      <c r="Z21" s="20">
        <f t="shared" si="4"/>
        <v>487166.65151454631</v>
      </c>
      <c r="AA21" s="20"/>
      <c r="AB21" s="88"/>
      <c r="AE21" s="86"/>
      <c r="AF21" s="86"/>
    </row>
    <row r="22" spans="1:32" ht="15">
      <c r="A22" s="39">
        <f t="shared" si="5"/>
        <v>7</v>
      </c>
      <c r="B22" s="1"/>
      <c r="C22" s="62">
        <f>+'Weather Adjustment'!C22</f>
        <v>2021</v>
      </c>
      <c r="D22" s="1"/>
      <c r="E22" s="19">
        <f>+'Weather Adjustment'!E22</f>
        <v>7</v>
      </c>
      <c r="F22" s="1"/>
      <c r="G22" s="43">
        <f t="shared" si="6"/>
        <v>2.2890000000000001</v>
      </c>
      <c r="H22" s="3"/>
      <c r="I22" s="70">
        <v>0.82999999999999996</v>
      </c>
      <c r="J22" s="71"/>
      <c r="K22" s="70">
        <v>1.0700000000000001</v>
      </c>
      <c r="L22" s="20"/>
      <c r="M22" s="20">
        <f>+'Weather Adjustment'!G41</f>
        <v>3236273</v>
      </c>
      <c r="N22" s="20"/>
      <c r="O22" s="20">
        <f t="shared" si="7" ref="O22:O27">SUM(K22,M22)</f>
        <v>3236274.0699999998</v>
      </c>
      <c r="P22" s="20">
        <f t="shared" si="2"/>
        <v>6578.8928434257004</v>
      </c>
      <c r="Q22" s="20"/>
      <c r="R22" s="43">
        <f>+[3]RES!D19</f>
        <v>352.36393584504765</v>
      </c>
      <c r="S22" s="20"/>
      <c r="T22" s="43">
        <f>+[3]RES!F19</f>
        <v>383.15429250557219</v>
      </c>
      <c r="U22" s="20"/>
      <c r="V22" s="20">
        <f t="shared" si="8" ref="V22:V27">SUM(R22,T22)</f>
        <v>735.51822835061989</v>
      </c>
      <c r="W22" s="20"/>
      <c r="X22" s="43">
        <f t="shared" si="3"/>
        <v>30.790356660524537</v>
      </c>
      <c r="Y22" s="20"/>
      <c r="Z22" s="20">
        <f t="shared" si="4"/>
        <v>202566.45708044973</v>
      </c>
      <c r="AA22" s="20"/>
      <c r="AB22" s="89"/>
      <c r="AE22" s="86"/>
      <c r="AF22" s="86"/>
    </row>
    <row r="23" spans="1:32" ht="15">
      <c r="A23" s="39">
        <f t="shared" si="5"/>
        <v>8</v>
      </c>
      <c r="B23" s="1"/>
      <c r="C23" s="62">
        <f>+'Weather Adjustment'!C23</f>
        <v>2021</v>
      </c>
      <c r="D23" s="1"/>
      <c r="E23" s="19">
        <f>+'Weather Adjustment'!E23</f>
        <v>8</v>
      </c>
      <c r="F23" s="1"/>
      <c r="G23" s="43">
        <f t="shared" si="6"/>
        <v>2.2890000000000001</v>
      </c>
      <c r="H23" s="3"/>
      <c r="I23" s="70">
        <v>0.82999999999999996</v>
      </c>
      <c r="J23" s="71"/>
      <c r="K23" s="70">
        <v>1.0700000000000001</v>
      </c>
      <c r="L23" s="20"/>
      <c r="M23" s="20">
        <f>+'Weather Adjustment'!G42</f>
        <v>3240184</v>
      </c>
      <c r="N23" s="20"/>
      <c r="O23" s="20">
        <f t="shared" si="7"/>
        <v>3240185.0699999998</v>
      </c>
      <c r="P23" s="20">
        <f t="shared" si="2"/>
        <v>6586.8433624056006</v>
      </c>
      <c r="Q23" s="20"/>
      <c r="R23" s="43">
        <f>+[3]RES!D20</f>
        <v>386.1788306347143</v>
      </c>
      <c r="S23" s="20"/>
      <c r="T23" s="43">
        <f>+[3]RES!F20</f>
        <v>444.56857039068149</v>
      </c>
      <c r="U23" s="20"/>
      <c r="V23" s="20">
        <f t="shared" si="8"/>
        <v>830.74740102539579</v>
      </c>
      <c r="W23" s="20"/>
      <c r="X23" s="43">
        <f t="shared" si="3"/>
        <v>58.389739755967184</v>
      </c>
      <c r="Y23" s="20"/>
      <c r="Z23" s="20">
        <f t="shared" si="4"/>
        <v>384604.06974418287</v>
      </c>
      <c r="AA23" s="20"/>
      <c r="AB23" s="89"/>
      <c r="AE23" s="86"/>
      <c r="AF23" s="86"/>
    </row>
    <row r="24" spans="1:32" ht="15">
      <c r="A24" s="39">
        <f t="shared" si="5"/>
        <v>9</v>
      </c>
      <c r="B24" s="1"/>
      <c r="C24" s="62">
        <f>+'Weather Adjustment'!C24</f>
        <v>2021</v>
      </c>
      <c r="D24" s="1"/>
      <c r="E24" s="19">
        <f>+'Weather Adjustment'!E24</f>
        <v>9</v>
      </c>
      <c r="F24" s="1"/>
      <c r="G24" s="43">
        <f t="shared" si="6"/>
        <v>2.2890000000000001</v>
      </c>
      <c r="H24" s="3"/>
      <c r="I24" s="70">
        <v>0.82999999999999996</v>
      </c>
      <c r="J24" s="71"/>
      <c r="K24" s="70">
        <v>1.0700000000000001</v>
      </c>
      <c r="L24" s="20"/>
      <c r="M24" s="20">
        <f>+'Weather Adjustment'!G43</f>
        <v>3244734</v>
      </c>
      <c r="N24" s="20"/>
      <c r="O24" s="20">
        <f t="shared" si="7"/>
        <v>3244735.0699999998</v>
      </c>
      <c r="P24" s="20">
        <f t="shared" si="2"/>
        <v>6596.0928795006002</v>
      </c>
      <c r="Q24" s="20"/>
      <c r="R24" s="43">
        <f>+[3]RES!D21</f>
        <v>385.15064930433334</v>
      </c>
      <c r="S24" s="20"/>
      <c r="T24" s="43">
        <f>+[3]RES!F21</f>
        <v>383.93920369189999</v>
      </c>
      <c r="U24" s="20"/>
      <c r="V24" s="20">
        <f t="shared" si="8"/>
        <v>769.08985299623328</v>
      </c>
      <c r="W24" s="20"/>
      <c r="X24" s="43">
        <f t="shared" si="3"/>
        <v>-1.2114456124333515</v>
      </c>
      <c r="Y24" s="20"/>
      <c r="Z24" s="20">
        <f t="shared" si="4"/>
        <v>-7990.8077780738731</v>
      </c>
      <c r="AA24" s="20"/>
      <c r="AB24" s="89"/>
      <c r="AE24" s="86"/>
      <c r="AF24" s="86"/>
    </row>
    <row r="25" spans="1:32" ht="15">
      <c r="A25" s="39">
        <f t="shared" si="5"/>
        <v>10</v>
      </c>
      <c r="B25" s="1"/>
      <c r="C25" s="62">
        <f>+'Weather Adjustment'!C25</f>
        <v>2021</v>
      </c>
      <c r="D25" s="1"/>
      <c r="E25" s="19">
        <f>+'Weather Adjustment'!E25</f>
        <v>10</v>
      </c>
      <c r="F25" s="1"/>
      <c r="G25" s="43">
        <f t="shared" si="6"/>
        <v>2.2890000000000001</v>
      </c>
      <c r="H25" s="3"/>
      <c r="I25" s="70">
        <v>0.82999999999999996</v>
      </c>
      <c r="J25" s="71"/>
      <c r="K25" s="70">
        <v>1.0700000000000001</v>
      </c>
      <c r="L25" s="20"/>
      <c r="M25" s="20">
        <f>+'Weather Adjustment'!G44</f>
        <v>3248681</v>
      </c>
      <c r="N25" s="20"/>
      <c r="O25" s="20">
        <f t="shared" si="7"/>
        <v>3248682.0699999998</v>
      </c>
      <c r="P25" s="20">
        <f t="shared" si="2"/>
        <v>6604.1165814729011</v>
      </c>
      <c r="Q25" s="20"/>
      <c r="R25" s="43">
        <f>+[3]RES!D22</f>
        <v>218.24743160795239</v>
      </c>
      <c r="S25" s="20"/>
      <c r="T25" s="43">
        <f>+[3]RES!F22</f>
        <v>204.88059998055311</v>
      </c>
      <c r="U25" s="20"/>
      <c r="V25" s="20">
        <f t="shared" si="8"/>
        <v>423.12803158850551</v>
      </c>
      <c r="W25" s="20"/>
      <c r="X25" s="43">
        <f t="shared" si="3"/>
        <v>-13.366831627399279</v>
      </c>
      <c r="Y25" s="20"/>
      <c r="Z25" s="20">
        <f t="shared" si="4"/>
        <v>-88276.114392263975</v>
      </c>
      <c r="AA25" s="20"/>
      <c r="AB25" s="89"/>
      <c r="AE25" s="86"/>
      <c r="AF25" s="86"/>
    </row>
    <row r="26" spans="1:32" ht="15">
      <c r="A26" s="39">
        <f t="shared" si="5"/>
        <v>11</v>
      </c>
      <c r="B26" s="1"/>
      <c r="C26" s="62">
        <f>+'Weather Adjustment'!C26</f>
        <v>2021</v>
      </c>
      <c r="D26" s="1"/>
      <c r="E26" s="19">
        <f>+'Weather Adjustment'!E26</f>
        <v>11</v>
      </c>
      <c r="F26" s="1"/>
      <c r="G26" s="43">
        <f t="shared" si="6"/>
        <v>2.2890000000000001</v>
      </c>
      <c r="H26" s="3"/>
      <c r="I26" s="70">
        <v>0.82999999999999996</v>
      </c>
      <c r="J26" s="71"/>
      <c r="K26" s="70">
        <v>1.0700000000000001</v>
      </c>
      <c r="L26" s="20"/>
      <c r="M26" s="20">
        <f>+'Weather Adjustment'!G45</f>
        <v>3253575</v>
      </c>
      <c r="N26" s="20"/>
      <c r="O26" s="20">
        <f t="shared" si="7"/>
        <v>3253576.0699999998</v>
      </c>
      <c r="P26" s="20">
        <f t="shared" si="2"/>
        <v>6614.0654027175005</v>
      </c>
      <c r="Q26" s="20"/>
      <c r="R26" s="43">
        <f>+[3]RES!D23</f>
        <v>70.423550459761913</v>
      </c>
      <c r="S26" s="20"/>
      <c r="T26" s="43">
        <f>+[3]RES!F23</f>
        <v>57.3989064994622</v>
      </c>
      <c r="U26" s="20"/>
      <c r="V26" s="20">
        <f t="shared" si="8"/>
        <v>127.82245695922411</v>
      </c>
      <c r="W26" s="20"/>
      <c r="X26" s="43">
        <f t="shared" si="3"/>
        <v>-13.024643960299713</v>
      </c>
      <c r="Y26" s="20"/>
      <c r="Z26" s="20">
        <f t="shared" si="4"/>
        <v>-86145.847000531779</v>
      </c>
      <c r="AA26" s="20"/>
      <c r="AB26" s="88"/>
      <c r="AE26" s="86"/>
      <c r="AF26" s="86"/>
    </row>
    <row r="27" spans="1:32" ht="15">
      <c r="A27" s="39">
        <f t="shared" si="5"/>
        <v>12</v>
      </c>
      <c r="B27" s="1"/>
      <c r="C27" s="62">
        <f>+'Weather Adjustment'!C27</f>
        <v>2021</v>
      </c>
      <c r="D27" s="1"/>
      <c r="E27" s="19">
        <f>+'Weather Adjustment'!E27</f>
        <v>12</v>
      </c>
      <c r="F27" s="1"/>
      <c r="G27" s="43">
        <f t="shared" si="6"/>
        <v>2.2890000000000001</v>
      </c>
      <c r="H27" s="3"/>
      <c r="I27" s="70">
        <v>0.82999999999999996</v>
      </c>
      <c r="J27" s="71"/>
      <c r="K27" s="70">
        <v>1.0700000000000001</v>
      </c>
      <c r="L27" s="20"/>
      <c r="M27" s="20">
        <f>+'Weather Adjustment'!G46</f>
        <v>3258283</v>
      </c>
      <c r="N27" s="20"/>
      <c r="O27" s="20">
        <f t="shared" si="7"/>
        <v>3258284.0699999998</v>
      </c>
      <c r="P27" s="20">
        <f t="shared" si="2"/>
        <v>6623.6361118347004</v>
      </c>
      <c r="Q27" s="20"/>
      <c r="R27" s="43">
        <f>+[3]RES!D24</f>
        <v>7.7544569558095278</v>
      </c>
      <c r="S27" s="20"/>
      <c r="T27" s="43">
        <f>+[3]RES!F24</f>
        <v>9.7282243154113779</v>
      </c>
      <c r="U27" s="20"/>
      <c r="V27" s="20">
        <f t="shared" si="8"/>
        <v>17.482681271220905</v>
      </c>
      <c r="W27" s="20"/>
      <c r="X27" s="66">
        <f t="shared" si="3"/>
        <v>1.9737673596018501</v>
      </c>
      <c r="Y27" s="20"/>
      <c r="Z27" s="20">
        <f t="shared" si="4"/>
        <v>13073.516759419441</v>
      </c>
      <c r="AA27" s="20"/>
      <c r="AB27" s="88"/>
      <c r="AE27" s="86"/>
      <c r="AF27" s="86"/>
    </row>
    <row r="28" spans="1:30" ht="15">
      <c r="A28" s="39">
        <f t="shared" si="5"/>
        <v>13</v>
      </c>
      <c r="B28" s="1"/>
      <c r="C28" s="1" t="s">
        <v>8</v>
      </c>
      <c r="D28" s="1"/>
      <c r="E28" s="1"/>
      <c r="F28" s="1"/>
      <c r="G28" s="22"/>
      <c r="H28" s="3"/>
      <c r="I28" s="22"/>
      <c r="J28" s="3"/>
      <c r="K28" s="22"/>
      <c r="L28" s="22"/>
      <c r="M28" s="22"/>
      <c r="N28" s="22"/>
      <c r="O28" s="22">
        <f>SUM(O22:O27)</f>
        <v>19481736.419999998</v>
      </c>
      <c r="P28" s="22"/>
      <c r="Q28" s="22"/>
      <c r="R28" s="22">
        <f>SUM(R16:R27)</f>
        <v>1621.5750707889047</v>
      </c>
      <c r="S28" s="22"/>
      <c r="T28" s="22">
        <f>SUM(T16:T27)</f>
        <v>1805.8165727535504</v>
      </c>
      <c r="U28" s="22"/>
      <c r="V28" s="22">
        <f>SUM(V22:V27)</f>
        <v>2903.7886521911992</v>
      </c>
      <c r="W28" s="22"/>
      <c r="X28" s="43">
        <f t="shared" si="3"/>
        <v>184.24150196464575</v>
      </c>
      <c r="Y28" s="14"/>
      <c r="Z28" s="22">
        <f>SUM(Z16:Z27)</f>
        <v>1210548.0700596843</v>
      </c>
      <c r="AA28" s="22"/>
      <c r="AB28" s="14"/>
      <c r="AD28" s="87"/>
    </row>
    <row r="29" spans="1:28" ht="15">
      <c r="A29" s="39">
        <f t="shared" si="5"/>
        <v>14</v>
      </c>
      <c r="B29" s="1"/>
      <c r="C29" s="1"/>
      <c r="D29" s="1"/>
      <c r="E29" s="1"/>
      <c r="F29" s="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50"/>
    </row>
    <row r="30" spans="1:28" ht="15">
      <c r="A30" s="39">
        <f t="shared" si="5"/>
        <v>15</v>
      </c>
      <c r="B30" s="1"/>
      <c r="C30" s="1"/>
      <c r="D30" s="1"/>
      <c r="E30" s="1"/>
      <c r="F30" s="1"/>
      <c r="G30" s="10" t="s">
        <v>32</v>
      </c>
      <c r="H30" s="3"/>
      <c r="I30" s="92" t="s">
        <v>33</v>
      </c>
      <c r="J30" s="92"/>
      <c r="K30" s="92"/>
      <c r="L30" s="3"/>
      <c r="M30" s="3"/>
      <c r="N30" s="3"/>
      <c r="O30" s="3"/>
      <c r="P30" s="3"/>
      <c r="Q30" s="3"/>
      <c r="R30" s="3"/>
      <c r="S30" s="3"/>
      <c r="T30" s="3"/>
      <c r="U30" s="3"/>
      <c r="V30" s="10"/>
      <c r="W30" s="3"/>
      <c r="X30" s="10"/>
      <c r="Y30" s="10"/>
      <c r="Z30" s="12" t="s">
        <v>34</v>
      </c>
      <c r="AA30" s="6"/>
      <c r="AB30" s="50"/>
    </row>
    <row r="31" spans="1:28" ht="15">
      <c r="A31" s="39">
        <f t="shared" si="5"/>
        <v>16</v>
      </c>
      <c r="B31" s="11"/>
      <c r="C31" s="11" t="s">
        <v>1</v>
      </c>
      <c r="D31" s="11"/>
      <c r="E31" s="11" t="s">
        <v>2</v>
      </c>
      <c r="F31" s="1"/>
      <c r="G31" s="12" t="s">
        <v>14</v>
      </c>
      <c r="H31" s="12"/>
      <c r="I31" s="13" t="s">
        <v>56</v>
      </c>
      <c r="J31" s="12"/>
      <c r="K31" s="13" t="s">
        <v>57</v>
      </c>
      <c r="L31" s="12"/>
      <c r="M31" s="12" t="s">
        <v>21</v>
      </c>
      <c r="N31" s="12"/>
      <c r="O31" s="12" t="s">
        <v>4</v>
      </c>
      <c r="P31" s="13" t="s">
        <v>35</v>
      </c>
      <c r="Q31" s="14"/>
      <c r="R31" s="14" t="s">
        <v>36</v>
      </c>
      <c r="S31" s="14"/>
      <c r="T31" s="14" t="s">
        <v>37</v>
      </c>
      <c r="U31" s="14"/>
      <c r="V31" s="13" t="s">
        <v>5</v>
      </c>
      <c r="W31" s="14"/>
      <c r="X31" s="12" t="s">
        <v>38</v>
      </c>
      <c r="Y31" s="12"/>
      <c r="Z31" s="12" t="s">
        <v>9</v>
      </c>
      <c r="AA31" s="12"/>
      <c r="AB31" s="50"/>
    </row>
    <row r="32" spans="1:28" ht="15">
      <c r="A32" s="39">
        <f t="shared" si="5"/>
        <v>17</v>
      </c>
      <c r="B32" s="1"/>
      <c r="C32" s="1"/>
      <c r="D32" s="1"/>
      <c r="E32" s="1"/>
      <c r="F32" s="1"/>
      <c r="G32" s="16" t="s">
        <v>63</v>
      </c>
      <c r="H32" s="15"/>
      <c r="I32" s="16" t="s">
        <v>64</v>
      </c>
      <c r="J32" s="15"/>
      <c r="K32" s="16" t="s">
        <v>65</v>
      </c>
      <c r="L32" s="15"/>
      <c r="M32" s="16" t="s">
        <v>66</v>
      </c>
      <c r="N32" s="15"/>
      <c r="O32" s="15"/>
      <c r="P32" s="15" t="s">
        <v>67</v>
      </c>
      <c r="Q32" s="15"/>
      <c r="R32" s="16" t="s">
        <v>68</v>
      </c>
      <c r="S32" s="15"/>
      <c r="T32" s="16" t="s">
        <v>69</v>
      </c>
      <c r="U32" s="15"/>
      <c r="V32" s="15"/>
      <c r="W32" s="15"/>
      <c r="X32" s="16" t="s">
        <v>109</v>
      </c>
      <c r="Y32" s="15"/>
      <c r="Z32" s="16" t="s">
        <v>110</v>
      </c>
      <c r="AA32" s="15"/>
      <c r="AB32" s="50"/>
    </row>
    <row r="33" spans="1:28" ht="15">
      <c r="A33" s="39">
        <f t="shared" si="5"/>
        <v>18</v>
      </c>
      <c r="B33" s="1"/>
      <c r="C33" s="1"/>
      <c r="D33" s="1"/>
      <c r="E33" s="1"/>
      <c r="F33" s="1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50"/>
    </row>
    <row r="34" spans="1:28" ht="15">
      <c r="A34" s="39">
        <f t="shared" si="5"/>
        <v>19</v>
      </c>
      <c r="B34" s="1"/>
      <c r="C34" s="18">
        <f t="shared" si="9" ref="C34:C45">+C16</f>
        <v>2021</v>
      </c>
      <c r="D34" s="1"/>
      <c r="E34" s="19">
        <f>+E16</f>
        <v>1</v>
      </c>
      <c r="G34" s="44">
        <f>+'[2]RES Model'!$C$17</f>
        <v>2.0550000000000002</v>
      </c>
      <c r="H34" s="27"/>
      <c r="I34" s="70">
        <v>0.97999999999999998</v>
      </c>
      <c r="J34" s="75"/>
      <c r="K34" s="70">
        <v>1.0800000000000001</v>
      </c>
      <c r="L34" s="27"/>
      <c r="M34" s="27">
        <f t="shared" si="10" ref="M34:M39">M16</f>
        <v>3202892</v>
      </c>
      <c r="N34" s="27"/>
      <c r="O34" s="29"/>
      <c r="P34" s="20">
        <f t="shared" si="11" ref="P34:P39">PRODUCT(G34,I34,K34,M34)/1000</f>
        <v>6966.328534704001</v>
      </c>
      <c r="Q34" s="28"/>
      <c r="R34" s="43">
        <f>+[3]RES!C13</f>
        <v>198.48035980704759</v>
      </c>
      <c r="S34" s="20">
        <f t="shared" si="12" ref="S34:S45">S16</f>
        <v>0</v>
      </c>
      <c r="T34" s="43">
        <f>+[3]RES!E13</f>
        <v>222.13870208110564</v>
      </c>
      <c r="U34" s="28"/>
      <c r="V34" s="28"/>
      <c r="W34" s="28"/>
      <c r="X34" s="43">
        <f t="shared" si="13" ref="X34:X39">+T34-R34</f>
        <v>23.658342274058043</v>
      </c>
      <c r="Y34" s="28"/>
      <c r="Z34" s="20">
        <f>+P34*X34</f>
        <v>164811.78486756448</v>
      </c>
      <c r="AA34" s="28"/>
      <c r="AB34" s="88"/>
    </row>
    <row r="35" spans="1:32" ht="15">
      <c r="A35" s="39">
        <f t="shared" si="5"/>
        <v>20</v>
      </c>
      <c r="B35" s="1"/>
      <c r="C35" s="18">
        <f t="shared" si="9"/>
        <v>2021</v>
      </c>
      <c r="D35" s="1"/>
      <c r="E35" s="19">
        <f t="shared" si="14" ref="E35:E45">+E17</f>
        <v>2</v>
      </c>
      <c r="G35" s="43">
        <f>+G34</f>
        <v>2.0550000000000002</v>
      </c>
      <c r="H35" s="27"/>
      <c r="I35" s="70">
        <v>0.97999999999999998</v>
      </c>
      <c r="J35" s="75"/>
      <c r="K35" s="70">
        <v>1.0800000000000001</v>
      </c>
      <c r="L35" s="27"/>
      <c r="M35" s="27">
        <f t="shared" si="10"/>
        <v>3208216</v>
      </c>
      <c r="N35" s="27"/>
      <c r="O35" s="29"/>
      <c r="P35" s="20">
        <f t="shared" si="11"/>
        <v>6977.9082985920004</v>
      </c>
      <c r="Q35" s="28"/>
      <c r="R35" s="43">
        <f>+[3]RES!C14</f>
        <v>234.8178069335714</v>
      </c>
      <c r="S35" s="20">
        <f t="shared" si="12"/>
        <v>0</v>
      </c>
      <c r="T35" s="43">
        <f>+[3]RES!E14</f>
        <v>221.20776441574549</v>
      </c>
      <c r="U35" s="28"/>
      <c r="V35" s="28"/>
      <c r="W35" s="28"/>
      <c r="X35" s="43">
        <f>+T35-R35</f>
        <v>-13.610042517825917</v>
      </c>
      <c r="Y35" s="28"/>
      <c r="Z35" s="20">
        <f t="shared" si="15" ref="Z35:Z45">+P35*X35</f>
        <v>-94969.628629327432</v>
      </c>
      <c r="AA35" s="28"/>
      <c r="AB35" s="88"/>
      <c r="AE35" s="86"/>
      <c r="AF35" s="86"/>
    </row>
    <row r="36" spans="1:32" ht="15">
      <c r="A36" s="39">
        <f t="shared" si="5"/>
        <v>21</v>
      </c>
      <c r="B36" s="1"/>
      <c r="C36" s="18">
        <f t="shared" si="9"/>
        <v>2021</v>
      </c>
      <c r="D36" s="1"/>
      <c r="E36" s="19">
        <f t="shared" si="14"/>
        <v>3</v>
      </c>
      <c r="G36" s="43">
        <f t="shared" si="16" ref="G36:G45">+G35</f>
        <v>2.0550000000000002</v>
      </c>
      <c r="H36" s="27"/>
      <c r="I36" s="70">
        <v>0.97999999999999998</v>
      </c>
      <c r="J36" s="75"/>
      <c r="K36" s="70">
        <v>1.0800000000000001</v>
      </c>
      <c r="L36" s="27"/>
      <c r="M36" s="27">
        <f t="shared" si="10"/>
        <v>3214871</v>
      </c>
      <c r="N36" s="27"/>
      <c r="O36" s="29"/>
      <c r="P36" s="20">
        <f>PRODUCT(G36,I36,K36,M36)/1000</f>
        <v>6992.3830034520006</v>
      </c>
      <c r="Q36" s="28"/>
      <c r="R36" s="43">
        <f>+[3]RES!C15</f>
        <v>311.73518808533333</v>
      </c>
      <c r="S36" s="20">
        <f t="shared" si="12"/>
        <v>0</v>
      </c>
      <c r="T36" s="43">
        <f>+[3]RES!E15</f>
        <v>159.63419211683535</v>
      </c>
      <c r="U36" s="28"/>
      <c r="V36" s="28"/>
      <c r="W36" s="28"/>
      <c r="X36" s="43">
        <f t="shared" si="13"/>
        <v>-152.10099596849798</v>
      </c>
      <c r="Y36" s="28"/>
      <c r="Z36" s="20">
        <f t="shared" si="15"/>
        <v>-1063548.4190182465</v>
      </c>
      <c r="AA36" s="28"/>
      <c r="AB36" s="88"/>
      <c r="AE36" s="86"/>
      <c r="AF36" s="86"/>
    </row>
    <row r="37" spans="1:32" ht="15">
      <c r="A37" s="39">
        <f t="shared" si="5"/>
        <v>22</v>
      </c>
      <c r="B37" s="1"/>
      <c r="C37" s="18">
        <f t="shared" si="9"/>
        <v>2021</v>
      </c>
      <c r="D37" s="1"/>
      <c r="E37" s="19">
        <f t="shared" si="14"/>
        <v>4</v>
      </c>
      <c r="G37" s="43">
        <f t="shared" si="16"/>
        <v>2.0550000000000002</v>
      </c>
      <c r="H37" s="27"/>
      <c r="I37" s="70">
        <v>0.97999999999999998</v>
      </c>
      <c r="J37" s="75"/>
      <c r="K37" s="70">
        <v>1.0800000000000001</v>
      </c>
      <c r="L37" s="27"/>
      <c r="M37" s="27">
        <f t="shared" si="10"/>
        <v>3221873</v>
      </c>
      <c r="N37" s="27"/>
      <c r="O37" s="29"/>
      <c r="P37" s="20">
        <f t="shared" si="11"/>
        <v>7007.6124374760011</v>
      </c>
      <c r="Q37" s="28"/>
      <c r="R37" s="43">
        <f>+[3]RES!C16</f>
        <v>25.418094148333328</v>
      </c>
      <c r="S37" s="20">
        <f t="shared" si="12"/>
        <v>0</v>
      </c>
      <c r="T37" s="43">
        <f>+[3]RES!E16</f>
        <v>54.518172947714568</v>
      </c>
      <c r="U37" s="28"/>
      <c r="V37" s="28"/>
      <c r="W37" s="28"/>
      <c r="X37" s="43">
        <f t="shared" si="13"/>
        <v>29.10007879938124</v>
      </c>
      <c r="Y37" s="28"/>
      <c r="Z37" s="20">
        <f t="shared" si="15"/>
        <v>203922.07412607566</v>
      </c>
      <c r="AA37" s="28"/>
      <c r="AB37" s="88"/>
      <c r="AE37" s="86"/>
      <c r="AF37" s="86"/>
    </row>
    <row r="38" spans="1:32" ht="15">
      <c r="A38" s="39">
        <f t="shared" si="5"/>
        <v>23</v>
      </c>
      <c r="B38" s="1"/>
      <c r="C38" s="18">
        <f t="shared" si="9"/>
        <v>2021</v>
      </c>
      <c r="D38" s="1"/>
      <c r="E38" s="19">
        <f t="shared" si="14"/>
        <v>5</v>
      </c>
      <c r="G38" s="43">
        <f t="shared" si="16"/>
        <v>2.0550000000000002</v>
      </c>
      <c r="H38" s="27"/>
      <c r="I38" s="70">
        <v>0.97999999999999998</v>
      </c>
      <c r="J38" s="75"/>
      <c r="K38" s="70">
        <v>1.0800000000000001</v>
      </c>
      <c r="L38" s="27"/>
      <c r="M38" s="27">
        <f t="shared" si="10"/>
        <v>3228777</v>
      </c>
      <c r="N38" s="27"/>
      <c r="O38" s="29"/>
      <c r="P38" s="20">
        <f t="shared" si="11"/>
        <v>7022.6287203239999</v>
      </c>
      <c r="Q38" s="28"/>
      <c r="R38" s="43">
        <f>+[3]RES!C17</f>
        <v>15.068166275333333</v>
      </c>
      <c r="S38" s="20">
        <f t="shared" si="12"/>
        <v>0</v>
      </c>
      <c r="T38" s="43">
        <f>+[3]RES!E17</f>
        <v>12.330437270565616</v>
      </c>
      <c r="U38" s="28"/>
      <c r="V38" s="28"/>
      <c r="W38" s="28"/>
      <c r="X38" s="43">
        <f t="shared" si="13"/>
        <v>-2.7377290047677167</v>
      </c>
      <c r="Y38" s="28"/>
      <c r="Z38" s="20">
        <f t="shared" si="15"/>
        <v>-19226.054337345809</v>
      </c>
      <c r="AA38" s="28"/>
      <c r="AB38" s="88"/>
      <c r="AE38" s="86"/>
      <c r="AF38" s="86"/>
    </row>
    <row r="39" spans="1:32" ht="15">
      <c r="A39" s="39">
        <f t="shared" si="5"/>
        <v>24</v>
      </c>
      <c r="B39" s="1"/>
      <c r="C39" s="18">
        <f t="shared" si="9"/>
        <v>2021</v>
      </c>
      <c r="D39" s="1"/>
      <c r="E39" s="19">
        <f t="shared" si="14"/>
        <v>6</v>
      </c>
      <c r="G39" s="43">
        <f t="shared" si="16"/>
        <v>2.0550000000000002</v>
      </c>
      <c r="H39" s="30"/>
      <c r="I39" s="70">
        <v>0.97999999999999998</v>
      </c>
      <c r="J39" s="75"/>
      <c r="K39" s="70">
        <v>1.0800000000000001</v>
      </c>
      <c r="L39" s="30"/>
      <c r="M39" s="30">
        <f t="shared" si="10"/>
        <v>3234379</v>
      </c>
      <c r="N39" s="30"/>
      <c r="O39" s="31"/>
      <c r="P39" s="59">
        <f t="shared" si="11"/>
        <v>7034.8131375480007</v>
      </c>
      <c r="Q39" s="51"/>
      <c r="R39" s="43">
        <f>+[3]RES!C18</f>
        <v>1.105097107095238</v>
      </c>
      <c r="S39" s="20">
        <f t="shared" si="12"/>
        <v>0</v>
      </c>
      <c r="T39" s="43">
        <f>+[3]RES!E18</f>
        <v>1.0484188923085442</v>
      </c>
      <c r="U39" s="28"/>
      <c r="V39" s="28"/>
      <c r="W39" s="28"/>
      <c r="X39" s="43">
        <f t="shared" si="13"/>
        <v>-0.05667821478669377</v>
      </c>
      <c r="Y39" s="28"/>
      <c r="Z39" s="20">
        <f t="shared" si="15"/>
        <v>-398.7206499942007</v>
      </c>
      <c r="AA39" s="28"/>
      <c r="AB39" s="88"/>
      <c r="AE39" s="86"/>
      <c r="AF39" s="86"/>
    </row>
    <row r="40" spans="1:32" ht="15">
      <c r="A40" s="39">
        <f t="shared" si="5"/>
        <v>25</v>
      </c>
      <c r="B40" s="1"/>
      <c r="C40" s="18">
        <f t="shared" si="9"/>
        <v>2021</v>
      </c>
      <c r="D40" s="1"/>
      <c r="E40" s="19">
        <f t="shared" si="14"/>
        <v>7</v>
      </c>
      <c r="F40" s="23"/>
      <c r="G40" s="43">
        <f t="shared" si="16"/>
        <v>2.0550000000000002</v>
      </c>
      <c r="H40" s="28"/>
      <c r="I40" s="70">
        <v>0.98999999999999999</v>
      </c>
      <c r="J40" s="75"/>
      <c r="K40" s="70">
        <v>1.0800000000000001</v>
      </c>
      <c r="L40" s="28"/>
      <c r="M40" s="27">
        <f t="shared" si="17" ref="M40:M45">M22</f>
        <v>3236273</v>
      </c>
      <c r="N40" s="3"/>
      <c r="O40" s="3"/>
      <c r="P40" s="20">
        <f t="shared" si="18" ref="P40:P45">PRODUCT(G40,I40,K40,M40)/1000</f>
        <v>7110.7584532380015</v>
      </c>
      <c r="Q40" s="3"/>
      <c r="R40" s="43">
        <f>+[3]RES!C19</f>
        <v>0.00057395200000000235</v>
      </c>
      <c r="S40" s="20">
        <f t="shared" si="12"/>
        <v>0</v>
      </c>
      <c r="T40" s="43">
        <f>+[3]RES!E19</f>
        <v>0.010685070086738331</v>
      </c>
      <c r="U40" s="3"/>
      <c r="V40" s="3"/>
      <c r="W40" s="3"/>
      <c r="X40" s="43">
        <f t="shared" si="19" ref="X40:X45">+T40-R40</f>
        <v>0.010111118086738329</v>
      </c>
      <c r="Y40" s="3"/>
      <c r="Z40" s="20">
        <f t="shared" si="15"/>
        <v>71.897718406962227</v>
      </c>
      <c r="AA40" s="3"/>
      <c r="AB40" s="88"/>
      <c r="AE40" s="86"/>
      <c r="AF40" s="86"/>
    </row>
    <row r="41" spans="1:32" ht="15">
      <c r="A41" s="39">
        <f t="shared" si="5"/>
        <v>26</v>
      </c>
      <c r="B41" s="1"/>
      <c r="C41" s="18">
        <f t="shared" si="9"/>
        <v>2021</v>
      </c>
      <c r="D41" s="1"/>
      <c r="E41" s="19">
        <f t="shared" si="14"/>
        <v>8</v>
      </c>
      <c r="G41" s="43">
        <f t="shared" si="16"/>
        <v>2.0550000000000002</v>
      </c>
      <c r="H41" s="27"/>
      <c r="I41" s="70">
        <v>0.98999999999999999</v>
      </c>
      <c r="J41" s="75"/>
      <c r="K41" s="70">
        <v>1.0800000000000001</v>
      </c>
      <c r="L41" s="27"/>
      <c r="M41" s="27">
        <f t="shared" si="17"/>
        <v>3240184</v>
      </c>
      <c r="N41" s="27"/>
      <c r="O41" s="29"/>
      <c r="P41" s="20">
        <f t="shared" si="18"/>
        <v>7119.3517259040018</v>
      </c>
      <c r="Q41" s="3"/>
      <c r="R41" s="43">
        <f>+[3]RES!C20</f>
        <v>0</v>
      </c>
      <c r="S41" s="20">
        <f t="shared" si="12"/>
        <v>0</v>
      </c>
      <c r="T41" s="43">
        <f>+[3]RES!E20</f>
        <v>0.00028478565898617511</v>
      </c>
      <c r="U41" s="3"/>
      <c r="V41" s="3"/>
      <c r="W41" s="3"/>
      <c r="X41" s="43">
        <f t="shared" si="19"/>
        <v>0.00028478565898617511</v>
      </c>
      <c r="Y41" s="3"/>
      <c r="Z41" s="20">
        <f t="shared" si="15"/>
        <v>2.0274892728159344</v>
      </c>
      <c r="AA41" s="3"/>
      <c r="AB41" s="88"/>
      <c r="AE41" s="86"/>
      <c r="AF41" s="86"/>
    </row>
    <row r="42" spans="1:32" ht="15">
      <c r="A42" s="39">
        <f t="shared" si="5"/>
        <v>27</v>
      </c>
      <c r="B42" s="1"/>
      <c r="C42" s="18">
        <f t="shared" si="9"/>
        <v>2021</v>
      </c>
      <c r="D42" s="1"/>
      <c r="E42" s="19">
        <f t="shared" si="14"/>
        <v>9</v>
      </c>
      <c r="G42" s="43">
        <f t="shared" si="16"/>
        <v>2.0550000000000002</v>
      </c>
      <c r="H42" s="27"/>
      <c r="I42" s="70">
        <v>0.98999999999999999</v>
      </c>
      <c r="J42" s="75"/>
      <c r="K42" s="70">
        <v>1.0800000000000001</v>
      </c>
      <c r="L42" s="27"/>
      <c r="M42" s="27">
        <f t="shared" si="17"/>
        <v>3244734</v>
      </c>
      <c r="N42" s="27"/>
      <c r="O42" s="29"/>
      <c r="P42" s="20">
        <f t="shared" si="18"/>
        <v>7129.3490132040015</v>
      </c>
      <c r="Q42" s="3"/>
      <c r="R42" s="43">
        <f>+[3]RES!C21</f>
        <v>0</v>
      </c>
      <c r="S42" s="20">
        <f t="shared" si="12"/>
        <v>0</v>
      </c>
      <c r="T42" s="43">
        <f>+[3]RES!E21</f>
        <v>0.04085273373139401</v>
      </c>
      <c r="U42" s="3"/>
      <c r="V42" s="3"/>
      <c r="W42" s="3"/>
      <c r="X42" s="43">
        <f t="shared" si="19"/>
        <v>0.04085273373139401</v>
      </c>
      <c r="Y42" s="3"/>
      <c r="Z42" s="20">
        <f t="shared" si="15"/>
        <v>291.2533969145997</v>
      </c>
      <c r="AA42" s="3"/>
      <c r="AB42" s="88"/>
      <c r="AE42" s="86"/>
      <c r="AF42" s="86"/>
    </row>
    <row r="43" spans="1:32" ht="15">
      <c r="A43" s="39">
        <f t="shared" si="5"/>
        <v>28</v>
      </c>
      <c r="B43" s="1"/>
      <c r="C43" s="18">
        <f t="shared" si="9"/>
        <v>2021</v>
      </c>
      <c r="D43" s="1"/>
      <c r="E43" s="19">
        <f t="shared" si="14"/>
        <v>10</v>
      </c>
      <c r="G43" s="43">
        <f t="shared" si="16"/>
        <v>2.0550000000000002</v>
      </c>
      <c r="H43" s="27"/>
      <c r="I43" s="70">
        <v>0.98999999999999999</v>
      </c>
      <c r="J43" s="75"/>
      <c r="K43" s="70">
        <v>1.0800000000000001</v>
      </c>
      <c r="L43" s="27"/>
      <c r="M43" s="27">
        <f t="shared" si="17"/>
        <v>3248681</v>
      </c>
      <c r="N43" s="27"/>
      <c r="O43" s="29"/>
      <c r="P43" s="20">
        <f t="shared" si="18"/>
        <v>7138.0213852860015</v>
      </c>
      <c r="Q43" s="3"/>
      <c r="R43" s="43">
        <f>+[3]RES!C22</f>
        <v>0.23066282252380935</v>
      </c>
      <c r="S43" s="20">
        <f t="shared" si="12"/>
        <v>0</v>
      </c>
      <c r="T43" s="43">
        <f>+[3]RES!E22</f>
        <v>2.2969844741544736</v>
      </c>
      <c r="U43" s="3"/>
      <c r="V43" s="3"/>
      <c r="W43" s="3"/>
      <c r="X43" s="43">
        <f t="shared" si="19"/>
        <v>2.0663216516306644</v>
      </c>
      <c r="Y43" s="3"/>
      <c r="Z43" s="20">
        <f t="shared" si="15"/>
        <v>14749.448138219173</v>
      </c>
      <c r="AA43" s="3"/>
      <c r="AB43" s="88"/>
      <c r="AE43" s="86"/>
      <c r="AF43" s="86"/>
    </row>
    <row r="44" spans="1:32" ht="15">
      <c r="A44" s="39">
        <f t="shared" si="5"/>
        <v>29</v>
      </c>
      <c r="B44" s="1"/>
      <c r="C44" s="18">
        <f t="shared" si="9"/>
        <v>2021</v>
      </c>
      <c r="D44" s="1"/>
      <c r="E44" s="19">
        <f t="shared" si="14"/>
        <v>11</v>
      </c>
      <c r="G44" s="43">
        <f t="shared" si="16"/>
        <v>2.0550000000000002</v>
      </c>
      <c r="H44" s="27"/>
      <c r="I44" s="70">
        <v>0.98999999999999999</v>
      </c>
      <c r="J44" s="75"/>
      <c r="K44" s="70">
        <v>1.0800000000000001</v>
      </c>
      <c r="L44" s="27"/>
      <c r="M44" s="27">
        <f t="shared" si="17"/>
        <v>3253575</v>
      </c>
      <c r="N44" s="27"/>
      <c r="O44" s="29"/>
      <c r="P44" s="20">
        <f t="shared" si="18"/>
        <v>7148.7745114500012</v>
      </c>
      <c r="Q44" s="28"/>
      <c r="R44" s="43">
        <f>+[3]RES!C23</f>
        <v>16.472715238095237</v>
      </c>
      <c r="S44" s="20">
        <f t="shared" si="12"/>
        <v>0</v>
      </c>
      <c r="T44" s="43">
        <f>+[3]RES!E23</f>
        <v>26.819669648017243</v>
      </c>
      <c r="U44" s="28"/>
      <c r="V44" s="28"/>
      <c r="W44" s="28"/>
      <c r="X44" s="43">
        <f t="shared" si="19"/>
        <v>10.346954409922006</v>
      </c>
      <c r="Y44" s="28"/>
      <c r="Z44" s="20">
        <f t="shared" si="15"/>
        <v>73968.043956785623</v>
      </c>
      <c r="AA44" s="28"/>
      <c r="AB44" s="88"/>
      <c r="AE44" s="86"/>
      <c r="AF44" s="86"/>
    </row>
    <row r="45" spans="1:32" ht="15">
      <c r="A45" s="39">
        <f t="shared" si="5"/>
        <v>30</v>
      </c>
      <c r="B45" s="1"/>
      <c r="C45" s="18">
        <f t="shared" si="9"/>
        <v>2021</v>
      </c>
      <c r="D45" s="1"/>
      <c r="E45" s="19">
        <f t="shared" si="14"/>
        <v>12</v>
      </c>
      <c r="G45" s="43">
        <f t="shared" si="16"/>
        <v>2.0550000000000002</v>
      </c>
      <c r="H45" s="27"/>
      <c r="I45" s="70">
        <v>0.98999999999999999</v>
      </c>
      <c r="J45" s="75"/>
      <c r="K45" s="70">
        <v>1.0800000000000001</v>
      </c>
      <c r="L45" s="27"/>
      <c r="M45" s="27">
        <f t="shared" si="17"/>
        <v>3258283</v>
      </c>
      <c r="N45" s="27"/>
      <c r="O45" s="29"/>
      <c r="P45" s="20">
        <f t="shared" si="18"/>
        <v>7159.1189572980011</v>
      </c>
      <c r="Q45" s="28"/>
      <c r="R45" s="43">
        <f>+[3]RES!C24</f>
        <v>59.033664176952364</v>
      </c>
      <c r="S45" s="20">
        <f t="shared" si="12"/>
        <v>0</v>
      </c>
      <c r="T45" s="43">
        <f>+[3]RES!E24</f>
        <v>119.80531540572459</v>
      </c>
      <c r="U45" s="28"/>
      <c r="V45" s="28"/>
      <c r="W45" s="28"/>
      <c r="X45" s="66">
        <f t="shared" si="19"/>
        <v>60.771651228772221</v>
      </c>
      <c r="Y45" s="28"/>
      <c r="Z45" s="20">
        <f t="shared" si="15"/>
        <v>435071.4803782056</v>
      </c>
      <c r="AA45" s="28"/>
      <c r="AB45" s="88"/>
      <c r="AE45" s="86"/>
      <c r="AF45" s="86"/>
    </row>
    <row r="46" spans="1:30" ht="15">
      <c r="A46" s="39">
        <f t="shared" si="5"/>
        <v>31</v>
      </c>
      <c r="B46" s="1"/>
      <c r="C46" s="1" t="s">
        <v>8</v>
      </c>
      <c r="D46" s="1"/>
      <c r="E46" s="19"/>
      <c r="G46" s="72"/>
      <c r="H46" s="72"/>
      <c r="I46" s="72"/>
      <c r="J46" s="72"/>
      <c r="K46" s="72"/>
      <c r="L46" s="72"/>
      <c r="M46" s="72"/>
      <c r="N46" s="72"/>
      <c r="O46" s="73"/>
      <c r="P46" s="72"/>
      <c r="Q46" s="74"/>
      <c r="R46" s="22">
        <f>SUM(R34:R45)</f>
        <v>862.36232854628554</v>
      </c>
      <c r="S46" s="22"/>
      <c r="T46" s="22">
        <f>SUM(T34:T45)</f>
        <v>819.85147984164871</v>
      </c>
      <c r="U46" s="22"/>
      <c r="V46" s="22">
        <f>SUM(V40:V45)</f>
        <v>0</v>
      </c>
      <c r="W46" s="22"/>
      <c r="X46" s="43">
        <f>+T46-R46</f>
        <v>-42.510848704636828</v>
      </c>
      <c r="Y46" s="14"/>
      <c r="Z46" s="22">
        <f>SUM(Z34:Z45)</f>
        <v>-285254.81256346911</v>
      </c>
      <c r="AA46" s="28"/>
      <c r="AB46" s="14"/>
      <c r="AD46" s="87"/>
    </row>
    <row r="47" spans="1:27" ht="15">
      <c r="A47" s="39">
        <f t="shared" si="5"/>
        <v>32</v>
      </c>
      <c r="B47" s="4"/>
      <c r="C47" s="24"/>
      <c r="D47" s="4"/>
      <c r="E47" s="25"/>
      <c r="F47" s="8"/>
      <c r="G47" s="32"/>
      <c r="H47" s="33"/>
      <c r="I47" s="32"/>
      <c r="J47" s="33"/>
      <c r="K47" s="32"/>
      <c r="L47" s="33"/>
      <c r="M47" s="32"/>
      <c r="N47" s="33"/>
      <c r="O47" s="34"/>
      <c r="P47" s="32"/>
      <c r="Q47" s="35"/>
      <c r="R47" s="32"/>
      <c r="S47" s="35"/>
      <c r="T47" s="32"/>
      <c r="U47" s="35"/>
      <c r="V47" s="35"/>
      <c r="W47" s="35"/>
      <c r="X47" s="32"/>
      <c r="Y47" s="35"/>
      <c r="Z47" s="36"/>
      <c r="AA47" s="35"/>
    </row>
    <row r="48" spans="1:27" ht="15">
      <c r="A48" s="39">
        <f t="shared" si="5"/>
        <v>33</v>
      </c>
      <c r="B48" s="1"/>
      <c r="C48" s="21"/>
      <c r="D48" s="1"/>
      <c r="E48" s="19"/>
      <c r="G48" s="30"/>
      <c r="H48" s="27"/>
      <c r="I48" s="30"/>
      <c r="J48" s="27"/>
      <c r="K48" s="30"/>
      <c r="L48" s="27"/>
      <c r="M48" s="30"/>
      <c r="N48" s="27"/>
      <c r="O48" s="29"/>
      <c r="P48" s="30"/>
      <c r="Q48" s="28"/>
      <c r="R48" s="30"/>
      <c r="S48" s="28"/>
      <c r="T48" s="30"/>
      <c r="U48" s="28"/>
      <c r="V48" s="28"/>
      <c r="W48" s="28"/>
      <c r="X48" s="30"/>
      <c r="Y48" s="28"/>
      <c r="Z48" s="31"/>
      <c r="AA48" s="28"/>
    </row>
    <row r="49" spans="1:27" ht="15">
      <c r="A49" s="39">
        <f t="shared" si="5"/>
        <v>34</v>
      </c>
      <c r="B49" s="11"/>
      <c r="C49" s="11" t="s">
        <v>1</v>
      </c>
      <c r="D49" s="11"/>
      <c r="E49" s="11" t="s">
        <v>2</v>
      </c>
      <c r="F49" s="1"/>
      <c r="G49" s="12"/>
      <c r="H49" s="12"/>
      <c r="I49" s="13"/>
      <c r="J49" s="12"/>
      <c r="K49" s="13"/>
      <c r="L49" s="12"/>
      <c r="M49" s="12"/>
      <c r="N49" s="12"/>
      <c r="O49" s="12"/>
      <c r="P49" s="13"/>
      <c r="Q49" s="14"/>
      <c r="R49" s="14"/>
      <c r="S49" s="14"/>
      <c r="T49" s="14"/>
      <c r="U49" s="14"/>
      <c r="V49" s="13"/>
      <c r="W49" s="14"/>
      <c r="X49" s="12"/>
      <c r="Y49" s="12"/>
      <c r="Z49" s="12" t="s">
        <v>8</v>
      </c>
      <c r="AA49" s="12"/>
    </row>
    <row r="50" spans="1:27" ht="15">
      <c r="A50" s="39">
        <f t="shared" si="5"/>
        <v>35</v>
      </c>
      <c r="B50" s="1"/>
      <c r="C50" s="26"/>
      <c r="D50" s="1"/>
      <c r="E50" s="26"/>
      <c r="F50" s="1"/>
      <c r="G50" s="15"/>
      <c r="H50" s="15"/>
      <c r="I50" s="16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6" t="s">
        <v>111</v>
      </c>
      <c r="AA50" s="15"/>
    </row>
    <row r="51" spans="1:27" ht="15">
      <c r="A51" s="39">
        <f t="shared" si="5"/>
        <v>36</v>
      </c>
      <c r="C51" s="23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spans="1:30" ht="15">
      <c r="A52" s="39">
        <f t="shared" si="5"/>
        <v>37</v>
      </c>
      <c r="B52" s="1"/>
      <c r="C52" s="21">
        <f>+C34</f>
        <v>2021</v>
      </c>
      <c r="D52" s="1"/>
      <c r="E52" s="21">
        <f>+E34</f>
        <v>1</v>
      </c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8"/>
      <c r="R52" s="27"/>
      <c r="S52" s="28"/>
      <c r="T52" s="27"/>
      <c r="U52" s="28"/>
      <c r="V52" s="28"/>
      <c r="W52" s="28"/>
      <c r="X52" s="27"/>
      <c r="Y52" s="28"/>
      <c r="Z52" s="27">
        <f>+Z16+Z34</f>
        <v>176298.76117455581</v>
      </c>
      <c r="AA52" s="28"/>
      <c r="AD52" s="82"/>
    </row>
    <row r="53" spans="1:30" ht="15">
      <c r="A53" s="39">
        <f t="shared" si="5"/>
        <v>38</v>
      </c>
      <c r="B53" s="1"/>
      <c r="C53" s="21">
        <f t="shared" si="20" ref="C53:C63">+C35</f>
        <v>2021</v>
      </c>
      <c r="D53" s="1"/>
      <c r="E53" s="21">
        <f t="shared" si="21" ref="E53:E63">+E35</f>
        <v>2</v>
      </c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8"/>
      <c r="R53" s="27"/>
      <c r="S53" s="28"/>
      <c r="T53" s="27"/>
      <c r="U53" s="28"/>
      <c r="V53" s="28"/>
      <c r="W53" s="28"/>
      <c r="X53" s="27"/>
      <c r="Y53" s="28"/>
      <c r="Z53" s="27">
        <f t="shared" si="22" ref="Z53:Z63">+Z17+Z35</f>
        <v>-86661.268642152601</v>
      </c>
      <c r="AA53" s="28"/>
      <c r="AD53" s="82"/>
    </row>
    <row r="54" spans="1:30" ht="15">
      <c r="A54" s="39">
        <f t="shared" si="5"/>
        <v>39</v>
      </c>
      <c r="B54" s="1"/>
      <c r="C54" s="21">
        <f t="shared" si="20"/>
        <v>2021</v>
      </c>
      <c r="D54" s="1"/>
      <c r="E54" s="21">
        <f t="shared" si="21"/>
        <v>3</v>
      </c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8"/>
      <c r="R54" s="27"/>
      <c r="S54" s="28"/>
      <c r="T54" s="27"/>
      <c r="U54" s="28"/>
      <c r="V54" s="28"/>
      <c r="W54" s="28"/>
      <c r="X54" s="27"/>
      <c r="Y54" s="28"/>
      <c r="Z54" s="27">
        <f t="shared" si="22"/>
        <v>-1051980.5694804248</v>
      </c>
      <c r="AA54" s="28"/>
      <c r="AD54" s="82"/>
    </row>
    <row r="55" spans="1:30" ht="15">
      <c r="A55" s="39">
        <f t="shared" si="5"/>
        <v>40</v>
      </c>
      <c r="B55" s="1"/>
      <c r="C55" s="21">
        <f t="shared" si="20"/>
        <v>2021</v>
      </c>
      <c r="D55" s="1"/>
      <c r="E55" s="21">
        <f t="shared" si="21"/>
        <v>4</v>
      </c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8"/>
      <c r="R55" s="27"/>
      <c r="S55" s="28"/>
      <c r="T55" s="27"/>
      <c r="U55" s="28"/>
      <c r="V55" s="28"/>
      <c r="W55" s="28"/>
      <c r="X55" s="27"/>
      <c r="Y55" s="28"/>
      <c r="Z55" s="27">
        <f t="shared" si="22"/>
        <v>251522.9695671979</v>
      </c>
      <c r="AA55" s="28"/>
      <c r="AD55" s="82"/>
    </row>
    <row r="56" spans="1:30" ht="15">
      <c r="A56" s="39">
        <f t="shared" si="5"/>
        <v>41</v>
      </c>
      <c r="B56" s="1"/>
      <c r="C56" s="21">
        <f t="shared" si="20"/>
        <v>2021</v>
      </c>
      <c r="D56" s="1"/>
      <c r="E56" s="21">
        <f t="shared" si="21"/>
        <v>5</v>
      </c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8"/>
      <c r="R56" s="27"/>
      <c r="S56" s="28"/>
      <c r="T56" s="27"/>
      <c r="U56" s="28"/>
      <c r="V56" s="28"/>
      <c r="W56" s="28"/>
      <c r="X56" s="27"/>
      <c r="Y56" s="28"/>
      <c r="Z56" s="27">
        <f t="shared" si="22"/>
        <v>207360.00852149999</v>
      </c>
      <c r="AA56" s="28"/>
      <c r="AD56" s="82"/>
    </row>
    <row r="57" spans="1:30" ht="15">
      <c r="A57" s="39">
        <f t="shared" si="5"/>
        <v>42</v>
      </c>
      <c r="B57" s="1"/>
      <c r="C57" s="21">
        <f t="shared" si="20"/>
        <v>2021</v>
      </c>
      <c r="D57" s="1"/>
      <c r="E57" s="21">
        <f t="shared" si="21"/>
        <v>6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51"/>
      <c r="R57" s="30"/>
      <c r="S57" s="51"/>
      <c r="T57" s="30"/>
      <c r="U57" s="51"/>
      <c r="V57" s="51"/>
      <c r="W57" s="51"/>
      <c r="X57" s="30"/>
      <c r="Y57" s="51"/>
      <c r="Z57" s="27">
        <f t="shared" si="22"/>
        <v>486767.93086455209</v>
      </c>
      <c r="AA57" s="28"/>
      <c r="AD57" s="82"/>
    </row>
    <row r="58" spans="1:30" ht="15">
      <c r="A58" s="39">
        <f t="shared" si="5"/>
        <v>43</v>
      </c>
      <c r="B58" s="1"/>
      <c r="C58" s="21">
        <f t="shared" si="20"/>
        <v>2021</v>
      </c>
      <c r="D58" s="1"/>
      <c r="E58" s="21">
        <f t="shared" si="21"/>
        <v>7</v>
      </c>
      <c r="G58" s="27"/>
      <c r="H58" s="28"/>
      <c r="I58" s="27"/>
      <c r="J58" s="28"/>
      <c r="K58" s="27"/>
      <c r="L58" s="28"/>
      <c r="M58" s="27"/>
      <c r="N58" s="28"/>
      <c r="O58" s="29"/>
      <c r="P58" s="27"/>
      <c r="Q58" s="28"/>
      <c r="R58" s="27"/>
      <c r="S58" s="28"/>
      <c r="T58" s="27"/>
      <c r="U58" s="28"/>
      <c r="V58" s="28"/>
      <c r="W58" s="28"/>
      <c r="X58" s="27"/>
      <c r="Y58" s="28"/>
      <c r="Z58" s="27">
        <f t="shared" si="22"/>
        <v>202638.35479885669</v>
      </c>
      <c r="AA58" s="28"/>
      <c r="AD58" s="82"/>
    </row>
    <row r="59" spans="1:30" ht="15">
      <c r="A59" s="39">
        <f t="shared" si="5"/>
        <v>44</v>
      </c>
      <c r="B59" s="1"/>
      <c r="C59" s="21">
        <f t="shared" si="20"/>
        <v>2021</v>
      </c>
      <c r="D59" s="1"/>
      <c r="E59" s="21">
        <f t="shared" si="21"/>
        <v>8</v>
      </c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8"/>
      <c r="R59" s="27"/>
      <c r="S59" s="28"/>
      <c r="T59" s="27"/>
      <c r="U59" s="28"/>
      <c r="V59" s="28"/>
      <c r="W59" s="28"/>
      <c r="X59" s="27"/>
      <c r="Y59" s="28"/>
      <c r="Z59" s="27">
        <f t="shared" si="22"/>
        <v>384606.09723345569</v>
      </c>
      <c r="AA59" s="28"/>
      <c r="AD59" s="82"/>
    </row>
    <row r="60" spans="1:30" ht="15">
      <c r="A60" s="39">
        <f t="shared" si="5"/>
        <v>45</v>
      </c>
      <c r="B60" s="1"/>
      <c r="C60" s="21">
        <f t="shared" si="20"/>
        <v>2021</v>
      </c>
      <c r="D60" s="1"/>
      <c r="E60" s="21">
        <f t="shared" si="21"/>
        <v>9</v>
      </c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8"/>
      <c r="R60" s="27"/>
      <c r="S60" s="28"/>
      <c r="T60" s="27"/>
      <c r="U60" s="28"/>
      <c r="V60" s="28"/>
      <c r="W60" s="28"/>
      <c r="X60" s="27"/>
      <c r="Y60" s="28"/>
      <c r="Z60" s="27">
        <f t="shared" si="22"/>
        <v>-7699.5543811592734</v>
      </c>
      <c r="AA60" s="28"/>
      <c r="AD60" s="82"/>
    </row>
    <row r="61" spans="1:30" ht="15">
      <c r="A61" s="39">
        <f t="shared" si="5"/>
        <v>46</v>
      </c>
      <c r="B61" s="1"/>
      <c r="C61" s="21">
        <f t="shared" si="20"/>
        <v>2021</v>
      </c>
      <c r="D61" s="1"/>
      <c r="E61" s="21">
        <f t="shared" si="21"/>
        <v>10</v>
      </c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8"/>
      <c r="R61" s="27"/>
      <c r="S61" s="28"/>
      <c r="T61" s="27"/>
      <c r="U61" s="28"/>
      <c r="V61" s="28"/>
      <c r="W61" s="28"/>
      <c r="X61" s="27"/>
      <c r="Y61" s="28"/>
      <c r="Z61" s="27">
        <f t="shared" si="22"/>
        <v>-73526.666254044801</v>
      </c>
      <c r="AA61" s="28"/>
      <c r="AD61" s="82"/>
    </row>
    <row r="62" spans="1:30" ht="15">
      <c r="A62" s="39">
        <f t="shared" si="5"/>
        <v>47</v>
      </c>
      <c r="B62" s="1"/>
      <c r="C62" s="21">
        <f t="shared" si="20"/>
        <v>2021</v>
      </c>
      <c r="D62" s="1"/>
      <c r="E62" s="21">
        <f t="shared" si="21"/>
        <v>11</v>
      </c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8"/>
      <c r="R62" s="27"/>
      <c r="S62" s="28"/>
      <c r="T62" s="27"/>
      <c r="U62" s="28"/>
      <c r="V62" s="28"/>
      <c r="W62" s="28"/>
      <c r="X62" s="27"/>
      <c r="Y62" s="28"/>
      <c r="Z62" s="27">
        <f t="shared" si="22"/>
        <v>-12177.803043746157</v>
      </c>
      <c r="AA62" s="28"/>
      <c r="AD62" s="82"/>
    </row>
    <row r="63" spans="1:30" ht="15">
      <c r="A63" s="39">
        <f t="shared" si="5"/>
        <v>48</v>
      </c>
      <c r="B63" s="1"/>
      <c r="C63" s="21">
        <f t="shared" si="20"/>
        <v>2021</v>
      </c>
      <c r="D63" s="1"/>
      <c r="E63" s="21">
        <f t="shared" si="21"/>
        <v>12</v>
      </c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8"/>
      <c r="R63" s="27"/>
      <c r="S63" s="28"/>
      <c r="T63" s="27"/>
      <c r="U63" s="28"/>
      <c r="V63" s="28"/>
      <c r="W63" s="28"/>
      <c r="X63" s="27"/>
      <c r="Y63" s="28"/>
      <c r="Z63" s="30">
        <f t="shared" si="22"/>
        <v>448144.99713762506</v>
      </c>
      <c r="AA63" s="28"/>
      <c r="AD63" s="82"/>
    </row>
    <row r="64" spans="1:30" ht="15">
      <c r="A64" s="39">
        <f t="shared" si="5"/>
        <v>49</v>
      </c>
      <c r="C64" s="1" t="s">
        <v>8</v>
      </c>
      <c r="E64" s="19"/>
      <c r="G64" s="72"/>
      <c r="H64" s="78"/>
      <c r="I64" s="78"/>
      <c r="J64" s="78"/>
      <c r="K64" s="78"/>
      <c r="L64" s="78"/>
      <c r="M64" s="78"/>
      <c r="N64" s="78"/>
      <c r="O64" s="78"/>
      <c r="P64" s="78"/>
      <c r="Q64" s="74"/>
      <c r="R64" s="78"/>
      <c r="S64" s="74"/>
      <c r="T64" s="78"/>
      <c r="U64" s="74"/>
      <c r="V64" s="74"/>
      <c r="W64" s="74"/>
      <c r="X64" s="78"/>
      <c r="Y64" s="74"/>
      <c r="Z64" s="72">
        <f>SUM(Z52:Z63)</f>
        <v>925293.25749621564</v>
      </c>
      <c r="AA64" s="28"/>
      <c r="AB64" s="64"/>
      <c r="AD64" s="82"/>
    </row>
    <row r="65" spans="7:27" ht="15"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8"/>
      <c r="R65" s="27"/>
      <c r="S65" s="28"/>
      <c r="T65" s="27"/>
      <c r="U65" s="28"/>
      <c r="V65" s="28"/>
      <c r="W65" s="28"/>
      <c r="X65" s="27"/>
      <c r="Y65" s="28"/>
      <c r="AA65" s="28"/>
    </row>
    <row r="66" spans="3:27" ht="15">
      <c r="C66" s="23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</sheetData>
  <mergeCells count="2">
    <mergeCell ref="I12:K12"/>
    <mergeCell ref="I30:K30"/>
  </mergeCells>
  <printOptions horizontalCentered="1"/>
  <pageMargins left="0.25" right="0" top="1.5" bottom="0.25" header="0.5" footer="0.5"/>
  <pageSetup orientation="landscape" scale="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21">
    <pageSetUpPr fitToPage="1"/>
  </sheetPr>
  <dimension ref="A1:X66"/>
  <sheetViews>
    <sheetView zoomScale="75" zoomScaleNormal="75" zoomScaleSheetLayoutView="70" workbookViewId="0" topLeftCell="A1"/>
  </sheetViews>
  <sheetFormatPr defaultRowHeight="12.75"/>
  <cols>
    <col min="1" max="1" width="5.85714285714286" bestFit="1" customWidth="1"/>
    <col min="2" max="2" width="2.71428571428571" customWidth="1"/>
    <col min="3" max="3" width="12.4285714285714" customWidth="1"/>
    <col min="4" max="4" width="2.71428571428571" customWidth="1"/>
    <col min="5" max="5" width="8" customWidth="1"/>
    <col min="6" max="6" width="2.71428571428571" customWidth="1"/>
    <col min="7" max="7" width="16.8571428571429" bestFit="1" customWidth="1"/>
    <col min="8" max="8" width="1.42857142857143" customWidth="1"/>
    <col min="9" max="9" width="1.14285714285714" customWidth="1"/>
    <col min="10" max="10" width="16.1428571428571" customWidth="1"/>
    <col min="11" max="11" width="1.14285714285714" customWidth="1"/>
    <col min="12" max="12" width="16.8571428571429" hidden="1" customWidth="1"/>
    <col min="13" max="13" width="21.5714285714286" customWidth="1"/>
    <col min="14" max="14" width="1.14285714285714" customWidth="1"/>
    <col min="15" max="15" width="15.5714285714286" customWidth="1"/>
    <col min="16" max="16" width="1.14285714285714" customWidth="1"/>
    <col min="17" max="17" width="16.1428571428571" customWidth="1"/>
    <col min="18" max="18" width="1.42857142857143" customWidth="1"/>
    <col min="19" max="19" width="16.8571428571429" hidden="1" customWidth="1"/>
    <col min="20" max="20" width="1.28571428571429" hidden="1" customWidth="1"/>
    <col min="21" max="21" width="16.8571428571429" bestFit="1" customWidth="1"/>
    <col min="22" max="22" width="1.14285714285714" customWidth="1"/>
    <col min="23" max="23" width="17.2857142857143" customWidth="1"/>
  </cols>
  <sheetData>
    <row r="1" spans="1:23" ht="15.75">
      <c r="A1" s="1" t="s">
        <v>71</v>
      </c>
      <c r="B1" s="1"/>
      <c r="C1" s="1"/>
      <c r="D1" s="1"/>
      <c r="E1" s="1"/>
      <c r="F1" s="1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t="s">
        <v>10</v>
      </c>
    </row>
    <row r="2" spans="1:23" ht="15.75">
      <c r="A2" s="4"/>
      <c r="B2" s="4"/>
      <c r="C2" s="4"/>
      <c r="D2" s="4"/>
      <c r="E2" s="4"/>
      <c r="F2" s="4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83" t="s">
        <v>123</v>
      </c>
    </row>
    <row r="3" spans="1:23" ht="15.75">
      <c r="A3" s="4"/>
      <c r="B3" s="4"/>
      <c r="C3" s="4"/>
      <c r="D3" s="4"/>
      <c r="E3" s="4"/>
      <c r="F3" s="4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ht="15.75">
      <c r="A4" s="7" t="str">
        <f>+'Weather Adjustment'!A4</f>
        <v>PUC DOCKET NO</v>
      </c>
      <c r="B4" s="4"/>
      <c r="C4" s="4"/>
      <c r="D4" s="4"/>
      <c r="E4" s="4"/>
      <c r="F4" s="4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15.75">
      <c r="A5" s="7" t="str">
        <f>+'Weather Adjustment'!A5</f>
        <v>ONCOR ELECTRIC DELIVERY COMPANY LLC</v>
      </c>
      <c r="B5" s="4"/>
      <c r="C5" s="4"/>
      <c r="D5" s="4"/>
      <c r="E5" s="4"/>
      <c r="F5" s="4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15.75">
      <c r="A6" s="9" t="str">
        <f>+'Weather Adjustment'!A6</f>
        <v>MONTHLY SALES DATA</v>
      </c>
      <c r="B6" s="4"/>
      <c r="C6" s="4"/>
      <c r="D6" s="4"/>
      <c r="E6" s="4"/>
      <c r="F6" s="4"/>
      <c r="G6" s="6"/>
      <c r="H6" s="8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15.75">
      <c r="A7" s="65" t="str">
        <f>+'Weather Adjustment'!A7</f>
        <v>TEST YEAR ENDING December 31, 2021</v>
      </c>
      <c r="B7" s="4"/>
      <c r="C7" s="38"/>
      <c r="D7" s="4"/>
      <c r="E7" s="4"/>
      <c r="F7" s="4"/>
      <c r="G7" s="6"/>
      <c r="H7" s="8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2:23" ht="15">
      <c r="B8" s="4"/>
      <c r="C8" s="4"/>
      <c r="D8" s="4"/>
      <c r="E8" s="4"/>
      <c r="F8" s="4"/>
      <c r="G8" s="6"/>
      <c r="H8" s="6"/>
      <c r="I8" s="6"/>
      <c r="J8" s="6"/>
      <c r="K8" s="6"/>
      <c r="L8" s="6"/>
      <c r="M8" s="6"/>
      <c r="N8" s="6"/>
      <c r="O8" s="20"/>
      <c r="P8" s="20"/>
      <c r="Q8" s="20"/>
      <c r="R8" s="6"/>
      <c r="S8" s="6"/>
      <c r="T8" s="6"/>
      <c r="U8" s="6"/>
      <c r="V8" s="6"/>
      <c r="W8" s="6"/>
    </row>
    <row r="9" spans="1:23" ht="15.75">
      <c r="A9" s="41" t="str">
        <f>+'Weather Adjustment'!A9</f>
        <v>SPONSOR:  D. E. NELSON</v>
      </c>
      <c r="B9" s="7"/>
      <c r="C9" s="7"/>
      <c r="D9" s="7"/>
      <c r="E9" s="7"/>
      <c r="F9" s="7"/>
      <c r="G9" s="9"/>
      <c r="H9" s="9"/>
      <c r="I9" s="9"/>
      <c r="J9" s="9"/>
      <c r="K9" s="9"/>
      <c r="L9" s="9"/>
      <c r="M9" s="9"/>
      <c r="N9" s="9"/>
      <c r="O9" s="42"/>
      <c r="P9" s="42"/>
      <c r="Q9" s="42"/>
      <c r="R9" s="9"/>
      <c r="S9" s="9"/>
      <c r="T9" s="9"/>
      <c r="U9" s="9"/>
      <c r="V9" s="9"/>
      <c r="W9" s="9"/>
    </row>
    <row r="10" spans="2:23" ht="15">
      <c r="B10" s="4"/>
      <c r="C10" s="4"/>
      <c r="D10" s="4"/>
      <c r="E10" s="4"/>
      <c r="F10" s="4"/>
      <c r="G10" s="6"/>
      <c r="H10" s="6"/>
      <c r="I10" s="6"/>
      <c r="J10" s="6"/>
      <c r="K10" s="6"/>
      <c r="L10" s="6"/>
      <c r="M10" s="6"/>
      <c r="N10" s="6"/>
      <c r="O10" s="20"/>
      <c r="P10" s="20"/>
      <c r="Q10" s="20"/>
      <c r="R10" s="6"/>
      <c r="S10" s="6"/>
      <c r="T10" s="6"/>
      <c r="U10" s="6"/>
      <c r="V10" s="6"/>
      <c r="W10" s="6"/>
    </row>
    <row r="11" spans="1:23" ht="15">
      <c r="A11" s="4" t="s">
        <v>58</v>
      </c>
      <c r="B11" s="4"/>
      <c r="C11" s="4"/>
      <c r="D11" s="4"/>
      <c r="E11" s="4"/>
      <c r="F11" s="4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ht="15">
      <c r="A12" s="1"/>
      <c r="B12" s="1"/>
      <c r="C12" s="1"/>
      <c r="D12" s="1"/>
      <c r="E12" s="1"/>
      <c r="F12" s="1"/>
      <c r="G12" s="10" t="s">
        <v>13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10"/>
      <c r="T12" s="3"/>
      <c r="U12" s="10"/>
      <c r="V12" s="10"/>
      <c r="W12" s="12" t="s">
        <v>30</v>
      </c>
    </row>
    <row r="13" spans="1:23" ht="15">
      <c r="A13" s="11" t="s">
        <v>0</v>
      </c>
      <c r="B13" s="11"/>
      <c r="C13" s="11" t="s">
        <v>1</v>
      </c>
      <c r="D13" s="11"/>
      <c r="E13" s="11" t="s">
        <v>2</v>
      </c>
      <c r="F13" s="1"/>
      <c r="G13" s="12" t="s">
        <v>14</v>
      </c>
      <c r="H13" s="12"/>
      <c r="I13" s="12"/>
      <c r="J13" s="12" t="s">
        <v>21</v>
      </c>
      <c r="K13" s="12"/>
      <c r="L13" s="12" t="s">
        <v>4</v>
      </c>
      <c r="M13" s="13" t="s">
        <v>23</v>
      </c>
      <c r="N13" s="14"/>
      <c r="O13" s="14" t="s">
        <v>25</v>
      </c>
      <c r="P13" s="14"/>
      <c r="Q13" s="14" t="s">
        <v>27</v>
      </c>
      <c r="R13" s="14"/>
      <c r="S13" s="13" t="s">
        <v>5</v>
      </c>
      <c r="T13" s="14"/>
      <c r="U13" s="12" t="s">
        <v>29</v>
      </c>
      <c r="V13" s="12"/>
      <c r="W13" s="12" t="s">
        <v>9</v>
      </c>
    </row>
    <row r="14" spans="1:23" ht="15">
      <c r="A14" s="1" t="s">
        <v>78</v>
      </c>
      <c r="B14" s="1"/>
      <c r="C14" s="1"/>
      <c r="D14" s="1"/>
      <c r="E14" s="1"/>
      <c r="F14" s="1"/>
      <c r="G14" s="16" t="s">
        <v>15</v>
      </c>
      <c r="H14" s="15"/>
      <c r="I14" s="15"/>
      <c r="J14" s="16" t="s">
        <v>18</v>
      </c>
      <c r="K14" s="15"/>
      <c r="L14" s="15"/>
      <c r="M14" s="15" t="s">
        <v>41</v>
      </c>
      <c r="N14" s="15"/>
      <c r="O14" s="16" t="s">
        <v>22</v>
      </c>
      <c r="P14" s="15"/>
      <c r="Q14" s="16" t="s">
        <v>42</v>
      </c>
      <c r="R14" s="15"/>
      <c r="S14" s="15"/>
      <c r="T14" s="15"/>
      <c r="U14" s="16" t="s">
        <v>43</v>
      </c>
      <c r="V14" s="15"/>
      <c r="W14" s="16" t="s">
        <v>44</v>
      </c>
    </row>
    <row r="15" spans="1:23" ht="15">
      <c r="A15" s="17"/>
      <c r="B15" s="1"/>
      <c r="C15" s="17"/>
      <c r="D15" s="1"/>
      <c r="E15" s="17"/>
      <c r="F15" s="1"/>
      <c r="G15" s="12"/>
      <c r="H15" s="3"/>
      <c r="I15" s="3"/>
      <c r="J15" s="3"/>
      <c r="K15" s="3"/>
      <c r="L15" s="3"/>
      <c r="M15" s="14"/>
      <c r="N15" s="3"/>
      <c r="O15" s="3"/>
      <c r="P15" s="3"/>
      <c r="Q15" s="3"/>
      <c r="R15" s="3"/>
      <c r="S15" s="14"/>
      <c r="T15" s="3"/>
      <c r="U15" s="14"/>
      <c r="V15" s="14"/>
      <c r="W15" s="14"/>
    </row>
    <row r="16" spans="1:23" ht="15">
      <c r="A16" s="39">
        <v>1</v>
      </c>
      <c r="B16" s="1"/>
      <c r="C16" s="21">
        <f>+'Weather Adjustment'!C16</f>
        <v>2021</v>
      </c>
      <c r="D16" s="1"/>
      <c r="E16" s="19">
        <f>+'Weather Adjustment'!E16</f>
        <v>1</v>
      </c>
      <c r="F16" s="1"/>
      <c r="G16" s="43">
        <f>+'[2]SECLE10KW Model'!$C$18</f>
        <v>0.45900000000000002</v>
      </c>
      <c r="H16" s="3"/>
      <c r="I16" s="20"/>
      <c r="J16" s="20">
        <f>+'Weather Adjustment'!I35</f>
        <v>296726</v>
      </c>
      <c r="K16" s="20"/>
      <c r="L16" s="20" t="e">
        <f>SUM(#REF!,J16)</f>
        <v>#REF!</v>
      </c>
      <c r="M16" s="20">
        <f>PRODUCT(G16,J16)/1000</f>
        <v>136.19723400000001</v>
      </c>
      <c r="N16" s="20"/>
      <c r="O16" s="43">
        <f>+[3]SECLE10KW!D13</f>
        <v>0.030233677523809521</v>
      </c>
      <c r="P16" s="20"/>
      <c r="Q16" s="43">
        <f>+[3]SECLE10KW!F13</f>
        <v>1.157229522669861</v>
      </c>
      <c r="R16" s="20"/>
      <c r="S16" s="20">
        <f t="shared" si="0" ref="S16:S21">SUM(O16,Q16)</f>
        <v>1.1874632001936705</v>
      </c>
      <c r="T16" s="20"/>
      <c r="U16" s="43">
        <f t="shared" si="1" ref="U16:U21">+Q16-O16</f>
        <v>1.1269958451460516</v>
      </c>
      <c r="V16" s="20"/>
      <c r="W16" s="20">
        <f t="shared" si="2" ref="W16:W21">+M16*U16</f>
        <v>153.49371683838456</v>
      </c>
    </row>
    <row r="17" spans="1:23" ht="15">
      <c r="A17" s="39">
        <f>+A16+1</f>
        <v>2</v>
      </c>
      <c r="B17" s="1"/>
      <c r="C17" s="21">
        <f>+'Weather Adjustment'!C17</f>
        <v>2021</v>
      </c>
      <c r="D17" s="1"/>
      <c r="E17" s="19">
        <f>+'Weather Adjustment'!E17</f>
        <v>2</v>
      </c>
      <c r="F17" s="1"/>
      <c r="G17" s="43">
        <f>+G16</f>
        <v>0.45900000000000002</v>
      </c>
      <c r="H17" s="3"/>
      <c r="I17" s="20"/>
      <c r="J17" s="20">
        <f>+'Weather Adjustment'!I36</f>
        <v>296916</v>
      </c>
      <c r="K17" s="20"/>
      <c r="L17" s="20" t="e">
        <f>SUM(#REF!,J17)</f>
        <v>#REF!</v>
      </c>
      <c r="M17" s="20">
        <f t="shared" si="3" ref="M17:M21">PRODUCT(G17,J17)/1000</f>
        <v>136.28444400000001</v>
      </c>
      <c r="N17" s="20"/>
      <c r="O17" s="43">
        <f>+[3]SECLE10KW!D14</f>
        <v>0.048966796952380938</v>
      </c>
      <c r="P17" s="20"/>
      <c r="Q17" s="43">
        <f>+[3]SECLE10KW!F14</f>
        <v>0.85820085596663509</v>
      </c>
      <c r="R17" s="20"/>
      <c r="S17" s="20">
        <f t="shared" si="0"/>
        <v>0.90716765291901602</v>
      </c>
      <c r="T17" s="20"/>
      <c r="U17" s="43">
        <f t="shared" si="1"/>
        <v>0.80923405901425416</v>
      </c>
      <c r="V17" s="20"/>
      <c r="W17" s="20">
        <f t="shared" si="2"/>
        <v>110.28601379862083</v>
      </c>
    </row>
    <row r="18" spans="1:23" ht="15">
      <c r="A18" s="39">
        <f t="shared" si="4" ref="A18:A64">+A17+1</f>
        <v>3</v>
      </c>
      <c r="B18" s="1"/>
      <c r="C18" s="21">
        <f>+'Weather Adjustment'!C18</f>
        <v>2021</v>
      </c>
      <c r="D18" s="1"/>
      <c r="E18" s="19">
        <f>+'Weather Adjustment'!E18</f>
        <v>3</v>
      </c>
      <c r="F18" s="1"/>
      <c r="G18" s="43">
        <f t="shared" si="5" ref="G18:G27">+G17</f>
        <v>0.45900000000000002</v>
      </c>
      <c r="H18" s="3"/>
      <c r="I18" s="20"/>
      <c r="J18" s="20">
        <f>+'Weather Adjustment'!I37</f>
        <v>297390</v>
      </c>
      <c r="K18" s="20"/>
      <c r="L18" s="20" t="e">
        <f>SUM(#REF!,J18)</f>
        <v>#REF!</v>
      </c>
      <c r="M18" s="20">
        <f t="shared" si="3"/>
        <v>136.50201000000001</v>
      </c>
      <c r="N18" s="20"/>
      <c r="O18" s="43">
        <f>+[3]SECLE10KW!D15</f>
        <v>2.2314074383809546</v>
      </c>
      <c r="P18" s="20"/>
      <c r="Q18" s="43">
        <f>+[3]SECLE10KW!F15</f>
        <v>3.3974681234249107</v>
      </c>
      <c r="R18" s="20"/>
      <c r="S18" s="20">
        <f t="shared" si="0"/>
        <v>5.6288755618058648</v>
      </c>
      <c r="T18" s="20"/>
      <c r="U18" s="43">
        <f t="shared" si="1"/>
        <v>1.1660606850439561</v>
      </c>
      <c r="V18" s="20"/>
      <c r="W18" s="20">
        <f t="shared" si="2"/>
        <v>159.16962729047697</v>
      </c>
    </row>
    <row r="19" spans="1:23" ht="15">
      <c r="A19" s="39">
        <f t="shared" si="4"/>
        <v>4</v>
      </c>
      <c r="B19" s="1"/>
      <c r="C19" s="21">
        <f>+'Weather Adjustment'!C19</f>
        <v>2021</v>
      </c>
      <c r="D19" s="1"/>
      <c r="E19" s="19">
        <f>+'Weather Adjustment'!E19</f>
        <v>4</v>
      </c>
      <c r="F19" s="1"/>
      <c r="G19" s="43">
        <f t="shared" si="5"/>
        <v>0.45900000000000002</v>
      </c>
      <c r="H19" s="3"/>
      <c r="I19" s="20"/>
      <c r="J19" s="20">
        <f>+'Weather Adjustment'!I38</f>
        <v>299035</v>
      </c>
      <c r="K19" s="20"/>
      <c r="L19" s="20" t="e">
        <f>SUM(#REF!,J19)</f>
        <v>#REF!</v>
      </c>
      <c r="M19" s="20">
        <f t="shared" si="3"/>
        <v>137.25706500000001</v>
      </c>
      <c r="N19" s="20"/>
      <c r="O19" s="43">
        <f>+[3]SECLE10KW!D16</f>
        <v>10.407034137714291</v>
      </c>
      <c r="P19" s="20"/>
      <c r="Q19" s="43">
        <f>+[3]SECLE10KW!F16</f>
        <v>16.036376197723911</v>
      </c>
      <c r="R19" s="20"/>
      <c r="S19" s="20">
        <f t="shared" si="0"/>
        <v>26.443410335438202</v>
      </c>
      <c r="T19" s="20"/>
      <c r="U19" s="43">
        <f t="shared" si="1"/>
        <v>5.6293420600096198</v>
      </c>
      <c r="V19" s="20"/>
      <c r="W19" s="20">
        <f t="shared" si="2"/>
        <v>772.66696903797435</v>
      </c>
    </row>
    <row r="20" spans="1:23" ht="15">
      <c r="A20" s="39">
        <f t="shared" si="4"/>
        <v>5</v>
      </c>
      <c r="B20" s="1"/>
      <c r="C20" s="21">
        <f>+'Weather Adjustment'!C20</f>
        <v>2021</v>
      </c>
      <c r="D20" s="1"/>
      <c r="E20" s="19">
        <f>+'Weather Adjustment'!E20</f>
        <v>5</v>
      </c>
      <c r="F20" s="1"/>
      <c r="G20" s="43">
        <f t="shared" si="5"/>
        <v>0.45900000000000002</v>
      </c>
      <c r="H20" s="3"/>
      <c r="I20" s="20"/>
      <c r="J20" s="20">
        <f>+'Weather Adjustment'!I39</f>
        <v>299788</v>
      </c>
      <c r="K20" s="20"/>
      <c r="L20" s="20" t="e">
        <f>SUM(#REF!,J20)</f>
        <v>#REF!</v>
      </c>
      <c r="M20" s="20">
        <f t="shared" si="3"/>
        <v>137.60269200000002</v>
      </c>
      <c r="N20" s="20"/>
      <c r="O20" s="43">
        <f>+[3]SECLE10KW!D17</f>
        <v>29.707023443142873</v>
      </c>
      <c r="P20" s="20"/>
      <c r="Q20" s="43">
        <f>+[3]SECLE10KW!F17</f>
        <v>55.888986202958485</v>
      </c>
      <c r="R20" s="20"/>
      <c r="S20" s="20">
        <f t="shared" si="0"/>
        <v>85.596009646101351</v>
      </c>
      <c r="T20" s="20"/>
      <c r="U20" s="43">
        <f t="shared" si="1"/>
        <v>26.181962759815612</v>
      </c>
      <c r="V20" s="20"/>
      <c r="W20" s="20">
        <f t="shared" si="2"/>
        <v>3602.7085575943779</v>
      </c>
    </row>
    <row r="21" spans="1:23" ht="15">
      <c r="A21" s="39">
        <f t="shared" si="4"/>
        <v>6</v>
      </c>
      <c r="B21" s="1"/>
      <c r="C21" s="21">
        <f>+'Weather Adjustment'!C21</f>
        <v>2021</v>
      </c>
      <c r="D21" s="1"/>
      <c r="E21" s="19">
        <f>+'Weather Adjustment'!E21</f>
        <v>6</v>
      </c>
      <c r="F21" s="1"/>
      <c r="G21" s="43">
        <f t="shared" si="5"/>
        <v>0.45900000000000002</v>
      </c>
      <c r="H21" s="3"/>
      <c r="I21" s="20"/>
      <c r="J21" s="20">
        <f>+'Weather Adjustment'!I40</f>
        <v>300604</v>
      </c>
      <c r="K21" s="20"/>
      <c r="L21" s="20" t="e">
        <f>SUM(#REF!,J21)</f>
        <v>#REF!</v>
      </c>
      <c r="M21" s="20">
        <f t="shared" si="3"/>
        <v>137.97723600000001</v>
      </c>
      <c r="N21" s="20"/>
      <c r="O21" s="43">
        <f>+[3]SECLE10KW!D18</f>
        <v>104.49325504500003</v>
      </c>
      <c r="P21" s="20"/>
      <c r="Q21" s="43">
        <f>+[3]SECLE10KW!F18</f>
        <v>162.5954578962168</v>
      </c>
      <c r="R21" s="20"/>
      <c r="S21" s="20">
        <f t="shared" si="0"/>
        <v>267.08871294121684</v>
      </c>
      <c r="T21" s="20"/>
      <c r="U21" s="43">
        <f t="shared" si="1"/>
        <v>58.102202851216774</v>
      </c>
      <c r="V21" s="20"/>
      <c r="W21" s="20">
        <f t="shared" si="2"/>
        <v>8016.7813549222101</v>
      </c>
    </row>
    <row r="22" spans="1:23" ht="15">
      <c r="A22" s="39">
        <f t="shared" si="4"/>
        <v>7</v>
      </c>
      <c r="B22" s="1"/>
      <c r="C22" s="21">
        <f>+'Weather Adjustment'!C22</f>
        <v>2021</v>
      </c>
      <c r="D22" s="1"/>
      <c r="E22" s="19">
        <f>+'Weather Adjustment'!E22</f>
        <v>7</v>
      </c>
      <c r="F22" s="1"/>
      <c r="G22" s="43">
        <f t="shared" si="5"/>
        <v>0.45900000000000002</v>
      </c>
      <c r="H22" s="3"/>
      <c r="I22" s="20"/>
      <c r="J22" s="20">
        <f>+'Weather Adjustment'!I41</f>
        <v>301274</v>
      </c>
      <c r="K22" s="20"/>
      <c r="L22" s="20" t="e">
        <f>SUM(#REF!,J22)</f>
        <v>#REF!</v>
      </c>
      <c r="M22" s="20">
        <f t="shared" si="6" ref="M22:M27">PRODUCT(G22,J22)/1000</f>
        <v>138.28476599999999</v>
      </c>
      <c r="N22" s="20"/>
      <c r="O22" s="43">
        <f>+[3]SECLE10KW!D19</f>
        <v>264.9267010074762</v>
      </c>
      <c r="P22" s="20"/>
      <c r="Q22" s="43">
        <f>+[3]SECLE10KW!F19</f>
        <v>295.55718514099311</v>
      </c>
      <c r="R22" s="20"/>
      <c r="S22" s="20">
        <f t="shared" si="7" ref="S22:S27">SUM(O22,Q22)</f>
        <v>560.48388614846931</v>
      </c>
      <c r="T22" s="20"/>
      <c r="U22" s="43">
        <f t="shared" si="8" ref="U22:U27">+Q22-O22</f>
        <v>30.630484133516916</v>
      </c>
      <c r="V22" s="20"/>
      <c r="W22" s="20">
        <f t="shared" si="9" ref="W22:W27">+M22*U22</f>
        <v>4235.7293308700991</v>
      </c>
    </row>
    <row r="23" spans="1:23" ht="15">
      <c r="A23" s="39">
        <f t="shared" si="4"/>
        <v>8</v>
      </c>
      <c r="B23" s="1"/>
      <c r="C23" s="21">
        <f>+'Weather Adjustment'!C23</f>
        <v>2021</v>
      </c>
      <c r="D23" s="1"/>
      <c r="E23" s="19">
        <f>+'Weather Adjustment'!E23</f>
        <v>8</v>
      </c>
      <c r="F23" s="1"/>
      <c r="G23" s="43">
        <f t="shared" si="5"/>
        <v>0.45900000000000002</v>
      </c>
      <c r="H23" s="3"/>
      <c r="I23" s="20"/>
      <c r="J23" s="20">
        <f>+'Weather Adjustment'!I42</f>
        <v>301519</v>
      </c>
      <c r="K23" s="20"/>
      <c r="L23" s="20" t="e">
        <f>SUM(#REF!,J23)</f>
        <v>#REF!</v>
      </c>
      <c r="M23" s="20">
        <f t="shared" si="6"/>
        <v>138.39722100000003</v>
      </c>
      <c r="N23" s="20"/>
      <c r="O23" s="43">
        <f>+[3]SECLE10KW!D20</f>
        <v>291.07937667557138</v>
      </c>
      <c r="P23" s="20"/>
      <c r="Q23" s="43">
        <f>+[3]SECLE10KW!F20</f>
        <v>347.28639631088697</v>
      </c>
      <c r="R23" s="20"/>
      <c r="S23" s="20">
        <f t="shared" si="7"/>
        <v>638.3657729864583</v>
      </c>
      <c r="T23" s="20"/>
      <c r="U23" s="43">
        <f t="shared" si="8"/>
        <v>56.207019635315589</v>
      </c>
      <c r="V23" s="20"/>
      <c r="W23" s="20">
        <f t="shared" si="9"/>
        <v>7778.895318220113</v>
      </c>
    </row>
    <row r="24" spans="1:23" ht="15">
      <c r="A24" s="39">
        <f t="shared" si="4"/>
        <v>9</v>
      </c>
      <c r="B24" s="1"/>
      <c r="C24" s="21">
        <f>+'Weather Adjustment'!C24</f>
        <v>2021</v>
      </c>
      <c r="D24" s="1"/>
      <c r="E24" s="19">
        <f>+'Weather Adjustment'!E24</f>
        <v>9</v>
      </c>
      <c r="F24" s="1"/>
      <c r="G24" s="43">
        <f t="shared" si="5"/>
        <v>0.45900000000000002</v>
      </c>
      <c r="H24" s="3"/>
      <c r="I24" s="20"/>
      <c r="J24" s="20">
        <f>+'Weather Adjustment'!I43</f>
        <v>302471</v>
      </c>
      <c r="K24" s="20"/>
      <c r="L24" s="20" t="e">
        <f>SUM(#REF!,J24)</f>
        <v>#REF!</v>
      </c>
      <c r="M24" s="20">
        <f t="shared" si="6"/>
        <v>138.83418900000001</v>
      </c>
      <c r="N24" s="20"/>
      <c r="O24" s="43">
        <f>+[3]SECLE10KW!D21</f>
        <v>290.82403547895234</v>
      </c>
      <c r="P24" s="20"/>
      <c r="Q24" s="43">
        <f>+[3]SECLE10KW!F21</f>
        <v>295.00142639870694</v>
      </c>
      <c r="R24" s="20"/>
      <c r="S24" s="20">
        <f t="shared" si="7"/>
        <v>585.82546187765934</v>
      </c>
      <c r="T24" s="20"/>
      <c r="U24" s="43">
        <f t="shared" si="8"/>
        <v>4.1773909197546004</v>
      </c>
      <c r="V24" s="20"/>
      <c r="W24" s="20">
        <f t="shared" si="9"/>
        <v>579.9646804800941</v>
      </c>
    </row>
    <row r="25" spans="1:23" ht="15">
      <c r="A25" s="39">
        <f t="shared" si="4"/>
        <v>10</v>
      </c>
      <c r="B25" s="1"/>
      <c r="C25" s="21">
        <f>+'Weather Adjustment'!C25</f>
        <v>2021</v>
      </c>
      <c r="D25" s="1"/>
      <c r="E25" s="19">
        <f>+'Weather Adjustment'!E25</f>
        <v>10</v>
      </c>
      <c r="F25" s="1"/>
      <c r="G25" s="43">
        <f t="shared" si="5"/>
        <v>0.45900000000000002</v>
      </c>
      <c r="H25" s="3"/>
      <c r="I25" s="20"/>
      <c r="J25" s="20">
        <f>+'Weather Adjustment'!I44</f>
        <v>303108</v>
      </c>
      <c r="K25" s="20"/>
      <c r="L25" s="20" t="e">
        <f>SUM(#REF!,J25)</f>
        <v>#REF!</v>
      </c>
      <c r="M25" s="20">
        <f t="shared" si="6"/>
        <v>139.12657200000001</v>
      </c>
      <c r="N25" s="20"/>
      <c r="O25" s="43">
        <f>+[3]SECLE10KW!D22</f>
        <v>160.55565371876196</v>
      </c>
      <c r="P25" s="20"/>
      <c r="Q25" s="43">
        <f>+[3]SECLE10KW!F22</f>
        <v>150.60567017021072</v>
      </c>
      <c r="R25" s="20"/>
      <c r="S25" s="20">
        <f t="shared" si="7"/>
        <v>311.16132388897267</v>
      </c>
      <c r="T25" s="20"/>
      <c r="U25" s="43">
        <f t="shared" si="8"/>
        <v>-9.9499835485512449</v>
      </c>
      <c r="V25" s="20"/>
      <c r="W25" s="20">
        <f t="shared" si="9"/>
        <v>-1384.3071025663303</v>
      </c>
    </row>
    <row r="26" spans="1:23" ht="15">
      <c r="A26" s="39">
        <f t="shared" si="4"/>
        <v>11</v>
      </c>
      <c r="B26" s="1"/>
      <c r="C26" s="21">
        <f>+'Weather Adjustment'!C26</f>
        <v>2021</v>
      </c>
      <c r="D26" s="1"/>
      <c r="E26" s="19">
        <f>+'Weather Adjustment'!E26</f>
        <v>11</v>
      </c>
      <c r="F26" s="1"/>
      <c r="G26" s="43">
        <f t="shared" si="5"/>
        <v>0.45900000000000002</v>
      </c>
      <c r="H26" s="3"/>
      <c r="I26" s="20"/>
      <c r="J26" s="20">
        <f>+'Weather Adjustment'!I45</f>
        <v>303828</v>
      </c>
      <c r="K26" s="20"/>
      <c r="L26" s="20" t="e">
        <f>SUM(#REF!,J26)</f>
        <v>#REF!</v>
      </c>
      <c r="M26" s="20">
        <f t="shared" si="6"/>
        <v>139.457052</v>
      </c>
      <c r="N26" s="20"/>
      <c r="O26" s="43">
        <f>+[3]SECLE10KW!D23</f>
        <v>49.788204899523819</v>
      </c>
      <c r="P26" s="20"/>
      <c r="Q26" s="43">
        <f>+[3]SECLE10KW!F23</f>
        <v>40.273432211570338</v>
      </c>
      <c r="R26" s="20"/>
      <c r="S26" s="20">
        <f t="shared" si="7"/>
        <v>90.061637111094157</v>
      </c>
      <c r="T26" s="20"/>
      <c r="U26" s="43">
        <f t="shared" si="8"/>
        <v>-9.5147726879534815</v>
      </c>
      <c r="V26" s="20"/>
      <c r="W26" s="20">
        <f t="shared" si="9"/>
        <v>-1326.9021495121085</v>
      </c>
    </row>
    <row r="27" spans="1:23" ht="15">
      <c r="A27" s="39">
        <f t="shared" si="4"/>
        <v>12</v>
      </c>
      <c r="B27" s="1"/>
      <c r="C27" s="21">
        <f>+'Weather Adjustment'!C27</f>
        <v>2021</v>
      </c>
      <c r="D27" s="1"/>
      <c r="E27" s="19">
        <f>+'Weather Adjustment'!E27</f>
        <v>12</v>
      </c>
      <c r="F27" s="1"/>
      <c r="G27" s="43">
        <f t="shared" si="5"/>
        <v>0.45900000000000002</v>
      </c>
      <c r="H27" s="14"/>
      <c r="I27" s="59"/>
      <c r="J27" s="59">
        <f>+'Weather Adjustment'!I46</f>
        <v>304430</v>
      </c>
      <c r="K27" s="59"/>
      <c r="L27" s="59" t="e">
        <f>SUM(#REF!,J27)</f>
        <v>#REF!</v>
      </c>
      <c r="M27" s="59">
        <f t="shared" si="6"/>
        <v>139.73337000000001</v>
      </c>
      <c r="N27" s="59"/>
      <c r="O27" s="43">
        <f>+[3]SECLE10KW!D24</f>
        <v>5.0759948575714313</v>
      </c>
      <c r="P27" s="20"/>
      <c r="Q27" s="43">
        <f>+[3]SECLE10KW!F24</f>
        <v>6.399137550772581</v>
      </c>
      <c r="R27" s="59"/>
      <c r="S27" s="59">
        <f t="shared" si="7"/>
        <v>11.475132408344013</v>
      </c>
      <c r="T27" s="59"/>
      <c r="U27" s="68">
        <f t="shared" si="8"/>
        <v>1.3231426932011496</v>
      </c>
      <c r="V27" s="59"/>
      <c r="W27" s="59">
        <f t="shared" si="9"/>
        <v>184.88718751187273</v>
      </c>
    </row>
    <row r="28" spans="1:23" ht="15">
      <c r="A28" s="39">
        <f t="shared" si="4"/>
        <v>13</v>
      </c>
      <c r="B28" s="1"/>
      <c r="C28" s="1" t="s">
        <v>8</v>
      </c>
      <c r="D28" s="1"/>
      <c r="E28" s="1"/>
      <c r="F28" s="1"/>
      <c r="G28" s="76"/>
      <c r="H28" s="76"/>
      <c r="I28" s="76"/>
      <c r="J28" s="76"/>
      <c r="K28" s="76"/>
      <c r="L28" s="76" t="e">
        <f>SUM(L22:L27)</f>
        <v>#REF!</v>
      </c>
      <c r="M28" s="76"/>
      <c r="N28" s="76"/>
      <c r="O28" s="76">
        <f>SUM(O16:O27)</f>
        <v>1209.1678871765714</v>
      </c>
      <c r="P28" s="76"/>
      <c r="Q28" s="76">
        <f>SUM(Q16:Q27)</f>
        <v>1375.056966582101</v>
      </c>
      <c r="R28" s="76"/>
      <c r="S28" s="76">
        <f>SUM(S22:S27)</f>
        <v>2197.373214420998</v>
      </c>
      <c r="T28" s="76"/>
      <c r="U28" s="77">
        <f>+Q28-O28</f>
        <v>165.88907940552963</v>
      </c>
      <c r="V28" s="76"/>
      <c r="W28" s="76">
        <f>SUM(W16:W27)</f>
        <v>22883.373504485786</v>
      </c>
    </row>
    <row r="29" spans="1:23" ht="15">
      <c r="A29" s="39">
        <f t="shared" si="4"/>
        <v>14</v>
      </c>
      <c r="B29" s="1"/>
      <c r="C29" s="1"/>
      <c r="D29" s="1"/>
      <c r="E29" s="1"/>
      <c r="F29" s="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15">
      <c r="A30" s="39">
        <f t="shared" si="4"/>
        <v>15</v>
      </c>
      <c r="B30" s="1"/>
      <c r="C30" s="1"/>
      <c r="D30" s="1"/>
      <c r="E30" s="1"/>
      <c r="F30" s="1"/>
      <c r="G30" s="10" t="s">
        <v>32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10"/>
      <c r="T30" s="3"/>
      <c r="U30" s="10"/>
      <c r="V30" s="10"/>
      <c r="W30" s="12" t="s">
        <v>34</v>
      </c>
    </row>
    <row r="31" spans="1:23" ht="15">
      <c r="A31" s="39">
        <f t="shared" si="4"/>
        <v>16</v>
      </c>
      <c r="B31" s="11"/>
      <c r="C31" s="11" t="s">
        <v>1</v>
      </c>
      <c r="D31" s="11"/>
      <c r="E31" s="11" t="s">
        <v>2</v>
      </c>
      <c r="F31" s="1"/>
      <c r="G31" s="12" t="s">
        <v>14</v>
      </c>
      <c r="H31" s="12"/>
      <c r="I31" s="12"/>
      <c r="J31" s="12" t="s">
        <v>21</v>
      </c>
      <c r="K31" s="12"/>
      <c r="L31" s="12" t="s">
        <v>4</v>
      </c>
      <c r="M31" s="13" t="s">
        <v>35</v>
      </c>
      <c r="N31" s="14"/>
      <c r="O31" s="14" t="s">
        <v>36</v>
      </c>
      <c r="P31" s="14"/>
      <c r="Q31" s="14" t="s">
        <v>37</v>
      </c>
      <c r="R31" s="14"/>
      <c r="S31" s="13" t="s">
        <v>5</v>
      </c>
      <c r="T31" s="14"/>
      <c r="U31" s="12" t="s">
        <v>38</v>
      </c>
      <c r="V31" s="12"/>
      <c r="W31" s="12" t="s">
        <v>9</v>
      </c>
    </row>
    <row r="32" spans="1:23" ht="15">
      <c r="A32" s="39">
        <f t="shared" si="4"/>
        <v>17</v>
      </c>
      <c r="B32" s="1"/>
      <c r="C32" s="1"/>
      <c r="D32" s="1"/>
      <c r="E32" s="1"/>
      <c r="F32" s="1"/>
      <c r="G32" s="16" t="s">
        <v>61</v>
      </c>
      <c r="H32" s="15"/>
      <c r="I32" s="15"/>
      <c r="J32" s="16" t="s">
        <v>62</v>
      </c>
      <c r="K32" s="15"/>
      <c r="L32" s="15"/>
      <c r="M32" s="16" t="s">
        <v>70</v>
      </c>
      <c r="N32" s="15"/>
      <c r="O32" s="16" t="s">
        <v>64</v>
      </c>
      <c r="P32" s="15"/>
      <c r="Q32" s="16" t="s">
        <v>65</v>
      </c>
      <c r="R32" s="15"/>
      <c r="S32" s="15"/>
      <c r="T32" s="15"/>
      <c r="U32" s="16" t="s">
        <v>112</v>
      </c>
      <c r="V32" s="15"/>
      <c r="W32" s="16" t="s">
        <v>113</v>
      </c>
    </row>
    <row r="33" spans="1:23" ht="15">
      <c r="A33" s="39">
        <f t="shared" si="4"/>
        <v>18</v>
      </c>
      <c r="B33" s="1"/>
      <c r="C33" s="1"/>
      <c r="D33" s="1"/>
      <c r="E33" s="1"/>
      <c r="F33" s="1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15">
      <c r="A34" s="39">
        <f t="shared" si="4"/>
        <v>19</v>
      </c>
      <c r="B34" s="1"/>
      <c r="C34" s="18">
        <f t="shared" si="10" ref="C34:C45">+C16</f>
        <v>2021</v>
      </c>
      <c r="D34" s="1"/>
      <c r="E34" s="19">
        <f>+E16</f>
        <v>1</v>
      </c>
      <c r="G34" s="44">
        <f>+'[2]SECLE10KW Model'!$C$17</f>
        <v>0.29799999999999999</v>
      </c>
      <c r="H34" s="27"/>
      <c r="I34" s="27"/>
      <c r="J34" s="27">
        <f t="shared" si="11" ref="J34:J39">J16</f>
        <v>296726</v>
      </c>
      <c r="K34" s="27"/>
      <c r="L34" s="29"/>
      <c r="M34" s="20">
        <f>PRODUCT(G34,J34)/1000</f>
        <v>88.424347999999995</v>
      </c>
      <c r="N34" s="28"/>
      <c r="O34" s="43">
        <f>+[3]SECLE10KW!C13</f>
        <v>227.6077802675714</v>
      </c>
      <c r="P34" s="20"/>
      <c r="Q34" s="43">
        <f>+[3]SECLE10KW!E13</f>
        <v>249.97400826503153</v>
      </c>
      <c r="R34" s="28"/>
      <c r="S34" s="28"/>
      <c r="T34" s="28"/>
      <c r="U34" s="43">
        <f t="shared" si="12" ref="U34:U39">+Q34-O34</f>
        <v>22.366227997460129</v>
      </c>
      <c r="V34" s="28"/>
      <c r="W34" s="20">
        <f t="shared" si="13" ref="W34:W39">+M34*U34</f>
        <v>1977.7191278947576</v>
      </c>
    </row>
    <row r="35" spans="1:23" ht="15">
      <c r="A35" s="39">
        <f t="shared" si="4"/>
        <v>20</v>
      </c>
      <c r="B35" s="1"/>
      <c r="C35" s="18">
        <f t="shared" si="10"/>
        <v>2021</v>
      </c>
      <c r="D35" s="1"/>
      <c r="E35" s="19">
        <f t="shared" si="14" ref="E35:E45">+E17</f>
        <v>2</v>
      </c>
      <c r="G35" s="44">
        <f>+G34</f>
        <v>0.29799999999999999</v>
      </c>
      <c r="H35" s="27"/>
      <c r="I35" s="27"/>
      <c r="J35" s="27">
        <f t="shared" si="11"/>
        <v>296916</v>
      </c>
      <c r="K35" s="27"/>
      <c r="L35" s="29"/>
      <c r="M35" s="20">
        <f t="shared" si="15" ref="M35:M39">PRODUCT(G35,J35)/1000</f>
        <v>88.48096799999999</v>
      </c>
      <c r="N35" s="28"/>
      <c r="O35" s="43">
        <f>+[3]SECLE10KW!C14</f>
        <v>260.63813507633336</v>
      </c>
      <c r="P35" s="20"/>
      <c r="Q35" s="43">
        <f>+[3]SECLE10KW!E14</f>
        <v>247.18634984067961</v>
      </c>
      <c r="R35" s="28"/>
      <c r="S35" s="28"/>
      <c r="T35" s="28"/>
      <c r="U35" s="43">
        <f t="shared" si="12"/>
        <v>-13.451785235653745</v>
      </c>
      <c r="V35" s="28"/>
      <c r="W35" s="20">
        <f t="shared" si="13"/>
        <v>-1190.2269789787513</v>
      </c>
    </row>
    <row r="36" spans="1:23" ht="15">
      <c r="A36" s="39">
        <f t="shared" si="4"/>
        <v>21</v>
      </c>
      <c r="B36" s="1"/>
      <c r="C36" s="18">
        <f t="shared" si="10"/>
        <v>2021</v>
      </c>
      <c r="D36" s="1"/>
      <c r="E36" s="19">
        <f t="shared" si="14"/>
        <v>3</v>
      </c>
      <c r="G36" s="44">
        <f t="shared" si="16" ref="G36:G45">+G35</f>
        <v>0.29799999999999999</v>
      </c>
      <c r="H36" s="27"/>
      <c r="I36" s="27"/>
      <c r="J36" s="27">
        <f t="shared" si="11"/>
        <v>297390</v>
      </c>
      <c r="K36" s="27"/>
      <c r="L36" s="29"/>
      <c r="M36" s="20">
        <f t="shared" si="15"/>
        <v>88.622219999999999</v>
      </c>
      <c r="N36" s="28"/>
      <c r="O36" s="43">
        <f>+[3]SECLE10KW!C15</f>
        <v>335.05091215614283</v>
      </c>
      <c r="P36" s="20"/>
      <c r="Q36" s="43">
        <f>+[3]SECLE10KW!E15</f>
        <v>176.70009991972592</v>
      </c>
      <c r="R36" s="28"/>
      <c r="S36" s="28"/>
      <c r="T36" s="28"/>
      <c r="U36" s="43">
        <f t="shared" si="12"/>
        <v>-158.35081223641691</v>
      </c>
      <c r="V36" s="28"/>
      <c r="W36" s="20">
        <f t="shared" si="13"/>
        <v>-14033.400519194431</v>
      </c>
    </row>
    <row r="37" spans="1:23" ht="15">
      <c r="A37" s="39">
        <f t="shared" si="4"/>
        <v>22</v>
      </c>
      <c r="B37" s="1"/>
      <c r="C37" s="18">
        <f t="shared" si="10"/>
        <v>2021</v>
      </c>
      <c r="D37" s="1"/>
      <c r="E37" s="19">
        <f t="shared" si="14"/>
        <v>4</v>
      </c>
      <c r="G37" s="44">
        <f t="shared" si="16"/>
        <v>0.29799999999999999</v>
      </c>
      <c r="H37" s="27"/>
      <c r="I37" s="27"/>
      <c r="J37" s="27">
        <f t="shared" si="11"/>
        <v>299035</v>
      </c>
      <c r="K37" s="27"/>
      <c r="L37" s="29"/>
      <c r="M37" s="20">
        <f t="shared" si="15"/>
        <v>89.112429999999989</v>
      </c>
      <c r="N37" s="28"/>
      <c r="O37" s="43">
        <f>+[3]SECLE10KW!C16</f>
        <v>27.542776889666658</v>
      </c>
      <c r="P37" s="20"/>
      <c r="Q37" s="43">
        <f>+[3]SECLE10KW!E16</f>
        <v>59.318212636485967</v>
      </c>
      <c r="R37" s="28"/>
      <c r="S37" s="28"/>
      <c r="T37" s="28"/>
      <c r="U37" s="43">
        <f t="shared" si="12"/>
        <v>31.775435746819308</v>
      </c>
      <c r="V37" s="28"/>
      <c r="W37" s="20">
        <f t="shared" si="13"/>
        <v>2831.5862937079328</v>
      </c>
    </row>
    <row r="38" spans="1:23" ht="15">
      <c r="A38" s="39">
        <f t="shared" si="4"/>
        <v>23</v>
      </c>
      <c r="B38" s="1"/>
      <c r="C38" s="18">
        <f t="shared" si="10"/>
        <v>2021</v>
      </c>
      <c r="D38" s="1"/>
      <c r="E38" s="19">
        <f t="shared" si="14"/>
        <v>5</v>
      </c>
      <c r="G38" s="44">
        <f t="shared" si="16"/>
        <v>0.29799999999999999</v>
      </c>
      <c r="H38" s="27"/>
      <c r="I38" s="27"/>
      <c r="J38" s="27">
        <f t="shared" si="11"/>
        <v>299788</v>
      </c>
      <c r="K38" s="27"/>
      <c r="L38" s="29"/>
      <c r="M38" s="20">
        <f t="shared" si="15"/>
        <v>89.336823999999993</v>
      </c>
      <c r="N38" s="28"/>
      <c r="O38" s="43">
        <f>+[3]SECLE10KW!C17</f>
        <v>17.076907584857143</v>
      </c>
      <c r="P38" s="20"/>
      <c r="Q38" s="43">
        <f>+[3]SECLE10KW!E17</f>
        <v>12.705528414639035</v>
      </c>
      <c r="R38" s="28"/>
      <c r="S38" s="28"/>
      <c r="T38" s="28"/>
      <c r="U38" s="43">
        <f t="shared" si="12"/>
        <v>-4.3713791702181073</v>
      </c>
      <c r="V38" s="28"/>
      <c r="W38" s="20">
        <f t="shared" si="13"/>
        <v>-390.52513156704106</v>
      </c>
    </row>
    <row r="39" spans="1:23" ht="15">
      <c r="A39" s="39">
        <f t="shared" si="4"/>
        <v>24</v>
      </c>
      <c r="B39" s="1"/>
      <c r="C39" s="18">
        <f t="shared" si="10"/>
        <v>2021</v>
      </c>
      <c r="D39" s="1"/>
      <c r="E39" s="19">
        <f t="shared" si="14"/>
        <v>6</v>
      </c>
      <c r="G39" s="44">
        <f t="shared" si="16"/>
        <v>0.29799999999999999</v>
      </c>
      <c r="H39" s="30"/>
      <c r="I39" s="30"/>
      <c r="J39" s="30">
        <f t="shared" si="11"/>
        <v>300604</v>
      </c>
      <c r="K39" s="30"/>
      <c r="L39" s="31"/>
      <c r="M39" s="30">
        <f t="shared" si="15"/>
        <v>89.579992000000004</v>
      </c>
      <c r="N39" s="51"/>
      <c r="O39" s="43">
        <f>+[3]SECLE10KW!C18</f>
        <v>0.76411785857142855</v>
      </c>
      <c r="P39" s="20"/>
      <c r="Q39" s="43">
        <f>+[3]SECLE10KW!E18</f>
        <v>0.9380025767432153</v>
      </c>
      <c r="R39" s="28"/>
      <c r="S39" s="28"/>
      <c r="T39" s="28"/>
      <c r="U39" s="43">
        <f t="shared" si="12"/>
        <v>0.17388471817178675</v>
      </c>
      <c r="V39" s="28"/>
      <c r="W39" s="20">
        <f t="shared" si="13"/>
        <v>15.576591662750912</v>
      </c>
    </row>
    <row r="40" spans="1:23" ht="15">
      <c r="A40" s="39">
        <f t="shared" si="4"/>
        <v>25</v>
      </c>
      <c r="B40" s="1"/>
      <c r="C40" s="18">
        <f t="shared" si="10"/>
        <v>2021</v>
      </c>
      <c r="D40" s="1"/>
      <c r="E40" s="19">
        <f t="shared" si="14"/>
        <v>7</v>
      </c>
      <c r="F40" s="23"/>
      <c r="G40" s="44">
        <f t="shared" si="16"/>
        <v>0.29799999999999999</v>
      </c>
      <c r="H40" s="28"/>
      <c r="I40" s="28"/>
      <c r="J40" s="27">
        <f t="shared" si="17" ref="J40:J45">J22</f>
        <v>301274</v>
      </c>
      <c r="K40" s="3"/>
      <c r="L40" s="3"/>
      <c r="M40" s="20">
        <f t="shared" si="18" ref="M40:M45">PRODUCT(G40,J40)/1000</f>
        <v>89.779651999999999</v>
      </c>
      <c r="N40" s="3"/>
      <c r="O40" s="43">
        <f>+[3]SECLE10KW!C19</f>
        <v>0</v>
      </c>
      <c r="P40" s="20"/>
      <c r="Q40" s="43">
        <f>+[3]SECLE10KW!E19</f>
        <v>0.0056579716405017796</v>
      </c>
      <c r="R40" s="3"/>
      <c r="S40" s="3"/>
      <c r="T40" s="3"/>
      <c r="U40" s="43">
        <f t="shared" si="19" ref="U40:U45">+Q40-O40</f>
        <v>0.0056579716405017796</v>
      </c>
      <c r="V40" s="3"/>
      <c r="W40" s="20">
        <f t="shared" si="20" ref="W40:W45">+M40*U40</f>
        <v>0.50797072491011885</v>
      </c>
    </row>
    <row r="41" spans="1:23" ht="15">
      <c r="A41" s="39">
        <f t="shared" si="4"/>
        <v>26</v>
      </c>
      <c r="B41" s="1"/>
      <c r="C41" s="18">
        <f t="shared" si="10"/>
        <v>2021</v>
      </c>
      <c r="D41" s="1"/>
      <c r="E41" s="19">
        <f t="shared" si="14"/>
        <v>8</v>
      </c>
      <c r="G41" s="44">
        <f t="shared" si="16"/>
        <v>0.29799999999999999</v>
      </c>
      <c r="H41" s="27"/>
      <c r="I41" s="27"/>
      <c r="J41" s="27">
        <f t="shared" si="17"/>
        <v>301519</v>
      </c>
      <c r="K41" s="27"/>
      <c r="L41" s="29"/>
      <c r="M41" s="20">
        <f t="shared" si="18"/>
        <v>89.852661999999995</v>
      </c>
      <c r="N41" s="3"/>
      <c r="O41" s="43">
        <f>+[3]SECLE10KW!C20</f>
        <v>0</v>
      </c>
      <c r="P41" s="20"/>
      <c r="Q41" s="43">
        <f>+[3]SECLE10KW!E20</f>
        <v>0</v>
      </c>
      <c r="R41" s="3"/>
      <c r="S41" s="3"/>
      <c r="T41" s="3"/>
      <c r="U41" s="43">
        <f t="shared" si="19"/>
        <v>0</v>
      </c>
      <c r="V41" s="3"/>
      <c r="W41" s="20">
        <f t="shared" si="20"/>
        <v>0</v>
      </c>
    </row>
    <row r="42" spans="1:23" ht="15">
      <c r="A42" s="39">
        <f t="shared" si="4"/>
        <v>27</v>
      </c>
      <c r="B42" s="1"/>
      <c r="C42" s="18">
        <f t="shared" si="10"/>
        <v>2021</v>
      </c>
      <c r="D42" s="1"/>
      <c r="E42" s="19">
        <f t="shared" si="14"/>
        <v>9</v>
      </c>
      <c r="G42" s="44">
        <f t="shared" si="16"/>
        <v>0.29799999999999999</v>
      </c>
      <c r="H42" s="27"/>
      <c r="I42" s="27"/>
      <c r="J42" s="27">
        <f t="shared" si="17"/>
        <v>302471</v>
      </c>
      <c r="K42" s="27"/>
      <c r="L42" s="29"/>
      <c r="M42" s="20">
        <f t="shared" si="18"/>
        <v>90.136357999999987</v>
      </c>
      <c r="N42" s="3"/>
      <c r="O42" s="43">
        <f>+[3]SECLE10KW!C21</f>
        <v>0</v>
      </c>
      <c r="P42" s="20"/>
      <c r="Q42" s="43">
        <f>+[3]SECLE10KW!E21</f>
        <v>0.053763678665136955</v>
      </c>
      <c r="R42" s="3"/>
      <c r="S42" s="3"/>
      <c r="T42" s="3"/>
      <c r="U42" s="43">
        <f t="shared" si="19"/>
        <v>0.053763678665136955</v>
      </c>
      <c r="V42" s="3"/>
      <c r="W42" s="20">
        <f t="shared" si="20"/>
        <v>4.8460621875577461</v>
      </c>
    </row>
    <row r="43" spans="1:23" ht="15">
      <c r="A43" s="39">
        <f t="shared" si="4"/>
        <v>28</v>
      </c>
      <c r="B43" s="1"/>
      <c r="C43" s="18">
        <f t="shared" si="10"/>
        <v>2021</v>
      </c>
      <c r="D43" s="1"/>
      <c r="E43" s="19">
        <f t="shared" si="14"/>
        <v>10</v>
      </c>
      <c r="G43" s="44">
        <f t="shared" si="16"/>
        <v>0.29799999999999999</v>
      </c>
      <c r="H43" s="27"/>
      <c r="I43" s="27"/>
      <c r="J43" s="27">
        <f t="shared" si="17"/>
        <v>303108</v>
      </c>
      <c r="K43" s="27"/>
      <c r="L43" s="29"/>
      <c r="M43" s="20">
        <f t="shared" si="18"/>
        <v>90.326183999999998</v>
      </c>
      <c r="N43" s="3"/>
      <c r="O43" s="43">
        <f>+[3]SECLE10KW!C22</f>
        <v>0.14014840642857127</v>
      </c>
      <c r="P43" s="20"/>
      <c r="Q43" s="43">
        <f>+[3]SECLE10KW!E22</f>
        <v>2.3127375759131463</v>
      </c>
      <c r="R43" s="3"/>
      <c r="S43" s="3"/>
      <c r="T43" s="3"/>
      <c r="U43" s="43">
        <f t="shared" si="19"/>
        <v>2.1725891694845751</v>
      </c>
      <c r="V43" s="3"/>
      <c r="W43" s="20">
        <f t="shared" si="20"/>
        <v>196.24168907927091</v>
      </c>
    </row>
    <row r="44" spans="1:23" ht="15">
      <c r="A44" s="39">
        <f t="shared" si="4"/>
        <v>29</v>
      </c>
      <c r="B44" s="1"/>
      <c r="C44" s="18">
        <f t="shared" si="10"/>
        <v>2021</v>
      </c>
      <c r="D44" s="1"/>
      <c r="E44" s="19">
        <f t="shared" si="14"/>
        <v>11</v>
      </c>
      <c r="G44" s="44">
        <f t="shared" si="16"/>
        <v>0.29799999999999999</v>
      </c>
      <c r="H44" s="27"/>
      <c r="I44" s="27"/>
      <c r="J44" s="27">
        <f t="shared" si="17"/>
        <v>303828</v>
      </c>
      <c r="K44" s="27"/>
      <c r="L44" s="29"/>
      <c r="M44" s="20">
        <f t="shared" si="18"/>
        <v>90.540743999999989</v>
      </c>
      <c r="N44" s="28"/>
      <c r="O44" s="43">
        <f>+[3]SECLE10KW!C23</f>
        <v>17.173434384809518</v>
      </c>
      <c r="P44" s="20"/>
      <c r="Q44" s="43">
        <f>+[3]SECLE10KW!E23</f>
        <v>29.299255290824508</v>
      </c>
      <c r="R44" s="28"/>
      <c r="S44" s="28"/>
      <c r="T44" s="28"/>
      <c r="U44" s="43">
        <f t="shared" si="19"/>
        <v>12.12582090601499</v>
      </c>
      <c r="V44" s="28"/>
      <c r="W44" s="20">
        <f t="shared" si="20"/>
        <v>1097.8808464413512</v>
      </c>
    </row>
    <row r="45" spans="1:23" ht="15">
      <c r="A45" s="39">
        <f t="shared" si="4"/>
        <v>30</v>
      </c>
      <c r="B45" s="1"/>
      <c r="C45" s="18">
        <f t="shared" si="10"/>
        <v>2021</v>
      </c>
      <c r="D45" s="1"/>
      <c r="E45" s="19">
        <f t="shared" si="14"/>
        <v>12</v>
      </c>
      <c r="G45" s="44">
        <f t="shared" si="16"/>
        <v>0.29799999999999999</v>
      </c>
      <c r="H45" s="27"/>
      <c r="I45" s="27"/>
      <c r="J45" s="27">
        <f t="shared" si="17"/>
        <v>304430</v>
      </c>
      <c r="K45" s="27"/>
      <c r="L45" s="29"/>
      <c r="M45" s="20">
        <f t="shared" si="18"/>
        <v>90.720140000000001</v>
      </c>
      <c r="N45" s="28"/>
      <c r="O45" s="43">
        <f>+[3]SECLE10KW!C24</f>
        <v>64.302668515190447</v>
      </c>
      <c r="P45" s="20"/>
      <c r="Q45" s="43">
        <f>+[3]SECLE10KW!E24</f>
        <v>134.72214663083312</v>
      </c>
      <c r="R45" s="51"/>
      <c r="S45" s="51"/>
      <c r="T45" s="51"/>
      <c r="U45" s="68">
        <f t="shared" si="19"/>
        <v>70.419478115642676</v>
      </c>
      <c r="V45" s="51"/>
      <c r="W45" s="59">
        <f t="shared" si="20"/>
        <v>6388.4649133780395</v>
      </c>
    </row>
    <row r="46" spans="1:23" ht="15">
      <c r="A46" s="39">
        <f t="shared" si="4"/>
        <v>31</v>
      </c>
      <c r="B46" s="1"/>
      <c r="C46" s="21"/>
      <c r="D46" s="1"/>
      <c r="E46" s="19"/>
      <c r="G46" s="72"/>
      <c r="H46" s="72"/>
      <c r="I46" s="72"/>
      <c r="J46" s="72"/>
      <c r="K46" s="72"/>
      <c r="L46" s="73"/>
      <c r="M46" s="72"/>
      <c r="N46" s="74"/>
      <c r="O46" s="76">
        <f>SUM(O34:O45)</f>
        <v>950.2968811395715</v>
      </c>
      <c r="P46" s="76"/>
      <c r="Q46" s="76">
        <f>SUM(Q34:Q45)</f>
        <v>913.21576280118177</v>
      </c>
      <c r="R46" s="76"/>
      <c r="S46" s="76">
        <f>SUM(S40:S45)</f>
        <v>0</v>
      </c>
      <c r="T46" s="76"/>
      <c r="U46" s="77">
        <f>+Q46-O46</f>
        <v>-37.081118338389729</v>
      </c>
      <c r="V46" s="76"/>
      <c r="W46" s="76">
        <f>SUM(W34:W45)</f>
        <v>-3101.3291346636533</v>
      </c>
    </row>
    <row r="47" spans="1:23" ht="15">
      <c r="A47" s="39">
        <f t="shared" si="4"/>
        <v>32</v>
      </c>
      <c r="B47" s="4"/>
      <c r="C47" s="24"/>
      <c r="D47" s="4"/>
      <c r="E47" s="25"/>
      <c r="F47" s="8"/>
      <c r="G47" s="32"/>
      <c r="H47" s="33"/>
      <c r="I47" s="33"/>
      <c r="J47" s="32"/>
      <c r="K47" s="33"/>
      <c r="L47" s="34"/>
      <c r="M47" s="32"/>
      <c r="N47" s="35"/>
      <c r="O47" s="32"/>
      <c r="P47" s="35"/>
      <c r="Q47" s="32"/>
      <c r="R47" s="35"/>
      <c r="S47" s="35"/>
      <c r="T47" s="35"/>
      <c r="U47" s="32"/>
      <c r="V47" s="35"/>
      <c r="W47" s="36"/>
    </row>
    <row r="48" spans="1:23" ht="15">
      <c r="A48" s="39">
        <f t="shared" si="4"/>
        <v>33</v>
      </c>
      <c r="B48" s="1"/>
      <c r="C48" s="21"/>
      <c r="D48" s="1"/>
      <c r="E48" s="19"/>
      <c r="G48" s="30"/>
      <c r="H48" s="27"/>
      <c r="I48" s="27"/>
      <c r="J48" s="30"/>
      <c r="K48" s="27"/>
      <c r="L48" s="29"/>
      <c r="M48" s="30"/>
      <c r="N48" s="28"/>
      <c r="O48" s="30"/>
      <c r="P48" s="28"/>
      <c r="Q48" s="30"/>
      <c r="R48" s="28"/>
      <c r="S48" s="28"/>
      <c r="T48" s="28"/>
      <c r="U48" s="30"/>
      <c r="V48" s="28"/>
      <c r="W48" s="31"/>
    </row>
    <row r="49" spans="1:23" ht="15">
      <c r="A49" s="39">
        <f t="shared" si="4"/>
        <v>34</v>
      </c>
      <c r="B49" s="11"/>
      <c r="C49" s="11" t="s">
        <v>1</v>
      </c>
      <c r="D49" s="11"/>
      <c r="E49" s="11" t="s">
        <v>2</v>
      </c>
      <c r="F49" s="1"/>
      <c r="G49" s="12"/>
      <c r="H49" s="12"/>
      <c r="I49" s="12"/>
      <c r="J49" s="12"/>
      <c r="K49" s="12"/>
      <c r="L49" s="12"/>
      <c r="M49" s="13"/>
      <c r="N49" s="14"/>
      <c r="O49" s="14"/>
      <c r="P49" s="14"/>
      <c r="Q49" s="14"/>
      <c r="R49" s="14"/>
      <c r="S49" s="13"/>
      <c r="T49" s="14"/>
      <c r="U49" s="12"/>
      <c r="V49" s="12"/>
      <c r="W49" s="12" t="s">
        <v>8</v>
      </c>
    </row>
    <row r="50" spans="1:23" ht="15">
      <c r="A50" s="39">
        <f t="shared" si="4"/>
        <v>35</v>
      </c>
      <c r="B50" s="1"/>
      <c r="C50" s="26"/>
      <c r="D50" s="1"/>
      <c r="E50" s="26"/>
      <c r="F50" s="1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6" t="s">
        <v>114</v>
      </c>
    </row>
    <row r="51" spans="1:23" ht="15">
      <c r="A51" s="39">
        <f t="shared" si="4"/>
        <v>36</v>
      </c>
      <c r="C51" s="23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</row>
    <row r="52" spans="1:23" ht="15">
      <c r="A52" s="39">
        <f t="shared" si="4"/>
        <v>37</v>
      </c>
      <c r="B52" s="1"/>
      <c r="C52" s="21">
        <f>+C34</f>
        <v>2021</v>
      </c>
      <c r="D52" s="1"/>
      <c r="E52" s="21">
        <f>+E34</f>
        <v>1</v>
      </c>
      <c r="G52" s="27"/>
      <c r="H52" s="27"/>
      <c r="I52" s="27"/>
      <c r="J52" s="27"/>
      <c r="K52" s="27"/>
      <c r="L52" s="27"/>
      <c r="M52" s="27"/>
      <c r="N52" s="28"/>
      <c r="O52" s="27"/>
      <c r="P52" s="28"/>
      <c r="Q52" s="27"/>
      <c r="R52" s="28"/>
      <c r="S52" s="28"/>
      <c r="T52" s="28"/>
      <c r="U52" s="27"/>
      <c r="V52" s="28"/>
      <c r="W52" s="27">
        <f t="shared" si="21" ref="W52:W63">+W16+W34</f>
        <v>2131.212844733142</v>
      </c>
    </row>
    <row r="53" spans="1:23" ht="15">
      <c r="A53" s="39">
        <f t="shared" si="4"/>
        <v>38</v>
      </c>
      <c r="B53" s="1"/>
      <c r="C53" s="21">
        <f t="shared" si="22" ref="C53:C63">+C35</f>
        <v>2021</v>
      </c>
      <c r="D53" s="1"/>
      <c r="E53" s="21">
        <f t="shared" si="23" ref="E53:E63">+E35</f>
        <v>2</v>
      </c>
      <c r="G53" s="27"/>
      <c r="H53" s="27"/>
      <c r="I53" s="27"/>
      <c r="J53" s="27"/>
      <c r="K53" s="27"/>
      <c r="L53" s="27"/>
      <c r="M53" s="27"/>
      <c r="N53" s="28"/>
      <c r="O53" s="27"/>
      <c r="P53" s="28"/>
      <c r="Q53" s="27"/>
      <c r="R53" s="28"/>
      <c r="S53" s="28"/>
      <c r="T53" s="28"/>
      <c r="U53" s="27"/>
      <c r="V53" s="28"/>
      <c r="W53" s="27">
        <f t="shared" si="21"/>
        <v>-1079.9409651801304</v>
      </c>
    </row>
    <row r="54" spans="1:23" ht="15">
      <c r="A54" s="39">
        <f t="shared" si="4"/>
        <v>39</v>
      </c>
      <c r="B54" s="1"/>
      <c r="C54" s="21">
        <f t="shared" si="22"/>
        <v>2021</v>
      </c>
      <c r="D54" s="1"/>
      <c r="E54" s="21">
        <f t="shared" si="23"/>
        <v>3</v>
      </c>
      <c r="G54" s="27"/>
      <c r="H54" s="27"/>
      <c r="I54" s="27"/>
      <c r="J54" s="27"/>
      <c r="K54" s="27"/>
      <c r="L54" s="27"/>
      <c r="M54" s="27"/>
      <c r="N54" s="28"/>
      <c r="O54" s="27"/>
      <c r="P54" s="28"/>
      <c r="Q54" s="27"/>
      <c r="R54" s="28"/>
      <c r="S54" s="28"/>
      <c r="T54" s="28"/>
      <c r="U54" s="27"/>
      <c r="V54" s="28"/>
      <c r="W54" s="27">
        <f t="shared" si="21"/>
        <v>-13874.230891903953</v>
      </c>
    </row>
    <row r="55" spans="1:23" ht="15">
      <c r="A55" s="39">
        <f t="shared" si="4"/>
        <v>40</v>
      </c>
      <c r="B55" s="1"/>
      <c r="C55" s="21">
        <f t="shared" si="22"/>
        <v>2021</v>
      </c>
      <c r="D55" s="1"/>
      <c r="E55" s="21">
        <f t="shared" si="23"/>
        <v>4</v>
      </c>
      <c r="G55" s="27"/>
      <c r="H55" s="27"/>
      <c r="I55" s="27"/>
      <c r="J55" s="27"/>
      <c r="K55" s="27"/>
      <c r="L55" s="27"/>
      <c r="M55" s="27"/>
      <c r="N55" s="28"/>
      <c r="O55" s="27"/>
      <c r="P55" s="28"/>
      <c r="Q55" s="27"/>
      <c r="R55" s="28"/>
      <c r="S55" s="28"/>
      <c r="T55" s="28"/>
      <c r="U55" s="27"/>
      <c r="V55" s="28"/>
      <c r="W55" s="27">
        <f t="shared" si="21"/>
        <v>3604.2532627459072</v>
      </c>
    </row>
    <row r="56" spans="1:23" ht="15">
      <c r="A56" s="39">
        <f t="shared" si="4"/>
        <v>41</v>
      </c>
      <c r="B56" s="1"/>
      <c r="C56" s="21">
        <f t="shared" si="22"/>
        <v>2021</v>
      </c>
      <c r="D56" s="1"/>
      <c r="E56" s="21">
        <f t="shared" si="23"/>
        <v>5</v>
      </c>
      <c r="G56" s="27"/>
      <c r="H56" s="27"/>
      <c r="I56" s="27"/>
      <c r="J56" s="27"/>
      <c r="K56" s="27"/>
      <c r="L56" s="27"/>
      <c r="M56" s="27"/>
      <c r="N56" s="28"/>
      <c r="O56" s="27"/>
      <c r="P56" s="28"/>
      <c r="Q56" s="27"/>
      <c r="R56" s="28"/>
      <c r="S56" s="28"/>
      <c r="T56" s="28"/>
      <c r="U56" s="27"/>
      <c r="V56" s="28"/>
      <c r="W56" s="27">
        <f t="shared" si="21"/>
        <v>3212.1834260273367</v>
      </c>
    </row>
    <row r="57" spans="1:23" ht="15">
      <c r="A57" s="39">
        <f t="shared" si="4"/>
        <v>42</v>
      </c>
      <c r="B57" s="1"/>
      <c r="C57" s="21">
        <f t="shared" si="22"/>
        <v>2021</v>
      </c>
      <c r="D57" s="1"/>
      <c r="E57" s="21">
        <f t="shared" si="23"/>
        <v>6</v>
      </c>
      <c r="G57" s="30"/>
      <c r="H57" s="30"/>
      <c r="I57" s="30"/>
      <c r="J57" s="30"/>
      <c r="K57" s="30"/>
      <c r="L57" s="30"/>
      <c r="M57" s="30"/>
      <c r="N57" s="51"/>
      <c r="O57" s="30"/>
      <c r="P57" s="51"/>
      <c r="Q57" s="30"/>
      <c r="R57" s="51"/>
      <c r="S57" s="51"/>
      <c r="T57" s="51"/>
      <c r="U57" s="30"/>
      <c r="V57" s="51"/>
      <c r="W57" s="30">
        <f t="shared" si="21"/>
        <v>8032.3579465849607</v>
      </c>
    </row>
    <row r="58" spans="1:23" ht="15">
      <c r="A58" s="39">
        <f t="shared" si="4"/>
        <v>43</v>
      </c>
      <c r="B58" s="1"/>
      <c r="C58" s="21">
        <f t="shared" si="22"/>
        <v>2021</v>
      </c>
      <c r="D58" s="1"/>
      <c r="E58" s="21">
        <f t="shared" si="23"/>
        <v>7</v>
      </c>
      <c r="G58" s="27"/>
      <c r="H58" s="28"/>
      <c r="I58" s="28"/>
      <c r="J58" s="27"/>
      <c r="K58" s="28"/>
      <c r="L58" s="29"/>
      <c r="M58" s="27"/>
      <c r="N58" s="28"/>
      <c r="O58" s="27"/>
      <c r="P58" s="28"/>
      <c r="Q58" s="27"/>
      <c r="R58" s="28"/>
      <c r="S58" s="28"/>
      <c r="T58" s="28"/>
      <c r="U58" s="27"/>
      <c r="V58" s="28"/>
      <c r="W58" s="27">
        <f t="shared" si="21"/>
        <v>4236.2373015950088</v>
      </c>
    </row>
    <row r="59" spans="1:23" ht="15">
      <c r="A59" s="39">
        <f t="shared" si="4"/>
        <v>44</v>
      </c>
      <c r="B59" s="1"/>
      <c r="C59" s="21">
        <f t="shared" si="22"/>
        <v>2021</v>
      </c>
      <c r="D59" s="1"/>
      <c r="E59" s="21">
        <f t="shared" si="23"/>
        <v>8</v>
      </c>
      <c r="G59" s="27"/>
      <c r="H59" s="27"/>
      <c r="I59" s="27"/>
      <c r="J59" s="27"/>
      <c r="K59" s="27"/>
      <c r="L59" s="27"/>
      <c r="M59" s="27"/>
      <c r="N59" s="28"/>
      <c r="O59" s="27"/>
      <c r="P59" s="28"/>
      <c r="Q59" s="27"/>
      <c r="R59" s="28"/>
      <c r="S59" s="28"/>
      <c r="T59" s="28"/>
      <c r="U59" s="27"/>
      <c r="V59" s="28"/>
      <c r="W59" s="27">
        <f t="shared" si="21"/>
        <v>7778.895318220113</v>
      </c>
    </row>
    <row r="60" spans="1:23" ht="15">
      <c r="A60" s="39">
        <f t="shared" si="4"/>
        <v>45</v>
      </c>
      <c r="B60" s="1"/>
      <c r="C60" s="21">
        <f t="shared" si="22"/>
        <v>2021</v>
      </c>
      <c r="D60" s="1"/>
      <c r="E60" s="21">
        <f t="shared" si="23"/>
        <v>9</v>
      </c>
      <c r="G60" s="27"/>
      <c r="H60" s="27"/>
      <c r="I60" s="27"/>
      <c r="J60" s="27"/>
      <c r="K60" s="27"/>
      <c r="L60" s="27"/>
      <c r="M60" s="27"/>
      <c r="N60" s="28"/>
      <c r="O60" s="27"/>
      <c r="P60" s="28"/>
      <c r="Q60" s="27"/>
      <c r="R60" s="28"/>
      <c r="S60" s="28"/>
      <c r="T60" s="28"/>
      <c r="U60" s="27"/>
      <c r="V60" s="28"/>
      <c r="W60" s="27">
        <f t="shared" si="21"/>
        <v>584.81074266765188</v>
      </c>
    </row>
    <row r="61" spans="1:23" ht="15">
      <c r="A61" s="39">
        <f t="shared" si="4"/>
        <v>46</v>
      </c>
      <c r="B61" s="1"/>
      <c r="C61" s="21">
        <f t="shared" si="22"/>
        <v>2021</v>
      </c>
      <c r="D61" s="1"/>
      <c r="E61" s="21">
        <f t="shared" si="23"/>
        <v>10</v>
      </c>
      <c r="G61" s="27"/>
      <c r="H61" s="27"/>
      <c r="I61" s="27"/>
      <c r="J61" s="27"/>
      <c r="K61" s="27"/>
      <c r="L61" s="27"/>
      <c r="M61" s="27"/>
      <c r="N61" s="28"/>
      <c r="O61" s="27"/>
      <c r="P61" s="28"/>
      <c r="Q61" s="27"/>
      <c r="R61" s="28"/>
      <c r="S61" s="28"/>
      <c r="T61" s="28"/>
      <c r="U61" s="27"/>
      <c r="V61" s="28"/>
      <c r="W61" s="27">
        <f t="shared" si="21"/>
        <v>-1188.0654134870595</v>
      </c>
    </row>
    <row r="62" spans="1:23" ht="15">
      <c r="A62" s="39">
        <f t="shared" si="4"/>
        <v>47</v>
      </c>
      <c r="B62" s="1"/>
      <c r="C62" s="21">
        <f t="shared" si="22"/>
        <v>2021</v>
      </c>
      <c r="D62" s="1"/>
      <c r="E62" s="21">
        <f t="shared" si="23"/>
        <v>11</v>
      </c>
      <c r="G62" s="27"/>
      <c r="H62" s="27"/>
      <c r="I62" s="27"/>
      <c r="J62" s="27"/>
      <c r="K62" s="27"/>
      <c r="L62" s="27"/>
      <c r="M62" s="27"/>
      <c r="N62" s="28"/>
      <c r="O62" s="27"/>
      <c r="P62" s="28"/>
      <c r="Q62" s="27"/>
      <c r="R62" s="28"/>
      <c r="S62" s="28"/>
      <c r="T62" s="28"/>
      <c r="U62" s="27"/>
      <c r="V62" s="28"/>
      <c r="W62" s="27">
        <f t="shared" si="21"/>
        <v>-229.02130307075731</v>
      </c>
    </row>
    <row r="63" spans="1:23" ht="15">
      <c r="A63" s="39">
        <f t="shared" si="4"/>
        <v>48</v>
      </c>
      <c r="B63" s="1"/>
      <c r="C63" s="21">
        <f t="shared" si="22"/>
        <v>2021</v>
      </c>
      <c r="D63" s="1"/>
      <c r="E63" s="21">
        <f t="shared" si="23"/>
        <v>12</v>
      </c>
      <c r="G63" s="27"/>
      <c r="H63" s="27"/>
      <c r="I63" s="27"/>
      <c r="J63" s="27"/>
      <c r="K63" s="27"/>
      <c r="L63" s="27"/>
      <c r="M63" s="27"/>
      <c r="N63" s="28"/>
      <c r="O63" s="27"/>
      <c r="P63" s="28"/>
      <c r="Q63" s="27"/>
      <c r="R63" s="28"/>
      <c r="S63" s="28"/>
      <c r="T63" s="28"/>
      <c r="U63" s="27"/>
      <c r="V63" s="28"/>
      <c r="W63" s="30">
        <f t="shared" si="21"/>
        <v>6573.3521008899124</v>
      </c>
    </row>
    <row r="64" spans="1:24" ht="15">
      <c r="A64" s="39">
        <f t="shared" si="4"/>
        <v>49</v>
      </c>
      <c r="C64" s="37" t="s">
        <v>8</v>
      </c>
      <c r="E64" s="19"/>
      <c r="G64" s="72"/>
      <c r="H64" s="78"/>
      <c r="I64" s="78"/>
      <c r="J64" s="78"/>
      <c r="K64" s="78"/>
      <c r="L64" s="78"/>
      <c r="M64" s="78"/>
      <c r="N64" s="74"/>
      <c r="O64" s="78"/>
      <c r="P64" s="74"/>
      <c r="Q64" s="78"/>
      <c r="R64" s="74"/>
      <c r="S64" s="74"/>
      <c r="T64" s="74"/>
      <c r="U64" s="78"/>
      <c r="V64" s="74"/>
      <c r="W64" s="72">
        <f>SUM(W52:W63)</f>
        <v>19782.044369822132</v>
      </c>
      <c r="X64" s="64"/>
    </row>
    <row r="65" spans="7:22" ht="15">
      <c r="G65" s="27"/>
      <c r="H65" s="27"/>
      <c r="I65" s="27"/>
      <c r="J65" s="27"/>
      <c r="K65" s="27"/>
      <c r="L65" s="27"/>
      <c r="M65" s="27"/>
      <c r="N65" s="28"/>
      <c r="O65" s="27"/>
      <c r="P65" s="28"/>
      <c r="Q65" s="27"/>
      <c r="R65" s="28"/>
      <c r="S65" s="28"/>
      <c r="T65" s="28"/>
      <c r="U65" s="27"/>
      <c r="V65" s="28"/>
    </row>
    <row r="66" spans="3:23" ht="15">
      <c r="C66" s="23"/>
      <c r="G66" s="27"/>
      <c r="H66" s="27"/>
      <c r="I66" s="27"/>
      <c r="J66" s="27"/>
      <c r="K66" s="27"/>
      <c r="L66" s="27"/>
      <c r="M66" s="27"/>
      <c r="N66" s="28"/>
      <c r="O66" s="28"/>
      <c r="P66" s="28"/>
      <c r="Q66" s="28"/>
      <c r="R66" s="28"/>
      <c r="S66" s="28"/>
      <c r="T66" s="28"/>
      <c r="U66" s="28"/>
      <c r="V66" s="28"/>
      <c r="W66" s="28"/>
    </row>
  </sheetData>
  <printOptions horizontalCentered="1"/>
  <pageMargins left="0.25" right="0" top="1.5" bottom="0.25" header="0.5" footer="0.5"/>
  <pageSetup orientation="landscape" scale="5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22">
    <pageSetUpPr fitToPage="1"/>
  </sheetPr>
  <dimension ref="A1:AA65"/>
  <sheetViews>
    <sheetView zoomScale="75" zoomScaleNormal="75" zoomScaleSheetLayoutView="70" workbookViewId="0" topLeftCell="A1"/>
  </sheetViews>
  <sheetFormatPr defaultRowHeight="12.75"/>
  <cols>
    <col min="1" max="1" width="5.85714285714286" bestFit="1" customWidth="1"/>
    <col min="2" max="2" width="2.71428571428571" customWidth="1"/>
    <col min="3" max="3" width="12.4285714285714" customWidth="1"/>
    <col min="4" max="4" width="2.71428571428571" customWidth="1"/>
    <col min="5" max="5" width="8" customWidth="1"/>
    <col min="6" max="6" width="2.71428571428571" customWidth="1"/>
    <col min="7" max="7" width="16.8571428571429" bestFit="1" customWidth="1"/>
    <col min="8" max="8" width="1.42857142857143" customWidth="1"/>
    <col min="9" max="9" width="1.14285714285714" customWidth="1"/>
    <col min="10" max="10" width="16.1428571428571" customWidth="1"/>
    <col min="11" max="11" width="1.14285714285714" customWidth="1"/>
    <col min="12" max="12" width="16.8571428571429" hidden="1" customWidth="1"/>
    <col min="13" max="13" width="21.5714285714286" customWidth="1"/>
    <col min="14" max="14" width="1.14285714285714" customWidth="1"/>
    <col min="15" max="15" width="15.5714285714286" customWidth="1"/>
    <col min="16" max="16" width="1.14285714285714" customWidth="1"/>
    <col min="17" max="17" width="16.1428571428571" customWidth="1"/>
    <col min="18" max="18" width="1.42857142857143" customWidth="1"/>
    <col min="19" max="19" width="16.8571428571429" hidden="1" customWidth="1"/>
    <col min="20" max="20" width="1.28571428571429" hidden="1" customWidth="1"/>
    <col min="21" max="21" width="16.8571428571429" bestFit="1" customWidth="1"/>
    <col min="22" max="22" width="1.14285714285714" customWidth="1"/>
    <col min="23" max="23" width="17.2857142857143" customWidth="1"/>
    <col min="24" max="24" width="1.71428571428571" customWidth="1"/>
  </cols>
  <sheetData>
    <row r="1" spans="1:24" ht="15.75">
      <c r="A1" s="1"/>
      <c r="B1" s="1"/>
      <c r="C1" s="1"/>
      <c r="D1" s="1"/>
      <c r="E1" s="1"/>
      <c r="F1" s="1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t="s">
        <v>10</v>
      </c>
      <c r="X1" s="3"/>
    </row>
    <row r="2" spans="1:24" ht="15.75">
      <c r="A2" s="4"/>
      <c r="B2" s="4"/>
      <c r="C2" s="4"/>
      <c r="D2" s="4"/>
      <c r="E2" s="4"/>
      <c r="F2" s="4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83" t="s">
        <v>124</v>
      </c>
      <c r="X2" s="6"/>
    </row>
    <row r="3" spans="1:24" ht="15.75">
      <c r="A3" s="4"/>
      <c r="B3" s="4"/>
      <c r="C3" s="4"/>
      <c r="D3" s="4"/>
      <c r="E3" s="4"/>
      <c r="F3" s="4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75">
      <c r="A4" s="7" t="str">
        <f>+'Weather Adjustment'!A4</f>
        <v>PUC DOCKET NO</v>
      </c>
      <c r="B4" s="4"/>
      <c r="C4" s="4"/>
      <c r="D4" s="4"/>
      <c r="E4" s="4"/>
      <c r="F4" s="4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.75">
      <c r="A5" s="7" t="str">
        <f>+'Weather Adjustment'!A5</f>
        <v>ONCOR ELECTRIC DELIVERY COMPANY LLC</v>
      </c>
      <c r="B5" s="4"/>
      <c r="C5" s="4"/>
      <c r="D5" s="4"/>
      <c r="E5" s="4"/>
      <c r="F5" s="4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75">
      <c r="A6" s="9" t="str">
        <f>+'Weather Adjustment'!A6</f>
        <v>MONTHLY SALES DATA</v>
      </c>
      <c r="B6" s="4"/>
      <c r="C6" s="4"/>
      <c r="D6" s="4"/>
      <c r="E6" s="4"/>
      <c r="F6" s="4"/>
      <c r="G6" s="6"/>
      <c r="H6" s="8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5.75">
      <c r="A7" s="65" t="str">
        <f>+'Weather Adjustment'!A7</f>
        <v>TEST YEAR ENDING December 31, 2021</v>
      </c>
      <c r="B7" s="4"/>
      <c r="C7" s="38"/>
      <c r="D7" s="4"/>
      <c r="E7" s="4"/>
      <c r="F7" s="4"/>
      <c r="G7" s="6"/>
      <c r="H7" s="8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2:24" ht="15">
      <c r="B8" s="4"/>
      <c r="C8" s="4"/>
      <c r="D8" s="4"/>
      <c r="E8" s="4"/>
      <c r="F8" s="4"/>
      <c r="G8" s="6"/>
      <c r="H8" s="6"/>
      <c r="I8" s="6"/>
      <c r="J8" s="6"/>
      <c r="K8" s="6"/>
      <c r="L8" s="6"/>
      <c r="M8" s="6"/>
      <c r="N8" s="6"/>
      <c r="O8" s="20"/>
      <c r="P8" s="20"/>
      <c r="Q8" s="20"/>
      <c r="R8" s="6"/>
      <c r="S8" s="6"/>
      <c r="T8" s="6"/>
      <c r="U8" s="6"/>
      <c r="V8" s="6"/>
      <c r="W8" s="6"/>
      <c r="X8" s="6"/>
    </row>
    <row r="9" spans="1:24" ht="15.75">
      <c r="A9" s="41" t="str">
        <f>+'Weather Adjustment'!A9</f>
        <v>SPONSOR:  D. E. NELSON</v>
      </c>
      <c r="B9" s="7"/>
      <c r="C9" s="7"/>
      <c r="D9" s="7"/>
      <c r="E9" s="7"/>
      <c r="F9" s="7"/>
      <c r="G9" s="9"/>
      <c r="H9" s="9"/>
      <c r="I9" s="9"/>
      <c r="J9" s="9"/>
      <c r="K9" s="9"/>
      <c r="L9" s="9"/>
      <c r="M9" s="9"/>
      <c r="N9" s="9"/>
      <c r="O9" s="42"/>
      <c r="P9" s="42"/>
      <c r="Q9" s="42"/>
      <c r="R9" s="9"/>
      <c r="S9" s="9"/>
      <c r="T9" s="9"/>
      <c r="U9" s="9"/>
      <c r="V9" s="9"/>
      <c r="W9" s="9"/>
      <c r="X9" s="9"/>
    </row>
    <row r="10" spans="2:24" ht="15">
      <c r="B10" s="4"/>
      <c r="C10" s="4"/>
      <c r="D10" s="4"/>
      <c r="E10" s="4"/>
      <c r="F10" s="4"/>
      <c r="G10" s="6"/>
      <c r="H10" s="6"/>
      <c r="I10" s="6"/>
      <c r="J10" s="6"/>
      <c r="K10" s="6"/>
      <c r="L10" s="6"/>
      <c r="M10" s="6"/>
      <c r="N10" s="6"/>
      <c r="O10" s="20"/>
      <c r="P10" s="20"/>
      <c r="Q10" s="20"/>
      <c r="R10" s="6"/>
      <c r="S10" s="6"/>
      <c r="T10" s="6"/>
      <c r="U10" s="6"/>
      <c r="V10" s="6"/>
      <c r="W10" s="6"/>
      <c r="X10" s="6"/>
    </row>
    <row r="11" spans="1:24" ht="15">
      <c r="A11" s="4" t="s">
        <v>59</v>
      </c>
      <c r="B11" s="4"/>
      <c r="C11" s="4"/>
      <c r="D11" s="4"/>
      <c r="E11" s="4"/>
      <c r="F11" s="4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5">
      <c r="A12" s="1"/>
      <c r="B12" s="1"/>
      <c r="C12" s="1"/>
      <c r="D12" s="1"/>
      <c r="E12" s="1"/>
      <c r="F12" s="1"/>
      <c r="G12" s="10" t="s">
        <v>13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10"/>
      <c r="T12" s="3"/>
      <c r="U12" s="10"/>
      <c r="V12" s="10"/>
      <c r="W12" s="12" t="s">
        <v>30</v>
      </c>
      <c r="X12" s="10"/>
    </row>
    <row r="13" spans="1:24" ht="15">
      <c r="A13" s="11" t="s">
        <v>0</v>
      </c>
      <c r="B13" s="11"/>
      <c r="C13" s="11" t="s">
        <v>1</v>
      </c>
      <c r="D13" s="11"/>
      <c r="E13" s="11" t="s">
        <v>2</v>
      </c>
      <c r="F13" s="1"/>
      <c r="G13" s="12" t="s">
        <v>14</v>
      </c>
      <c r="H13" s="12"/>
      <c r="I13" s="12"/>
      <c r="J13" s="12" t="s">
        <v>21</v>
      </c>
      <c r="K13" s="12"/>
      <c r="L13" s="12" t="s">
        <v>4</v>
      </c>
      <c r="M13" s="13" t="s">
        <v>23</v>
      </c>
      <c r="N13" s="14"/>
      <c r="O13" s="14" t="s">
        <v>25</v>
      </c>
      <c r="P13" s="14"/>
      <c r="Q13" s="14" t="s">
        <v>27</v>
      </c>
      <c r="R13" s="14"/>
      <c r="S13" s="13" t="s">
        <v>5</v>
      </c>
      <c r="T13" s="14"/>
      <c r="U13" s="12" t="s">
        <v>29</v>
      </c>
      <c r="V13" s="12"/>
      <c r="W13" s="12" t="s">
        <v>9</v>
      </c>
      <c r="X13" s="12"/>
    </row>
    <row r="14" spans="1:24" ht="15">
      <c r="A14" s="1" t="s">
        <v>78</v>
      </c>
      <c r="B14" s="1"/>
      <c r="C14" s="1"/>
      <c r="D14" s="1"/>
      <c r="E14" s="1"/>
      <c r="F14" s="1"/>
      <c r="G14" s="16" t="s">
        <v>15</v>
      </c>
      <c r="H14" s="15"/>
      <c r="I14" s="15"/>
      <c r="J14" s="16" t="s">
        <v>18</v>
      </c>
      <c r="K14" s="15"/>
      <c r="L14" s="15"/>
      <c r="M14" s="15" t="s">
        <v>41</v>
      </c>
      <c r="N14" s="15"/>
      <c r="O14" s="16" t="s">
        <v>22</v>
      </c>
      <c r="P14" s="15"/>
      <c r="Q14" s="16" t="s">
        <v>42</v>
      </c>
      <c r="R14" s="15"/>
      <c r="S14" s="15"/>
      <c r="T14" s="15"/>
      <c r="U14" s="16" t="s">
        <v>43</v>
      </c>
      <c r="V14" s="15"/>
      <c r="W14" s="16" t="s">
        <v>44</v>
      </c>
      <c r="X14" s="15"/>
    </row>
    <row r="15" spans="1:24" ht="15">
      <c r="A15" s="17"/>
      <c r="B15" s="1"/>
      <c r="C15" s="17"/>
      <c r="D15" s="1"/>
      <c r="E15" s="17"/>
      <c r="F15" s="1"/>
      <c r="G15" s="12"/>
      <c r="H15" s="3"/>
      <c r="I15" s="3"/>
      <c r="J15" s="3"/>
      <c r="K15" s="3"/>
      <c r="L15" s="3"/>
      <c r="M15" s="14"/>
      <c r="N15" s="3"/>
      <c r="O15" s="3"/>
      <c r="P15" s="3"/>
      <c r="Q15" s="3"/>
      <c r="R15" s="3"/>
      <c r="S15" s="14"/>
      <c r="T15" s="3"/>
      <c r="U15" s="14"/>
      <c r="V15" s="14"/>
      <c r="W15" s="14"/>
      <c r="X15" s="14"/>
    </row>
    <row r="16" spans="1:27" ht="15">
      <c r="A16" s="39">
        <v>1</v>
      </c>
      <c r="B16" s="1"/>
      <c r="C16" s="62">
        <f>+'Weather Adjustment'!C16</f>
        <v>2021</v>
      </c>
      <c r="D16" s="1"/>
      <c r="E16" s="19">
        <f>+'Weather Adjustment'!E16</f>
        <v>1</v>
      </c>
      <c r="F16" s="1"/>
      <c r="G16" s="43">
        <f>+'[2]SECGT10KW Model'!$C$18</f>
        <v>11.532</v>
      </c>
      <c r="H16" s="3"/>
      <c r="I16" s="20"/>
      <c r="J16" s="20">
        <f>SUM('Weather Adjustment'!K35,'Weather Adjustment'!M35)</f>
        <v>200356</v>
      </c>
      <c r="K16" s="20"/>
      <c r="L16" s="20" t="e">
        <f>SUM(#REF!,J16)</f>
        <v>#REF!</v>
      </c>
      <c r="M16" s="20">
        <f t="shared" si="0" ref="M16:M27">PRODUCT(G16,J16)/1000</f>
        <v>2310.505392</v>
      </c>
      <c r="N16" s="20"/>
      <c r="O16" s="43">
        <f>+[3]SECGT10KW!D13</f>
        <v>0.62717039985714285</v>
      </c>
      <c r="P16" s="20"/>
      <c r="Q16" s="43">
        <f>+[3]SECGT10KW!F13</f>
        <v>6.1106059377273247</v>
      </c>
      <c r="R16" s="20"/>
      <c r="S16" s="20">
        <f t="shared" si="1" ref="S16:S27">SUM(O16,Q16)</f>
        <v>6.7377763375844673</v>
      </c>
      <c r="T16" s="20"/>
      <c r="U16" s="43">
        <f t="shared" si="2" ref="U16:U28">+Q16-O16</f>
        <v>5.4834355378701822</v>
      </c>
      <c r="V16" s="20"/>
      <c r="W16" s="20">
        <f>+M16*U16</f>
        <v>12669.507376933476</v>
      </c>
      <c r="X16" s="20"/>
      <c r="Y16" s="50"/>
      <c r="AA16" s="63"/>
    </row>
    <row r="17" spans="1:27" ht="15">
      <c r="A17" s="39">
        <f>+A16+1</f>
        <v>2</v>
      </c>
      <c r="B17" s="1"/>
      <c r="C17" s="62">
        <f>+'Weather Adjustment'!C17</f>
        <v>2021</v>
      </c>
      <c r="D17" s="1"/>
      <c r="E17" s="19">
        <f>+'Weather Adjustment'!E17</f>
        <v>2</v>
      </c>
      <c r="F17" s="1"/>
      <c r="G17" s="43">
        <f>+G16</f>
        <v>11.532</v>
      </c>
      <c r="H17" s="3"/>
      <c r="I17" s="20"/>
      <c r="J17" s="20">
        <f>SUM('Weather Adjustment'!K36,'Weather Adjustment'!M36)</f>
        <v>200932</v>
      </c>
      <c r="K17" s="20"/>
      <c r="L17" s="20" t="e">
        <f>SUM(#REF!,J17)</f>
        <v>#REF!</v>
      </c>
      <c r="M17" s="20">
        <f t="shared" si="0"/>
        <v>2317.1478240000001</v>
      </c>
      <c r="N17" s="20"/>
      <c r="O17" s="43">
        <f>+[3]SECGT10KW!D14</f>
        <v>0.92251588133333429</v>
      </c>
      <c r="P17" s="20"/>
      <c r="Q17" s="43">
        <f>+[3]SECGT10KW!F14</f>
        <v>4.9269095466875461</v>
      </c>
      <c r="R17" s="20"/>
      <c r="S17" s="20">
        <f t="shared" si="1"/>
        <v>5.8494254280208802</v>
      </c>
      <c r="T17" s="20"/>
      <c r="U17" s="43">
        <f t="shared" si="2"/>
        <v>4.004393665354212</v>
      </c>
      <c r="V17" s="20"/>
      <c r="W17" s="20">
        <f t="shared" si="3" ref="W17:W27">+M17*U17</f>
        <v>9278.7720681148967</v>
      </c>
      <c r="X17" s="20"/>
      <c r="Y17" s="50"/>
      <c r="AA17" s="64"/>
    </row>
    <row r="18" spans="1:25" ht="15">
      <c r="A18" s="39">
        <f t="shared" si="4" ref="A18:A64">+A17+1</f>
        <v>3</v>
      </c>
      <c r="B18" s="1"/>
      <c r="C18" s="62">
        <f>+'Weather Adjustment'!C18</f>
        <v>2021</v>
      </c>
      <c r="D18" s="1"/>
      <c r="E18" s="19">
        <f>+'Weather Adjustment'!E18</f>
        <v>3</v>
      </c>
      <c r="F18" s="1"/>
      <c r="G18" s="43">
        <f t="shared" si="5" ref="G18:G27">+G17</f>
        <v>11.532</v>
      </c>
      <c r="H18" s="3"/>
      <c r="I18" s="20"/>
      <c r="J18" s="20">
        <f>SUM('Weather Adjustment'!K37,'Weather Adjustment'!M37)</f>
        <v>201930</v>
      </c>
      <c r="K18" s="20"/>
      <c r="L18" s="20" t="e">
        <f>SUM(#REF!,J18)</f>
        <v>#REF!</v>
      </c>
      <c r="M18" s="20">
        <f t="shared" si="0"/>
        <v>2328.6567599999998</v>
      </c>
      <c r="N18" s="20"/>
      <c r="O18" s="43">
        <f>+[3]SECGT10KW!D15</f>
        <v>10.113474018142863</v>
      </c>
      <c r="P18" s="20"/>
      <c r="Q18" s="43">
        <f>+[3]SECGT10KW!F15</f>
        <v>15.108542634985824</v>
      </c>
      <c r="R18" s="20"/>
      <c r="S18" s="20">
        <f t="shared" si="1"/>
        <v>25.222016653128687</v>
      </c>
      <c r="T18" s="20"/>
      <c r="U18" s="43">
        <f t="shared" si="2"/>
        <v>4.9950686168429606</v>
      </c>
      <c r="V18" s="20"/>
      <c r="W18" s="20">
        <f t="shared" si="3"/>
        <v>11631.800301275209</v>
      </c>
      <c r="X18" s="20"/>
      <c r="Y18" s="50"/>
    </row>
    <row r="19" spans="1:25" ht="15">
      <c r="A19" s="39">
        <f t="shared" si="4"/>
        <v>4</v>
      </c>
      <c r="B19" s="1"/>
      <c r="C19" s="62">
        <f>+'Weather Adjustment'!C19</f>
        <v>2021</v>
      </c>
      <c r="D19" s="1"/>
      <c r="E19" s="19">
        <f>+'Weather Adjustment'!E19</f>
        <v>4</v>
      </c>
      <c r="F19" s="1"/>
      <c r="G19" s="43">
        <f t="shared" si="5"/>
        <v>11.532</v>
      </c>
      <c r="H19" s="3"/>
      <c r="I19" s="20"/>
      <c r="J19" s="20">
        <f>SUM('Weather Adjustment'!K38,'Weather Adjustment'!M38)</f>
        <v>201951</v>
      </c>
      <c r="K19" s="20"/>
      <c r="L19" s="20" t="e">
        <f>SUM(#REF!,J19)</f>
        <v>#REF!</v>
      </c>
      <c r="M19" s="20">
        <f t="shared" si="0"/>
        <v>2328.8989320000001</v>
      </c>
      <c r="N19" s="20"/>
      <c r="O19" s="43">
        <f>+[3]SECGT10KW!D16</f>
        <v>41.906623656761916</v>
      </c>
      <c r="P19" s="20"/>
      <c r="Q19" s="43">
        <f>+[3]SECGT10KW!F16</f>
        <v>50.859093226085733</v>
      </c>
      <c r="R19" s="20"/>
      <c r="S19" s="20">
        <f t="shared" si="1"/>
        <v>92.765716882847642</v>
      </c>
      <c r="T19" s="20"/>
      <c r="U19" s="43">
        <f>+Q19-O19</f>
        <v>8.9524695693238172</v>
      </c>
      <c r="V19" s="20"/>
      <c r="W19" s="20">
        <f t="shared" si="3"/>
        <v>20849.396818760739</v>
      </c>
      <c r="X19" s="20"/>
      <c r="Y19" s="50"/>
    </row>
    <row r="20" spans="1:25" ht="15">
      <c r="A20" s="39">
        <f t="shared" si="4"/>
        <v>5</v>
      </c>
      <c r="B20" s="1"/>
      <c r="C20" s="62">
        <f>+'Weather Adjustment'!C20</f>
        <v>2021</v>
      </c>
      <c r="D20" s="1"/>
      <c r="E20" s="19">
        <f>+'Weather Adjustment'!E20</f>
        <v>5</v>
      </c>
      <c r="F20" s="1"/>
      <c r="G20" s="43">
        <f t="shared" si="5"/>
        <v>11.532</v>
      </c>
      <c r="H20" s="3"/>
      <c r="I20" s="20"/>
      <c r="J20" s="20">
        <f>SUM('Weather Adjustment'!K39,'Weather Adjustment'!M39)</f>
        <v>202319</v>
      </c>
      <c r="K20" s="20"/>
      <c r="L20" s="20" t="e">
        <f>SUM(#REF!,J20)</f>
        <v>#REF!</v>
      </c>
      <c r="M20" s="20">
        <f>PRODUCT(G20,J20)/1000</f>
        <v>2333.1427080000003</v>
      </c>
      <c r="N20" s="20"/>
      <c r="O20" s="43">
        <f>+[3]SECGT10KW!D17</f>
        <v>83.825440862904784</v>
      </c>
      <c r="P20" s="20"/>
      <c r="Q20" s="43">
        <f>+[3]SECGT10KW!F17</f>
        <v>131.16835996719144</v>
      </c>
      <c r="R20" s="20"/>
      <c r="S20" s="20">
        <f t="shared" si="1"/>
        <v>214.99380083009623</v>
      </c>
      <c r="T20" s="20"/>
      <c r="U20" s="43">
        <f t="shared" si="2"/>
        <v>47.342919104286651</v>
      </c>
      <c r="V20" s="20"/>
      <c r="W20" s="20">
        <f t="shared" si="3"/>
        <v>110457.7864836003</v>
      </c>
      <c r="X20" s="20"/>
      <c r="Y20" s="50"/>
    </row>
    <row r="21" spans="1:25" ht="15">
      <c r="A21" s="39">
        <f t="shared" si="4"/>
        <v>6</v>
      </c>
      <c r="B21" s="1"/>
      <c r="C21" s="62">
        <f>+'Weather Adjustment'!C21</f>
        <v>2021</v>
      </c>
      <c r="D21" s="1"/>
      <c r="E21" s="19">
        <f>+'Weather Adjustment'!E21</f>
        <v>6</v>
      </c>
      <c r="F21" s="1"/>
      <c r="G21" s="43">
        <f t="shared" si="5"/>
        <v>11.532</v>
      </c>
      <c r="H21" s="3"/>
      <c r="I21" s="20"/>
      <c r="J21" s="20">
        <f>SUM('Weather Adjustment'!K40,'Weather Adjustment'!M40)</f>
        <v>202660</v>
      </c>
      <c r="K21" s="20"/>
      <c r="L21" s="20" t="e">
        <f>SUM(#REF!,J21)</f>
        <v>#REF!</v>
      </c>
      <c r="M21" s="20">
        <f t="shared" si="0"/>
        <v>2337.07512</v>
      </c>
      <c r="N21" s="20"/>
      <c r="O21" s="43">
        <f>+[3]SECGT10KW!D18</f>
        <v>215.24177629095243</v>
      </c>
      <c r="P21" s="20"/>
      <c r="Q21" s="43">
        <f>+[3]SECGT10KW!F18</f>
        <v>298.31217459941638</v>
      </c>
      <c r="R21" s="20"/>
      <c r="S21" s="20">
        <f t="shared" si="1"/>
        <v>513.55395089036881</v>
      </c>
      <c r="T21" s="20"/>
      <c r="U21" s="68">
        <f t="shared" si="2"/>
        <v>83.07039830846395</v>
      </c>
      <c r="V21" s="20"/>
      <c r="W21" s="20">
        <f t="shared" si="3"/>
        <v>194141.76109520119</v>
      </c>
      <c r="X21" s="20"/>
      <c r="Y21" s="50"/>
    </row>
    <row r="22" spans="1:25" ht="15">
      <c r="A22" s="39">
        <f t="shared" si="4"/>
        <v>7</v>
      </c>
      <c r="B22" s="1"/>
      <c r="C22" s="62">
        <f>+'Weather Adjustment'!C22</f>
        <v>2021</v>
      </c>
      <c r="D22" s="1"/>
      <c r="E22" s="19">
        <f>+'Weather Adjustment'!E22</f>
        <v>7</v>
      </c>
      <c r="F22" s="1"/>
      <c r="G22" s="43">
        <f t="shared" si="5"/>
        <v>11.532</v>
      </c>
      <c r="H22" s="3"/>
      <c r="I22" s="20"/>
      <c r="J22" s="20">
        <f>SUM('Weather Adjustment'!K41,'Weather Adjustment'!M41)</f>
        <v>203069</v>
      </c>
      <c r="K22" s="20"/>
      <c r="L22" s="20" t="e">
        <f>SUM(#REF!,J22)</f>
        <v>#REF!</v>
      </c>
      <c r="M22" s="20">
        <f t="shared" si="0"/>
        <v>2341.7917080000002</v>
      </c>
      <c r="N22" s="20"/>
      <c r="O22" s="43">
        <f>+[3]SECGT10KW!D19</f>
        <v>453.60494366147623</v>
      </c>
      <c r="P22" s="20"/>
      <c r="Q22" s="43">
        <f>+[3]SECGT10KW!F19</f>
        <v>483.81602278461241</v>
      </c>
      <c r="R22" s="20"/>
      <c r="S22" s="20">
        <f t="shared" si="1"/>
        <v>937.42096644608864</v>
      </c>
      <c r="T22" s="20"/>
      <c r="U22" s="43">
        <f t="shared" si="2"/>
        <v>30.211079123136187</v>
      </c>
      <c r="V22" s="20"/>
      <c r="W22" s="20">
        <f t="shared" si="3"/>
        <v>70748.054580292242</v>
      </c>
      <c r="X22" s="20"/>
      <c r="Y22" s="50"/>
    </row>
    <row r="23" spans="1:25" ht="15">
      <c r="A23" s="39">
        <f t="shared" si="4"/>
        <v>8</v>
      </c>
      <c r="B23" s="1"/>
      <c r="C23" s="62">
        <f>+'Weather Adjustment'!C23</f>
        <v>2021</v>
      </c>
      <c r="D23" s="1"/>
      <c r="E23" s="19">
        <f>+'Weather Adjustment'!E23</f>
        <v>8</v>
      </c>
      <c r="F23" s="1"/>
      <c r="G23" s="43">
        <f t="shared" si="5"/>
        <v>11.532</v>
      </c>
      <c r="H23" s="3"/>
      <c r="I23" s="20"/>
      <c r="J23" s="20">
        <f>SUM('Weather Adjustment'!K42,'Weather Adjustment'!M42)</f>
        <v>203456</v>
      </c>
      <c r="K23" s="20"/>
      <c r="L23" s="20" t="e">
        <f>SUM(#REF!,J23)</f>
        <v>#REF!</v>
      </c>
      <c r="M23" s="20">
        <f t="shared" si="0"/>
        <v>2346.2545920000002</v>
      </c>
      <c r="N23" s="20"/>
      <c r="O23" s="43">
        <f>+[3]SECGT10KW!D20</f>
        <v>485.78195821171437</v>
      </c>
      <c r="P23" s="20"/>
      <c r="Q23" s="43">
        <f>+[3]SECGT10KW!F20</f>
        <v>542.70056012177042</v>
      </c>
      <c r="R23" s="20"/>
      <c r="S23" s="20">
        <f t="shared" si="1"/>
        <v>1028.4825183334847</v>
      </c>
      <c r="T23" s="20"/>
      <c r="U23" s="43">
        <f t="shared" si="2"/>
        <v>56.918601910056054</v>
      </c>
      <c r="V23" s="20"/>
      <c r="W23" s="20">
        <f t="shared" si="3"/>
        <v>133545.53110168901</v>
      </c>
      <c r="X23" s="20"/>
      <c r="Y23" s="50"/>
    </row>
    <row r="24" spans="1:25" ht="15">
      <c r="A24" s="39">
        <f t="shared" si="4"/>
        <v>9</v>
      </c>
      <c r="B24" s="1"/>
      <c r="C24" s="62">
        <f>+'Weather Adjustment'!C24</f>
        <v>2021</v>
      </c>
      <c r="D24" s="1"/>
      <c r="E24" s="19">
        <f>+'Weather Adjustment'!E24</f>
        <v>9</v>
      </c>
      <c r="F24" s="1"/>
      <c r="G24" s="43">
        <f t="shared" si="5"/>
        <v>11.532</v>
      </c>
      <c r="H24" s="3"/>
      <c r="I24" s="20"/>
      <c r="J24" s="20">
        <f>SUM('Weather Adjustment'!K43,'Weather Adjustment'!M43)</f>
        <v>203320</v>
      </c>
      <c r="K24" s="20"/>
      <c r="L24" s="20" t="e">
        <f>SUM(#REF!,J24)</f>
        <v>#REF!</v>
      </c>
      <c r="M24" s="20">
        <f t="shared" si="0"/>
        <v>2344.68624</v>
      </c>
      <c r="N24" s="20"/>
      <c r="O24" s="43">
        <f>+[3]SECGT10KW!D21</f>
        <v>482.78489408857149</v>
      </c>
      <c r="P24" s="20"/>
      <c r="Q24" s="43">
        <f>+[3]SECGT10KW!F21</f>
        <v>478.81686202801251</v>
      </c>
      <c r="R24" s="20"/>
      <c r="S24" s="20">
        <f t="shared" si="1"/>
        <v>961.60175611658406</v>
      </c>
      <c r="T24" s="20"/>
      <c r="U24" s="43">
        <f t="shared" si="2"/>
        <v>-3.9680320605589827</v>
      </c>
      <c r="V24" s="20"/>
      <c r="W24" s="20">
        <f t="shared" si="3"/>
        <v>-9303.7901722714942</v>
      </c>
      <c r="X24" s="20"/>
      <c r="Y24" s="50"/>
    </row>
    <row r="25" spans="1:25" ht="15">
      <c r="A25" s="39">
        <f t="shared" si="4"/>
        <v>10</v>
      </c>
      <c r="B25" s="1"/>
      <c r="C25" s="62">
        <f>+'Weather Adjustment'!C25</f>
        <v>2021</v>
      </c>
      <c r="D25" s="1"/>
      <c r="E25" s="19">
        <f>+'Weather Adjustment'!E25</f>
        <v>10</v>
      </c>
      <c r="F25" s="1"/>
      <c r="G25" s="43">
        <f t="shared" si="5"/>
        <v>11.532</v>
      </c>
      <c r="H25" s="3"/>
      <c r="I25" s="20"/>
      <c r="J25" s="20">
        <f>SUM('Weather Adjustment'!K44,'Weather Adjustment'!M44)</f>
        <v>203377</v>
      </c>
      <c r="K25" s="20"/>
      <c r="L25" s="20" t="e">
        <f>SUM(#REF!,J25)</f>
        <v>#REF!</v>
      </c>
      <c r="M25" s="20">
        <f t="shared" si="0"/>
        <v>2345.3435639999998</v>
      </c>
      <c r="N25" s="20"/>
      <c r="O25" s="43">
        <f>+[3]SECGT10KW!D22</f>
        <v>304.88490241280965</v>
      </c>
      <c r="P25" s="20"/>
      <c r="Q25" s="43">
        <f>+[3]SECGT10KW!F22</f>
        <v>283.02325430174176</v>
      </c>
      <c r="R25" s="20"/>
      <c r="S25" s="20">
        <f t="shared" si="1"/>
        <v>587.90815671455141</v>
      </c>
      <c r="T25" s="20"/>
      <c r="U25" s="43">
        <f t="shared" si="2"/>
        <v>-21.861648111067893</v>
      </c>
      <c r="V25" s="20"/>
      <c r="W25" s="20">
        <f t="shared" si="3"/>
        <v>-51273.075695725835</v>
      </c>
      <c r="X25" s="20"/>
      <c r="Y25" s="50"/>
    </row>
    <row r="26" spans="1:25" ht="15">
      <c r="A26" s="39">
        <f t="shared" si="4"/>
        <v>11</v>
      </c>
      <c r="B26" s="1"/>
      <c r="C26" s="62">
        <f>+'Weather Adjustment'!C26</f>
        <v>2021</v>
      </c>
      <c r="D26" s="1"/>
      <c r="E26" s="19">
        <f>+'Weather Adjustment'!E26</f>
        <v>11</v>
      </c>
      <c r="F26" s="1"/>
      <c r="G26" s="43">
        <f t="shared" si="5"/>
        <v>11.532</v>
      </c>
      <c r="H26" s="3"/>
      <c r="I26" s="20"/>
      <c r="J26" s="20">
        <f>SUM('Weather Adjustment'!K45,'Weather Adjustment'!M45)</f>
        <v>203317</v>
      </c>
      <c r="K26" s="20"/>
      <c r="L26" s="20" t="e">
        <f>SUM(#REF!,J26)</f>
        <v>#REF!</v>
      </c>
      <c r="M26" s="20">
        <f t="shared" si="0"/>
        <v>2344.651644</v>
      </c>
      <c r="N26" s="20"/>
      <c r="O26" s="43">
        <f>+[3]SECGT10KW!D23</f>
        <v>119.77917800828574</v>
      </c>
      <c r="P26" s="20"/>
      <c r="Q26" s="43">
        <f>+[3]SECGT10KW!F23</f>
        <v>98.325128248285907</v>
      </c>
      <c r="R26" s="20"/>
      <c r="S26" s="20">
        <f t="shared" si="1"/>
        <v>218.10430625657165</v>
      </c>
      <c r="T26" s="20"/>
      <c r="U26" s="43">
        <f t="shared" si="2"/>
        <v>-21.454049759999833</v>
      </c>
      <c r="V26" s="20"/>
      <c r="W26" s="20">
        <f t="shared" si="3"/>
        <v>-50302.273040241416</v>
      </c>
      <c r="X26" s="20"/>
      <c r="Y26" s="50"/>
    </row>
    <row r="27" spans="1:25" ht="15">
      <c r="A27" s="39">
        <f t="shared" si="4"/>
        <v>12</v>
      </c>
      <c r="B27" s="1"/>
      <c r="C27" s="62">
        <f>+'Weather Adjustment'!C27</f>
        <v>2021</v>
      </c>
      <c r="D27" s="1"/>
      <c r="E27" s="19">
        <f>+'Weather Adjustment'!E27</f>
        <v>12</v>
      </c>
      <c r="F27" s="1"/>
      <c r="G27" s="43">
        <f t="shared" si="5"/>
        <v>11.532</v>
      </c>
      <c r="H27" s="14"/>
      <c r="I27" s="59"/>
      <c r="J27" s="59">
        <f>SUM('Weather Adjustment'!K46,'Weather Adjustment'!M46)</f>
        <v>203588</v>
      </c>
      <c r="K27" s="59"/>
      <c r="L27" s="59" t="e">
        <f>SUM(#REF!,J27)</f>
        <v>#REF!</v>
      </c>
      <c r="M27" s="59">
        <f t="shared" si="0"/>
        <v>2347.7768160000001</v>
      </c>
      <c r="N27" s="59"/>
      <c r="O27" s="43">
        <f>+[3]SECGT10KW!D24</f>
        <v>23.960053975428579</v>
      </c>
      <c r="P27" s="20"/>
      <c r="Q27" s="43">
        <f>+[3]SECGT10KW!F24</f>
        <v>23.72632771897673</v>
      </c>
      <c r="R27" s="59"/>
      <c r="S27" s="59">
        <f t="shared" si="1"/>
        <v>47.686381694405313</v>
      </c>
      <c r="T27" s="59"/>
      <c r="U27" s="68">
        <f t="shared" si="2"/>
        <v>-0.23372625645184897</v>
      </c>
      <c r="V27" s="59"/>
      <c r="W27" s="59">
        <f t="shared" si="3"/>
        <v>-548.73708618812145</v>
      </c>
      <c r="X27" s="59"/>
      <c r="Y27" s="50"/>
    </row>
    <row r="28" spans="1:25" ht="15">
      <c r="A28" s="39">
        <f t="shared" si="4"/>
        <v>13</v>
      </c>
      <c r="B28" s="1"/>
      <c r="C28" s="1" t="s">
        <v>8</v>
      </c>
      <c r="D28" s="1"/>
      <c r="E28" s="79"/>
      <c r="F28" s="79"/>
      <c r="G28" s="76"/>
      <c r="H28" s="76"/>
      <c r="I28" s="76"/>
      <c r="J28" s="76"/>
      <c r="K28" s="76"/>
      <c r="L28" s="76" t="e">
        <f>SUM(L22:L27)</f>
        <v>#REF!</v>
      </c>
      <c r="M28" s="76"/>
      <c r="N28" s="76"/>
      <c r="O28" s="76">
        <f>SUM(O16:O27)</f>
        <v>2223.4329314682391</v>
      </c>
      <c r="P28" s="76"/>
      <c r="Q28" s="76">
        <f>SUM(Q16:Q27)</f>
        <v>2416.8938411154945</v>
      </c>
      <c r="R28" s="76"/>
      <c r="S28" s="76">
        <f>SUM(S22:S27)</f>
        <v>3781.2040855616856</v>
      </c>
      <c r="T28" s="76"/>
      <c r="U28" s="77">
        <f t="shared" si="2"/>
        <v>193.46090964725545</v>
      </c>
      <c r="V28" s="76"/>
      <c r="W28" s="76">
        <f>SUM(W16:W27)</f>
        <v>451894.73383144016</v>
      </c>
      <c r="X28" s="14"/>
      <c r="Y28" s="14"/>
    </row>
    <row r="29" spans="1:24" ht="15">
      <c r="A29" s="39">
        <f t="shared" si="4"/>
        <v>14</v>
      </c>
      <c r="B29" s="1"/>
      <c r="C29" s="1"/>
      <c r="D29" s="1"/>
      <c r="E29" s="1"/>
      <c r="F29" s="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5">
      <c r="A30" s="39">
        <f t="shared" si="4"/>
        <v>15</v>
      </c>
      <c r="B30" s="1"/>
      <c r="C30" s="1"/>
      <c r="D30" s="1"/>
      <c r="E30" s="1"/>
      <c r="F30" s="1"/>
      <c r="G30" s="10" t="s">
        <v>32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10"/>
      <c r="T30" s="3"/>
      <c r="U30" s="10"/>
      <c r="V30" s="10"/>
      <c r="W30" s="12" t="s">
        <v>34</v>
      </c>
      <c r="X30" s="6"/>
    </row>
    <row r="31" spans="1:24" ht="15">
      <c r="A31" s="39">
        <f t="shared" si="4"/>
        <v>16</v>
      </c>
      <c r="B31" s="11"/>
      <c r="C31" s="11" t="s">
        <v>1</v>
      </c>
      <c r="D31" s="11"/>
      <c r="E31" s="11" t="s">
        <v>2</v>
      </c>
      <c r="F31" s="1"/>
      <c r="G31" s="12" t="s">
        <v>14</v>
      </c>
      <c r="H31" s="12"/>
      <c r="I31" s="12"/>
      <c r="J31" s="12" t="s">
        <v>21</v>
      </c>
      <c r="K31" s="12"/>
      <c r="L31" s="12" t="s">
        <v>4</v>
      </c>
      <c r="M31" s="13" t="s">
        <v>35</v>
      </c>
      <c r="N31" s="14"/>
      <c r="O31" s="14" t="s">
        <v>36</v>
      </c>
      <c r="P31" s="14"/>
      <c r="Q31" s="14" t="s">
        <v>37</v>
      </c>
      <c r="R31" s="14"/>
      <c r="S31" s="13" t="s">
        <v>5</v>
      </c>
      <c r="T31" s="14"/>
      <c r="U31" s="12" t="s">
        <v>38</v>
      </c>
      <c r="V31" s="12"/>
      <c r="W31" s="12" t="s">
        <v>9</v>
      </c>
      <c r="X31" s="12"/>
    </row>
    <row r="32" spans="1:24" ht="15">
      <c r="A32" s="39">
        <f t="shared" si="4"/>
        <v>17</v>
      </c>
      <c r="B32" s="1"/>
      <c r="C32" s="1"/>
      <c r="D32" s="1"/>
      <c r="E32" s="1"/>
      <c r="F32" s="1"/>
      <c r="G32" s="16" t="s">
        <v>61</v>
      </c>
      <c r="H32" s="15"/>
      <c r="I32" s="15"/>
      <c r="J32" s="16" t="s">
        <v>62</v>
      </c>
      <c r="K32" s="15"/>
      <c r="L32" s="15"/>
      <c r="M32" s="16" t="s">
        <v>70</v>
      </c>
      <c r="N32" s="15"/>
      <c r="O32" s="16" t="s">
        <v>64</v>
      </c>
      <c r="P32" s="15"/>
      <c r="Q32" s="16" t="s">
        <v>65</v>
      </c>
      <c r="R32" s="15"/>
      <c r="S32" s="15"/>
      <c r="T32" s="15"/>
      <c r="U32" s="16" t="s">
        <v>112</v>
      </c>
      <c r="V32" s="15"/>
      <c r="W32" s="16" t="s">
        <v>113</v>
      </c>
      <c r="X32" s="15"/>
    </row>
    <row r="33" spans="1:24" ht="15">
      <c r="A33" s="39">
        <f t="shared" si="4"/>
        <v>18</v>
      </c>
      <c r="B33" s="1"/>
      <c r="C33" s="1"/>
      <c r="D33" s="1"/>
      <c r="E33" s="1"/>
      <c r="F33" s="1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5">
      <c r="A34" s="39">
        <f t="shared" si="4"/>
        <v>19</v>
      </c>
      <c r="B34" s="1"/>
      <c r="C34" s="18">
        <f t="shared" si="6" ref="C34:C45">+C16</f>
        <v>2021</v>
      </c>
      <c r="D34" s="1"/>
      <c r="E34" s="19">
        <f>+E16</f>
        <v>1</v>
      </c>
      <c r="G34" s="44">
        <f>+'[2]SECGT10KW Model'!$C$17</f>
        <v>5.9450000000000003</v>
      </c>
      <c r="H34" s="27"/>
      <c r="I34" s="27"/>
      <c r="J34" s="27">
        <f t="shared" si="7" ref="J34:J45">J16</f>
        <v>200356</v>
      </c>
      <c r="K34" s="27"/>
      <c r="L34" s="29"/>
      <c r="M34" s="20">
        <f t="shared" si="8" ref="M34:M45">PRODUCT(G34,J34)/1000</f>
        <v>1191.1164200000001</v>
      </c>
      <c r="N34" s="28"/>
      <c r="O34" s="43">
        <f>+[3]SECGT10KW!C13</f>
        <v>134.51538670542857</v>
      </c>
      <c r="P34" s="20"/>
      <c r="Q34" s="43">
        <f>+[3]SECGT10KW!E13</f>
        <v>162.21444055013828</v>
      </c>
      <c r="R34" s="28"/>
      <c r="S34" s="28"/>
      <c r="T34" s="28"/>
      <c r="U34" s="43">
        <f t="shared" si="9" ref="U34:U46">+Q34-O34</f>
        <v>27.699053844709709</v>
      </c>
      <c r="V34" s="28"/>
      <c r="W34" s="20">
        <f t="shared" si="10" ref="W34:W45">+M34*U34</f>
        <v>32992.797852897864</v>
      </c>
      <c r="X34" s="28"/>
    </row>
    <row r="35" spans="1:24" ht="15">
      <c r="A35" s="39">
        <f t="shared" si="4"/>
        <v>20</v>
      </c>
      <c r="B35" s="1"/>
      <c r="C35" s="18">
        <f t="shared" si="6"/>
        <v>2021</v>
      </c>
      <c r="D35" s="1"/>
      <c r="E35" s="19">
        <f t="shared" si="11" ref="E35:E45">+E17</f>
        <v>2</v>
      </c>
      <c r="G35" s="43">
        <f>+G34</f>
        <v>5.9450000000000003</v>
      </c>
      <c r="H35" s="27"/>
      <c r="I35" s="27"/>
      <c r="J35" s="27">
        <f t="shared" si="7"/>
        <v>200932</v>
      </c>
      <c r="K35" s="27"/>
      <c r="L35" s="29"/>
      <c r="M35" s="20">
        <f t="shared" si="8"/>
        <v>1194.5407399999999</v>
      </c>
      <c r="N35" s="28"/>
      <c r="O35" s="43">
        <f>+[3]SECGT10KW!C14</f>
        <v>171.54456409971425</v>
      </c>
      <c r="P35" s="20"/>
      <c r="Q35" s="43">
        <f>+[3]SECGT10KW!E14</f>
        <v>164.21034193689701</v>
      </c>
      <c r="R35" s="28"/>
      <c r="S35" s="28"/>
      <c r="T35" s="28"/>
      <c r="U35" s="43">
        <f t="shared" si="9"/>
        <v>-7.334222162817241</v>
      </c>
      <c r="V35" s="28"/>
      <c r="W35" s="20">
        <f t="shared" si="10"/>
        <v>-8761.0271696961063</v>
      </c>
      <c r="X35" s="28"/>
    </row>
    <row r="36" spans="1:24" ht="15">
      <c r="A36" s="39">
        <f t="shared" si="4"/>
        <v>21</v>
      </c>
      <c r="B36" s="1"/>
      <c r="C36" s="18">
        <f t="shared" si="6"/>
        <v>2021</v>
      </c>
      <c r="D36" s="1"/>
      <c r="E36" s="19">
        <f t="shared" si="11"/>
        <v>3</v>
      </c>
      <c r="G36" s="43">
        <f t="shared" si="12" ref="G36:G45">+G35</f>
        <v>5.9450000000000003</v>
      </c>
      <c r="H36" s="27"/>
      <c r="I36" s="27"/>
      <c r="J36" s="27">
        <f t="shared" si="7"/>
        <v>201930</v>
      </c>
      <c r="K36" s="27"/>
      <c r="L36" s="29"/>
      <c r="M36" s="20">
        <f t="shared" si="8"/>
        <v>1200.4738500000001</v>
      </c>
      <c r="N36" s="28"/>
      <c r="O36" s="43">
        <f>+[3]SECGT10KW!C15</f>
        <v>264.56695605719045</v>
      </c>
      <c r="P36" s="20"/>
      <c r="Q36" s="43">
        <f>+[3]SECGT10KW!E15</f>
        <v>112.33559304426294</v>
      </c>
      <c r="R36" s="28"/>
      <c r="S36" s="28"/>
      <c r="T36" s="28"/>
      <c r="U36" s="43">
        <f t="shared" si="9"/>
        <v>-152.23136301292752</v>
      </c>
      <c r="V36" s="28"/>
      <c r="W36" s="20">
        <f t="shared" si="10"/>
        <v>-182749.7704468767</v>
      </c>
      <c r="X36" s="28"/>
    </row>
    <row r="37" spans="1:24" ht="15">
      <c r="A37" s="39">
        <f t="shared" si="4"/>
        <v>22</v>
      </c>
      <c r="B37" s="1"/>
      <c r="C37" s="18">
        <f t="shared" si="6"/>
        <v>2021</v>
      </c>
      <c r="D37" s="1"/>
      <c r="E37" s="19">
        <f t="shared" si="11"/>
        <v>4</v>
      </c>
      <c r="G37" s="43">
        <f t="shared" si="12"/>
        <v>5.9450000000000003</v>
      </c>
      <c r="H37" s="27"/>
      <c r="I37" s="27"/>
      <c r="J37" s="27">
        <f t="shared" si="7"/>
        <v>201951</v>
      </c>
      <c r="K37" s="27"/>
      <c r="L37" s="29"/>
      <c r="M37" s="20">
        <f t="shared" si="8"/>
        <v>1200.5986950000001</v>
      </c>
      <c r="N37" s="28"/>
      <c r="O37" s="43">
        <f>+[3]SECGT10KW!C16</f>
        <v>6.9179139733333299</v>
      </c>
      <c r="P37" s="20"/>
      <c r="Q37" s="43">
        <f>+[3]SECGT10KW!E16</f>
        <v>30.226601307074571</v>
      </c>
      <c r="R37" s="28"/>
      <c r="S37" s="28"/>
      <c r="T37" s="28"/>
      <c r="U37" s="43">
        <f t="shared" si="9"/>
        <v>23.30868733374124</v>
      </c>
      <c r="V37" s="28"/>
      <c r="W37" s="20">
        <f t="shared" si="10"/>
        <v>27984.379595052764</v>
      </c>
      <c r="X37" s="28"/>
    </row>
    <row r="38" spans="1:24" ht="15">
      <c r="A38" s="39">
        <f t="shared" si="4"/>
        <v>23</v>
      </c>
      <c r="B38" s="1"/>
      <c r="C38" s="18">
        <f t="shared" si="6"/>
        <v>2021</v>
      </c>
      <c r="D38" s="1"/>
      <c r="E38" s="19">
        <f t="shared" si="11"/>
        <v>5</v>
      </c>
      <c r="G38" s="43">
        <f t="shared" si="12"/>
        <v>5.9450000000000003</v>
      </c>
      <c r="H38" s="27"/>
      <c r="I38" s="27"/>
      <c r="J38" s="27">
        <f t="shared" si="7"/>
        <v>202319</v>
      </c>
      <c r="K38" s="27"/>
      <c r="L38" s="29"/>
      <c r="M38" s="20">
        <f t="shared" si="8"/>
        <v>1202.7864550000002</v>
      </c>
      <c r="N38" s="28"/>
      <c r="O38" s="43">
        <f>+[3]SECGT10KW!C17</f>
        <v>3.5402954673333324</v>
      </c>
      <c r="P38" s="20"/>
      <c r="Q38" s="43">
        <f>+[3]SECGT10KW!E17</f>
        <v>4.6883674619424456</v>
      </c>
      <c r="R38" s="28"/>
      <c r="S38" s="28"/>
      <c r="T38" s="28"/>
      <c r="U38" s="43">
        <f t="shared" si="9"/>
        <v>1.1480719946091131</v>
      </c>
      <c r="V38" s="28"/>
      <c r="W38" s="20">
        <f>+M38*U38</f>
        <v>1380.8854444806746</v>
      </c>
      <c r="X38" s="28"/>
    </row>
    <row r="39" spans="1:24" ht="15">
      <c r="A39" s="39">
        <f t="shared" si="4"/>
        <v>24</v>
      </c>
      <c r="B39" s="1"/>
      <c r="C39" s="18">
        <f t="shared" si="6"/>
        <v>2021</v>
      </c>
      <c r="D39" s="1"/>
      <c r="E39" s="19">
        <f t="shared" si="11"/>
        <v>6</v>
      </c>
      <c r="G39" s="43">
        <f t="shared" si="12"/>
        <v>5.9450000000000003</v>
      </c>
      <c r="H39" s="30"/>
      <c r="I39" s="30"/>
      <c r="J39" s="30">
        <f t="shared" si="7"/>
        <v>202660</v>
      </c>
      <c r="K39" s="30"/>
      <c r="L39" s="31"/>
      <c r="M39" s="59">
        <f t="shared" si="8"/>
        <v>1204.8136999999999</v>
      </c>
      <c r="N39" s="51"/>
      <c r="O39" s="43">
        <f>+[3]SECGT10KW!C18</f>
        <v>0.0073839904761904768</v>
      </c>
      <c r="P39" s="20"/>
      <c r="Q39" s="43">
        <f>+[3]SECGT10KW!E18</f>
        <v>0.19474971839825905</v>
      </c>
      <c r="R39" s="28"/>
      <c r="S39" s="28"/>
      <c r="T39" s="28"/>
      <c r="U39" s="43">
        <f t="shared" si="9"/>
        <v>0.18736572792206857</v>
      </c>
      <c r="V39" s="28"/>
      <c r="W39" s="20">
        <f t="shared" si="10"/>
        <v>225.74079591098072</v>
      </c>
      <c r="X39" s="28"/>
    </row>
    <row r="40" spans="1:24" ht="15">
      <c r="A40" s="39">
        <f t="shared" si="4"/>
        <v>25</v>
      </c>
      <c r="B40" s="1"/>
      <c r="C40" s="18">
        <f t="shared" si="6"/>
        <v>2021</v>
      </c>
      <c r="D40" s="1"/>
      <c r="E40" s="19">
        <f t="shared" si="11"/>
        <v>7</v>
      </c>
      <c r="F40" s="23"/>
      <c r="G40" s="43">
        <f t="shared" si="12"/>
        <v>5.9450000000000003</v>
      </c>
      <c r="H40" s="28"/>
      <c r="I40" s="28"/>
      <c r="J40" s="27">
        <f t="shared" si="7"/>
        <v>203069</v>
      </c>
      <c r="K40" s="3"/>
      <c r="L40" s="3"/>
      <c r="M40" s="20">
        <f t="shared" si="8"/>
        <v>1207.2452050000002</v>
      </c>
      <c r="N40" s="3"/>
      <c r="O40" s="43">
        <f>+[3]SECGT10KW!C19</f>
        <v>0</v>
      </c>
      <c r="P40" s="20"/>
      <c r="Q40" s="43">
        <f>+[3]SECGT10KW!E19</f>
        <v>0.00027694167695852494</v>
      </c>
      <c r="R40" s="3"/>
      <c r="S40" s="3"/>
      <c r="T40" s="3"/>
      <c r="U40" s="43">
        <f t="shared" si="9"/>
        <v>0.00027694167695852494</v>
      </c>
      <c r="V40" s="3"/>
      <c r="W40" s="20">
        <f t="shared" si="10"/>
        <v>0.33433651157283828</v>
      </c>
      <c r="X40" s="3"/>
    </row>
    <row r="41" spans="1:24" ht="15">
      <c r="A41" s="39">
        <f t="shared" si="4"/>
        <v>26</v>
      </c>
      <c r="B41" s="1"/>
      <c r="C41" s="18">
        <f t="shared" si="6"/>
        <v>2021</v>
      </c>
      <c r="D41" s="1"/>
      <c r="E41" s="19">
        <f t="shared" si="11"/>
        <v>8</v>
      </c>
      <c r="G41" s="43">
        <f t="shared" si="12"/>
        <v>5.9450000000000003</v>
      </c>
      <c r="H41" s="27"/>
      <c r="I41" s="27"/>
      <c r="J41" s="27">
        <f t="shared" si="7"/>
        <v>203456</v>
      </c>
      <c r="K41" s="27"/>
      <c r="L41" s="29"/>
      <c r="M41" s="20">
        <f t="shared" si="8"/>
        <v>1209.5459200000003</v>
      </c>
      <c r="N41" s="3"/>
      <c r="O41" s="43">
        <f>+[3]SECGT10KW!C20</f>
        <v>0</v>
      </c>
      <c r="P41" s="20"/>
      <c r="Q41" s="43">
        <f>+[3]SECGT10KW!E20</f>
        <v>0</v>
      </c>
      <c r="R41" s="3"/>
      <c r="S41" s="3"/>
      <c r="T41" s="3"/>
      <c r="U41" s="43">
        <f>+Q41-O41</f>
        <v>0</v>
      </c>
      <c r="V41" s="3"/>
      <c r="W41" s="20">
        <f t="shared" si="10"/>
        <v>0</v>
      </c>
      <c r="X41" s="3"/>
    </row>
    <row r="42" spans="1:24" ht="15">
      <c r="A42" s="39">
        <f t="shared" si="4"/>
        <v>27</v>
      </c>
      <c r="B42" s="1"/>
      <c r="C42" s="18">
        <f t="shared" si="6"/>
        <v>2021</v>
      </c>
      <c r="D42" s="1"/>
      <c r="E42" s="19">
        <f t="shared" si="11"/>
        <v>9</v>
      </c>
      <c r="G42" s="43">
        <f t="shared" si="12"/>
        <v>5.9450000000000003</v>
      </c>
      <c r="H42" s="27"/>
      <c r="I42" s="27"/>
      <c r="J42" s="27">
        <f t="shared" si="7"/>
        <v>203320</v>
      </c>
      <c r="K42" s="27"/>
      <c r="L42" s="29"/>
      <c r="M42" s="20">
        <f t="shared" si="8"/>
        <v>1208.7374000000002</v>
      </c>
      <c r="N42" s="3"/>
      <c r="O42" s="43">
        <f>+[3]SECGT10KW!C21</f>
        <v>0</v>
      </c>
      <c r="P42" s="20"/>
      <c r="Q42" s="43">
        <f>+[3]SECGT10KW!E21</f>
        <v>0.01116731034570532</v>
      </c>
      <c r="R42" s="3"/>
      <c r="S42" s="3"/>
      <c r="T42" s="3"/>
      <c r="U42" s="43">
        <f t="shared" si="9"/>
        <v>0.01116731034570532</v>
      </c>
      <c r="V42" s="3"/>
      <c r="W42" s="20">
        <f t="shared" si="10"/>
        <v>13.498345672260951</v>
      </c>
      <c r="X42" s="3"/>
    </row>
    <row r="43" spans="1:24" ht="15">
      <c r="A43" s="39">
        <f t="shared" si="4"/>
        <v>28</v>
      </c>
      <c r="B43" s="1"/>
      <c r="C43" s="18">
        <f t="shared" si="6"/>
        <v>2021</v>
      </c>
      <c r="D43" s="1"/>
      <c r="E43" s="19">
        <f t="shared" si="11"/>
        <v>10</v>
      </c>
      <c r="G43" s="43">
        <f t="shared" si="12"/>
        <v>5.9450000000000003</v>
      </c>
      <c r="H43" s="27"/>
      <c r="I43" s="27"/>
      <c r="J43" s="27">
        <f t="shared" si="7"/>
        <v>203377</v>
      </c>
      <c r="K43" s="27"/>
      <c r="L43" s="29"/>
      <c r="M43" s="20">
        <f t="shared" si="8"/>
        <v>1209.0762650000002</v>
      </c>
      <c r="N43" s="3"/>
      <c r="O43" s="43">
        <f>+[3]SECGT10KW!C22</f>
        <v>0.0014767980952380641</v>
      </c>
      <c r="P43" s="20"/>
      <c r="Q43" s="43">
        <f>+[3]SECGT10KW!E22</f>
        <v>0.68109829997618421</v>
      </c>
      <c r="R43" s="3"/>
      <c r="S43" s="3"/>
      <c r="T43" s="3"/>
      <c r="U43" s="43">
        <f t="shared" si="9"/>
        <v>0.67962150188094617</v>
      </c>
      <c r="V43" s="3"/>
      <c r="W43" s="20">
        <f t="shared" si="10"/>
        <v>821.714227107905</v>
      </c>
      <c r="X43" s="3"/>
    </row>
    <row r="44" spans="1:24" ht="15">
      <c r="A44" s="39">
        <f t="shared" si="4"/>
        <v>29</v>
      </c>
      <c r="B44" s="1"/>
      <c r="C44" s="18">
        <f t="shared" si="6"/>
        <v>2021</v>
      </c>
      <c r="D44" s="1"/>
      <c r="E44" s="19">
        <f t="shared" si="11"/>
        <v>11</v>
      </c>
      <c r="G44" s="43">
        <f t="shared" si="12"/>
        <v>5.9450000000000003</v>
      </c>
      <c r="H44" s="27"/>
      <c r="I44" s="27"/>
      <c r="J44" s="27">
        <f t="shared" si="7"/>
        <v>203317</v>
      </c>
      <c r="K44" s="27"/>
      <c r="L44" s="29"/>
      <c r="M44" s="20">
        <f>PRODUCT(G44,J44)/1000</f>
        <v>1208.7195649999999</v>
      </c>
      <c r="N44" s="28"/>
      <c r="O44" s="43">
        <f>+[3]SECGT10KW!C23</f>
        <v>5.8355129382380939</v>
      </c>
      <c r="P44" s="20"/>
      <c r="Q44" s="43">
        <f>+[3]SECGT10KW!E23</f>
        <v>12.540238348863445</v>
      </c>
      <c r="R44" s="28"/>
      <c r="S44" s="28"/>
      <c r="T44" s="28"/>
      <c r="U44" s="43">
        <f t="shared" si="9"/>
        <v>6.7047254106253513</v>
      </c>
      <c r="V44" s="28"/>
      <c r="W44" s="20">
        <f t="shared" si="10"/>
        <v>8104.13278177552</v>
      </c>
      <c r="X44" s="28"/>
    </row>
    <row r="45" spans="1:24" ht="15">
      <c r="A45" s="39">
        <f t="shared" si="4"/>
        <v>30</v>
      </c>
      <c r="B45" s="1"/>
      <c r="C45" s="18">
        <f t="shared" si="6"/>
        <v>2021</v>
      </c>
      <c r="D45" s="1"/>
      <c r="E45" s="19">
        <f t="shared" si="11"/>
        <v>12</v>
      </c>
      <c r="G45" s="43">
        <f t="shared" si="12"/>
        <v>5.9450000000000003</v>
      </c>
      <c r="H45" s="27"/>
      <c r="I45" s="27"/>
      <c r="J45" s="27">
        <f t="shared" si="7"/>
        <v>203588</v>
      </c>
      <c r="K45" s="27"/>
      <c r="L45" s="29"/>
      <c r="M45" s="20">
        <f t="shared" si="8"/>
        <v>1210.3306600000001</v>
      </c>
      <c r="N45" s="28"/>
      <c r="O45" s="43">
        <f>+[3]SECGT10KW!C24</f>
        <v>23.978954379238083</v>
      </c>
      <c r="P45" s="20"/>
      <c r="Q45" s="43">
        <f>+[3]SECGT10KW!E24</f>
        <v>77.27153362311148</v>
      </c>
      <c r="R45" s="51"/>
      <c r="S45" s="51"/>
      <c r="T45" s="51"/>
      <c r="U45" s="68">
        <f t="shared" si="9"/>
        <v>53.292579243873398</v>
      </c>
      <c r="V45" s="51"/>
      <c r="W45" s="59">
        <f t="shared" si="10"/>
        <v>64501.642609339593</v>
      </c>
      <c r="X45" s="28"/>
    </row>
    <row r="46" spans="1:24" ht="15">
      <c r="A46" s="39">
        <f t="shared" si="4"/>
        <v>31</v>
      </c>
      <c r="B46" s="1"/>
      <c r="C46" s="1" t="s">
        <v>8</v>
      </c>
      <c r="D46" s="1"/>
      <c r="E46" s="80"/>
      <c r="F46" s="81"/>
      <c r="G46" s="72"/>
      <c r="H46" s="72"/>
      <c r="I46" s="72"/>
      <c r="J46" s="72"/>
      <c r="K46" s="72"/>
      <c r="L46" s="73"/>
      <c r="M46" s="72"/>
      <c r="N46" s="74"/>
      <c r="O46" s="76">
        <f>SUM(O34:O45)</f>
        <v>610.90844440904766</v>
      </c>
      <c r="P46" s="76"/>
      <c r="Q46" s="76">
        <f>SUM(Q34:Q45)</f>
        <v>564.37440854268732</v>
      </c>
      <c r="R46" s="76"/>
      <c r="S46" s="76">
        <f>SUM(S40:S45)</f>
        <v>0</v>
      </c>
      <c r="T46" s="76"/>
      <c r="U46" s="77">
        <f t="shared" si="9"/>
        <v>-46.534035866360341</v>
      </c>
      <c r="V46" s="76"/>
      <c r="W46" s="76">
        <f>SUM(W34:W45)</f>
        <v>-55485.671627823664</v>
      </c>
      <c r="X46" s="28"/>
    </row>
    <row r="47" spans="1:24" ht="15">
      <c r="A47" s="39">
        <f t="shared" si="4"/>
        <v>32</v>
      </c>
      <c r="B47" s="4"/>
      <c r="C47" s="24"/>
      <c r="D47" s="4"/>
      <c r="E47" s="25"/>
      <c r="F47" s="8"/>
      <c r="G47" s="32"/>
      <c r="H47" s="33"/>
      <c r="I47" s="33"/>
      <c r="J47" s="32"/>
      <c r="K47" s="33"/>
      <c r="L47" s="34"/>
      <c r="M47" s="32"/>
      <c r="N47" s="35"/>
      <c r="O47" s="32"/>
      <c r="P47" s="35"/>
      <c r="Q47" s="32"/>
      <c r="R47" s="35"/>
      <c r="S47" s="35"/>
      <c r="T47" s="35"/>
      <c r="U47" s="32"/>
      <c r="V47" s="35"/>
      <c r="W47" s="36"/>
      <c r="X47" s="35"/>
    </row>
    <row r="48" spans="1:24" ht="15">
      <c r="A48" s="39">
        <f t="shared" si="4"/>
        <v>33</v>
      </c>
      <c r="B48" s="1"/>
      <c r="C48" s="21"/>
      <c r="D48" s="1"/>
      <c r="E48" s="19"/>
      <c r="G48" s="30"/>
      <c r="H48" s="27"/>
      <c r="I48" s="27"/>
      <c r="J48" s="30"/>
      <c r="K48" s="27"/>
      <c r="L48" s="29"/>
      <c r="M48" s="30"/>
      <c r="N48" s="28"/>
      <c r="O48" s="30"/>
      <c r="P48" s="28"/>
      <c r="Q48" s="30"/>
      <c r="R48" s="28"/>
      <c r="S48" s="28"/>
      <c r="T48" s="28"/>
      <c r="U48" s="30"/>
      <c r="V48" s="28"/>
      <c r="W48" s="31"/>
      <c r="X48" s="28"/>
    </row>
    <row r="49" spans="1:24" ht="15">
      <c r="A49" s="39">
        <f t="shared" si="4"/>
        <v>34</v>
      </c>
      <c r="B49" s="11"/>
      <c r="C49" s="11" t="s">
        <v>1</v>
      </c>
      <c r="D49" s="11"/>
      <c r="E49" s="11" t="s">
        <v>2</v>
      </c>
      <c r="F49" s="1"/>
      <c r="G49" s="12"/>
      <c r="H49" s="12"/>
      <c r="I49" s="12"/>
      <c r="J49" s="12"/>
      <c r="K49" s="12"/>
      <c r="L49" s="12"/>
      <c r="M49" s="13"/>
      <c r="N49" s="14"/>
      <c r="O49" s="14"/>
      <c r="P49" s="14"/>
      <c r="Q49" s="14"/>
      <c r="R49" s="14"/>
      <c r="S49" s="13"/>
      <c r="T49" s="14"/>
      <c r="U49" s="12"/>
      <c r="V49" s="12"/>
      <c r="W49" s="12" t="s">
        <v>8</v>
      </c>
      <c r="X49" s="12"/>
    </row>
    <row r="50" spans="1:24" ht="15">
      <c r="A50" s="39">
        <f t="shared" si="4"/>
        <v>35</v>
      </c>
      <c r="B50" s="1"/>
      <c r="C50" s="26"/>
      <c r="D50" s="1"/>
      <c r="E50" s="26"/>
      <c r="F50" s="1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6" t="s">
        <v>114</v>
      </c>
      <c r="X50" s="15"/>
    </row>
    <row r="51" spans="1:24" ht="15">
      <c r="A51" s="39">
        <f t="shared" si="4"/>
        <v>36</v>
      </c>
      <c r="C51" s="23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</row>
    <row r="52" spans="1:24" ht="15">
      <c r="A52" s="39">
        <f t="shared" si="4"/>
        <v>37</v>
      </c>
      <c r="B52" s="1"/>
      <c r="C52" s="21">
        <f>+C34</f>
        <v>2021</v>
      </c>
      <c r="D52" s="1"/>
      <c r="E52" s="19">
        <f>+E34</f>
        <v>1</v>
      </c>
      <c r="G52" s="27"/>
      <c r="H52" s="27"/>
      <c r="I52" s="27"/>
      <c r="J52" s="27"/>
      <c r="K52" s="27"/>
      <c r="L52" s="27"/>
      <c r="M52" s="27"/>
      <c r="N52" s="28"/>
      <c r="O52" s="27"/>
      <c r="P52" s="28"/>
      <c r="Q52" s="27"/>
      <c r="R52" s="28"/>
      <c r="S52" s="28"/>
      <c r="T52" s="28"/>
      <c r="U52" s="27"/>
      <c r="V52" s="28"/>
      <c r="W52" s="27">
        <f t="shared" si="13" ref="W52:W63">+W16+W34</f>
        <v>45662.305229831341</v>
      </c>
      <c r="X52" s="28"/>
    </row>
    <row r="53" spans="1:24" ht="15">
      <c r="A53" s="39">
        <f t="shared" si="4"/>
        <v>38</v>
      </c>
      <c r="B53" s="1"/>
      <c r="C53" s="21">
        <f t="shared" si="14" ref="C53:C63">+C35</f>
        <v>2021</v>
      </c>
      <c r="D53" s="1"/>
      <c r="E53" s="19">
        <f t="shared" si="15" ref="E53:E63">+E35</f>
        <v>2</v>
      </c>
      <c r="G53" s="27"/>
      <c r="H53" s="27"/>
      <c r="I53" s="27"/>
      <c r="J53" s="27"/>
      <c r="K53" s="27"/>
      <c r="L53" s="27"/>
      <c r="M53" s="27"/>
      <c r="N53" s="28"/>
      <c r="O53" s="27"/>
      <c r="P53" s="28"/>
      <c r="Q53" s="27"/>
      <c r="R53" s="28"/>
      <c r="S53" s="28"/>
      <c r="T53" s="28"/>
      <c r="U53" s="27"/>
      <c r="V53" s="28"/>
      <c r="W53" s="27">
        <f t="shared" si="13"/>
        <v>517.7448984187904</v>
      </c>
      <c r="X53" s="28"/>
    </row>
    <row r="54" spans="1:24" ht="15">
      <c r="A54" s="39">
        <f t="shared" si="4"/>
        <v>39</v>
      </c>
      <c r="B54" s="1"/>
      <c r="C54" s="21">
        <f t="shared" si="14"/>
        <v>2021</v>
      </c>
      <c r="D54" s="1"/>
      <c r="E54" s="19">
        <f t="shared" si="15"/>
        <v>3</v>
      </c>
      <c r="G54" s="27"/>
      <c r="H54" s="27"/>
      <c r="I54" s="27"/>
      <c r="J54" s="27"/>
      <c r="K54" s="27"/>
      <c r="L54" s="27"/>
      <c r="M54" s="27"/>
      <c r="N54" s="28"/>
      <c r="O54" s="27"/>
      <c r="P54" s="28"/>
      <c r="Q54" s="27"/>
      <c r="R54" s="28"/>
      <c r="S54" s="28"/>
      <c r="T54" s="28"/>
      <c r="U54" s="27"/>
      <c r="V54" s="28"/>
      <c r="W54" s="27">
        <f t="shared" si="13"/>
        <v>-171117.97014560149</v>
      </c>
      <c r="X54" s="28"/>
    </row>
    <row r="55" spans="1:24" ht="15">
      <c r="A55" s="39">
        <f t="shared" si="4"/>
        <v>40</v>
      </c>
      <c r="B55" s="1"/>
      <c r="C55" s="21">
        <f t="shared" si="14"/>
        <v>2021</v>
      </c>
      <c r="D55" s="1"/>
      <c r="E55" s="19">
        <f t="shared" si="15"/>
        <v>4</v>
      </c>
      <c r="G55" s="27"/>
      <c r="H55" s="27"/>
      <c r="I55" s="27"/>
      <c r="J55" s="27"/>
      <c r="K55" s="27"/>
      <c r="L55" s="27"/>
      <c r="M55" s="27"/>
      <c r="N55" s="28"/>
      <c r="O55" s="27"/>
      <c r="P55" s="28"/>
      <c r="Q55" s="27"/>
      <c r="R55" s="28"/>
      <c r="S55" s="28"/>
      <c r="T55" s="28"/>
      <c r="U55" s="27"/>
      <c r="V55" s="28"/>
      <c r="W55" s="27">
        <f t="shared" si="13"/>
        <v>48833.776413813503</v>
      </c>
      <c r="X55" s="28"/>
    </row>
    <row r="56" spans="1:24" ht="15">
      <c r="A56" s="39">
        <f t="shared" si="4"/>
        <v>41</v>
      </c>
      <c r="B56" s="1"/>
      <c r="C56" s="21">
        <f t="shared" si="14"/>
        <v>2021</v>
      </c>
      <c r="D56" s="1"/>
      <c r="E56" s="19">
        <f t="shared" si="15"/>
        <v>5</v>
      </c>
      <c r="G56" s="27"/>
      <c r="H56" s="27"/>
      <c r="I56" s="27"/>
      <c r="J56" s="27"/>
      <c r="K56" s="27"/>
      <c r="L56" s="27"/>
      <c r="M56" s="27"/>
      <c r="N56" s="28"/>
      <c r="O56" s="27"/>
      <c r="P56" s="28"/>
      <c r="Q56" s="27"/>
      <c r="R56" s="28"/>
      <c r="S56" s="28"/>
      <c r="T56" s="28"/>
      <c r="U56" s="27"/>
      <c r="V56" s="28"/>
      <c r="W56" s="27">
        <f t="shared" si="13"/>
        <v>111838.67192808098</v>
      </c>
      <c r="X56" s="28"/>
    </row>
    <row r="57" spans="1:24" ht="15">
      <c r="A57" s="39">
        <f t="shared" si="4"/>
        <v>42</v>
      </c>
      <c r="B57" s="1"/>
      <c r="C57" s="21">
        <f t="shared" si="14"/>
        <v>2021</v>
      </c>
      <c r="D57" s="1"/>
      <c r="E57" s="19">
        <f t="shared" si="15"/>
        <v>6</v>
      </c>
      <c r="G57" s="30"/>
      <c r="H57" s="30"/>
      <c r="I57" s="30"/>
      <c r="J57" s="30"/>
      <c r="K57" s="30"/>
      <c r="L57" s="30"/>
      <c r="M57" s="30"/>
      <c r="N57" s="51"/>
      <c r="O57" s="30"/>
      <c r="P57" s="51"/>
      <c r="Q57" s="30"/>
      <c r="R57" s="51"/>
      <c r="S57" s="51"/>
      <c r="T57" s="51"/>
      <c r="U57" s="30"/>
      <c r="V57" s="51"/>
      <c r="W57" s="30">
        <f t="shared" si="13"/>
        <v>194367.50189111216</v>
      </c>
      <c r="X57" s="28"/>
    </row>
    <row r="58" spans="1:24" ht="15">
      <c r="A58" s="39">
        <f t="shared" si="4"/>
        <v>43</v>
      </c>
      <c r="B58" s="1"/>
      <c r="C58" s="21">
        <f t="shared" si="14"/>
        <v>2021</v>
      </c>
      <c r="D58" s="1"/>
      <c r="E58" s="19">
        <f t="shared" si="15"/>
        <v>7</v>
      </c>
      <c r="G58" s="27"/>
      <c r="H58" s="28"/>
      <c r="I58" s="28"/>
      <c r="J58" s="27"/>
      <c r="K58" s="28"/>
      <c r="L58" s="29"/>
      <c r="M58" s="27"/>
      <c r="N58" s="28"/>
      <c r="O58" s="27"/>
      <c r="P58" s="28"/>
      <c r="Q58" s="27"/>
      <c r="R58" s="28"/>
      <c r="S58" s="28"/>
      <c r="T58" s="28"/>
      <c r="U58" s="27"/>
      <c r="V58" s="28"/>
      <c r="W58" s="27">
        <f t="shared" si="13"/>
        <v>70748.388916803815</v>
      </c>
      <c r="X58" s="28"/>
    </row>
    <row r="59" spans="1:24" ht="15">
      <c r="A59" s="39">
        <f t="shared" si="4"/>
        <v>44</v>
      </c>
      <c r="B59" s="1"/>
      <c r="C59" s="21">
        <f t="shared" si="14"/>
        <v>2021</v>
      </c>
      <c r="D59" s="1"/>
      <c r="E59" s="19">
        <f t="shared" si="15"/>
        <v>8</v>
      </c>
      <c r="G59" s="27"/>
      <c r="H59" s="27"/>
      <c r="I59" s="27"/>
      <c r="J59" s="27"/>
      <c r="K59" s="27"/>
      <c r="L59" s="27"/>
      <c r="M59" s="27"/>
      <c r="N59" s="28"/>
      <c r="O59" s="27"/>
      <c r="P59" s="28"/>
      <c r="Q59" s="27"/>
      <c r="R59" s="28"/>
      <c r="S59" s="28"/>
      <c r="T59" s="28"/>
      <c r="U59" s="27"/>
      <c r="V59" s="28"/>
      <c r="W59" s="27">
        <f t="shared" si="13"/>
        <v>133545.53110168901</v>
      </c>
      <c r="X59" s="28"/>
    </row>
    <row r="60" spans="1:24" ht="15">
      <c r="A60" s="39">
        <f t="shared" si="4"/>
        <v>45</v>
      </c>
      <c r="B60" s="1"/>
      <c r="C60" s="21">
        <f t="shared" si="14"/>
        <v>2021</v>
      </c>
      <c r="D60" s="1"/>
      <c r="E60" s="19">
        <f t="shared" si="15"/>
        <v>9</v>
      </c>
      <c r="G60" s="27"/>
      <c r="H60" s="27"/>
      <c r="I60" s="27"/>
      <c r="J60" s="27"/>
      <c r="K60" s="27"/>
      <c r="L60" s="27"/>
      <c r="M60" s="27"/>
      <c r="N60" s="28"/>
      <c r="O60" s="27"/>
      <c r="P60" s="28"/>
      <c r="Q60" s="27"/>
      <c r="R60" s="28"/>
      <c r="S60" s="28"/>
      <c r="T60" s="28"/>
      <c r="U60" s="27"/>
      <c r="V60" s="28"/>
      <c r="W60" s="27">
        <f t="shared" si="13"/>
        <v>-9290.2918265992339</v>
      </c>
      <c r="X60" s="28"/>
    </row>
    <row r="61" spans="1:24" ht="15">
      <c r="A61" s="39">
        <f t="shared" si="4"/>
        <v>46</v>
      </c>
      <c r="B61" s="1"/>
      <c r="C61" s="21">
        <f t="shared" si="14"/>
        <v>2021</v>
      </c>
      <c r="D61" s="1"/>
      <c r="E61" s="19">
        <f t="shared" si="15"/>
        <v>10</v>
      </c>
      <c r="G61" s="27"/>
      <c r="H61" s="27"/>
      <c r="I61" s="27"/>
      <c r="J61" s="27"/>
      <c r="K61" s="27"/>
      <c r="L61" s="27"/>
      <c r="M61" s="27"/>
      <c r="N61" s="28"/>
      <c r="O61" s="27"/>
      <c r="P61" s="28"/>
      <c r="Q61" s="27"/>
      <c r="R61" s="28"/>
      <c r="S61" s="28"/>
      <c r="T61" s="28"/>
      <c r="U61" s="27"/>
      <c r="V61" s="28"/>
      <c r="W61" s="27">
        <f t="shared" si="13"/>
        <v>-50451.361468617928</v>
      </c>
      <c r="X61" s="28"/>
    </row>
    <row r="62" spans="1:24" ht="15">
      <c r="A62" s="39">
        <f t="shared" si="4"/>
        <v>47</v>
      </c>
      <c r="B62" s="1"/>
      <c r="C62" s="21">
        <f t="shared" si="14"/>
        <v>2021</v>
      </c>
      <c r="D62" s="1"/>
      <c r="E62" s="19">
        <f t="shared" si="15"/>
        <v>11</v>
      </c>
      <c r="G62" s="27"/>
      <c r="H62" s="27"/>
      <c r="I62" s="27"/>
      <c r="J62" s="27"/>
      <c r="K62" s="27"/>
      <c r="L62" s="27"/>
      <c r="M62" s="27"/>
      <c r="N62" s="28"/>
      <c r="O62" s="27"/>
      <c r="P62" s="28"/>
      <c r="Q62" s="27"/>
      <c r="R62" s="28"/>
      <c r="S62" s="28"/>
      <c r="T62" s="28"/>
      <c r="U62" s="27"/>
      <c r="V62" s="28"/>
      <c r="W62" s="27">
        <f t="shared" si="13"/>
        <v>-42198.140258465894</v>
      </c>
      <c r="X62" s="28"/>
    </row>
    <row r="63" spans="1:24" ht="15">
      <c r="A63" s="39">
        <f t="shared" si="4"/>
        <v>48</v>
      </c>
      <c r="B63" s="1"/>
      <c r="C63" s="21">
        <f t="shared" si="14"/>
        <v>2021</v>
      </c>
      <c r="D63" s="1"/>
      <c r="E63" s="19">
        <f t="shared" si="15"/>
        <v>12</v>
      </c>
      <c r="G63" s="27"/>
      <c r="H63" s="27"/>
      <c r="I63" s="27"/>
      <c r="J63" s="27"/>
      <c r="K63" s="27"/>
      <c r="L63" s="27"/>
      <c r="M63" s="27"/>
      <c r="N63" s="28"/>
      <c r="O63" s="27"/>
      <c r="P63" s="28"/>
      <c r="Q63" s="27"/>
      <c r="R63" s="28"/>
      <c r="S63" s="28"/>
      <c r="T63" s="28"/>
      <c r="U63" s="27"/>
      <c r="V63" s="28"/>
      <c r="W63" s="27">
        <f t="shared" si="13"/>
        <v>63952.905523151472</v>
      </c>
      <c r="X63" s="28"/>
    </row>
    <row r="64" spans="1:25" ht="15">
      <c r="A64" s="39">
        <f t="shared" si="4"/>
        <v>49</v>
      </c>
      <c r="C64" s="37" t="s">
        <v>8</v>
      </c>
      <c r="G64" s="72"/>
      <c r="H64" s="72"/>
      <c r="I64" s="72"/>
      <c r="J64" s="72"/>
      <c r="K64" s="72"/>
      <c r="L64" s="72"/>
      <c r="M64" s="72"/>
      <c r="N64" s="74"/>
      <c r="O64" s="72"/>
      <c r="P64" s="74"/>
      <c r="Q64" s="72"/>
      <c r="R64" s="74"/>
      <c r="S64" s="74"/>
      <c r="T64" s="74"/>
      <c r="U64" s="72"/>
      <c r="V64" s="74"/>
      <c r="W64" s="76">
        <f>SUM(W52:W63)</f>
        <v>396409.06220361649</v>
      </c>
      <c r="X64" s="28"/>
      <c r="Y64" s="64"/>
    </row>
    <row r="65" spans="3:24" ht="15">
      <c r="C65" s="23"/>
      <c r="G65" s="27"/>
      <c r="H65" s="27"/>
      <c r="I65" s="27"/>
      <c r="J65" s="27"/>
      <c r="K65" s="27"/>
      <c r="L65" s="27"/>
      <c r="M65" s="27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</row>
  </sheetData>
  <printOptions horizontalCentered="1"/>
  <pageMargins left="0.25" right="0" top="1.5" bottom="0.25" header="0.5" footer="0.5"/>
  <pageSetup orientation="landscape" scale="5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24">
    <pageSetUpPr fitToPage="1"/>
  </sheetPr>
  <dimension ref="A1:R73"/>
  <sheetViews>
    <sheetView zoomScale="75" zoomScaleNormal="75" zoomScaleSheetLayoutView="70" workbookViewId="0" topLeftCell="A1"/>
  </sheetViews>
  <sheetFormatPr defaultRowHeight="12.75"/>
  <cols>
    <col min="1" max="1" width="5.85714285714286" bestFit="1" customWidth="1"/>
    <col min="2" max="2" width="2.71428571428571" customWidth="1"/>
    <col min="3" max="3" width="12.4285714285714" customWidth="1"/>
    <col min="4" max="4" width="2.71428571428571" customWidth="1"/>
    <col min="5" max="5" width="8" customWidth="1"/>
    <col min="6" max="6" width="2.71428571428571" customWidth="1"/>
    <col min="7" max="7" width="22.2857142857143" bestFit="1" customWidth="1"/>
    <col min="8" max="8" width="1.42857142857143" customWidth="1"/>
    <col min="9" max="9" width="1.14285714285714" customWidth="1"/>
    <col min="10" max="10" width="24.1428571428571" bestFit="1" customWidth="1"/>
    <col min="11" max="11" width="1.14285714285714" customWidth="1"/>
    <col min="12" max="12" width="16.8571428571429" hidden="1" customWidth="1"/>
    <col min="13" max="13" width="27.2857142857143" customWidth="1"/>
    <col min="14" max="14" width="1.14285714285714" customWidth="1"/>
    <col min="15" max="15" width="23" customWidth="1"/>
    <col min="16" max="16" width="1.14285714285714" customWidth="1"/>
    <col min="17" max="17" width="20.7142857142857" customWidth="1"/>
    <col min="18" max="18" width="1.71428571428571" customWidth="1"/>
  </cols>
  <sheetData>
    <row r="1" spans="1:18" ht="15.75">
      <c r="A1" s="1"/>
      <c r="B1" s="1"/>
      <c r="C1" s="1"/>
      <c r="D1" s="1"/>
      <c r="E1" s="1"/>
      <c r="F1" s="1"/>
      <c r="G1" s="2"/>
      <c r="H1" s="3"/>
      <c r="I1" s="3"/>
      <c r="J1" s="3"/>
      <c r="K1" s="3"/>
      <c r="L1" s="3"/>
      <c r="M1" s="3"/>
      <c r="N1" s="3"/>
      <c r="O1" s="3"/>
      <c r="P1" s="3"/>
      <c r="Q1" t="s">
        <v>10</v>
      </c>
      <c r="R1" s="3"/>
    </row>
    <row r="2" spans="1:18" ht="15.75">
      <c r="A2" s="4"/>
      <c r="B2" s="4"/>
      <c r="C2" s="4"/>
      <c r="D2" s="4"/>
      <c r="E2" s="4"/>
      <c r="F2" s="4"/>
      <c r="G2" s="5"/>
      <c r="H2" s="6"/>
      <c r="I2" s="6"/>
      <c r="J2" s="6"/>
      <c r="K2" s="6"/>
      <c r="L2" s="6"/>
      <c r="M2" s="6"/>
      <c r="N2" s="6"/>
      <c r="O2" s="6"/>
      <c r="P2" s="6"/>
      <c r="Q2" s="83" t="s">
        <v>132</v>
      </c>
      <c r="R2" s="6"/>
    </row>
    <row r="3" spans="1:18" ht="15.75">
      <c r="A3" s="4"/>
      <c r="B3" s="4"/>
      <c r="C3" s="4"/>
      <c r="D3" s="4"/>
      <c r="E3" s="4"/>
      <c r="F3" s="4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5.75">
      <c r="A4" s="7" t="str">
        <f>+'Weather Adjustment'!A4</f>
        <v>PUC DOCKET NO</v>
      </c>
      <c r="B4" s="4"/>
      <c r="C4" s="4"/>
      <c r="D4" s="4"/>
      <c r="E4" s="4"/>
      <c r="F4" s="4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ht="15.75">
      <c r="A5" s="7" t="str">
        <f>+'Weather Adjustment'!A5</f>
        <v>ONCOR ELECTRIC DELIVERY COMPANY LLC</v>
      </c>
      <c r="B5" s="4"/>
      <c r="C5" s="4"/>
      <c r="D5" s="4"/>
      <c r="E5" s="4"/>
      <c r="F5" s="4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ht="15.75">
      <c r="A6" s="9" t="str">
        <f>+'Weather Adjustment'!A6</f>
        <v>MONTHLY SALES DATA</v>
      </c>
      <c r="B6" s="4"/>
      <c r="C6" s="4"/>
      <c r="D6" s="4"/>
      <c r="E6" s="4"/>
      <c r="F6" s="4"/>
      <c r="G6" s="6"/>
      <c r="H6" s="8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ht="15.75">
      <c r="A7" s="65" t="str">
        <f>+'Weather Adjustment'!A7</f>
        <v>TEST YEAR ENDING December 31, 2021</v>
      </c>
      <c r="B7" s="4"/>
      <c r="C7" s="38"/>
      <c r="D7" s="4"/>
      <c r="E7" s="4"/>
      <c r="F7" s="4"/>
      <c r="G7" s="6"/>
      <c r="H7" s="8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15">
      <c r="B8" s="4"/>
      <c r="C8" s="4"/>
      <c r="D8" s="4"/>
      <c r="E8" s="4"/>
      <c r="F8" s="4"/>
      <c r="G8" s="6"/>
      <c r="H8" s="6"/>
      <c r="I8" s="6"/>
      <c r="J8" s="6"/>
      <c r="K8" s="6"/>
      <c r="L8" s="6"/>
      <c r="M8" s="6"/>
      <c r="N8" s="6"/>
      <c r="O8" s="20"/>
      <c r="P8" s="20"/>
      <c r="Q8" s="20"/>
      <c r="R8" s="6"/>
    </row>
    <row r="9" spans="1:18" ht="15.75">
      <c r="A9" s="41" t="str">
        <f>+'Weather Adjustment'!A9</f>
        <v>SPONSOR:  D. E. NELSON</v>
      </c>
      <c r="B9" s="7"/>
      <c r="C9" s="7"/>
      <c r="D9" s="7"/>
      <c r="E9" s="7"/>
      <c r="F9" s="7"/>
      <c r="G9" s="9"/>
      <c r="H9" s="9"/>
      <c r="I9" s="9"/>
      <c r="J9" s="9"/>
      <c r="K9" s="9"/>
      <c r="L9" s="9"/>
      <c r="M9" s="9"/>
      <c r="N9" s="9"/>
      <c r="O9" s="42"/>
      <c r="P9" s="42"/>
      <c r="Q9" s="42"/>
      <c r="R9" s="9"/>
    </row>
    <row r="10" spans="2:18" ht="15">
      <c r="B10" s="4"/>
      <c r="C10" s="4"/>
      <c r="D10" s="4"/>
      <c r="E10" s="4"/>
      <c r="F10" s="4"/>
      <c r="G10" s="6"/>
      <c r="H10" s="6"/>
      <c r="I10" s="6"/>
      <c r="J10" s="6"/>
      <c r="K10" s="6"/>
      <c r="L10" s="6"/>
      <c r="M10" s="6"/>
      <c r="N10" s="6"/>
      <c r="O10" s="20"/>
      <c r="P10" s="20"/>
      <c r="Q10" s="20"/>
      <c r="R10" s="6"/>
    </row>
    <row r="11" spans="2:18" ht="15">
      <c r="B11" s="4"/>
      <c r="C11" s="93" t="s">
        <v>88</v>
      </c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6"/>
    </row>
    <row r="12" spans="1:18" ht="15">
      <c r="A12" s="1"/>
      <c r="B12" s="1"/>
      <c r="C12" s="1"/>
      <c r="D12" s="1"/>
      <c r="E12" s="1"/>
      <c r="F12" s="1"/>
      <c r="G12" s="10" t="s">
        <v>86</v>
      </c>
      <c r="H12" s="3"/>
      <c r="I12" s="3"/>
      <c r="J12" s="10" t="s">
        <v>86</v>
      </c>
      <c r="K12" s="3"/>
      <c r="L12" s="3"/>
      <c r="M12" s="10" t="s">
        <v>86</v>
      </c>
      <c r="N12" s="3"/>
      <c r="O12" s="10" t="s">
        <v>86</v>
      </c>
      <c r="P12" s="3"/>
      <c r="Q12" s="10" t="s">
        <v>86</v>
      </c>
      <c r="R12" s="10"/>
    </row>
    <row r="13" spans="1:18" ht="15">
      <c r="A13" s="11" t="s">
        <v>0</v>
      </c>
      <c r="B13" s="11"/>
      <c r="C13" s="11" t="s">
        <v>1</v>
      </c>
      <c r="D13" s="11"/>
      <c r="E13" s="11" t="s">
        <v>2</v>
      </c>
      <c r="F13" s="1"/>
      <c r="G13" s="12" t="s">
        <v>46</v>
      </c>
      <c r="H13" s="12"/>
      <c r="I13" s="12"/>
      <c r="J13" s="12" t="s">
        <v>47</v>
      </c>
      <c r="K13" s="12"/>
      <c r="L13" s="12" t="s">
        <v>4</v>
      </c>
      <c r="M13" s="13" t="s">
        <v>50</v>
      </c>
      <c r="N13" s="14"/>
      <c r="O13" s="12" t="s">
        <v>40</v>
      </c>
      <c r="P13" s="14"/>
      <c r="Q13" s="12" t="s">
        <v>39</v>
      </c>
      <c r="R13" s="12"/>
    </row>
    <row r="14" spans="1:18" ht="15">
      <c r="A14" s="1"/>
      <c r="B14" s="1"/>
      <c r="C14" s="1"/>
      <c r="D14" s="1"/>
      <c r="E14" s="1"/>
      <c r="F14" s="1"/>
      <c r="G14" s="16" t="s">
        <v>15</v>
      </c>
      <c r="H14" s="15"/>
      <c r="I14" s="15"/>
      <c r="J14" s="16" t="s">
        <v>18</v>
      </c>
      <c r="K14" s="15"/>
      <c r="L14" s="15"/>
      <c r="M14" s="16" t="s">
        <v>19</v>
      </c>
      <c r="N14" s="15"/>
      <c r="O14" s="16" t="s">
        <v>48</v>
      </c>
      <c r="P14" s="15"/>
      <c r="Q14" s="16" t="s">
        <v>49</v>
      </c>
      <c r="R14" s="14"/>
    </row>
    <row r="15" spans="1:18" ht="15">
      <c r="A15" s="17"/>
      <c r="B15" s="1"/>
      <c r="C15" s="17"/>
      <c r="D15" s="1"/>
      <c r="E15" s="17"/>
      <c r="F15" s="1"/>
      <c r="G15" s="12"/>
      <c r="H15" s="3"/>
      <c r="I15" s="3"/>
      <c r="J15" s="3"/>
      <c r="K15" s="3"/>
      <c r="L15" s="3"/>
      <c r="M15" s="14"/>
      <c r="N15" s="3"/>
      <c r="O15" s="3"/>
      <c r="P15" s="3"/>
      <c r="Q15" s="3"/>
      <c r="R15" s="14"/>
    </row>
    <row r="16" spans="1:18" ht="15">
      <c r="A16" s="39">
        <v>1</v>
      </c>
      <c r="B16" s="1"/>
      <c r="C16" s="62">
        <f>+'Weather Adjustment'!C16</f>
        <v>2021</v>
      </c>
      <c r="D16" s="1"/>
      <c r="E16" s="19">
        <f>+'Weather Adjustment'!E16</f>
        <v>1</v>
      </c>
      <c r="F16" s="1"/>
      <c r="G16" s="20">
        <f>+'[1]GS SEC LRG IDR '!I16</f>
        <v>1351918368</v>
      </c>
      <c r="H16" s="3"/>
      <c r="I16" s="20"/>
      <c r="J16" s="20">
        <f>+'[1]GS SEC LRG NONIDR'!I16</f>
        <v>1998993921</v>
      </c>
      <c r="K16" s="20"/>
      <c r="L16" s="20" t="e">
        <f>SUM(#REF!,J16)</f>
        <v>#REF!</v>
      </c>
      <c r="M16" s="20">
        <f t="shared" si="0" ref="M16:M27">SUM(G16,J16)</f>
        <v>3350912289</v>
      </c>
      <c r="N16" s="20"/>
      <c r="O16" s="43">
        <f t="shared" si="1" ref="O16:O27">+G16/M16</f>
        <v>0.40344785282441631</v>
      </c>
      <c r="P16" s="20"/>
      <c r="Q16" s="43">
        <f t="shared" si="2" ref="Q16:Q27">+J16/M16</f>
        <v>0.59655214717558369</v>
      </c>
      <c r="R16" s="20"/>
    </row>
    <row r="17" spans="1:18" ht="15">
      <c r="A17" s="39">
        <f>+A16+1</f>
        <v>2</v>
      </c>
      <c r="B17" s="1"/>
      <c r="C17" s="62">
        <f>+'Weather Adjustment'!C17</f>
        <v>2021</v>
      </c>
      <c r="D17" s="1"/>
      <c r="E17" s="19">
        <f>+'Weather Adjustment'!E17</f>
        <v>2</v>
      </c>
      <c r="F17" s="1"/>
      <c r="G17" s="20">
        <f>+'[1]GS SEC LRG IDR '!I18</f>
        <v>1326371430</v>
      </c>
      <c r="H17" s="3"/>
      <c r="I17" s="20"/>
      <c r="J17" s="20">
        <f>+'[1]GS SEC LRG NONIDR'!I18</f>
        <v>1977503676</v>
      </c>
      <c r="K17" s="20"/>
      <c r="L17" s="20" t="e">
        <f>SUM(#REF!,J17)</f>
        <v>#REF!</v>
      </c>
      <c r="M17" s="20">
        <f t="shared" si="0"/>
        <v>3303875106</v>
      </c>
      <c r="N17" s="20"/>
      <c r="O17" s="43">
        <f t="shared" si="1"/>
        <v>0.40145931291144876</v>
      </c>
      <c r="P17" s="20"/>
      <c r="Q17" s="43">
        <f t="shared" si="2"/>
        <v>0.59854068708855124</v>
      </c>
      <c r="R17" s="20"/>
    </row>
    <row r="18" spans="1:18" ht="15">
      <c r="A18" s="39">
        <f t="shared" si="3" ref="A18:A46">+A17+1</f>
        <v>3</v>
      </c>
      <c r="B18" s="1"/>
      <c r="C18" s="62">
        <f>+'Weather Adjustment'!C18</f>
        <v>2021</v>
      </c>
      <c r="D18" s="1"/>
      <c r="E18" s="19">
        <f>+'Weather Adjustment'!E18</f>
        <v>3</v>
      </c>
      <c r="F18" s="1"/>
      <c r="G18" s="20">
        <f>+'[1]GS SEC LRG IDR '!I20</f>
        <v>1339560309</v>
      </c>
      <c r="H18" s="3"/>
      <c r="I18" s="20"/>
      <c r="J18" s="20">
        <f>+'[1]GS SEC LRG NONIDR'!I20</f>
        <v>2201181387</v>
      </c>
      <c r="K18" s="20"/>
      <c r="L18" s="20" t="e">
        <f>SUM(#REF!,J18)</f>
        <v>#REF!</v>
      </c>
      <c r="M18" s="20">
        <f t="shared" si="0"/>
        <v>3540741696</v>
      </c>
      <c r="N18" s="20"/>
      <c r="O18" s="43">
        <f t="shared" si="1"/>
        <v>0.37832760026333195</v>
      </c>
      <c r="P18" s="20"/>
      <c r="Q18" s="43">
        <f t="shared" si="2"/>
        <v>0.6216723997366681</v>
      </c>
      <c r="R18" s="20"/>
    </row>
    <row r="19" spans="1:18" ht="15">
      <c r="A19" s="39">
        <f t="shared" si="3"/>
        <v>4</v>
      </c>
      <c r="B19" s="1"/>
      <c r="C19" s="62">
        <f>+'Weather Adjustment'!C19</f>
        <v>2021</v>
      </c>
      <c r="D19" s="1"/>
      <c r="E19" s="19">
        <f>+'Weather Adjustment'!E19</f>
        <v>4</v>
      </c>
      <c r="F19" s="1"/>
      <c r="G19" s="20">
        <f>+'[1]GS SEC LRG IDR '!I22</f>
        <v>1346806153</v>
      </c>
      <c r="H19" s="3"/>
      <c r="I19" s="20"/>
      <c r="J19" s="20">
        <f>+'[1]GS SEC LRG NONIDR'!I22</f>
        <v>1800792498</v>
      </c>
      <c r="K19" s="20"/>
      <c r="L19" s="20" t="e">
        <f>SUM(#REF!,J19)</f>
        <v>#REF!</v>
      </c>
      <c r="M19" s="20">
        <f t="shared" si="0"/>
        <v>3147598651</v>
      </c>
      <c r="N19" s="20"/>
      <c r="O19" s="43">
        <f t="shared" si="1"/>
        <v>0.42788369875940707</v>
      </c>
      <c r="P19" s="20"/>
      <c r="Q19" s="43">
        <f t="shared" si="2"/>
        <v>0.57211630124059298</v>
      </c>
      <c r="R19" s="20"/>
    </row>
    <row r="20" spans="1:18" ht="15">
      <c r="A20" s="39">
        <f t="shared" si="3"/>
        <v>5</v>
      </c>
      <c r="B20" s="1"/>
      <c r="C20" s="62">
        <f>+'Weather Adjustment'!C20</f>
        <v>2021</v>
      </c>
      <c r="D20" s="1"/>
      <c r="E20" s="19">
        <f>+'Weather Adjustment'!E20</f>
        <v>5</v>
      </c>
      <c r="F20" s="1"/>
      <c r="G20" s="20">
        <f>+'[1]GS SEC LRG IDR '!I24</f>
        <v>1406273540</v>
      </c>
      <c r="H20" s="3"/>
      <c r="I20" s="20"/>
      <c r="J20" s="20">
        <f>+'[1]GS SEC LRG NONIDR'!I24</f>
        <v>2029244473</v>
      </c>
      <c r="K20" s="20"/>
      <c r="L20" s="20" t="e">
        <f>SUM(#REF!,J20)</f>
        <v>#REF!</v>
      </c>
      <c r="M20" s="20">
        <f t="shared" si="0"/>
        <v>3435518013</v>
      </c>
      <c r="N20" s="20"/>
      <c r="O20" s="43">
        <f t="shared" si="1"/>
        <v>0.40933376995220544</v>
      </c>
      <c r="P20" s="20"/>
      <c r="Q20" s="43">
        <f t="shared" si="2"/>
        <v>0.5906662300477945</v>
      </c>
      <c r="R20" s="20"/>
    </row>
    <row r="21" spans="1:18" ht="15">
      <c r="A21" s="39">
        <f t="shared" si="3"/>
        <v>6</v>
      </c>
      <c r="B21" s="1"/>
      <c r="C21" s="62">
        <f>+'Weather Adjustment'!C21</f>
        <v>2021</v>
      </c>
      <c r="D21" s="1"/>
      <c r="E21" s="19">
        <f>+'Weather Adjustment'!E21</f>
        <v>6</v>
      </c>
      <c r="F21" s="1"/>
      <c r="G21" s="20">
        <f>+'[1]GS SEC LRG IDR '!I26</f>
        <v>1462016083</v>
      </c>
      <c r="H21" s="3"/>
      <c r="I21" s="20"/>
      <c r="J21" s="20">
        <f>+'[1]GS SEC LRG NONIDR'!I26</f>
        <v>2281615721</v>
      </c>
      <c r="K21" s="20"/>
      <c r="L21" s="20" t="e">
        <f>SUM(#REF!,J21)</f>
        <v>#REF!</v>
      </c>
      <c r="M21" s="20">
        <f t="shared" si="0"/>
        <v>3743631804</v>
      </c>
      <c r="N21" s="20"/>
      <c r="O21" s="43">
        <f t="shared" si="1"/>
        <v>0.39053415494490229</v>
      </c>
      <c r="P21" s="20"/>
      <c r="Q21" s="43">
        <f t="shared" si="2"/>
        <v>0.60946584505509771</v>
      </c>
      <c r="R21" s="20"/>
    </row>
    <row r="22" spans="1:18" ht="15">
      <c r="A22" s="39">
        <f t="shared" si="3"/>
        <v>7</v>
      </c>
      <c r="B22" s="1"/>
      <c r="C22" s="62">
        <f>+'Weather Adjustment'!C22</f>
        <v>2021</v>
      </c>
      <c r="D22" s="1"/>
      <c r="E22" s="19">
        <f>+'Weather Adjustment'!E22</f>
        <v>7</v>
      </c>
      <c r="F22" s="1"/>
      <c r="G22" s="20">
        <f>+'[1]GS SEC LRG IDR '!I28</f>
        <v>1695733062</v>
      </c>
      <c r="H22" s="3"/>
      <c r="I22" s="20"/>
      <c r="J22" s="20">
        <f>+'[1]GS SEC LRG NONIDR'!I28</f>
        <v>2773542025</v>
      </c>
      <c r="K22" s="20"/>
      <c r="L22" s="20" t="e">
        <f>SUM(#REF!,J22)</f>
        <v>#REF!</v>
      </c>
      <c r="M22" s="20">
        <f t="shared" si="0"/>
        <v>4469275087</v>
      </c>
      <c r="N22" s="20"/>
      <c r="O22" s="43">
        <f t="shared" si="1"/>
        <v>0.37942015852469274</v>
      </c>
      <c r="P22" s="20"/>
      <c r="Q22" s="43">
        <f t="shared" si="2"/>
        <v>0.6205798414753072</v>
      </c>
      <c r="R22" s="20"/>
    </row>
    <row r="23" spans="1:18" ht="15">
      <c r="A23" s="39">
        <f t="shared" si="3"/>
        <v>8</v>
      </c>
      <c r="B23" s="1"/>
      <c r="C23" s="62">
        <f>+'Weather Adjustment'!C23</f>
        <v>2021</v>
      </c>
      <c r="D23" s="1"/>
      <c r="E23" s="19">
        <f>+'Weather Adjustment'!E23</f>
        <v>8</v>
      </c>
      <c r="F23" s="1"/>
      <c r="G23" s="20">
        <f>+'[1]GS SEC LRG IDR '!I30</f>
        <v>1697138007</v>
      </c>
      <c r="H23" s="3"/>
      <c r="I23" s="20"/>
      <c r="J23" s="20">
        <f>+'[1]GS SEC LRG NONIDR'!I30</f>
        <v>2813879859</v>
      </c>
      <c r="K23" s="20"/>
      <c r="L23" s="20" t="e">
        <f>SUM(#REF!,J23)</f>
        <v>#REF!</v>
      </c>
      <c r="M23" s="20">
        <f t="shared" si="0"/>
        <v>4511017866</v>
      </c>
      <c r="N23" s="20"/>
      <c r="O23" s="43">
        <f t="shared" si="1"/>
        <v>0.37622063521217719</v>
      </c>
      <c r="P23" s="20"/>
      <c r="Q23" s="43">
        <f t="shared" si="2"/>
        <v>0.62377936478782281</v>
      </c>
      <c r="R23" s="20"/>
    </row>
    <row r="24" spans="1:18" ht="15">
      <c r="A24" s="39">
        <f t="shared" si="3"/>
        <v>9</v>
      </c>
      <c r="B24" s="1"/>
      <c r="C24" s="62">
        <f>+'Weather Adjustment'!C24</f>
        <v>2021</v>
      </c>
      <c r="D24" s="1"/>
      <c r="E24" s="19">
        <f>+'Weather Adjustment'!E24</f>
        <v>9</v>
      </c>
      <c r="F24" s="1"/>
      <c r="G24" s="20">
        <f>+'[1]GS SEC LRG IDR '!I32</f>
        <v>1692406091</v>
      </c>
      <c r="H24" s="3"/>
      <c r="I24" s="20"/>
      <c r="J24" s="20">
        <f>+'[1]GS SEC LRG NONIDR'!I32</f>
        <v>2861233955</v>
      </c>
      <c r="K24" s="20"/>
      <c r="L24" s="20" t="e">
        <f>SUM(#REF!,J24)</f>
        <v>#REF!</v>
      </c>
      <c r="M24" s="20">
        <f t="shared" si="0"/>
        <v>4553640046</v>
      </c>
      <c r="N24" s="20"/>
      <c r="O24" s="43">
        <f t="shared" si="1"/>
        <v>0.37166005083924897</v>
      </c>
      <c r="P24" s="20"/>
      <c r="Q24" s="43">
        <f t="shared" si="2"/>
        <v>0.62833994916075109</v>
      </c>
      <c r="R24" s="20"/>
    </row>
    <row r="25" spans="1:18" ht="15">
      <c r="A25" s="39">
        <f t="shared" si="3"/>
        <v>10</v>
      </c>
      <c r="B25" s="1"/>
      <c r="C25" s="62">
        <f>+'Weather Adjustment'!C25</f>
        <v>2021</v>
      </c>
      <c r="D25" s="1"/>
      <c r="E25" s="19">
        <f>+'Weather Adjustment'!E25</f>
        <v>10</v>
      </c>
      <c r="F25" s="1"/>
      <c r="G25" s="20">
        <f>+'[1]GS SEC LRG IDR '!I34</f>
        <v>1554722199</v>
      </c>
      <c r="H25" s="3"/>
      <c r="I25" s="20"/>
      <c r="J25" s="20">
        <f>+'[1]GS SEC LRG NONIDR'!I34</f>
        <v>2450797322</v>
      </c>
      <c r="K25" s="20"/>
      <c r="L25" s="20" t="e">
        <f>SUM(#REF!,J25)</f>
        <v>#REF!</v>
      </c>
      <c r="M25" s="20">
        <f t="shared" si="0"/>
        <v>4005519521</v>
      </c>
      <c r="N25" s="20"/>
      <c r="O25" s="43">
        <f t="shared" si="1"/>
        <v>0.38814495619081518</v>
      </c>
      <c r="P25" s="20"/>
      <c r="Q25" s="43">
        <f t="shared" si="2"/>
        <v>0.61185504380918487</v>
      </c>
      <c r="R25" s="20"/>
    </row>
    <row r="26" spans="1:18" ht="15">
      <c r="A26" s="39">
        <f t="shared" si="3"/>
        <v>11</v>
      </c>
      <c r="B26" s="1"/>
      <c r="C26" s="62">
        <f>+'Weather Adjustment'!C26</f>
        <v>2021</v>
      </c>
      <c r="D26" s="1"/>
      <c r="E26" s="19">
        <f>+'Weather Adjustment'!E26</f>
        <v>11</v>
      </c>
      <c r="F26" s="1"/>
      <c r="G26" s="20">
        <f>+'[1]GS SEC LRG IDR '!I36</f>
        <v>1463865882</v>
      </c>
      <c r="H26" s="3"/>
      <c r="I26" s="20"/>
      <c r="J26" s="20">
        <f>+'[1]GS SEC LRG NONIDR'!I36</f>
        <v>2065732092</v>
      </c>
      <c r="K26" s="20"/>
      <c r="L26" s="20" t="e">
        <f>SUM(#REF!,J26)</f>
        <v>#REF!</v>
      </c>
      <c r="M26" s="20">
        <f t="shared" si="0"/>
        <v>3529597974</v>
      </c>
      <c r="N26" s="20"/>
      <c r="O26" s="43">
        <f t="shared" si="1"/>
        <v>0.41474011850166592</v>
      </c>
      <c r="P26" s="20"/>
      <c r="Q26" s="43">
        <f t="shared" si="2"/>
        <v>0.58525988149833408</v>
      </c>
      <c r="R26" s="20"/>
    </row>
    <row r="27" spans="1:18" ht="15">
      <c r="A27" s="39">
        <f t="shared" si="3"/>
        <v>12</v>
      </c>
      <c r="B27" s="1"/>
      <c r="C27" s="62">
        <f>+'Weather Adjustment'!C27</f>
        <v>2021</v>
      </c>
      <c r="D27" s="1"/>
      <c r="E27" s="19">
        <f>+'Weather Adjustment'!E27</f>
        <v>12</v>
      </c>
      <c r="F27" s="1"/>
      <c r="G27" s="20">
        <f>+'[1]GS SEC LRG IDR '!I38</f>
        <v>1408196282</v>
      </c>
      <c r="H27" s="3"/>
      <c r="I27" s="20"/>
      <c r="J27" s="20">
        <f>+'[1]GS SEC LRG NONIDR'!I38</f>
        <v>1930751950</v>
      </c>
      <c r="K27" s="59"/>
      <c r="L27" s="59" t="e">
        <f>SUM(#REF!,J27)</f>
        <v>#REF!</v>
      </c>
      <c r="M27" s="59">
        <f t="shared" si="0"/>
        <v>3338948232</v>
      </c>
      <c r="N27" s="69"/>
      <c r="O27" s="66">
        <f t="shared" si="1"/>
        <v>0.42174846213668399</v>
      </c>
      <c r="P27" s="69"/>
      <c r="Q27" s="66">
        <f t="shared" si="2"/>
        <v>0.57825153786331596</v>
      </c>
      <c r="R27" s="59"/>
    </row>
    <row r="28" spans="1:18" ht="15">
      <c r="A28" s="39">
        <f t="shared" si="3"/>
        <v>13</v>
      </c>
      <c r="B28" s="1"/>
      <c r="C28" s="1" t="s">
        <v>8</v>
      </c>
      <c r="D28" s="1"/>
      <c r="E28" s="1"/>
      <c r="F28" s="1"/>
      <c r="G28" s="76">
        <f>SUM(G16:G27)</f>
        <v>17745007406</v>
      </c>
      <c r="H28" s="76"/>
      <c r="I28" s="76"/>
      <c r="J28" s="76">
        <f>SUM(J16:J27)</f>
        <v>27185268879</v>
      </c>
      <c r="K28" s="76"/>
      <c r="L28" s="76" t="e">
        <f>SUM(L22:L27)</f>
        <v>#REF!</v>
      </c>
      <c r="M28" s="76">
        <f>SUM(M16:M27)</f>
        <v>44930276285</v>
      </c>
      <c r="N28" s="14"/>
      <c r="O28" s="14"/>
      <c r="P28" s="14"/>
      <c r="Q28" s="14"/>
      <c r="R28" s="14"/>
    </row>
    <row r="29" spans="1:18" ht="15">
      <c r="A29" s="39">
        <f t="shared" si="3"/>
        <v>14</v>
      </c>
      <c r="B29" s="1"/>
      <c r="C29" s="1"/>
      <c r="D29" s="1"/>
      <c r="E29" s="1"/>
      <c r="F29" s="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15">
      <c r="A30" s="39">
        <f t="shared" si="3"/>
        <v>15</v>
      </c>
      <c r="B30" s="1"/>
      <c r="C30" s="1"/>
      <c r="D30" s="1"/>
      <c r="E30" s="1"/>
      <c r="F30" s="1"/>
      <c r="G30" s="10" t="s">
        <v>86</v>
      </c>
      <c r="H30" s="3"/>
      <c r="I30" s="3"/>
      <c r="J30" s="10" t="s">
        <v>86</v>
      </c>
      <c r="K30" s="3"/>
      <c r="L30" s="3"/>
      <c r="M30" s="10" t="s">
        <v>86</v>
      </c>
      <c r="N30" s="3"/>
      <c r="O30" s="3"/>
      <c r="P30" s="3"/>
      <c r="Q30" s="3"/>
      <c r="R30" s="6"/>
    </row>
    <row r="31" spans="1:18" ht="15">
      <c r="A31" s="39">
        <f t="shared" si="3"/>
        <v>16</v>
      </c>
      <c r="B31" s="11"/>
      <c r="C31" s="11" t="s">
        <v>1</v>
      </c>
      <c r="D31" s="11"/>
      <c r="E31" s="11" t="s">
        <v>2</v>
      </c>
      <c r="F31" s="1"/>
      <c r="G31" s="12" t="s">
        <v>90</v>
      </c>
      <c r="H31" s="12"/>
      <c r="I31" s="12"/>
      <c r="J31" s="12" t="s">
        <v>52</v>
      </c>
      <c r="K31" s="12"/>
      <c r="L31" s="12" t="s">
        <v>4</v>
      </c>
      <c r="M31" s="12" t="s">
        <v>53</v>
      </c>
      <c r="N31" s="14"/>
      <c r="O31" s="14"/>
      <c r="P31" s="14"/>
      <c r="Q31" s="14"/>
      <c r="R31" s="12"/>
    </row>
    <row r="32" spans="1:18" ht="15">
      <c r="A32" s="39">
        <f t="shared" si="3"/>
        <v>17</v>
      </c>
      <c r="B32" s="1"/>
      <c r="C32" s="1"/>
      <c r="D32" s="1"/>
      <c r="E32" s="1"/>
      <c r="F32" s="1"/>
      <c r="G32" s="16" t="s">
        <v>26</v>
      </c>
      <c r="H32" s="15"/>
      <c r="I32" s="15"/>
      <c r="J32" s="16" t="s">
        <v>89</v>
      </c>
      <c r="K32" s="15"/>
      <c r="L32" s="15"/>
      <c r="M32" s="16" t="s">
        <v>118</v>
      </c>
      <c r="N32" s="14"/>
      <c r="O32" s="12"/>
      <c r="P32" s="14"/>
      <c r="Q32" s="12"/>
      <c r="R32" s="14"/>
    </row>
    <row r="33" spans="1:18" ht="15">
      <c r="A33" s="39">
        <f t="shared" si="3"/>
        <v>18</v>
      </c>
      <c r="B33" s="1"/>
      <c r="C33" s="1"/>
      <c r="D33" s="1"/>
      <c r="E33" s="1"/>
      <c r="F33" s="1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15">
      <c r="A34" s="39">
        <f t="shared" si="3"/>
        <v>19</v>
      </c>
      <c r="B34" s="1"/>
      <c r="C34" s="18">
        <f t="shared" si="4" ref="C34:C45">+C16</f>
        <v>2021</v>
      </c>
      <c r="D34" s="1"/>
      <c r="E34" s="19">
        <f>+E16</f>
        <v>1</v>
      </c>
      <c r="G34" s="27">
        <f>+SecGT10!W52</f>
        <v>45662.305229831341</v>
      </c>
      <c r="H34" s="27"/>
      <c r="I34" s="27"/>
      <c r="J34" s="27">
        <f>+G34*O16</f>
        <v>18422.35899998857</v>
      </c>
      <c r="K34" s="27"/>
      <c r="L34" s="29"/>
      <c r="M34" s="20">
        <f>+G34-J34</f>
        <v>27239.946229842772</v>
      </c>
      <c r="N34" s="28"/>
      <c r="O34" s="20"/>
      <c r="P34" s="20"/>
      <c r="Q34" s="20"/>
      <c r="R34" s="28"/>
    </row>
    <row r="35" spans="1:18" ht="15">
      <c r="A35" s="39">
        <f t="shared" si="3"/>
        <v>20</v>
      </c>
      <c r="B35" s="1"/>
      <c r="C35" s="18">
        <f t="shared" si="4"/>
        <v>2021</v>
      </c>
      <c r="D35" s="1"/>
      <c r="E35" s="19">
        <f t="shared" si="5" ref="E35:E45">+E17</f>
        <v>2</v>
      </c>
      <c r="G35" s="27">
        <f>+SecGT10!W53</f>
        <v>517.7448984187904</v>
      </c>
      <c r="H35" s="27"/>
      <c r="I35" s="27"/>
      <c r="J35" s="27">
        <f t="shared" si="6" ref="J35:J45">+G35*O17</f>
        <v>207.85351118261542</v>
      </c>
      <c r="K35" s="27"/>
      <c r="L35" s="29"/>
      <c r="M35" s="20">
        <f t="shared" si="7" ref="M35:M45">+G35-J35</f>
        <v>309.89138723617498</v>
      </c>
      <c r="N35" s="28"/>
      <c r="O35" s="20"/>
      <c r="P35" s="20"/>
      <c r="Q35" s="20"/>
      <c r="R35" s="28"/>
    </row>
    <row r="36" spans="1:18" ht="15">
      <c r="A36" s="39">
        <f t="shared" si="3"/>
        <v>21</v>
      </c>
      <c r="B36" s="1"/>
      <c r="C36" s="18">
        <f t="shared" si="4"/>
        <v>2021</v>
      </c>
      <c r="D36" s="1"/>
      <c r="E36" s="19">
        <f t="shared" si="5"/>
        <v>3</v>
      </c>
      <c r="G36" s="27">
        <f>+SecGT10!W54</f>
        <v>-171117.97014560149</v>
      </c>
      <c r="H36" s="27"/>
      <c r="I36" s="27"/>
      <c r="J36" s="27">
        <f t="shared" si="6"/>
        <v>-64738.651007117893</v>
      </c>
      <c r="K36" s="27"/>
      <c r="L36" s="29"/>
      <c r="M36" s="20">
        <f t="shared" si="7"/>
        <v>-106379.3191384836</v>
      </c>
      <c r="N36" s="28"/>
      <c r="O36" s="20"/>
      <c r="P36" s="20"/>
      <c r="Q36" s="20"/>
      <c r="R36" s="28"/>
    </row>
    <row r="37" spans="1:18" ht="15">
      <c r="A37" s="39">
        <f t="shared" si="3"/>
        <v>22</v>
      </c>
      <c r="B37" s="1"/>
      <c r="C37" s="18">
        <f t="shared" si="4"/>
        <v>2021</v>
      </c>
      <c r="D37" s="1"/>
      <c r="E37" s="19">
        <f t="shared" si="5"/>
        <v>4</v>
      </c>
      <c r="G37" s="27">
        <f>+SecGT10!W55</f>
        <v>48833.776413813503</v>
      </c>
      <c r="H37" s="27"/>
      <c r="I37" s="27"/>
      <c r="J37" s="27">
        <f t="shared" si="6"/>
        <v>20895.176876332414</v>
      </c>
      <c r="K37" s="27"/>
      <c r="L37" s="29"/>
      <c r="M37" s="20">
        <f t="shared" si="7"/>
        <v>27938.599537481088</v>
      </c>
      <c r="N37" s="28"/>
      <c r="O37" s="20"/>
      <c r="P37" s="20"/>
      <c r="Q37" s="20"/>
      <c r="R37" s="28"/>
    </row>
    <row r="38" spans="1:18" ht="15">
      <c r="A38" s="39">
        <f t="shared" si="3"/>
        <v>23</v>
      </c>
      <c r="B38" s="1"/>
      <c r="C38" s="18">
        <f t="shared" si="4"/>
        <v>2021</v>
      </c>
      <c r="D38" s="1"/>
      <c r="E38" s="19">
        <f t="shared" si="5"/>
        <v>5</v>
      </c>
      <c r="G38" s="27">
        <f>+SecGT10!W56</f>
        <v>111838.67192808098</v>
      </c>
      <c r="H38" s="27"/>
      <c r="I38" s="27"/>
      <c r="J38" s="27">
        <f t="shared" si="6"/>
        <v>45779.345206769278</v>
      </c>
      <c r="K38" s="27"/>
      <c r="L38" s="29"/>
      <c r="M38" s="20">
        <f t="shared" si="7"/>
        <v>66059.326721311692</v>
      </c>
      <c r="N38" s="28"/>
      <c r="O38" s="20"/>
      <c r="P38" s="20"/>
      <c r="Q38" s="20"/>
      <c r="R38" s="28"/>
    </row>
    <row r="39" spans="1:18" ht="15">
      <c r="A39" s="39">
        <f t="shared" si="3"/>
        <v>24</v>
      </c>
      <c r="B39" s="1"/>
      <c r="C39" s="18">
        <f t="shared" si="4"/>
        <v>2021</v>
      </c>
      <c r="D39" s="1"/>
      <c r="E39" s="19">
        <f t="shared" si="5"/>
        <v>6</v>
      </c>
      <c r="G39" s="27">
        <f>+SecGT10!W57</f>
        <v>194367.50189111216</v>
      </c>
      <c r="H39" s="30"/>
      <c r="I39" s="30"/>
      <c r="J39" s="27">
        <f>+G39*O21</f>
        <v>75907.148099797181</v>
      </c>
      <c r="K39" s="30"/>
      <c r="L39" s="45"/>
      <c r="M39" s="20">
        <f t="shared" si="7"/>
        <v>118460.35379131498</v>
      </c>
      <c r="N39" s="51"/>
      <c r="O39" s="20"/>
      <c r="P39" s="20"/>
      <c r="Q39" s="20"/>
      <c r="R39" s="28"/>
    </row>
    <row r="40" spans="1:18" ht="15">
      <c r="A40" s="39">
        <f t="shared" si="3"/>
        <v>25</v>
      </c>
      <c r="B40" s="1"/>
      <c r="C40" s="18">
        <f t="shared" si="4"/>
        <v>2021</v>
      </c>
      <c r="D40" s="1"/>
      <c r="E40" s="19">
        <f t="shared" si="5"/>
        <v>7</v>
      </c>
      <c r="F40" s="23"/>
      <c r="G40" s="27">
        <f>+SecGT10!W58</f>
        <v>70748.388916803815</v>
      </c>
      <c r="H40" s="28"/>
      <c r="I40" s="28"/>
      <c r="J40" s="27">
        <f t="shared" si="6"/>
        <v>26843.364938180319</v>
      </c>
      <c r="K40" s="3"/>
      <c r="L40" s="3"/>
      <c r="M40" s="20">
        <f t="shared" si="7"/>
        <v>43905.023978623496</v>
      </c>
      <c r="N40" s="3"/>
      <c r="O40" s="20"/>
      <c r="P40" s="20"/>
      <c r="Q40" s="20"/>
      <c r="R40" s="3"/>
    </row>
    <row r="41" spans="1:18" ht="15">
      <c r="A41" s="39">
        <f t="shared" si="3"/>
        <v>26</v>
      </c>
      <c r="B41" s="1"/>
      <c r="C41" s="18">
        <f t="shared" si="4"/>
        <v>2021</v>
      </c>
      <c r="D41" s="1"/>
      <c r="E41" s="19">
        <f t="shared" si="5"/>
        <v>8</v>
      </c>
      <c r="G41" s="27">
        <f>+SecGT10!W59</f>
        <v>133545.53110168901</v>
      </c>
      <c r="H41" s="27"/>
      <c r="I41" s="27"/>
      <c r="J41" s="27">
        <f t="shared" si="6"/>
        <v>50242.584540825002</v>
      </c>
      <c r="K41" s="27"/>
      <c r="L41" s="29"/>
      <c r="M41" s="20">
        <f t="shared" si="7"/>
        <v>83302.946560864002</v>
      </c>
      <c r="N41" s="3"/>
      <c r="O41" s="20"/>
      <c r="P41" s="20"/>
      <c r="Q41" s="20"/>
      <c r="R41" s="3"/>
    </row>
    <row r="42" spans="1:18" ht="15">
      <c r="A42" s="39">
        <f t="shared" si="3"/>
        <v>27</v>
      </c>
      <c r="B42" s="1"/>
      <c r="C42" s="18">
        <f t="shared" si="4"/>
        <v>2021</v>
      </c>
      <c r="D42" s="1"/>
      <c r="E42" s="19">
        <f t="shared" si="5"/>
        <v>9</v>
      </c>
      <c r="G42" s="27">
        <f>+SecGT10!W60</f>
        <v>-9290.2918265992339</v>
      </c>
      <c r="H42" s="27"/>
      <c r="I42" s="27"/>
      <c r="J42" s="27">
        <f t="shared" si="6"/>
        <v>-3452.8303325853303</v>
      </c>
      <c r="K42" s="27"/>
      <c r="L42" s="29"/>
      <c r="M42" s="20">
        <f t="shared" si="7"/>
        <v>-5837.4614940139036</v>
      </c>
      <c r="N42" s="3"/>
      <c r="O42" s="20"/>
      <c r="P42" s="20"/>
      <c r="Q42" s="20"/>
      <c r="R42" s="3"/>
    </row>
    <row r="43" spans="1:18" ht="15">
      <c r="A43" s="39">
        <f t="shared" si="3"/>
        <v>28</v>
      </c>
      <c r="B43" s="1"/>
      <c r="C43" s="18">
        <f t="shared" si="4"/>
        <v>2021</v>
      </c>
      <c r="D43" s="1"/>
      <c r="E43" s="19">
        <f t="shared" si="5"/>
        <v>10</v>
      </c>
      <c r="G43" s="27">
        <f>+SecGT10!W61</f>
        <v>-50451.361468617928</v>
      </c>
      <c r="H43" s="27"/>
      <c r="I43" s="27"/>
      <c r="J43" s="27">
        <f t="shared" si="6"/>
        <v>-19582.441487003685</v>
      </c>
      <c r="K43" s="27"/>
      <c r="L43" s="29"/>
      <c r="M43" s="20">
        <f t="shared" si="7"/>
        <v>-30868.919981614243</v>
      </c>
      <c r="N43" s="3"/>
      <c r="O43" s="20"/>
      <c r="P43" s="20"/>
      <c r="Q43" s="20"/>
      <c r="R43" s="3"/>
    </row>
    <row r="44" spans="1:18" ht="15">
      <c r="A44" s="39">
        <f t="shared" si="3"/>
        <v>29</v>
      </c>
      <c r="B44" s="1"/>
      <c r="C44" s="18">
        <f t="shared" si="4"/>
        <v>2021</v>
      </c>
      <c r="D44" s="1"/>
      <c r="E44" s="19">
        <f t="shared" si="5"/>
        <v>11</v>
      </c>
      <c r="G44" s="27">
        <f>+SecGT10!W62</f>
        <v>-42198.140258465894</v>
      </c>
      <c r="H44" s="27"/>
      <c r="I44" s="27"/>
      <c r="J44" s="27">
        <f>+G44*O26</f>
        <v>-17501.261691346062</v>
      </c>
      <c r="K44" s="27"/>
      <c r="L44" s="29"/>
      <c r="M44" s="20">
        <f t="shared" si="7"/>
        <v>-24696.878567119831</v>
      </c>
      <c r="N44" s="28"/>
      <c r="O44" s="20"/>
      <c r="P44" s="20"/>
      <c r="Q44" s="20"/>
      <c r="R44" s="28"/>
    </row>
    <row r="45" spans="1:18" ht="15">
      <c r="A45" s="39">
        <f t="shared" si="3"/>
        <v>30</v>
      </c>
      <c r="B45" s="1"/>
      <c r="C45" s="18">
        <f t="shared" si="4"/>
        <v>2021</v>
      </c>
      <c r="D45" s="1"/>
      <c r="E45" s="19">
        <f t="shared" si="5"/>
        <v>12</v>
      </c>
      <c r="G45" s="40">
        <f>+SecGT10!W63</f>
        <v>63952.905523151472</v>
      </c>
      <c r="H45" s="40"/>
      <c r="I45" s="40"/>
      <c r="J45" s="40">
        <f t="shared" si="6"/>
        <v>26972.039553561775</v>
      </c>
      <c r="K45" s="40"/>
      <c r="L45" s="45"/>
      <c r="M45" s="20">
        <f t="shared" si="7"/>
        <v>36980.865969589693</v>
      </c>
      <c r="N45" s="28"/>
      <c r="O45" s="59"/>
      <c r="P45" s="59"/>
      <c r="Q45" s="59"/>
      <c r="R45" s="28"/>
    </row>
    <row r="46" spans="1:18" ht="15">
      <c r="A46" s="39">
        <f t="shared" si="3"/>
        <v>31</v>
      </c>
      <c r="B46" s="1"/>
      <c r="C46" s="1" t="s">
        <v>8</v>
      </c>
      <c r="D46" s="1"/>
      <c r="E46" s="19"/>
      <c r="G46" s="14">
        <f>SUM(G34:G45)</f>
        <v>396409.06220361649</v>
      </c>
      <c r="H46" s="27"/>
      <c r="I46" s="27"/>
      <c r="J46" s="14">
        <f>SUM(J34:J45)</f>
        <v>159994.68720858416</v>
      </c>
      <c r="K46" s="27"/>
      <c r="L46" s="29"/>
      <c r="M46" s="76">
        <f>SUM(M34:M45)</f>
        <v>236414.37499503233</v>
      </c>
      <c r="N46" s="28"/>
      <c r="O46" s="14"/>
      <c r="P46" s="14"/>
      <c r="Q46" s="14"/>
      <c r="R46" s="28"/>
    </row>
    <row r="53" spans="1:18" ht="15">
      <c r="A53" s="4"/>
      <c r="B53" s="4"/>
      <c r="C53" s="24"/>
      <c r="D53" s="4"/>
      <c r="E53" s="25"/>
      <c r="F53" s="8"/>
      <c r="G53" s="32"/>
      <c r="H53" s="33"/>
      <c r="I53" s="33"/>
      <c r="J53" s="32"/>
      <c r="K53" s="33"/>
      <c r="L53" s="34"/>
      <c r="M53" s="32"/>
      <c r="N53" s="35"/>
      <c r="O53" s="32"/>
      <c r="P53" s="35"/>
      <c r="Q53" s="32"/>
      <c r="R53" s="35"/>
    </row>
    <row r="54" spans="1:18" ht="15">
      <c r="A54" s="47"/>
      <c r="B54" s="47"/>
      <c r="C54" s="48"/>
      <c r="D54" s="47"/>
      <c r="E54" s="49"/>
      <c r="F54" s="50"/>
      <c r="G54" s="30"/>
      <c r="H54" s="30"/>
      <c r="I54" s="30"/>
      <c r="J54" s="30"/>
      <c r="K54" s="30"/>
      <c r="L54" s="31"/>
      <c r="M54" s="30"/>
      <c r="N54" s="51"/>
      <c r="O54" s="30"/>
      <c r="P54" s="51"/>
      <c r="Q54" s="30"/>
      <c r="R54" s="28"/>
    </row>
    <row r="55" spans="1:18" ht="15">
      <c r="A55" s="52"/>
      <c r="B55" s="52"/>
      <c r="C55" s="52"/>
      <c r="D55" s="52"/>
      <c r="E55" s="52"/>
      <c r="F55" s="47"/>
      <c r="G55" s="12"/>
      <c r="H55" s="12"/>
      <c r="I55" s="12"/>
      <c r="J55" s="12"/>
      <c r="K55" s="12"/>
      <c r="L55" s="12"/>
      <c r="M55" s="13"/>
      <c r="N55" s="14"/>
      <c r="O55" s="14"/>
      <c r="P55" s="14"/>
      <c r="Q55" s="14"/>
      <c r="R55" s="12"/>
    </row>
    <row r="56" spans="1:18" ht="15">
      <c r="A56" s="47"/>
      <c r="B56" s="47"/>
      <c r="C56" s="47"/>
      <c r="D56" s="47"/>
      <c r="E56" s="47"/>
      <c r="F56" s="47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</row>
    <row r="57" spans="1:18" ht="15">
      <c r="A57" s="50"/>
      <c r="B57" s="50"/>
      <c r="C57" s="53"/>
      <c r="D57" s="50"/>
      <c r="E57" s="50"/>
      <c r="F57" s="50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28"/>
    </row>
    <row r="58" spans="1:18" ht="15">
      <c r="A58" s="54"/>
      <c r="B58" s="47"/>
      <c r="C58" s="55"/>
      <c r="D58" s="47"/>
      <c r="E58" s="49"/>
      <c r="F58" s="50"/>
      <c r="G58" s="30"/>
      <c r="H58" s="51"/>
      <c r="I58" s="51"/>
      <c r="J58" s="30"/>
      <c r="K58" s="51"/>
      <c r="L58" s="31"/>
      <c r="M58" s="30"/>
      <c r="N58" s="51"/>
      <c r="O58" s="30"/>
      <c r="P58" s="51"/>
      <c r="Q58" s="30"/>
      <c r="R58" s="28"/>
    </row>
    <row r="59" spans="1:18" ht="15">
      <c r="A59" s="54"/>
      <c r="B59" s="47"/>
      <c r="C59" s="48"/>
      <c r="D59" s="47"/>
      <c r="E59" s="49"/>
      <c r="F59" s="50"/>
      <c r="G59" s="30"/>
      <c r="H59" s="30"/>
      <c r="I59" s="30"/>
      <c r="J59" s="30"/>
      <c r="K59" s="30"/>
      <c r="L59" s="30"/>
      <c r="M59" s="30"/>
      <c r="N59" s="51"/>
      <c r="O59" s="30"/>
      <c r="P59" s="51"/>
      <c r="Q59" s="30"/>
      <c r="R59" s="28"/>
    </row>
    <row r="60" spans="1:18" ht="15">
      <c r="A60" s="54"/>
      <c r="B60" s="47"/>
      <c r="C60" s="48"/>
      <c r="D60" s="47"/>
      <c r="E60" s="49"/>
      <c r="F60" s="50"/>
      <c r="G60" s="30"/>
      <c r="H60" s="30"/>
      <c r="I60" s="30"/>
      <c r="J60" s="30"/>
      <c r="K60" s="30"/>
      <c r="L60" s="30"/>
      <c r="M60" s="30"/>
      <c r="N60" s="51"/>
      <c r="O60" s="30"/>
      <c r="P60" s="51"/>
      <c r="Q60" s="30"/>
      <c r="R60" s="28"/>
    </row>
    <row r="61" spans="1:18" ht="15">
      <c r="A61" s="54"/>
      <c r="B61" s="47"/>
      <c r="C61" s="48"/>
      <c r="D61" s="47"/>
      <c r="E61" s="49"/>
      <c r="F61" s="50"/>
      <c r="G61" s="30"/>
      <c r="H61" s="30"/>
      <c r="I61" s="30"/>
      <c r="J61" s="30"/>
      <c r="K61" s="30"/>
      <c r="L61" s="30"/>
      <c r="M61" s="30"/>
      <c r="N61" s="51"/>
      <c r="O61" s="30"/>
      <c r="P61" s="51"/>
      <c r="Q61" s="30"/>
      <c r="R61" s="28"/>
    </row>
    <row r="62" spans="1:18" ht="15">
      <c r="A62" s="54"/>
      <c r="B62" s="47"/>
      <c r="C62" s="48"/>
      <c r="D62" s="47"/>
      <c r="E62" s="49"/>
      <c r="F62" s="50"/>
      <c r="G62" s="30"/>
      <c r="H62" s="30"/>
      <c r="I62" s="30"/>
      <c r="J62" s="30"/>
      <c r="K62" s="30"/>
      <c r="L62" s="30"/>
      <c r="M62" s="30"/>
      <c r="N62" s="51"/>
      <c r="O62" s="30"/>
      <c r="P62" s="51"/>
      <c r="Q62" s="30"/>
      <c r="R62" s="28"/>
    </row>
    <row r="63" spans="1:18" ht="15">
      <c r="A63" s="54"/>
      <c r="B63" s="47"/>
      <c r="C63" s="48"/>
      <c r="D63" s="47"/>
      <c r="E63" s="49"/>
      <c r="F63" s="50"/>
      <c r="G63" s="30"/>
      <c r="H63" s="30"/>
      <c r="I63" s="30"/>
      <c r="J63" s="30"/>
      <c r="K63" s="30"/>
      <c r="L63" s="30"/>
      <c r="M63" s="30"/>
      <c r="N63" s="51"/>
      <c r="O63" s="30"/>
      <c r="P63" s="51"/>
      <c r="Q63" s="30"/>
      <c r="R63" s="28"/>
    </row>
    <row r="64" spans="1:18" ht="15">
      <c r="A64" s="54"/>
      <c r="B64" s="47"/>
      <c r="C64" s="48"/>
      <c r="D64" s="47"/>
      <c r="E64" s="49"/>
      <c r="F64" s="50"/>
      <c r="G64" s="30"/>
      <c r="H64" s="30"/>
      <c r="I64" s="30"/>
      <c r="J64" s="30"/>
      <c r="K64" s="30"/>
      <c r="L64" s="30"/>
      <c r="M64" s="30"/>
      <c r="N64" s="51"/>
      <c r="O64" s="30"/>
      <c r="P64" s="51"/>
      <c r="Q64" s="30"/>
      <c r="R64" s="28"/>
    </row>
    <row r="65" spans="1:18" ht="15">
      <c r="A65" s="54"/>
      <c r="B65" s="47"/>
      <c r="C65" s="48"/>
      <c r="D65" s="47"/>
      <c r="E65" s="49"/>
      <c r="F65" s="50"/>
      <c r="G65" s="30"/>
      <c r="H65" s="30"/>
      <c r="I65" s="30"/>
      <c r="J65" s="30"/>
      <c r="K65" s="30"/>
      <c r="L65" s="30"/>
      <c r="M65" s="30"/>
      <c r="N65" s="51"/>
      <c r="O65" s="30"/>
      <c r="P65" s="51"/>
      <c r="Q65" s="30"/>
      <c r="R65" s="28"/>
    </row>
    <row r="66" spans="1:18" ht="15">
      <c r="A66" s="54"/>
      <c r="B66" s="47"/>
      <c r="C66" s="48"/>
      <c r="D66" s="47"/>
      <c r="E66" s="49"/>
      <c r="F66" s="50"/>
      <c r="G66" s="30"/>
      <c r="H66" s="30"/>
      <c r="I66" s="30"/>
      <c r="J66" s="30"/>
      <c r="K66" s="30"/>
      <c r="L66" s="30"/>
      <c r="M66" s="30"/>
      <c r="N66" s="51"/>
      <c r="O66" s="30"/>
      <c r="P66" s="51"/>
      <c r="Q66" s="30"/>
      <c r="R66" s="28"/>
    </row>
    <row r="67" spans="1:18" ht="15">
      <c r="A67" s="54"/>
      <c r="B67" s="47"/>
      <c r="C67" s="48"/>
      <c r="D67" s="47"/>
      <c r="E67" s="49"/>
      <c r="F67" s="50"/>
      <c r="G67" s="30"/>
      <c r="H67" s="30"/>
      <c r="I67" s="30"/>
      <c r="J67" s="30"/>
      <c r="K67" s="30"/>
      <c r="L67" s="30"/>
      <c r="M67" s="30"/>
      <c r="N67" s="51"/>
      <c r="O67" s="30"/>
      <c r="P67" s="51"/>
      <c r="Q67" s="30"/>
      <c r="R67" s="28"/>
    </row>
    <row r="68" spans="1:18" ht="15">
      <c r="A68" s="54"/>
      <c r="B68" s="47"/>
      <c r="C68" s="48"/>
      <c r="D68" s="47"/>
      <c r="E68" s="49"/>
      <c r="F68" s="50"/>
      <c r="G68" s="30"/>
      <c r="H68" s="30"/>
      <c r="I68" s="30"/>
      <c r="J68" s="30"/>
      <c r="K68" s="30"/>
      <c r="L68" s="30"/>
      <c r="M68" s="30"/>
      <c r="N68" s="51"/>
      <c r="O68" s="30"/>
      <c r="P68" s="51"/>
      <c r="Q68" s="30"/>
      <c r="R68" s="28"/>
    </row>
    <row r="69" spans="1:18" ht="15">
      <c r="A69" s="54"/>
      <c r="B69" s="47"/>
      <c r="C69" s="48"/>
      <c r="D69" s="47"/>
      <c r="E69" s="49"/>
      <c r="F69" s="50"/>
      <c r="G69" s="30"/>
      <c r="H69" s="30"/>
      <c r="I69" s="30"/>
      <c r="J69" s="30"/>
      <c r="K69" s="30"/>
      <c r="L69" s="30"/>
      <c r="M69" s="30"/>
      <c r="N69" s="51"/>
      <c r="O69" s="30"/>
      <c r="P69" s="51"/>
      <c r="Q69" s="30"/>
      <c r="R69" s="28"/>
    </row>
    <row r="70" spans="1:18" ht="15">
      <c r="A70" s="50"/>
      <c r="B70" s="50"/>
      <c r="C70" s="48"/>
      <c r="D70" s="50"/>
      <c r="E70" s="49"/>
      <c r="F70" s="50"/>
      <c r="G70" s="30"/>
      <c r="H70" s="56"/>
      <c r="I70" s="56"/>
      <c r="J70" s="56"/>
      <c r="K70" s="56"/>
      <c r="L70" s="56"/>
      <c r="M70" s="56"/>
      <c r="N70" s="51"/>
      <c r="O70" s="56"/>
      <c r="P70" s="51"/>
      <c r="Q70" s="56"/>
      <c r="R70" s="28"/>
    </row>
    <row r="71" spans="1:18" ht="15">
      <c r="A71" s="57"/>
      <c r="B71" s="50"/>
      <c r="C71" s="58"/>
      <c r="D71" s="50"/>
      <c r="E71" s="50"/>
      <c r="F71" s="50"/>
      <c r="G71" s="30"/>
      <c r="H71" s="30"/>
      <c r="I71" s="30"/>
      <c r="J71" s="30"/>
      <c r="K71" s="30"/>
      <c r="L71" s="30"/>
      <c r="M71" s="30"/>
      <c r="N71" s="51"/>
      <c r="O71" s="30"/>
      <c r="P71" s="51"/>
      <c r="Q71" s="30"/>
      <c r="R71" s="28"/>
    </row>
    <row r="72" spans="1:18" ht="15">
      <c r="A72" s="50"/>
      <c r="B72" s="50"/>
      <c r="C72" s="53"/>
      <c r="D72" s="50"/>
      <c r="E72" s="50"/>
      <c r="F72" s="50"/>
      <c r="G72" s="30"/>
      <c r="H72" s="30"/>
      <c r="I72" s="30"/>
      <c r="J72" s="30"/>
      <c r="K72" s="30"/>
      <c r="L72" s="30"/>
      <c r="M72" s="30"/>
      <c r="N72" s="51"/>
      <c r="O72" s="51"/>
      <c r="P72" s="51"/>
      <c r="Q72" s="51"/>
      <c r="R72" s="28"/>
    </row>
    <row r="73" spans="1:17" ht="12.75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</row>
  </sheetData>
  <mergeCells count="1">
    <mergeCell ref="C11:Q11"/>
  </mergeCells>
  <printOptions horizontalCentered="1"/>
  <pageMargins left="0.25" right="0" top="1.5" bottom="0.25" header="0.5" footer="0.5"/>
  <pageSetup orientation="landscape" scale="47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23">
    <pageSetUpPr fitToPage="1"/>
  </sheetPr>
  <dimension ref="A1:T72"/>
  <sheetViews>
    <sheetView zoomScale="75" zoomScaleNormal="75" zoomScaleSheetLayoutView="70" workbookViewId="0" topLeftCell="A1"/>
  </sheetViews>
  <sheetFormatPr defaultRowHeight="12.75"/>
  <cols>
    <col min="1" max="1" width="5.85714285714286" bestFit="1" customWidth="1"/>
    <col min="2" max="2" width="2.71428571428571" customWidth="1"/>
    <col min="3" max="3" width="12.4285714285714" customWidth="1"/>
    <col min="4" max="4" width="2.71428571428571" customWidth="1"/>
    <col min="5" max="5" width="8" customWidth="1"/>
    <col min="6" max="6" width="2.71428571428571" customWidth="1"/>
    <col min="7" max="7" width="16.8571428571429" bestFit="1" customWidth="1"/>
    <col min="8" max="8" width="1.14285714285714" customWidth="1"/>
    <col min="9" max="9" width="15.5714285714286" customWidth="1"/>
    <col min="10" max="10" width="1.14285714285714" customWidth="1"/>
    <col min="11" max="11" width="16.1428571428571" customWidth="1"/>
    <col min="12" max="12" width="1.42857142857143" customWidth="1"/>
    <col min="13" max="14" width="0" hidden="1" customWidth="1"/>
    <col min="15" max="15" width="16.8571428571429" bestFit="1" customWidth="1"/>
    <col min="16" max="16" width="1.14285714285714" customWidth="1"/>
    <col min="17" max="17" width="17.2857142857143" customWidth="1"/>
    <col min="18" max="18" width="16.8571428571429" hidden="1" customWidth="1"/>
    <col min="19" max="19" width="1.28571428571429" hidden="1" customWidth="1"/>
  </cols>
  <sheetData>
    <row r="1" spans="1:19" ht="15.75">
      <c r="A1" s="1"/>
      <c r="B1" s="1"/>
      <c r="C1" s="1"/>
      <c r="D1" s="1"/>
      <c r="E1" s="1"/>
      <c r="F1" s="1"/>
      <c r="G1" s="2"/>
      <c r="H1" s="3"/>
      <c r="I1" s="3"/>
      <c r="J1" s="3"/>
      <c r="K1" s="3"/>
      <c r="L1" s="3"/>
      <c r="M1" s="3"/>
      <c r="N1" s="3"/>
      <c r="O1" s="3"/>
      <c r="P1" s="3"/>
      <c r="Q1" t="s">
        <v>10</v>
      </c>
      <c r="R1" s="3"/>
      <c r="S1" s="3"/>
    </row>
    <row r="2" spans="1:19" ht="15.75">
      <c r="A2" s="4"/>
      <c r="B2" s="4"/>
      <c r="C2" s="4"/>
      <c r="D2" s="4"/>
      <c r="E2" s="4"/>
      <c r="F2" s="4"/>
      <c r="G2" s="5"/>
      <c r="H2" s="6"/>
      <c r="I2" s="6"/>
      <c r="J2" s="6"/>
      <c r="K2" s="6"/>
      <c r="L2" s="6"/>
      <c r="M2" s="6"/>
      <c r="N2" s="6"/>
      <c r="O2" s="6"/>
      <c r="P2" s="6"/>
      <c r="Q2" s="83" t="s">
        <v>125</v>
      </c>
      <c r="R2" s="6"/>
      <c r="S2" s="6"/>
    </row>
    <row r="3" spans="1:19" ht="15.75">
      <c r="A3" s="4"/>
      <c r="B3" s="4"/>
      <c r="C3" s="4"/>
      <c r="D3" s="4"/>
      <c r="E3" s="4"/>
      <c r="F3" s="4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15.75">
      <c r="A4" s="7" t="str">
        <f>+'Weather Adjustment'!A4</f>
        <v>PUC DOCKET NO</v>
      </c>
      <c r="B4" s="4"/>
      <c r="C4" s="4"/>
      <c r="D4" s="4"/>
      <c r="E4" s="4"/>
      <c r="F4" s="4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ht="15.75">
      <c r="A5" s="7" t="str">
        <f>+'Weather Adjustment'!A5</f>
        <v>ONCOR ELECTRIC DELIVERY COMPANY LLC</v>
      </c>
      <c r="B5" s="4"/>
      <c r="C5" s="4"/>
      <c r="D5" s="4"/>
      <c r="E5" s="4"/>
      <c r="F5" s="4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ht="15.75">
      <c r="A6" s="9" t="str">
        <f>+'Weather Adjustment'!A6</f>
        <v>MONTHLY SALES DATA</v>
      </c>
      <c r="B6" s="4"/>
      <c r="C6" s="4"/>
      <c r="D6" s="4"/>
      <c r="E6" s="4"/>
      <c r="F6" s="4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19" ht="15.75">
      <c r="A7" s="65" t="str">
        <f>+'Weather Adjustment'!A7</f>
        <v>TEST YEAR ENDING December 31, 2021</v>
      </c>
      <c r="B7" s="4"/>
      <c r="C7" s="38"/>
      <c r="D7" s="4"/>
      <c r="E7" s="4"/>
      <c r="F7" s="4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15">
      <c r="B8" s="4"/>
      <c r="C8" s="4"/>
      <c r="D8" s="4"/>
      <c r="E8" s="4"/>
      <c r="F8" s="4"/>
      <c r="G8" s="6"/>
      <c r="H8" s="6"/>
      <c r="I8" s="6"/>
      <c r="J8" s="6"/>
      <c r="K8" s="6"/>
      <c r="L8" s="6"/>
      <c r="M8" s="6"/>
      <c r="N8" s="20"/>
      <c r="O8" s="20"/>
      <c r="P8" s="20"/>
      <c r="Q8" s="6"/>
      <c r="R8" s="6"/>
      <c r="S8" s="6"/>
    </row>
    <row r="9" spans="1:19" ht="15.75">
      <c r="A9" s="41" t="str">
        <f>+'Weather Adjustment'!A9</f>
        <v>SPONSOR:  D. E. NELSON</v>
      </c>
      <c r="B9" s="7"/>
      <c r="C9" s="7"/>
      <c r="D9" s="7"/>
      <c r="E9" s="7"/>
      <c r="F9" s="7"/>
      <c r="G9" s="9"/>
      <c r="H9" s="9"/>
      <c r="I9" s="9"/>
      <c r="J9" s="9"/>
      <c r="K9" s="9"/>
      <c r="L9" s="9"/>
      <c r="M9" s="9"/>
      <c r="N9" s="42"/>
      <c r="O9" s="42"/>
      <c r="P9" s="42"/>
      <c r="Q9" s="9"/>
      <c r="R9" s="9"/>
      <c r="S9" s="9"/>
    </row>
    <row r="10" spans="2:19" ht="15">
      <c r="B10" s="4"/>
      <c r="C10" s="4"/>
      <c r="D10" s="4"/>
      <c r="E10" s="4"/>
      <c r="F10" s="4"/>
      <c r="G10" s="6"/>
      <c r="H10" s="6"/>
      <c r="I10" s="6"/>
      <c r="J10" s="6"/>
      <c r="K10" s="6"/>
      <c r="L10" s="6"/>
      <c r="M10" s="6"/>
      <c r="N10" s="20"/>
      <c r="O10" s="20"/>
      <c r="P10" s="20"/>
      <c r="Q10" s="6"/>
      <c r="R10" s="6"/>
      <c r="S10" s="6"/>
    </row>
    <row r="11" spans="1:19" ht="15">
      <c r="A11" s="4" t="s">
        <v>60</v>
      </c>
      <c r="B11" s="4"/>
      <c r="C11" s="4"/>
      <c r="D11" s="4"/>
      <c r="E11" s="4"/>
      <c r="F11" s="4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9" ht="15">
      <c r="A12" s="1"/>
      <c r="B12" s="1"/>
      <c r="C12" s="1"/>
      <c r="D12" s="1"/>
      <c r="E12" s="1"/>
      <c r="F12" s="1"/>
      <c r="G12" s="10" t="s">
        <v>13</v>
      </c>
      <c r="H12" s="3"/>
      <c r="I12" s="3"/>
      <c r="J12" s="3"/>
      <c r="K12" s="3"/>
      <c r="L12" s="3"/>
      <c r="M12" s="10"/>
      <c r="N12" s="3"/>
      <c r="O12" s="10"/>
      <c r="P12" s="10"/>
      <c r="Q12" s="12" t="s">
        <v>30</v>
      </c>
      <c r="R12" s="10"/>
      <c r="S12" s="3"/>
    </row>
    <row r="13" spans="1:19" ht="15" customHeight="1">
      <c r="A13" s="11" t="s">
        <v>0</v>
      </c>
      <c r="B13" s="11"/>
      <c r="C13" s="11" t="s">
        <v>1</v>
      </c>
      <c r="D13" s="11"/>
      <c r="E13" s="11" t="s">
        <v>2</v>
      </c>
      <c r="F13" s="1"/>
      <c r="G13" s="12" t="s">
        <v>14</v>
      </c>
      <c r="H13" s="12"/>
      <c r="I13" s="14" t="s">
        <v>25</v>
      </c>
      <c r="J13" s="14"/>
      <c r="K13" s="14" t="s">
        <v>27</v>
      </c>
      <c r="L13" s="14"/>
      <c r="M13" s="13" t="s">
        <v>5</v>
      </c>
      <c r="N13" s="14"/>
      <c r="O13" s="12" t="s">
        <v>29</v>
      </c>
      <c r="P13" s="12"/>
      <c r="Q13" s="12" t="s">
        <v>9</v>
      </c>
      <c r="R13" s="13" t="s">
        <v>5</v>
      </c>
      <c r="S13" s="14"/>
    </row>
    <row r="14" spans="1:19" ht="15">
      <c r="A14" s="1"/>
      <c r="B14" s="1"/>
      <c r="C14" s="1"/>
      <c r="D14" s="1"/>
      <c r="E14" s="1"/>
      <c r="F14" s="1"/>
      <c r="G14" s="16" t="s">
        <v>15</v>
      </c>
      <c r="H14" s="15"/>
      <c r="I14" s="16" t="s">
        <v>18</v>
      </c>
      <c r="J14" s="15"/>
      <c r="K14" s="16" t="s">
        <v>19</v>
      </c>
      <c r="L14" s="15"/>
      <c r="M14" s="15"/>
      <c r="N14" s="15"/>
      <c r="O14" s="16" t="s">
        <v>91</v>
      </c>
      <c r="P14" s="15"/>
      <c r="Q14" s="16" t="s">
        <v>92</v>
      </c>
      <c r="R14" s="15"/>
      <c r="S14" s="15"/>
    </row>
    <row r="15" spans="1:19" ht="15">
      <c r="A15" s="17"/>
      <c r="B15" s="1"/>
      <c r="C15" s="17"/>
      <c r="D15" s="1"/>
      <c r="E15" s="17"/>
      <c r="F15" s="1"/>
      <c r="G15" s="12"/>
      <c r="H15" s="3"/>
      <c r="I15" s="3"/>
      <c r="J15" s="3"/>
      <c r="K15" s="3"/>
      <c r="L15" s="3"/>
      <c r="M15" s="14"/>
      <c r="N15" s="3"/>
      <c r="O15" s="14"/>
      <c r="P15" s="14"/>
      <c r="Q15" s="14"/>
      <c r="R15" s="14"/>
      <c r="S15" s="3"/>
    </row>
    <row r="16" spans="1:19" ht="15">
      <c r="A16" s="39">
        <v>1</v>
      </c>
      <c r="B16" s="1"/>
      <c r="C16" s="62">
        <f>+'Weather Adjustment'!C16</f>
        <v>2021</v>
      </c>
      <c r="D16" s="1"/>
      <c r="E16" s="19">
        <f>+'Weather Adjustment'!E16</f>
        <v>1</v>
      </c>
      <c r="F16" s="1"/>
      <c r="G16" s="43">
        <f>+'[2]PRMGT10KWD Model'!$C$17</f>
        <v>194.16999999999999</v>
      </c>
      <c r="H16" s="20"/>
      <c r="I16" s="43">
        <f>+[3]PRMGT10KWD!D13</f>
        <v>6.512224460619052</v>
      </c>
      <c r="J16" s="20"/>
      <c r="K16" s="43">
        <f>+[3]PRMGT10KWD!F13</f>
        <v>13.627013554083854</v>
      </c>
      <c r="L16" s="20"/>
      <c r="M16" s="20">
        <f t="shared" si="0" ref="M16:M21">SUM(I16,K16)</f>
        <v>20.139238014702904</v>
      </c>
      <c r="N16" s="20"/>
      <c r="O16" s="43">
        <f t="shared" si="1" ref="O16:O21">+K16-I16</f>
        <v>7.1147890934648022</v>
      </c>
      <c r="P16" s="20"/>
      <c r="Q16" s="20">
        <f t="shared" si="2" ref="Q16:Q21">+G16*O16</f>
        <v>1381.4785982780606</v>
      </c>
      <c r="R16" s="20">
        <f t="shared" si="3" ref="R16:R21">SUM(N16,P16)</f>
        <v>0</v>
      </c>
      <c r="S16" s="20"/>
    </row>
    <row r="17" spans="1:19" ht="15">
      <c r="A17" s="39">
        <f>+A16+1</f>
        <v>2</v>
      </c>
      <c r="B17" s="1"/>
      <c r="C17" s="62">
        <f>+'Weather Adjustment'!C17</f>
        <v>2021</v>
      </c>
      <c r="D17" s="1"/>
      <c r="E17" s="19">
        <f>+'Weather Adjustment'!E17</f>
        <v>2</v>
      </c>
      <c r="F17" s="1"/>
      <c r="G17" s="43">
        <f>+G16</f>
        <v>194.16999999999999</v>
      </c>
      <c r="H17" s="20"/>
      <c r="I17" s="43">
        <f>+[3]PRMGT10KWD!D14</f>
        <v>6.8640991653809573</v>
      </c>
      <c r="J17" s="20"/>
      <c r="K17" s="43">
        <f>+[3]PRMGT10KWD!F14</f>
        <v>12.417119979173117</v>
      </c>
      <c r="L17" s="20"/>
      <c r="M17" s="20">
        <f t="shared" si="0"/>
        <v>19.281219144554075</v>
      </c>
      <c r="N17" s="20"/>
      <c r="O17" s="43">
        <f t="shared" si="1"/>
        <v>5.5530208137921599</v>
      </c>
      <c r="P17" s="20"/>
      <c r="Q17" s="20">
        <f t="shared" si="2"/>
        <v>1078.2300514140236</v>
      </c>
      <c r="R17" s="20">
        <f t="shared" si="3"/>
        <v>0</v>
      </c>
      <c r="S17" s="20"/>
    </row>
    <row r="18" spans="1:19" ht="15">
      <c r="A18" s="39">
        <f t="shared" si="4" ref="A18:A64">+A17+1</f>
        <v>3</v>
      </c>
      <c r="B18" s="1"/>
      <c r="C18" s="62">
        <f>+'Weather Adjustment'!C18</f>
        <v>2021</v>
      </c>
      <c r="D18" s="1"/>
      <c r="E18" s="19">
        <f>+'Weather Adjustment'!E18</f>
        <v>3</v>
      </c>
      <c r="F18" s="1"/>
      <c r="G18" s="43">
        <f t="shared" si="5" ref="G18:G27">+G17</f>
        <v>194.16999999999999</v>
      </c>
      <c r="H18" s="20"/>
      <c r="I18" s="43">
        <f>+[3]PRMGT10KWD!D15</f>
        <v>25.659031912190486</v>
      </c>
      <c r="J18" s="20"/>
      <c r="K18" s="43">
        <f>+[3]PRMGT10KWD!F15</f>
        <v>36.040580438209311</v>
      </c>
      <c r="L18" s="20"/>
      <c r="M18" s="20">
        <f t="shared" si="0"/>
        <v>61.699612350399796</v>
      </c>
      <c r="N18" s="20"/>
      <c r="O18" s="43">
        <f t="shared" si="1"/>
        <v>10.381548526018825</v>
      </c>
      <c r="P18" s="20"/>
      <c r="Q18" s="20">
        <f t="shared" si="2"/>
        <v>2015.7852772970753</v>
      </c>
      <c r="R18" s="20">
        <f t="shared" si="3"/>
        <v>0</v>
      </c>
      <c r="S18" s="20"/>
    </row>
    <row r="19" spans="1:19" ht="15">
      <c r="A19" s="39">
        <f t="shared" si="4"/>
        <v>4</v>
      </c>
      <c r="B19" s="1"/>
      <c r="C19" s="62">
        <f>+'Weather Adjustment'!C19</f>
        <v>2021</v>
      </c>
      <c r="D19" s="1"/>
      <c r="E19" s="19">
        <f>+'Weather Adjustment'!E19</f>
        <v>4</v>
      </c>
      <c r="F19" s="1"/>
      <c r="G19" s="43">
        <f t="shared" si="5"/>
        <v>194.16999999999999</v>
      </c>
      <c r="H19" s="20"/>
      <c r="I19" s="43">
        <f>+[3]PRMGT10KWD!D16</f>
        <v>87.529099664904805</v>
      </c>
      <c r="J19" s="20"/>
      <c r="K19" s="43">
        <f>+[3]PRMGT10KWD!F16</f>
        <v>103.37533012557869</v>
      </c>
      <c r="L19" s="20"/>
      <c r="M19" s="20">
        <f t="shared" si="0"/>
        <v>190.90442979048351</v>
      </c>
      <c r="N19" s="20"/>
      <c r="O19" s="43">
        <f>+K19-I19</f>
        <v>15.84623046067388</v>
      </c>
      <c r="P19" s="20"/>
      <c r="Q19" s="20">
        <f t="shared" si="2"/>
        <v>3076.862568549047</v>
      </c>
      <c r="R19" s="20">
        <f t="shared" si="3"/>
        <v>0</v>
      </c>
      <c r="S19" s="20"/>
    </row>
    <row r="20" spans="1:19" ht="15">
      <c r="A20" s="39">
        <f t="shared" si="4"/>
        <v>5</v>
      </c>
      <c r="B20" s="1"/>
      <c r="C20" s="62">
        <f>+'Weather Adjustment'!C20</f>
        <v>2021</v>
      </c>
      <c r="D20" s="1"/>
      <c r="E20" s="19">
        <f>+'Weather Adjustment'!E20</f>
        <v>5</v>
      </c>
      <c r="F20" s="1"/>
      <c r="G20" s="43">
        <f t="shared" si="5"/>
        <v>194.16999999999999</v>
      </c>
      <c r="H20" s="20"/>
      <c r="I20" s="43">
        <f>+[3]PRMGT10KWD!D17</f>
        <v>154.03261704819047</v>
      </c>
      <c r="J20" s="20"/>
      <c r="K20" s="43">
        <f>+[3]PRMGT10KWD!F17</f>
        <v>223.89384007901654</v>
      </c>
      <c r="L20" s="20"/>
      <c r="M20" s="20">
        <f t="shared" si="0"/>
        <v>377.92645712720702</v>
      </c>
      <c r="N20" s="20"/>
      <c r="O20" s="43">
        <f t="shared" si="1"/>
        <v>69.861223030826068</v>
      </c>
      <c r="P20" s="20"/>
      <c r="Q20" s="20">
        <f t="shared" si="2"/>
        <v>13564.953675895496</v>
      </c>
      <c r="R20" s="20">
        <f t="shared" si="3"/>
        <v>0</v>
      </c>
      <c r="S20" s="20"/>
    </row>
    <row r="21" spans="1:19" ht="15">
      <c r="A21" s="39">
        <f t="shared" si="4"/>
        <v>6</v>
      </c>
      <c r="B21" s="1"/>
      <c r="C21" s="62">
        <f>+'Weather Adjustment'!C21</f>
        <v>2021</v>
      </c>
      <c r="D21" s="1"/>
      <c r="E21" s="19">
        <f>+'Weather Adjustment'!E21</f>
        <v>6</v>
      </c>
      <c r="F21" s="1"/>
      <c r="G21" s="43">
        <f t="shared" si="5"/>
        <v>194.16999999999999</v>
      </c>
      <c r="H21" s="20"/>
      <c r="I21" s="43">
        <f>+[3]PRMGT10KWD!D18</f>
        <v>323.06792951395238</v>
      </c>
      <c r="J21" s="20"/>
      <c r="K21" s="43">
        <f>+[3]PRMGT10KWD!F18</f>
        <v>416.32365419971791</v>
      </c>
      <c r="L21" s="20"/>
      <c r="M21" s="20">
        <f t="shared" si="0"/>
        <v>739.39158371367034</v>
      </c>
      <c r="N21" s="20"/>
      <c r="O21" s="43">
        <f t="shared" si="1"/>
        <v>93.255724685765529</v>
      </c>
      <c r="P21" s="20"/>
      <c r="Q21" s="20">
        <f t="shared" si="2"/>
        <v>18107.464062235093</v>
      </c>
      <c r="R21" s="20">
        <f t="shared" si="3"/>
        <v>0</v>
      </c>
      <c r="S21" s="20"/>
    </row>
    <row r="22" spans="1:19" ht="15">
      <c r="A22" s="39">
        <f t="shared" si="4"/>
        <v>7</v>
      </c>
      <c r="B22" s="1"/>
      <c r="C22" s="62">
        <f>+'Weather Adjustment'!C22</f>
        <v>2021</v>
      </c>
      <c r="D22" s="1"/>
      <c r="E22" s="19">
        <f>+'Weather Adjustment'!E22</f>
        <v>7</v>
      </c>
      <c r="F22" s="1"/>
      <c r="G22" s="43">
        <f t="shared" si="5"/>
        <v>194.16999999999999</v>
      </c>
      <c r="H22" s="20"/>
      <c r="I22" s="43">
        <f>+[3]PRMGT10KWD!D19</f>
        <v>539.67149808766681</v>
      </c>
      <c r="J22" s="20"/>
      <c r="K22" s="43">
        <f>+[3]PRMGT10KWD!F19</f>
        <v>599.49521112892035</v>
      </c>
      <c r="L22" s="20"/>
      <c r="M22" s="20">
        <f t="shared" si="6" ref="M22:M27">SUM(I22,K22)</f>
        <v>1139.1667092165872</v>
      </c>
      <c r="N22" s="20"/>
      <c r="O22" s="43">
        <f t="shared" si="7" ref="O22:O27">+K22-I22</f>
        <v>59.823713041253541</v>
      </c>
      <c r="P22" s="20"/>
      <c r="Q22" s="20">
        <f t="shared" si="8" ref="Q22:Q27">+G22*O22</f>
        <v>11615.970361220199</v>
      </c>
      <c r="R22" s="20">
        <f t="shared" si="9" ref="R22:R27">SUM(N22,P22)</f>
        <v>0</v>
      </c>
      <c r="S22" s="20"/>
    </row>
    <row r="23" spans="1:19" ht="15">
      <c r="A23" s="39">
        <f t="shared" si="4"/>
        <v>8</v>
      </c>
      <c r="B23" s="1"/>
      <c r="C23" s="62">
        <f>+'Weather Adjustment'!C23</f>
        <v>2021</v>
      </c>
      <c r="D23" s="1"/>
      <c r="E23" s="19">
        <f>+'Weather Adjustment'!E23</f>
        <v>8</v>
      </c>
      <c r="F23" s="1"/>
      <c r="G23" s="43">
        <f t="shared" si="5"/>
        <v>194.16999999999999</v>
      </c>
      <c r="H23" s="20"/>
      <c r="I23" s="43">
        <f>+[3]PRMGT10KWD!D20</f>
        <v>544.17114772619038</v>
      </c>
      <c r="J23" s="20"/>
      <c r="K23" s="43">
        <f>+[3]PRMGT10KWD!F20</f>
        <v>631.84016346952069</v>
      </c>
      <c r="L23" s="20"/>
      <c r="M23" s="20">
        <f t="shared" si="6"/>
        <v>1176.0113111957112</v>
      </c>
      <c r="N23" s="20"/>
      <c r="O23" s="43">
        <f t="shared" si="7"/>
        <v>87.669015743330306</v>
      </c>
      <c r="P23" s="20"/>
      <c r="Q23" s="20">
        <f>+G23*O23</f>
        <v>17022.692786882446</v>
      </c>
      <c r="R23" s="20">
        <f t="shared" si="9"/>
        <v>0</v>
      </c>
      <c r="S23" s="20"/>
    </row>
    <row r="24" spans="1:19" ht="15">
      <c r="A24" s="39">
        <f t="shared" si="4"/>
        <v>9</v>
      </c>
      <c r="B24" s="1"/>
      <c r="C24" s="62">
        <f>+'Weather Adjustment'!C24</f>
        <v>2021</v>
      </c>
      <c r="D24" s="1"/>
      <c r="E24" s="19">
        <f>+'Weather Adjustment'!E24</f>
        <v>9</v>
      </c>
      <c r="F24" s="1"/>
      <c r="G24" s="43">
        <f t="shared" si="5"/>
        <v>194.16999999999999</v>
      </c>
      <c r="H24" s="20"/>
      <c r="I24" s="43">
        <f>+[3]PRMGT10KWD!D21</f>
        <v>548.0556074307143</v>
      </c>
      <c r="J24" s="20"/>
      <c r="K24" s="43">
        <f>+[3]PRMGT10KWD!F21</f>
        <v>556.22387018135623</v>
      </c>
      <c r="L24" s="20"/>
      <c r="M24" s="20">
        <f t="shared" si="6"/>
        <v>1104.2794776120704</v>
      </c>
      <c r="N24" s="20"/>
      <c r="O24" s="43">
        <f t="shared" si="7"/>
        <v>8.1682627506419294</v>
      </c>
      <c r="P24" s="20"/>
      <c r="Q24" s="20">
        <f t="shared" si="8"/>
        <v>1586.0315782921434</v>
      </c>
      <c r="R24" s="20">
        <f t="shared" si="9"/>
        <v>0</v>
      </c>
      <c r="S24" s="20"/>
    </row>
    <row r="25" spans="1:19" ht="15">
      <c r="A25" s="39">
        <f t="shared" si="4"/>
        <v>10</v>
      </c>
      <c r="B25" s="1"/>
      <c r="C25" s="62">
        <f>+'Weather Adjustment'!C25</f>
        <v>2021</v>
      </c>
      <c r="D25" s="1"/>
      <c r="E25" s="19">
        <f>+'Weather Adjustment'!E25</f>
        <v>10</v>
      </c>
      <c r="F25" s="1"/>
      <c r="G25" s="43">
        <f t="shared" si="5"/>
        <v>194.16999999999999</v>
      </c>
      <c r="H25" s="20"/>
      <c r="I25" s="43">
        <f>+[3]PRMGT10KWD!D22</f>
        <v>386.99919450390479</v>
      </c>
      <c r="J25" s="20"/>
      <c r="K25" s="43">
        <f>+[3]PRMGT10KWD!F22</f>
        <v>354.87604971352096</v>
      </c>
      <c r="L25" s="20"/>
      <c r="M25" s="20">
        <f t="shared" si="6"/>
        <v>741.87524421742569</v>
      </c>
      <c r="N25" s="20"/>
      <c r="O25" s="43">
        <f>+K25-I25</f>
        <v>-32.123144790383833</v>
      </c>
      <c r="P25" s="20"/>
      <c r="Q25" s="20">
        <f t="shared" si="8"/>
        <v>-6237.3510239488287</v>
      </c>
      <c r="R25" s="20">
        <f t="shared" si="9"/>
        <v>0</v>
      </c>
      <c r="S25" s="20"/>
    </row>
    <row r="26" spans="1:19" ht="15">
      <c r="A26" s="39">
        <f t="shared" si="4"/>
        <v>11</v>
      </c>
      <c r="B26" s="1"/>
      <c r="C26" s="62">
        <f>+'Weather Adjustment'!C26</f>
        <v>2021</v>
      </c>
      <c r="D26" s="1"/>
      <c r="E26" s="19">
        <f>+'Weather Adjustment'!E26</f>
        <v>11</v>
      </c>
      <c r="F26" s="1"/>
      <c r="G26" s="43">
        <f t="shared" si="5"/>
        <v>194.16999999999999</v>
      </c>
      <c r="H26" s="20"/>
      <c r="I26" s="43">
        <f>+[3]PRMGT10KWD!D23</f>
        <v>181.66234373980956</v>
      </c>
      <c r="J26" s="20"/>
      <c r="K26" s="43">
        <f>+[3]PRMGT10KWD!F23</f>
        <v>151.58817205858733</v>
      </c>
      <c r="L26" s="20"/>
      <c r="M26" s="20">
        <f t="shared" si="6"/>
        <v>333.25051579839692</v>
      </c>
      <c r="N26" s="20"/>
      <c r="O26" s="43">
        <f t="shared" si="7"/>
        <v>-30.074171681222225</v>
      </c>
      <c r="P26" s="20"/>
      <c r="Q26" s="20">
        <f t="shared" si="8"/>
        <v>-5839.5019153429193</v>
      </c>
      <c r="R26" s="20">
        <f t="shared" si="9"/>
        <v>0</v>
      </c>
      <c r="S26" s="20"/>
    </row>
    <row r="27" spans="1:19" ht="15">
      <c r="A27" s="39">
        <f t="shared" si="4"/>
        <v>12</v>
      </c>
      <c r="B27" s="1"/>
      <c r="C27" s="62">
        <f>+'Weather Adjustment'!C27</f>
        <v>2021</v>
      </c>
      <c r="D27" s="1"/>
      <c r="E27" s="19">
        <f>+'Weather Adjustment'!E27</f>
        <v>12</v>
      </c>
      <c r="F27" s="1"/>
      <c r="G27" s="43">
        <f t="shared" si="5"/>
        <v>194.16999999999999</v>
      </c>
      <c r="H27" s="59"/>
      <c r="I27" s="43">
        <f>+[3]PRMGT10KWD!D24</f>
        <v>53.942641506523827</v>
      </c>
      <c r="J27" s="20"/>
      <c r="K27" s="43">
        <f>+[3]PRMGT10KWD!F24</f>
        <v>46.608439775253643</v>
      </c>
      <c r="L27" s="59"/>
      <c r="M27" s="59">
        <f t="shared" si="6"/>
        <v>100.55108128177747</v>
      </c>
      <c r="N27" s="59"/>
      <c r="O27" s="68">
        <f t="shared" si="7"/>
        <v>-7.3342017312701842</v>
      </c>
      <c r="P27" s="59"/>
      <c r="Q27" s="59">
        <f t="shared" si="8"/>
        <v>-1424.0819501607316</v>
      </c>
      <c r="R27" s="20">
        <f t="shared" si="9"/>
        <v>0</v>
      </c>
      <c r="S27" s="20"/>
    </row>
    <row r="28" spans="1:20" ht="15">
      <c r="A28" s="39">
        <f t="shared" si="4"/>
        <v>13</v>
      </c>
      <c r="B28" s="1"/>
      <c r="C28" s="1" t="s">
        <v>8</v>
      </c>
      <c r="D28" s="1"/>
      <c r="E28" s="1"/>
      <c r="F28" s="1"/>
      <c r="G28" s="76"/>
      <c r="H28" s="76"/>
      <c r="I28" s="76">
        <f>SUM(I16:I27)</f>
        <v>2858.1674347600474</v>
      </c>
      <c r="J28" s="76"/>
      <c r="K28" s="76">
        <f>SUM(K16:K27)</f>
        <v>3146.3094447029384</v>
      </c>
      <c r="L28" s="76"/>
      <c r="M28" s="76">
        <f>SUM(M22:M27)</f>
        <v>4595.1343393219686</v>
      </c>
      <c r="N28" s="76"/>
      <c r="O28" s="77">
        <f>+K28-I28</f>
        <v>288.14200994289104</v>
      </c>
      <c r="P28" s="76"/>
      <c r="Q28" s="76">
        <f>SUM(Q16:Q27)</f>
        <v>55948.534070611095</v>
      </c>
      <c r="R28" s="22">
        <f>SUM(R22:R27)</f>
        <v>0</v>
      </c>
      <c r="S28" s="22"/>
      <c r="T28" s="64"/>
    </row>
    <row r="29" spans="1:19" ht="15">
      <c r="A29" s="39">
        <f t="shared" si="4"/>
        <v>14</v>
      </c>
      <c r="B29" s="1"/>
      <c r="C29" s="1"/>
      <c r="D29" s="1"/>
      <c r="E29" s="1"/>
      <c r="F29" s="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5">
      <c r="A30" s="39">
        <f t="shared" si="4"/>
        <v>15</v>
      </c>
      <c r="B30" s="1"/>
      <c r="C30" s="1"/>
      <c r="D30" s="1"/>
      <c r="E30" s="1"/>
      <c r="F30" s="1"/>
      <c r="G30" s="10" t="s">
        <v>32</v>
      </c>
      <c r="H30" s="3"/>
      <c r="I30" s="3"/>
      <c r="J30" s="3"/>
      <c r="K30" s="3"/>
      <c r="L30" s="3"/>
      <c r="M30" s="10"/>
      <c r="N30" s="3"/>
      <c r="O30" s="10"/>
      <c r="P30" s="10"/>
      <c r="Q30" s="12" t="s">
        <v>34</v>
      </c>
      <c r="R30" s="10"/>
      <c r="S30" s="3"/>
    </row>
    <row r="31" spans="1:19" ht="30">
      <c r="A31" s="39">
        <f t="shared" si="4"/>
        <v>16</v>
      </c>
      <c r="B31" s="11"/>
      <c r="C31" s="11" t="s">
        <v>1</v>
      </c>
      <c r="D31" s="11"/>
      <c r="E31" s="11" t="s">
        <v>2</v>
      </c>
      <c r="F31" s="1"/>
      <c r="G31" s="12" t="s">
        <v>14</v>
      </c>
      <c r="H31" s="12"/>
      <c r="I31" s="14" t="s">
        <v>36</v>
      </c>
      <c r="J31" s="14"/>
      <c r="K31" s="14" t="s">
        <v>37</v>
      </c>
      <c r="L31" s="14"/>
      <c r="M31" s="13" t="s">
        <v>5</v>
      </c>
      <c r="N31" s="14"/>
      <c r="O31" s="12" t="s">
        <v>38</v>
      </c>
      <c r="P31" s="12"/>
      <c r="Q31" s="12" t="s">
        <v>9</v>
      </c>
      <c r="R31" s="13" t="s">
        <v>5</v>
      </c>
      <c r="S31" s="14"/>
    </row>
    <row r="32" spans="1:19" ht="15">
      <c r="A32" s="39">
        <f t="shared" si="4"/>
        <v>17</v>
      </c>
      <c r="B32" s="1"/>
      <c r="C32" s="1"/>
      <c r="D32" s="1"/>
      <c r="E32" s="1"/>
      <c r="F32" s="1"/>
      <c r="G32" s="16" t="s">
        <v>26</v>
      </c>
      <c r="H32" s="15"/>
      <c r="I32" s="16" t="s">
        <v>28</v>
      </c>
      <c r="J32" s="15"/>
      <c r="K32" s="16" t="s">
        <v>61</v>
      </c>
      <c r="L32" s="15"/>
      <c r="M32" s="15"/>
      <c r="N32" s="15"/>
      <c r="O32" s="16" t="s">
        <v>73</v>
      </c>
      <c r="P32" s="15"/>
      <c r="Q32" s="16" t="s">
        <v>74</v>
      </c>
      <c r="R32" s="15"/>
      <c r="S32" s="15"/>
    </row>
    <row r="33" spans="1:19" ht="15">
      <c r="A33" s="39">
        <f t="shared" si="4"/>
        <v>18</v>
      </c>
      <c r="B33" s="1"/>
      <c r="C33" s="1"/>
      <c r="D33" s="1"/>
      <c r="E33" s="1"/>
      <c r="F33" s="1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5">
      <c r="A34" s="39">
        <f t="shared" si="4"/>
        <v>19</v>
      </c>
      <c r="B34" s="1"/>
      <c r="C34" s="18">
        <f t="shared" si="10" ref="C34:C45">+C16</f>
        <v>2021</v>
      </c>
      <c r="D34" s="1"/>
      <c r="E34" s="19">
        <f>+E16</f>
        <v>1</v>
      </c>
      <c r="G34" s="44">
        <v>0</v>
      </c>
      <c r="H34" s="27"/>
      <c r="I34" s="43">
        <v>0</v>
      </c>
      <c r="J34" s="20">
        <f t="shared" si="11" ref="J34:J45">J16</f>
        <v>0</v>
      </c>
      <c r="K34" s="43">
        <v>0</v>
      </c>
      <c r="L34" s="28"/>
      <c r="M34" s="28"/>
      <c r="N34" s="28"/>
      <c r="O34" s="43">
        <f t="shared" si="12" ref="O34:O39">+K34-I34</f>
        <v>0</v>
      </c>
      <c r="P34" s="28"/>
      <c r="Q34" s="20">
        <f t="shared" si="13" ref="Q34:Q39">+G34*O34</f>
        <v>0</v>
      </c>
      <c r="R34" s="28"/>
      <c r="S34" s="28"/>
    </row>
    <row r="35" spans="1:19" ht="15">
      <c r="A35" s="39">
        <f t="shared" si="4"/>
        <v>20</v>
      </c>
      <c r="B35" s="1"/>
      <c r="C35" s="18">
        <f t="shared" si="10"/>
        <v>2021</v>
      </c>
      <c r="D35" s="1"/>
      <c r="E35" s="19">
        <f t="shared" si="14" ref="E35:E45">+E17</f>
        <v>2</v>
      </c>
      <c r="G35" s="43">
        <v>0</v>
      </c>
      <c r="H35" s="27"/>
      <c r="I35" s="43">
        <v>0</v>
      </c>
      <c r="J35" s="20">
        <f t="shared" si="11"/>
        <v>0</v>
      </c>
      <c r="K35" s="43">
        <v>0</v>
      </c>
      <c r="L35" s="28"/>
      <c r="M35" s="28"/>
      <c r="N35" s="28"/>
      <c r="O35" s="43">
        <f t="shared" si="12"/>
        <v>0</v>
      </c>
      <c r="P35" s="28"/>
      <c r="Q35" s="20">
        <f t="shared" si="13"/>
        <v>0</v>
      </c>
      <c r="R35" s="28"/>
      <c r="S35" s="28"/>
    </row>
    <row r="36" spans="1:19" ht="15">
      <c r="A36" s="39">
        <f t="shared" si="4"/>
        <v>21</v>
      </c>
      <c r="B36" s="1"/>
      <c r="C36" s="18">
        <f t="shared" si="10"/>
        <v>2021</v>
      </c>
      <c r="D36" s="1"/>
      <c r="E36" s="19">
        <f t="shared" si="14"/>
        <v>3</v>
      </c>
      <c r="G36" s="43">
        <v>0</v>
      </c>
      <c r="H36" s="27"/>
      <c r="I36" s="43">
        <v>0</v>
      </c>
      <c r="J36" s="20">
        <f t="shared" si="11"/>
        <v>0</v>
      </c>
      <c r="K36" s="43">
        <v>0</v>
      </c>
      <c r="L36" s="28"/>
      <c r="M36" s="28"/>
      <c r="N36" s="28"/>
      <c r="O36" s="43">
        <f t="shared" si="12"/>
        <v>0</v>
      </c>
      <c r="P36" s="28"/>
      <c r="Q36" s="20">
        <f t="shared" si="13"/>
        <v>0</v>
      </c>
      <c r="R36" s="28"/>
      <c r="S36" s="28"/>
    </row>
    <row r="37" spans="1:19" ht="15">
      <c r="A37" s="39">
        <f t="shared" si="4"/>
        <v>22</v>
      </c>
      <c r="B37" s="1"/>
      <c r="C37" s="18">
        <f t="shared" si="10"/>
        <v>2021</v>
      </c>
      <c r="D37" s="1"/>
      <c r="E37" s="19">
        <f t="shared" si="14"/>
        <v>4</v>
      </c>
      <c r="G37" s="43">
        <v>0</v>
      </c>
      <c r="H37" s="27"/>
      <c r="I37" s="43">
        <v>0</v>
      </c>
      <c r="J37" s="20">
        <f t="shared" si="11"/>
        <v>0</v>
      </c>
      <c r="K37" s="43">
        <v>0</v>
      </c>
      <c r="L37" s="28"/>
      <c r="M37" s="28"/>
      <c r="N37" s="28"/>
      <c r="O37" s="43">
        <f>+K37-I37</f>
        <v>0</v>
      </c>
      <c r="P37" s="28"/>
      <c r="Q37" s="20">
        <f t="shared" si="13"/>
        <v>0</v>
      </c>
      <c r="R37" s="28"/>
      <c r="S37" s="28"/>
    </row>
    <row r="38" spans="1:19" ht="15">
      <c r="A38" s="39">
        <f t="shared" si="4"/>
        <v>23</v>
      </c>
      <c r="B38" s="1"/>
      <c r="C38" s="18">
        <f t="shared" si="10"/>
        <v>2021</v>
      </c>
      <c r="D38" s="1"/>
      <c r="E38" s="19">
        <f t="shared" si="14"/>
        <v>5</v>
      </c>
      <c r="G38" s="43">
        <v>0</v>
      </c>
      <c r="H38" s="27"/>
      <c r="I38" s="43">
        <v>0</v>
      </c>
      <c r="J38" s="20">
        <f t="shared" si="11"/>
        <v>0</v>
      </c>
      <c r="K38" s="43">
        <v>0</v>
      </c>
      <c r="L38" s="28"/>
      <c r="M38" s="28"/>
      <c r="N38" s="28"/>
      <c r="O38" s="43">
        <f t="shared" si="12"/>
        <v>0</v>
      </c>
      <c r="P38" s="28"/>
      <c r="Q38" s="20">
        <f t="shared" si="13"/>
        <v>0</v>
      </c>
      <c r="R38" s="28"/>
      <c r="S38" s="28"/>
    </row>
    <row r="39" spans="1:19" ht="15">
      <c r="A39" s="39">
        <f t="shared" si="4"/>
        <v>24</v>
      </c>
      <c r="B39" s="1"/>
      <c r="C39" s="18">
        <f t="shared" si="10"/>
        <v>2021</v>
      </c>
      <c r="D39" s="1"/>
      <c r="E39" s="19">
        <f t="shared" si="14"/>
        <v>6</v>
      </c>
      <c r="G39" s="43">
        <v>0</v>
      </c>
      <c r="H39" s="30"/>
      <c r="I39" s="43">
        <v>0</v>
      </c>
      <c r="J39" s="20">
        <f t="shared" si="11"/>
        <v>0</v>
      </c>
      <c r="K39" s="43">
        <v>0</v>
      </c>
      <c r="L39" s="28"/>
      <c r="M39" s="28"/>
      <c r="N39" s="28"/>
      <c r="O39" s="43">
        <f t="shared" si="12"/>
        <v>0</v>
      </c>
      <c r="P39" s="28"/>
      <c r="Q39" s="20">
        <f t="shared" si="13"/>
        <v>0</v>
      </c>
      <c r="R39" s="28"/>
      <c r="S39" s="28"/>
    </row>
    <row r="40" spans="1:19" ht="15">
      <c r="A40" s="39">
        <f t="shared" si="4"/>
        <v>25</v>
      </c>
      <c r="B40" s="1"/>
      <c r="C40" s="18">
        <f t="shared" si="10"/>
        <v>2021</v>
      </c>
      <c r="D40" s="1"/>
      <c r="E40" s="19">
        <f t="shared" si="14"/>
        <v>7</v>
      </c>
      <c r="F40" s="23"/>
      <c r="G40" s="43">
        <v>0</v>
      </c>
      <c r="H40" s="28"/>
      <c r="I40" s="43">
        <v>0</v>
      </c>
      <c r="J40" s="20">
        <f t="shared" si="11"/>
        <v>0</v>
      </c>
      <c r="K40" s="43">
        <v>0</v>
      </c>
      <c r="L40" s="3"/>
      <c r="M40" s="3"/>
      <c r="N40" s="3"/>
      <c r="O40" s="43">
        <f t="shared" si="15" ref="O40:O45">+K40-I40</f>
        <v>0</v>
      </c>
      <c r="P40" s="3"/>
      <c r="Q40" s="20">
        <f t="shared" si="16" ref="Q40:Q45">+G40*O40</f>
        <v>0</v>
      </c>
      <c r="R40" s="3"/>
      <c r="S40" s="3"/>
    </row>
    <row r="41" spans="1:19" ht="15">
      <c r="A41" s="39">
        <f t="shared" si="4"/>
        <v>26</v>
      </c>
      <c r="B41" s="1"/>
      <c r="C41" s="18">
        <f t="shared" si="10"/>
        <v>2021</v>
      </c>
      <c r="D41" s="1"/>
      <c r="E41" s="19">
        <f t="shared" si="14"/>
        <v>8</v>
      </c>
      <c r="G41" s="43">
        <v>0</v>
      </c>
      <c r="H41" s="27"/>
      <c r="I41" s="43">
        <v>0</v>
      </c>
      <c r="J41" s="20">
        <f t="shared" si="11"/>
        <v>0</v>
      </c>
      <c r="K41" s="43">
        <v>0</v>
      </c>
      <c r="L41" s="3"/>
      <c r="M41" s="3"/>
      <c r="N41" s="3"/>
      <c r="O41" s="43">
        <f t="shared" si="15"/>
        <v>0</v>
      </c>
      <c r="P41" s="3"/>
      <c r="Q41" s="20">
        <f>+G41*O41</f>
        <v>0</v>
      </c>
      <c r="R41" s="3"/>
      <c r="S41" s="3"/>
    </row>
    <row r="42" spans="1:19" ht="15">
      <c r="A42" s="39">
        <f t="shared" si="4"/>
        <v>27</v>
      </c>
      <c r="B42" s="1"/>
      <c r="C42" s="18">
        <f t="shared" si="10"/>
        <v>2021</v>
      </c>
      <c r="D42" s="1"/>
      <c r="E42" s="19">
        <f t="shared" si="14"/>
        <v>9</v>
      </c>
      <c r="G42" s="43">
        <v>0</v>
      </c>
      <c r="H42" s="27"/>
      <c r="I42" s="43">
        <v>0</v>
      </c>
      <c r="J42" s="20">
        <f t="shared" si="11"/>
        <v>0</v>
      </c>
      <c r="K42" s="43">
        <v>0</v>
      </c>
      <c r="L42" s="3"/>
      <c r="M42" s="3"/>
      <c r="N42" s="3"/>
      <c r="O42" s="43">
        <f t="shared" si="15"/>
        <v>0</v>
      </c>
      <c r="P42" s="3"/>
      <c r="Q42" s="20">
        <f t="shared" si="16"/>
        <v>0</v>
      </c>
      <c r="R42" s="3"/>
      <c r="S42" s="3"/>
    </row>
    <row r="43" spans="1:19" ht="15">
      <c r="A43" s="39">
        <f t="shared" si="4"/>
        <v>28</v>
      </c>
      <c r="B43" s="1"/>
      <c r="C43" s="18">
        <f t="shared" si="10"/>
        <v>2021</v>
      </c>
      <c r="D43" s="1"/>
      <c r="E43" s="19">
        <f t="shared" si="14"/>
        <v>10</v>
      </c>
      <c r="G43" s="43">
        <v>0</v>
      </c>
      <c r="H43" s="27"/>
      <c r="I43" s="43">
        <v>0</v>
      </c>
      <c r="J43" s="20">
        <f t="shared" si="11"/>
        <v>0</v>
      </c>
      <c r="K43" s="43">
        <v>0</v>
      </c>
      <c r="L43" s="3"/>
      <c r="M43" s="3"/>
      <c r="N43" s="3"/>
      <c r="O43" s="43">
        <f t="shared" si="15"/>
        <v>0</v>
      </c>
      <c r="P43" s="3"/>
      <c r="Q43" s="20">
        <f t="shared" si="16"/>
        <v>0</v>
      </c>
      <c r="R43" s="3"/>
      <c r="S43" s="3"/>
    </row>
    <row r="44" spans="1:19" ht="15">
      <c r="A44" s="39">
        <f t="shared" si="4"/>
        <v>29</v>
      </c>
      <c r="B44" s="1"/>
      <c r="C44" s="18">
        <f t="shared" si="10"/>
        <v>2021</v>
      </c>
      <c r="D44" s="1"/>
      <c r="E44" s="19">
        <f t="shared" si="14"/>
        <v>11</v>
      </c>
      <c r="G44" s="43">
        <v>0</v>
      </c>
      <c r="H44" s="27"/>
      <c r="I44" s="43">
        <v>0</v>
      </c>
      <c r="J44" s="20">
        <f t="shared" si="11"/>
        <v>0</v>
      </c>
      <c r="K44" s="43">
        <v>0</v>
      </c>
      <c r="L44" s="28"/>
      <c r="M44" s="28"/>
      <c r="N44" s="28"/>
      <c r="O44" s="43">
        <f t="shared" si="15"/>
        <v>0</v>
      </c>
      <c r="P44" s="28"/>
      <c r="Q44" s="20">
        <f t="shared" si="16"/>
        <v>0</v>
      </c>
      <c r="R44" s="28"/>
      <c r="S44" s="28"/>
    </row>
    <row r="45" spans="1:19" ht="15">
      <c r="A45" s="39">
        <f t="shared" si="4"/>
        <v>30</v>
      </c>
      <c r="B45" s="1"/>
      <c r="C45" s="18">
        <f t="shared" si="10"/>
        <v>2021</v>
      </c>
      <c r="D45" s="1"/>
      <c r="E45" s="19">
        <f t="shared" si="14"/>
        <v>12</v>
      </c>
      <c r="G45" s="43">
        <v>0</v>
      </c>
      <c r="H45" s="27"/>
      <c r="I45" s="43">
        <v>0</v>
      </c>
      <c r="J45" s="20">
        <f t="shared" si="11"/>
        <v>0</v>
      </c>
      <c r="K45" s="43">
        <v>0</v>
      </c>
      <c r="L45" s="51"/>
      <c r="M45" s="51"/>
      <c r="N45" s="51"/>
      <c r="O45" s="68">
        <f t="shared" si="15"/>
        <v>0</v>
      </c>
      <c r="P45" s="51"/>
      <c r="Q45" s="59">
        <f t="shared" si="16"/>
        <v>0</v>
      </c>
      <c r="R45" s="28"/>
      <c r="S45" s="28"/>
    </row>
    <row r="46" spans="1:19" ht="15">
      <c r="A46" s="39">
        <f t="shared" si="4"/>
        <v>31</v>
      </c>
      <c r="B46" s="1"/>
      <c r="C46" s="1" t="s">
        <v>8</v>
      </c>
      <c r="D46" s="1"/>
      <c r="E46" s="19"/>
      <c r="G46" s="76">
        <f t="shared" si="17" ref="G46:H46">SUM(G34:G45)</f>
        <v>0</v>
      </c>
      <c r="H46" s="76">
        <f t="shared" si="17"/>
        <v>0</v>
      </c>
      <c r="I46" s="76">
        <f>SUM(I34:I45)</f>
        <v>0</v>
      </c>
      <c r="J46" s="76"/>
      <c r="K46" s="76">
        <f>SUM(K34:K45)</f>
        <v>0</v>
      </c>
      <c r="L46" s="76"/>
      <c r="M46" s="76">
        <f>SUM(M40:M45)</f>
        <v>0</v>
      </c>
      <c r="N46" s="76"/>
      <c r="O46" s="77">
        <f>+K46-I46</f>
        <v>0</v>
      </c>
      <c r="P46" s="76"/>
      <c r="Q46" s="76">
        <f>SUM(Q34:Q45)</f>
        <v>0</v>
      </c>
      <c r="R46" s="22">
        <f>SUM(R40:R45)</f>
        <v>0</v>
      </c>
      <c r="S46" s="22"/>
    </row>
    <row r="47" spans="1:19" ht="15">
      <c r="A47" s="39">
        <f t="shared" si="4"/>
        <v>32</v>
      </c>
      <c r="B47" s="4"/>
      <c r="C47" s="24"/>
      <c r="D47" s="4"/>
      <c r="E47" s="25"/>
      <c r="F47" s="8"/>
      <c r="G47" s="32"/>
      <c r="H47" s="33"/>
      <c r="I47" s="32"/>
      <c r="J47" s="35"/>
      <c r="K47" s="32"/>
      <c r="L47" s="35"/>
      <c r="M47" s="35"/>
      <c r="N47" s="35"/>
      <c r="O47" s="32"/>
      <c r="P47" s="35"/>
      <c r="Q47" s="36"/>
      <c r="R47" s="35"/>
      <c r="S47" s="35"/>
    </row>
    <row r="48" spans="1:19" ht="15">
      <c r="A48" s="39">
        <f t="shared" si="4"/>
        <v>33</v>
      </c>
      <c r="B48" s="1"/>
      <c r="C48" s="21"/>
      <c r="D48" s="1"/>
      <c r="E48" s="19"/>
      <c r="G48" s="30"/>
      <c r="H48" s="27"/>
      <c r="I48" s="30"/>
      <c r="J48" s="28"/>
      <c r="K48" s="30"/>
      <c r="L48" s="28"/>
      <c r="M48" s="28"/>
      <c r="N48" s="28"/>
      <c r="O48" s="30"/>
      <c r="P48" s="28"/>
      <c r="Q48" s="31"/>
      <c r="R48" s="28"/>
      <c r="S48" s="28"/>
    </row>
    <row r="49" spans="1:19" ht="15">
      <c r="A49" s="39">
        <f t="shared" si="4"/>
        <v>34</v>
      </c>
      <c r="B49" s="11"/>
      <c r="C49" s="11" t="s">
        <v>1</v>
      </c>
      <c r="D49" s="11"/>
      <c r="E49" s="11" t="s">
        <v>2</v>
      </c>
      <c r="F49" s="1"/>
      <c r="G49" s="12"/>
      <c r="H49" s="12"/>
      <c r="I49" s="14"/>
      <c r="J49" s="14"/>
      <c r="K49" s="14"/>
      <c r="L49" s="14"/>
      <c r="M49" s="13"/>
      <c r="N49" s="14"/>
      <c r="O49" s="12"/>
      <c r="P49" s="12"/>
      <c r="Q49" s="12" t="s">
        <v>8</v>
      </c>
      <c r="R49" s="13"/>
      <c r="S49" s="14"/>
    </row>
    <row r="50" spans="1:19" ht="15">
      <c r="A50" s="39">
        <f t="shared" si="4"/>
        <v>35</v>
      </c>
      <c r="B50" s="1"/>
      <c r="C50" s="26"/>
      <c r="D50" s="1"/>
      <c r="E50" s="26"/>
      <c r="F50" s="1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6" t="s">
        <v>115</v>
      </c>
      <c r="R50" s="15"/>
      <c r="S50" s="15"/>
    </row>
    <row r="51" spans="1:19" ht="15">
      <c r="A51" s="39">
        <f t="shared" si="4"/>
        <v>36</v>
      </c>
      <c r="C51" s="23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</row>
    <row r="52" spans="1:19" ht="15">
      <c r="A52" s="39">
        <f t="shared" si="4"/>
        <v>37</v>
      </c>
      <c r="B52" s="1"/>
      <c r="C52" s="21">
        <f>+C34</f>
        <v>2021</v>
      </c>
      <c r="D52" s="1"/>
      <c r="E52" s="19">
        <f>+E34</f>
        <v>1</v>
      </c>
      <c r="G52" s="27"/>
      <c r="H52" s="27"/>
      <c r="I52" s="27"/>
      <c r="J52" s="28"/>
      <c r="K52" s="27"/>
      <c r="L52" s="28"/>
      <c r="M52" s="28"/>
      <c r="N52" s="28"/>
      <c r="O52" s="27"/>
      <c r="P52" s="28"/>
      <c r="Q52" s="27">
        <f>+Q16+Q34</f>
        <v>1381.4785982780606</v>
      </c>
      <c r="R52" s="28"/>
      <c r="S52" s="28"/>
    </row>
    <row r="53" spans="1:19" ht="15">
      <c r="A53" s="39">
        <f t="shared" si="4"/>
        <v>38</v>
      </c>
      <c r="B53" s="1"/>
      <c r="C53" s="21">
        <f t="shared" si="18" ref="C53:C63">+C35</f>
        <v>2021</v>
      </c>
      <c r="D53" s="1"/>
      <c r="E53" s="19">
        <f t="shared" si="19" ref="E53:E63">+E35</f>
        <v>2</v>
      </c>
      <c r="G53" s="27"/>
      <c r="H53" s="27"/>
      <c r="I53" s="27"/>
      <c r="J53" s="28"/>
      <c r="K53" s="27"/>
      <c r="L53" s="28"/>
      <c r="M53" s="28"/>
      <c r="N53" s="28"/>
      <c r="O53" s="27"/>
      <c r="P53" s="28"/>
      <c r="Q53" s="27">
        <f t="shared" si="20" ref="Q53:Q63">+Q17+Q35</f>
        <v>1078.2300514140236</v>
      </c>
      <c r="R53" s="28"/>
      <c r="S53" s="28"/>
    </row>
    <row r="54" spans="1:19" ht="15">
      <c r="A54" s="39">
        <f t="shared" si="4"/>
        <v>39</v>
      </c>
      <c r="B54" s="1"/>
      <c r="C54" s="21">
        <f t="shared" si="18"/>
        <v>2021</v>
      </c>
      <c r="D54" s="1"/>
      <c r="E54" s="19">
        <f t="shared" si="19"/>
        <v>3</v>
      </c>
      <c r="G54" s="27"/>
      <c r="H54" s="27"/>
      <c r="I54" s="27"/>
      <c r="J54" s="28"/>
      <c r="K54" s="27"/>
      <c r="L54" s="28"/>
      <c r="M54" s="28"/>
      <c r="N54" s="28"/>
      <c r="O54" s="27"/>
      <c r="P54" s="28"/>
      <c r="Q54" s="27">
        <f t="shared" si="20"/>
        <v>2015.7852772970753</v>
      </c>
      <c r="R54" s="28"/>
      <c r="S54" s="28"/>
    </row>
    <row r="55" spans="1:19" ht="15">
      <c r="A55" s="39">
        <f t="shared" si="4"/>
        <v>40</v>
      </c>
      <c r="B55" s="1"/>
      <c r="C55" s="21">
        <f t="shared" si="18"/>
        <v>2021</v>
      </c>
      <c r="D55" s="1"/>
      <c r="E55" s="19">
        <f t="shared" si="19"/>
        <v>4</v>
      </c>
      <c r="G55" s="27"/>
      <c r="H55" s="27"/>
      <c r="I55" s="27"/>
      <c r="J55" s="28"/>
      <c r="K55" s="27"/>
      <c r="L55" s="28"/>
      <c r="M55" s="28"/>
      <c r="N55" s="28"/>
      <c r="O55" s="27"/>
      <c r="P55" s="28"/>
      <c r="Q55" s="27">
        <f t="shared" si="20"/>
        <v>3076.862568549047</v>
      </c>
      <c r="R55" s="28"/>
      <c r="S55" s="28"/>
    </row>
    <row r="56" spans="1:19" ht="15">
      <c r="A56" s="39">
        <f t="shared" si="4"/>
        <v>41</v>
      </c>
      <c r="B56" s="1"/>
      <c r="C56" s="21">
        <f t="shared" si="18"/>
        <v>2021</v>
      </c>
      <c r="D56" s="1"/>
      <c r="E56" s="19">
        <f t="shared" si="19"/>
        <v>5</v>
      </c>
      <c r="G56" s="27"/>
      <c r="H56" s="27"/>
      <c r="I56" s="27"/>
      <c r="J56" s="28"/>
      <c r="K56" s="27"/>
      <c r="L56" s="28"/>
      <c r="M56" s="28"/>
      <c r="N56" s="28"/>
      <c r="O56" s="27"/>
      <c r="P56" s="28"/>
      <c r="Q56" s="27">
        <f t="shared" si="20"/>
        <v>13564.953675895496</v>
      </c>
      <c r="R56" s="28"/>
      <c r="S56" s="28"/>
    </row>
    <row r="57" spans="1:19" ht="15">
      <c r="A57" s="39">
        <f t="shared" si="4"/>
        <v>42</v>
      </c>
      <c r="B57" s="1"/>
      <c r="C57" s="21">
        <f t="shared" si="18"/>
        <v>2021</v>
      </c>
      <c r="D57" s="1"/>
      <c r="E57" s="19">
        <f t="shared" si="19"/>
        <v>6</v>
      </c>
      <c r="G57" s="30"/>
      <c r="H57" s="30"/>
      <c r="I57" s="30"/>
      <c r="J57" s="51"/>
      <c r="K57" s="30"/>
      <c r="L57" s="51"/>
      <c r="M57" s="51"/>
      <c r="N57" s="51"/>
      <c r="O57" s="30"/>
      <c r="P57" s="51"/>
      <c r="Q57" s="30">
        <f t="shared" si="20"/>
        <v>18107.464062235093</v>
      </c>
      <c r="R57" s="46"/>
      <c r="S57" s="46"/>
    </row>
    <row r="58" spans="1:19" ht="15">
      <c r="A58" s="39">
        <f t="shared" si="4"/>
        <v>43</v>
      </c>
      <c r="B58" s="1"/>
      <c r="C58" s="21">
        <f t="shared" si="18"/>
        <v>2021</v>
      </c>
      <c r="D58" s="1"/>
      <c r="E58" s="19">
        <f t="shared" si="19"/>
        <v>7</v>
      </c>
      <c r="G58" s="27"/>
      <c r="H58" s="28"/>
      <c r="I58" s="27"/>
      <c r="J58" s="28"/>
      <c r="K58" s="27"/>
      <c r="L58" s="28"/>
      <c r="M58" s="28"/>
      <c r="N58" s="28"/>
      <c r="O58" s="27"/>
      <c r="P58" s="28"/>
      <c r="Q58" s="27">
        <f>+Q22+Q40</f>
        <v>11615.970361220199</v>
      </c>
      <c r="R58" s="28"/>
      <c r="S58" s="28"/>
    </row>
    <row r="59" spans="1:19" ht="15">
      <c r="A59" s="39">
        <f t="shared" si="4"/>
        <v>44</v>
      </c>
      <c r="B59" s="1"/>
      <c r="C59" s="21">
        <f t="shared" si="18"/>
        <v>2021</v>
      </c>
      <c r="D59" s="1"/>
      <c r="E59" s="19">
        <f t="shared" si="19"/>
        <v>8</v>
      </c>
      <c r="G59" s="27"/>
      <c r="H59" s="27"/>
      <c r="I59" s="27"/>
      <c r="J59" s="28"/>
      <c r="K59" s="27"/>
      <c r="L59" s="28"/>
      <c r="M59" s="28"/>
      <c r="N59" s="28"/>
      <c r="O59" s="27"/>
      <c r="P59" s="28"/>
      <c r="Q59" s="27">
        <f t="shared" si="20"/>
        <v>17022.692786882446</v>
      </c>
      <c r="R59" s="28"/>
      <c r="S59" s="28"/>
    </row>
    <row r="60" spans="1:19" ht="15">
      <c r="A60" s="39">
        <f t="shared" si="4"/>
        <v>45</v>
      </c>
      <c r="B60" s="1"/>
      <c r="C60" s="21">
        <f t="shared" si="18"/>
        <v>2021</v>
      </c>
      <c r="D60" s="1"/>
      <c r="E60" s="19">
        <f t="shared" si="19"/>
        <v>9</v>
      </c>
      <c r="G60" s="27"/>
      <c r="H60" s="27"/>
      <c r="I60" s="27"/>
      <c r="J60" s="28"/>
      <c r="K60" s="27"/>
      <c r="L60" s="28"/>
      <c r="M60" s="28"/>
      <c r="N60" s="28"/>
      <c r="O60" s="27"/>
      <c r="P60" s="28"/>
      <c r="Q60" s="27">
        <f t="shared" si="20"/>
        <v>1586.0315782921434</v>
      </c>
      <c r="R60" s="28"/>
      <c r="S60" s="28"/>
    </row>
    <row r="61" spans="1:19" ht="15">
      <c r="A61" s="39">
        <f t="shared" si="4"/>
        <v>46</v>
      </c>
      <c r="B61" s="1"/>
      <c r="C61" s="21">
        <f t="shared" si="18"/>
        <v>2021</v>
      </c>
      <c r="D61" s="1"/>
      <c r="E61" s="19">
        <f t="shared" si="19"/>
        <v>10</v>
      </c>
      <c r="G61" s="27"/>
      <c r="H61" s="27"/>
      <c r="I61" s="27"/>
      <c r="J61" s="28"/>
      <c r="K61" s="27"/>
      <c r="L61" s="28"/>
      <c r="M61" s="28"/>
      <c r="N61" s="28"/>
      <c r="O61" s="27"/>
      <c r="P61" s="28"/>
      <c r="Q61" s="27">
        <f t="shared" si="20"/>
        <v>-6237.3510239488287</v>
      </c>
      <c r="R61" s="28"/>
      <c r="S61" s="28"/>
    </row>
    <row r="62" spans="1:19" ht="15">
      <c r="A62" s="39">
        <f t="shared" si="4"/>
        <v>47</v>
      </c>
      <c r="B62" s="1"/>
      <c r="C62" s="21">
        <f t="shared" si="18"/>
        <v>2021</v>
      </c>
      <c r="D62" s="1"/>
      <c r="E62" s="19">
        <f t="shared" si="19"/>
        <v>11</v>
      </c>
      <c r="G62" s="27"/>
      <c r="H62" s="27"/>
      <c r="I62" s="27"/>
      <c r="J62" s="28"/>
      <c r="K62" s="27"/>
      <c r="L62" s="28"/>
      <c r="M62" s="28"/>
      <c r="N62" s="28"/>
      <c r="O62" s="27"/>
      <c r="P62" s="28"/>
      <c r="Q62" s="27">
        <f t="shared" si="20"/>
        <v>-5839.5019153429193</v>
      </c>
      <c r="R62" s="28"/>
      <c r="S62" s="28"/>
    </row>
    <row r="63" spans="1:19" ht="15">
      <c r="A63" s="39">
        <f t="shared" si="4"/>
        <v>48</v>
      </c>
      <c r="B63" s="1"/>
      <c r="C63" s="21">
        <f t="shared" si="18"/>
        <v>2021</v>
      </c>
      <c r="D63" s="1"/>
      <c r="E63" s="19">
        <f t="shared" si="19"/>
        <v>12</v>
      </c>
      <c r="G63" s="27"/>
      <c r="H63" s="27"/>
      <c r="I63" s="27"/>
      <c r="J63" s="28"/>
      <c r="K63" s="27"/>
      <c r="L63" s="28"/>
      <c r="M63" s="28"/>
      <c r="N63" s="28"/>
      <c r="O63" s="27"/>
      <c r="P63" s="28"/>
      <c r="Q63" s="30">
        <f t="shared" si="20"/>
        <v>-1424.0819501607316</v>
      </c>
      <c r="R63" s="28"/>
      <c r="S63" s="28"/>
    </row>
    <row r="64" spans="1:20" ht="15">
      <c r="A64" s="39">
        <f t="shared" si="4"/>
        <v>49</v>
      </c>
      <c r="C64" s="37" t="s">
        <v>8</v>
      </c>
      <c r="E64" s="19"/>
      <c r="G64" s="72"/>
      <c r="H64" s="78"/>
      <c r="I64" s="78"/>
      <c r="J64" s="74"/>
      <c r="K64" s="78"/>
      <c r="L64" s="74"/>
      <c r="M64" s="74"/>
      <c r="N64" s="74"/>
      <c r="O64" s="78"/>
      <c r="P64" s="74"/>
      <c r="Q64" s="72">
        <f>SUM(Q52:Q63)</f>
        <v>55948.534070611095</v>
      </c>
      <c r="R64" s="28"/>
      <c r="S64" s="28"/>
      <c r="T64" s="64"/>
    </row>
    <row r="71" spans="7:19" ht="15">
      <c r="G71" s="27"/>
      <c r="H71" s="27"/>
      <c r="I71" s="27"/>
      <c r="J71" s="28"/>
      <c r="K71" s="27"/>
      <c r="L71" s="28"/>
      <c r="M71" s="28"/>
      <c r="N71" s="28"/>
      <c r="O71" s="27"/>
      <c r="P71" s="28"/>
      <c r="R71" s="28"/>
      <c r="S71" s="28"/>
    </row>
    <row r="72" spans="3:19" ht="15">
      <c r="C72" s="23"/>
      <c r="G72" s="27"/>
      <c r="H72" s="27"/>
      <c r="I72" s="27"/>
      <c r="J72" s="27"/>
      <c r="K72" s="27"/>
      <c r="L72" s="27"/>
      <c r="M72" s="28"/>
      <c r="N72" s="28"/>
      <c r="O72" s="28"/>
      <c r="P72" s="28"/>
      <c r="Q72" s="28"/>
      <c r="R72" s="28"/>
      <c r="S72" s="28"/>
    </row>
  </sheetData>
  <printOptions horizontalCentered="1"/>
  <pageMargins left="0.25" right="0" top="1.5" bottom="0.25" header="0.5" footer="0.5"/>
  <pageSetup orientation="landscape" scale="45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25">
    <pageSetUpPr fitToPage="1"/>
  </sheetPr>
  <dimension ref="A1:Q67"/>
  <sheetViews>
    <sheetView zoomScale="75" zoomScaleNormal="75" zoomScaleSheetLayoutView="70" workbookViewId="0" topLeftCell="A1"/>
  </sheetViews>
  <sheetFormatPr defaultRowHeight="12.75"/>
  <cols>
    <col min="1" max="1" width="5.85714285714286" bestFit="1" customWidth="1"/>
    <col min="2" max="2" width="2.71428571428571" customWidth="1"/>
    <col min="3" max="3" width="12.4285714285714" customWidth="1"/>
    <col min="4" max="4" width="2.71428571428571" customWidth="1"/>
    <col min="5" max="5" width="8" customWidth="1"/>
    <col min="6" max="6" width="2.71428571428571" customWidth="1"/>
    <col min="7" max="7" width="22.2857142857143" bestFit="1" customWidth="1"/>
    <col min="8" max="8" width="1.42857142857143" customWidth="1"/>
    <col min="9" max="9" width="1.14285714285714" customWidth="1"/>
    <col min="10" max="10" width="22.7142857142857" customWidth="1"/>
    <col min="11" max="11" width="1.14285714285714" customWidth="1"/>
    <col min="12" max="12" width="16.8571428571429" hidden="1" customWidth="1"/>
    <col min="13" max="13" width="27.2857142857143" customWidth="1"/>
    <col min="14" max="14" width="1.14285714285714" customWidth="1"/>
    <col min="15" max="15" width="23" customWidth="1"/>
    <col min="16" max="16" width="1.14285714285714" customWidth="1"/>
    <col min="17" max="17" width="20.7142857142857" customWidth="1"/>
  </cols>
  <sheetData>
    <row r="1" spans="1:17" ht="15.75">
      <c r="A1" s="1"/>
      <c r="B1" s="1"/>
      <c r="C1" s="1"/>
      <c r="D1" s="1"/>
      <c r="E1" s="1"/>
      <c r="F1" s="1"/>
      <c r="G1" s="2"/>
      <c r="H1" s="3"/>
      <c r="I1" s="3"/>
      <c r="J1" s="3"/>
      <c r="K1" s="3"/>
      <c r="L1" s="3"/>
      <c r="M1" s="3"/>
      <c r="N1" s="3"/>
      <c r="O1" s="3"/>
      <c r="P1" s="3"/>
      <c r="Q1" t="s">
        <v>10</v>
      </c>
    </row>
    <row r="2" spans="1:17" ht="15.75">
      <c r="A2" s="4"/>
      <c r="B2" s="4"/>
      <c r="C2" s="4"/>
      <c r="D2" s="4"/>
      <c r="E2" s="4"/>
      <c r="F2" s="4"/>
      <c r="G2" s="5"/>
      <c r="H2" s="6"/>
      <c r="I2" s="6"/>
      <c r="J2" s="6"/>
      <c r="K2" s="6"/>
      <c r="L2" s="6"/>
      <c r="M2" s="6"/>
      <c r="N2" s="6"/>
      <c r="O2" s="6"/>
      <c r="P2" s="6"/>
      <c r="Q2" s="83" t="s">
        <v>126</v>
      </c>
    </row>
    <row r="3" spans="1:17" ht="15.75">
      <c r="A3" s="4"/>
      <c r="B3" s="4"/>
      <c r="C3" s="4"/>
      <c r="D3" s="4"/>
      <c r="E3" s="4"/>
      <c r="F3" s="4"/>
      <c r="G3" s="5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15.75">
      <c r="A4" s="7" t="str">
        <f>+'Weather Adjustment'!A4</f>
        <v>PUC DOCKET NO</v>
      </c>
      <c r="B4" s="4"/>
      <c r="C4" s="4"/>
      <c r="D4" s="4"/>
      <c r="E4" s="4"/>
      <c r="F4" s="4"/>
      <c r="G4" s="5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ht="15.75">
      <c r="A5" s="7" t="str">
        <f>+'Weather Adjustment'!A5</f>
        <v>ONCOR ELECTRIC DELIVERY COMPANY LLC</v>
      </c>
      <c r="B5" s="4"/>
      <c r="C5" s="4"/>
      <c r="D5" s="4"/>
      <c r="E5" s="4"/>
      <c r="F5" s="4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ht="15.75">
      <c r="A6" s="9" t="str">
        <f>+'Weather Adjustment'!A6</f>
        <v>MONTHLY SALES DATA</v>
      </c>
      <c r="B6" s="4"/>
      <c r="C6" s="4"/>
      <c r="D6" s="4"/>
      <c r="E6" s="4"/>
      <c r="F6" s="4"/>
      <c r="G6" s="6"/>
      <c r="H6" s="8"/>
      <c r="I6" s="6"/>
      <c r="J6" s="6"/>
      <c r="K6" s="6"/>
      <c r="L6" s="6"/>
      <c r="M6" s="6"/>
      <c r="N6" s="6"/>
      <c r="O6" s="6"/>
      <c r="P6" s="6"/>
      <c r="Q6" s="6"/>
    </row>
    <row r="7" spans="1:17" ht="15.75">
      <c r="A7" s="65" t="str">
        <f>+'Weather Adjustment'!A7</f>
        <v>TEST YEAR ENDING December 31, 2021</v>
      </c>
      <c r="B7" s="4"/>
      <c r="C7" s="38"/>
      <c r="D7" s="4"/>
      <c r="E7" s="4"/>
      <c r="F7" s="4"/>
      <c r="G7" s="6"/>
      <c r="H7" s="8"/>
      <c r="I7" s="6"/>
      <c r="J7" s="6"/>
      <c r="K7" s="6"/>
      <c r="L7" s="6"/>
      <c r="M7" s="6"/>
      <c r="N7" s="6"/>
      <c r="O7" s="6"/>
      <c r="P7" s="6"/>
      <c r="Q7" s="6"/>
    </row>
    <row r="8" spans="2:17" ht="15">
      <c r="B8" s="4"/>
      <c r="C8" s="4"/>
      <c r="D8" s="4"/>
      <c r="E8" s="4"/>
      <c r="F8" s="4"/>
      <c r="G8" s="6"/>
      <c r="H8" s="6"/>
      <c r="I8" s="6"/>
      <c r="J8" s="6"/>
      <c r="K8" s="6"/>
      <c r="L8" s="6"/>
      <c r="M8" s="6"/>
      <c r="N8" s="6"/>
      <c r="O8" s="20"/>
      <c r="P8" s="20"/>
      <c r="Q8" s="20"/>
    </row>
    <row r="9" spans="1:17" ht="15.75">
      <c r="A9" s="41" t="str">
        <f>+'Weather Adjustment'!A9</f>
        <v>SPONSOR:  D. E. NELSON</v>
      </c>
      <c r="B9" s="7"/>
      <c r="C9" s="7"/>
      <c r="D9" s="7"/>
      <c r="E9" s="7"/>
      <c r="F9" s="7"/>
      <c r="G9" s="9"/>
      <c r="H9" s="9"/>
      <c r="I9" s="9"/>
      <c r="J9" s="9"/>
      <c r="K9" s="9"/>
      <c r="L9" s="9"/>
      <c r="M9" s="9"/>
      <c r="N9" s="9"/>
      <c r="O9" s="42"/>
      <c r="P9" s="42"/>
      <c r="Q9" s="42"/>
    </row>
    <row r="10" spans="2:17" ht="15">
      <c r="B10" s="4"/>
      <c r="C10" s="4"/>
      <c r="D10" s="4"/>
      <c r="E10" s="4"/>
      <c r="F10" s="4"/>
      <c r="G10" s="6"/>
      <c r="H10" s="6"/>
      <c r="I10" s="6"/>
      <c r="J10" s="6"/>
      <c r="K10" s="6"/>
      <c r="L10" s="6"/>
      <c r="M10" s="6"/>
      <c r="N10" s="6"/>
      <c r="O10" s="20"/>
      <c r="P10" s="20"/>
      <c r="Q10" s="20"/>
    </row>
    <row r="11" spans="2:17" ht="15">
      <c r="B11" s="4"/>
      <c r="C11" s="93" t="s">
        <v>93</v>
      </c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</row>
    <row r="12" spans="1:17" ht="15">
      <c r="A12" s="1"/>
      <c r="B12" s="1"/>
      <c r="C12" s="1"/>
      <c r="D12" s="1"/>
      <c r="E12" s="1"/>
      <c r="F12" s="1"/>
      <c r="G12" s="10" t="s">
        <v>116</v>
      </c>
      <c r="H12" s="3"/>
      <c r="I12" s="3"/>
      <c r="J12" s="10" t="s">
        <v>87</v>
      </c>
      <c r="K12" s="3"/>
      <c r="L12" s="3"/>
      <c r="M12" s="10" t="s">
        <v>87</v>
      </c>
      <c r="N12" s="3"/>
      <c r="O12" s="10" t="s">
        <v>87</v>
      </c>
      <c r="P12" s="3"/>
      <c r="Q12" s="10" t="s">
        <v>87</v>
      </c>
    </row>
    <row r="13" spans="1:17" ht="15">
      <c r="A13" s="11" t="s">
        <v>0</v>
      </c>
      <c r="B13" s="11"/>
      <c r="C13" s="11" t="s">
        <v>1</v>
      </c>
      <c r="D13" s="11"/>
      <c r="E13" s="11" t="s">
        <v>2</v>
      </c>
      <c r="F13" s="1"/>
      <c r="G13" s="12" t="s">
        <v>117</v>
      </c>
      <c r="H13" s="12"/>
      <c r="I13" s="12"/>
      <c r="J13" s="12" t="s">
        <v>47</v>
      </c>
      <c r="K13" s="12"/>
      <c r="L13" s="12" t="s">
        <v>4</v>
      </c>
      <c r="M13" s="13" t="s">
        <v>50</v>
      </c>
      <c r="N13" s="14"/>
      <c r="O13" s="12" t="s">
        <v>40</v>
      </c>
      <c r="P13" s="14"/>
      <c r="Q13" s="12" t="s">
        <v>39</v>
      </c>
    </row>
    <row r="14" spans="1:17" ht="15">
      <c r="A14" s="1" t="s">
        <v>78</v>
      </c>
      <c r="B14" s="1"/>
      <c r="C14" s="1"/>
      <c r="D14" s="1"/>
      <c r="E14" s="1"/>
      <c r="F14" s="1"/>
      <c r="G14" s="16" t="s">
        <v>15</v>
      </c>
      <c r="H14" s="15"/>
      <c r="I14" s="15"/>
      <c r="J14" s="16" t="s">
        <v>18</v>
      </c>
      <c r="K14" s="15"/>
      <c r="L14" s="15"/>
      <c r="M14" s="16" t="s">
        <v>19</v>
      </c>
      <c r="N14" s="15"/>
      <c r="O14" s="16" t="s">
        <v>48</v>
      </c>
      <c r="P14" s="15"/>
      <c r="Q14" s="16" t="s">
        <v>49</v>
      </c>
    </row>
    <row r="15" spans="1:17" ht="15">
      <c r="A15" s="17"/>
      <c r="B15" s="1"/>
      <c r="C15" s="17"/>
      <c r="D15" s="1"/>
      <c r="E15" s="17"/>
      <c r="F15" s="1"/>
      <c r="G15" s="12"/>
      <c r="H15" s="3"/>
      <c r="I15" s="3"/>
      <c r="J15" s="3"/>
      <c r="K15" s="3"/>
      <c r="L15" s="3"/>
      <c r="M15" s="14"/>
      <c r="N15" s="3"/>
      <c r="O15" s="3"/>
      <c r="P15" s="3"/>
      <c r="Q15" s="3"/>
    </row>
    <row r="16" spans="1:17" ht="15">
      <c r="A16" s="39">
        <v>1</v>
      </c>
      <c r="B16" s="1"/>
      <c r="C16" s="62">
        <f>+'Weather Adjustment'!C16</f>
        <v>2021</v>
      </c>
      <c r="D16" s="1"/>
      <c r="E16" s="19">
        <f>+'Weather Adjustment'!E16</f>
        <v>1</v>
      </c>
      <c r="F16" s="1"/>
      <c r="G16" s="20">
        <f>+'[1]GS PRI LRG IDR '!I16</f>
        <v>1196329426</v>
      </c>
      <c r="H16" s="3"/>
      <c r="I16" s="20"/>
      <c r="J16" s="20">
        <f>+'[1]GS PRI LRG NONIDR'!I16</f>
        <v>142162335</v>
      </c>
      <c r="K16" s="20"/>
      <c r="L16" s="20" t="e">
        <f>SUM(#REF!,J16)</f>
        <v>#REF!</v>
      </c>
      <c r="M16" s="20">
        <f t="shared" si="0" ref="M16:M21">SUM(G16,J16)</f>
        <v>1338491761</v>
      </c>
      <c r="N16" s="20"/>
      <c r="O16" s="43">
        <f t="shared" si="1" ref="O16:O21">+G16/M16</f>
        <v>0.89378915945378012</v>
      </c>
      <c r="P16" s="20"/>
      <c r="Q16" s="43">
        <f t="shared" si="2" ref="Q16:Q21">+J16/M16</f>
        <v>0.10621084054621985</v>
      </c>
    </row>
    <row r="17" spans="1:17" ht="15">
      <c r="A17" s="39">
        <f>+A16+1</f>
        <v>2</v>
      </c>
      <c r="B17" s="1"/>
      <c r="C17" s="62">
        <f>+'Weather Adjustment'!C17</f>
        <v>2021</v>
      </c>
      <c r="D17" s="1"/>
      <c r="E17" s="19">
        <f>+'Weather Adjustment'!E17</f>
        <v>2</v>
      </c>
      <c r="F17" s="1"/>
      <c r="G17" s="20">
        <f>+'[1]GS PRI LRG IDR '!I18</f>
        <v>1150822551</v>
      </c>
      <c r="H17" s="3"/>
      <c r="I17" s="20"/>
      <c r="J17" s="20">
        <f>+'[1]GS PRI LRG NONIDR'!I18</f>
        <v>136104227</v>
      </c>
      <c r="K17" s="20"/>
      <c r="L17" s="20" t="e">
        <f>SUM(#REF!,J17)</f>
        <v>#REF!</v>
      </c>
      <c r="M17" s="20">
        <f t="shared" si="0"/>
        <v>1286926778</v>
      </c>
      <c r="N17" s="20"/>
      <c r="O17" s="43">
        <f t="shared" si="1"/>
        <v>0.89424089285676511</v>
      </c>
      <c r="P17" s="20"/>
      <c r="Q17" s="43">
        <f t="shared" si="2"/>
        <v>0.10575910714323485</v>
      </c>
    </row>
    <row r="18" spans="1:17" ht="15">
      <c r="A18" s="39">
        <f t="shared" si="3" ref="A18:A46">+A17+1</f>
        <v>3</v>
      </c>
      <c r="B18" s="1"/>
      <c r="C18" s="62">
        <f>+'Weather Adjustment'!C18</f>
        <v>2021</v>
      </c>
      <c r="D18" s="1"/>
      <c r="E18" s="19">
        <f>+'Weather Adjustment'!E18</f>
        <v>3</v>
      </c>
      <c r="F18" s="1"/>
      <c r="G18" s="20">
        <f>+'[1]GS PRI LRG IDR '!I20</f>
        <v>1014192818</v>
      </c>
      <c r="H18" s="3"/>
      <c r="I18" s="20"/>
      <c r="J18" s="20">
        <f>+'[1]GS PRI LRG NONIDR'!I20</f>
        <v>125450911</v>
      </c>
      <c r="K18" s="20"/>
      <c r="L18" s="20" t="e">
        <f>SUM(#REF!,J18)</f>
        <v>#REF!</v>
      </c>
      <c r="M18" s="20">
        <f t="shared" si="0"/>
        <v>1139643729</v>
      </c>
      <c r="N18" s="20"/>
      <c r="O18" s="43">
        <f t="shared" si="1"/>
        <v>0.88992093949388984</v>
      </c>
      <c r="P18" s="20"/>
      <c r="Q18" s="43">
        <f t="shared" si="2"/>
        <v>0.11007906050611015</v>
      </c>
    </row>
    <row r="19" spans="1:17" ht="15">
      <c r="A19" s="39">
        <f t="shared" si="3"/>
        <v>4</v>
      </c>
      <c r="B19" s="1"/>
      <c r="C19" s="62">
        <f>+'Weather Adjustment'!C19</f>
        <v>2021</v>
      </c>
      <c r="D19" s="1"/>
      <c r="E19" s="19">
        <f>+'Weather Adjustment'!E19</f>
        <v>4</v>
      </c>
      <c r="F19" s="1"/>
      <c r="G19" s="20">
        <f>+'[1]GS PRI LRG IDR '!I22</f>
        <v>1181580735</v>
      </c>
      <c r="H19" s="3"/>
      <c r="I19" s="20"/>
      <c r="J19" s="20">
        <f>+'[1]GS PRI LRG NONIDR'!I22</f>
        <v>146049568</v>
      </c>
      <c r="K19" s="20"/>
      <c r="L19" s="20" t="e">
        <f>SUM(#REF!,J19)</f>
        <v>#REF!</v>
      </c>
      <c r="M19" s="20">
        <f t="shared" si="0"/>
        <v>1327630303</v>
      </c>
      <c r="N19" s="20"/>
      <c r="O19" s="43">
        <f t="shared" si="1"/>
        <v>0.88999229102410748</v>
      </c>
      <c r="P19" s="20"/>
      <c r="Q19" s="43">
        <f t="shared" si="2"/>
        <v>0.11000770897589252</v>
      </c>
    </row>
    <row r="20" spans="1:17" ht="15">
      <c r="A20" s="39">
        <f t="shared" si="3"/>
        <v>5</v>
      </c>
      <c r="B20" s="1"/>
      <c r="C20" s="62">
        <f>+'Weather Adjustment'!C20</f>
        <v>2021</v>
      </c>
      <c r="D20" s="1"/>
      <c r="E20" s="19">
        <f>+'Weather Adjustment'!E20</f>
        <v>5</v>
      </c>
      <c r="F20" s="1"/>
      <c r="G20" s="20">
        <f>+'[1]GS PRI LRG IDR '!I24</f>
        <v>1246661858</v>
      </c>
      <c r="H20" s="3"/>
      <c r="I20" s="20"/>
      <c r="J20" s="20">
        <f>+'[1]GS PRI LRG NONIDR'!I24</f>
        <v>168470619</v>
      </c>
      <c r="K20" s="20"/>
      <c r="L20" s="20" t="e">
        <f>SUM(#REF!,J20)</f>
        <v>#REF!</v>
      </c>
      <c r="M20" s="20">
        <f t="shared" si="0"/>
        <v>1415132477</v>
      </c>
      <c r="N20" s="20"/>
      <c r="O20" s="43">
        <f t="shared" si="1"/>
        <v>0.88095063766952186</v>
      </c>
      <c r="P20" s="20"/>
      <c r="Q20" s="43">
        <f t="shared" si="2"/>
        <v>0.11904936233047812</v>
      </c>
    </row>
    <row r="21" spans="1:17" ht="15">
      <c r="A21" s="39">
        <f t="shared" si="3"/>
        <v>6</v>
      </c>
      <c r="B21" s="1"/>
      <c r="C21" s="62">
        <f>+'Weather Adjustment'!C21</f>
        <v>2021</v>
      </c>
      <c r="D21" s="1"/>
      <c r="E21" s="19">
        <f>+'Weather Adjustment'!E21</f>
        <v>6</v>
      </c>
      <c r="F21" s="1"/>
      <c r="G21" s="20">
        <f>+'[1]GS PRI LRG IDR '!I26</f>
        <v>1284301945</v>
      </c>
      <c r="H21" s="3"/>
      <c r="I21" s="20"/>
      <c r="J21" s="20">
        <f>+'[1]GS PRI LRG NONIDR'!I26</f>
        <v>176125535</v>
      </c>
      <c r="K21" s="20"/>
      <c r="L21" s="20" t="e">
        <f>SUM(#REF!,J21)</f>
        <v>#REF!</v>
      </c>
      <c r="M21" s="20">
        <f t="shared" si="0"/>
        <v>1460427480</v>
      </c>
      <c r="N21" s="20"/>
      <c r="O21" s="43">
        <f t="shared" si="1"/>
        <v>0.87940138253218847</v>
      </c>
      <c r="P21" s="20"/>
      <c r="Q21" s="43">
        <f t="shared" si="2"/>
        <v>0.12059861746781155</v>
      </c>
    </row>
    <row r="22" spans="1:17" ht="15">
      <c r="A22" s="39">
        <f t="shared" si="3"/>
        <v>7</v>
      </c>
      <c r="B22" s="1"/>
      <c r="C22" s="62">
        <f>+'Weather Adjustment'!C22</f>
        <v>2021</v>
      </c>
      <c r="D22" s="1"/>
      <c r="E22" s="19">
        <f>+'Weather Adjustment'!E22</f>
        <v>7</v>
      </c>
      <c r="F22" s="1"/>
      <c r="G22" s="20">
        <f>+'[1]GS PRI LRG IDR '!I28</f>
        <v>1342534030</v>
      </c>
      <c r="H22" s="3"/>
      <c r="I22" s="20"/>
      <c r="J22" s="20">
        <f>+'[1]GS PRI LRG NONIDR'!I28</f>
        <v>182621139</v>
      </c>
      <c r="K22" s="20"/>
      <c r="L22" s="20" t="e">
        <f>SUM(#REF!,J22)</f>
        <v>#REF!</v>
      </c>
      <c r="M22" s="20">
        <f t="shared" si="4" ref="M22:M27">SUM(G22,J22)</f>
        <v>1525155169</v>
      </c>
      <c r="N22" s="20"/>
      <c r="O22" s="43">
        <f t="shared" si="5" ref="O22:O27">+G22/M22</f>
        <v>0.88026061694447821</v>
      </c>
      <c r="P22" s="20"/>
      <c r="Q22" s="43">
        <f t="shared" si="6" ref="Q22:Q27">+J22/M22</f>
        <v>0.11973938305552175</v>
      </c>
    </row>
    <row r="23" spans="1:17" ht="15">
      <c r="A23" s="39">
        <f t="shared" si="3"/>
        <v>8</v>
      </c>
      <c r="B23" s="1"/>
      <c r="C23" s="62">
        <f>+'Weather Adjustment'!C23</f>
        <v>2021</v>
      </c>
      <c r="D23" s="1"/>
      <c r="E23" s="19">
        <f>+'Weather Adjustment'!E23</f>
        <v>8</v>
      </c>
      <c r="F23" s="1"/>
      <c r="G23" s="20">
        <f>+'[1]GS PRI LRG IDR '!I30</f>
        <v>1253721174</v>
      </c>
      <c r="H23" s="3"/>
      <c r="I23" s="20"/>
      <c r="J23" s="20">
        <f>+'[1]GS PRI LRG NONIDR'!I30</f>
        <v>112099971</v>
      </c>
      <c r="K23" s="20"/>
      <c r="L23" s="20" t="e">
        <f>SUM(#REF!,J23)</f>
        <v>#REF!</v>
      </c>
      <c r="M23" s="20">
        <f t="shared" si="4"/>
        <v>1365821145</v>
      </c>
      <c r="N23" s="20"/>
      <c r="O23" s="43">
        <f t="shared" si="5"/>
        <v>0.91792485318419936</v>
      </c>
      <c r="P23" s="20"/>
      <c r="Q23" s="43">
        <f t="shared" si="6"/>
        <v>0.082075146815800692</v>
      </c>
    </row>
    <row r="24" spans="1:17" ht="15">
      <c r="A24" s="39">
        <f t="shared" si="3"/>
        <v>9</v>
      </c>
      <c r="B24" s="1"/>
      <c r="C24" s="62">
        <f>+'Weather Adjustment'!C24</f>
        <v>2021</v>
      </c>
      <c r="D24" s="1"/>
      <c r="E24" s="19">
        <f>+'Weather Adjustment'!E24</f>
        <v>9</v>
      </c>
      <c r="F24" s="1"/>
      <c r="G24" s="20">
        <f>+'[1]GS PRI LRG IDR '!I32</f>
        <v>1307569606</v>
      </c>
      <c r="H24" s="3"/>
      <c r="I24" s="20"/>
      <c r="J24" s="20">
        <f>+'[1]GS PRI LRG NONIDR'!I32</f>
        <v>170101246</v>
      </c>
      <c r="K24" s="20"/>
      <c r="L24" s="20" t="e">
        <f>SUM(#REF!,J24)</f>
        <v>#REF!</v>
      </c>
      <c r="M24" s="20">
        <f t="shared" si="4"/>
        <v>1477670852</v>
      </c>
      <c r="N24" s="20"/>
      <c r="O24" s="43">
        <f t="shared" si="5"/>
        <v>0.88488556448834932</v>
      </c>
      <c r="P24" s="20"/>
      <c r="Q24" s="43">
        <f t="shared" si="6"/>
        <v>0.11511443551165074</v>
      </c>
    </row>
    <row r="25" spans="1:17" ht="15">
      <c r="A25" s="39">
        <f t="shared" si="3"/>
        <v>10</v>
      </c>
      <c r="B25" s="1"/>
      <c r="C25" s="62">
        <f>+'Weather Adjustment'!C25</f>
        <v>2021</v>
      </c>
      <c r="D25" s="1"/>
      <c r="E25" s="19">
        <f>+'Weather Adjustment'!E25</f>
        <v>10</v>
      </c>
      <c r="F25" s="1"/>
      <c r="G25" s="20">
        <f>+'[1]GS PRI LRG IDR '!I34</f>
        <v>1300302492</v>
      </c>
      <c r="H25" s="3"/>
      <c r="I25" s="20"/>
      <c r="J25" s="20">
        <f>+'[1]GS PRI LRG NONIDR'!I34</f>
        <v>216102761</v>
      </c>
      <c r="K25" s="20"/>
      <c r="L25" s="20" t="e">
        <f>SUM(#REF!,J25)</f>
        <v>#REF!</v>
      </c>
      <c r="M25" s="20">
        <f t="shared" si="4"/>
        <v>1516405253</v>
      </c>
      <c r="N25" s="20"/>
      <c r="O25" s="43">
        <f t="shared" si="5"/>
        <v>0.85749009997659242</v>
      </c>
      <c r="P25" s="20"/>
      <c r="Q25" s="43">
        <f t="shared" si="6"/>
        <v>0.14250990002340752</v>
      </c>
    </row>
    <row r="26" spans="1:17" ht="15">
      <c r="A26" s="39">
        <f t="shared" si="3"/>
        <v>11</v>
      </c>
      <c r="B26" s="1"/>
      <c r="C26" s="62">
        <f>+'Weather Adjustment'!C26</f>
        <v>2021</v>
      </c>
      <c r="D26" s="1"/>
      <c r="E26" s="19">
        <f>+'Weather Adjustment'!E26</f>
        <v>11</v>
      </c>
      <c r="F26" s="1"/>
      <c r="G26" s="20">
        <f>+'[1]GS PRI LRG IDR '!I36</f>
        <v>1256982908</v>
      </c>
      <c r="H26" s="3"/>
      <c r="I26" s="20"/>
      <c r="J26" s="20">
        <f>+'[1]GS PRI LRG NONIDR'!I36</f>
        <v>157504876</v>
      </c>
      <c r="K26" s="20"/>
      <c r="L26" s="20" t="e">
        <f>SUM(#REF!,J26)</f>
        <v>#REF!</v>
      </c>
      <c r="M26" s="20">
        <f t="shared" si="4"/>
        <v>1414487784</v>
      </c>
      <c r="N26" s="20"/>
      <c r="O26" s="43">
        <f t="shared" si="5"/>
        <v>0.88864882554545976</v>
      </c>
      <c r="P26" s="20"/>
      <c r="Q26" s="43">
        <f t="shared" si="6"/>
        <v>0.11135117445454022</v>
      </c>
    </row>
    <row r="27" spans="1:17" ht="15">
      <c r="A27" s="39">
        <f t="shared" si="3"/>
        <v>12</v>
      </c>
      <c r="B27" s="1"/>
      <c r="C27" s="62">
        <f>+'Weather Adjustment'!C27</f>
        <v>2021</v>
      </c>
      <c r="D27" s="1"/>
      <c r="E27" s="19">
        <f>+'Weather Adjustment'!E27</f>
        <v>12</v>
      </c>
      <c r="F27" s="1"/>
      <c r="G27" s="20">
        <f>+'[1]GS PRI LRG IDR '!I38</f>
        <v>1336111748</v>
      </c>
      <c r="H27" s="3"/>
      <c r="I27" s="20"/>
      <c r="J27" s="20">
        <f>+'[1]GS PRI LRG NONIDR'!I38</f>
        <v>168890297</v>
      </c>
      <c r="K27" s="20"/>
      <c r="L27" s="20" t="e">
        <f>SUM(#REF!,J27)</f>
        <v>#REF!</v>
      </c>
      <c r="M27" s="20">
        <f t="shared" si="4"/>
        <v>1505002045</v>
      </c>
      <c r="N27" s="20"/>
      <c r="O27" s="43">
        <f t="shared" si="5"/>
        <v>0.88778068603886851</v>
      </c>
      <c r="P27" s="20"/>
      <c r="Q27" s="43">
        <f t="shared" si="6"/>
        <v>0.11221931396113152</v>
      </c>
    </row>
    <row r="28" spans="1:17" ht="15">
      <c r="A28" s="39">
        <f t="shared" si="3"/>
        <v>13</v>
      </c>
      <c r="B28" s="1"/>
      <c r="C28" s="1" t="s">
        <v>8</v>
      </c>
      <c r="D28" s="1"/>
      <c r="E28" s="1"/>
      <c r="F28" s="1"/>
      <c r="G28" s="22">
        <f>SUM(G16:G27)</f>
        <v>14871111291</v>
      </c>
      <c r="H28" s="76"/>
      <c r="I28" s="22"/>
      <c r="J28" s="22">
        <f>SUM(J16:J27)</f>
        <v>1901683485</v>
      </c>
      <c r="K28" s="22"/>
      <c r="L28" s="22" t="e">
        <f>SUM(L22:L27)</f>
        <v>#REF!</v>
      </c>
      <c r="M28" s="22">
        <f>SUM(M16:M27)</f>
        <v>16772794776</v>
      </c>
      <c r="N28" s="22"/>
      <c r="O28" s="22"/>
      <c r="P28" s="22"/>
      <c r="Q28" s="22"/>
    </row>
    <row r="29" spans="1:17" ht="15">
      <c r="A29" s="39">
        <f t="shared" si="3"/>
        <v>14</v>
      </c>
      <c r="B29" s="1"/>
      <c r="C29" s="1"/>
      <c r="D29" s="1"/>
      <c r="E29" s="1"/>
      <c r="F29" s="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ht="15">
      <c r="A30" s="39">
        <f t="shared" si="3"/>
        <v>15</v>
      </c>
      <c r="B30" s="1"/>
      <c r="C30" s="1"/>
      <c r="D30" s="1"/>
      <c r="E30" s="1"/>
      <c r="F30" s="1"/>
      <c r="G30" s="10" t="s">
        <v>87</v>
      </c>
      <c r="H30" s="3"/>
      <c r="I30" s="3"/>
      <c r="J30" s="10" t="s">
        <v>87</v>
      </c>
      <c r="K30" s="3"/>
      <c r="L30" s="3"/>
      <c r="M30" s="10" t="s">
        <v>87</v>
      </c>
      <c r="N30" s="3"/>
      <c r="O30" s="3"/>
      <c r="P30" s="3"/>
      <c r="Q30" s="3"/>
    </row>
    <row r="31" spans="1:17" ht="15">
      <c r="A31" s="39">
        <f t="shared" si="3"/>
        <v>16</v>
      </c>
      <c r="B31" s="11"/>
      <c r="C31" s="11" t="s">
        <v>1</v>
      </c>
      <c r="D31" s="11"/>
      <c r="E31" s="11" t="s">
        <v>2</v>
      </c>
      <c r="F31" s="1"/>
      <c r="G31" s="12" t="s">
        <v>51</v>
      </c>
      <c r="H31" s="12"/>
      <c r="I31" s="12"/>
      <c r="J31" s="12" t="s">
        <v>52</v>
      </c>
      <c r="K31" s="12"/>
      <c r="L31" s="12" t="s">
        <v>4</v>
      </c>
      <c r="M31" s="12" t="s">
        <v>53</v>
      </c>
      <c r="N31" s="14"/>
      <c r="O31" s="14"/>
      <c r="P31" s="14"/>
      <c r="Q31" s="14"/>
    </row>
    <row r="32" spans="1:17" ht="15">
      <c r="A32" s="39">
        <f t="shared" si="3"/>
        <v>17</v>
      </c>
      <c r="B32" s="1"/>
      <c r="C32" s="1"/>
      <c r="D32" s="1"/>
      <c r="E32" s="1"/>
      <c r="F32" s="1"/>
      <c r="G32" s="16" t="s">
        <v>26</v>
      </c>
      <c r="H32" s="15"/>
      <c r="I32" s="15"/>
      <c r="J32" s="16" t="s">
        <v>89</v>
      </c>
      <c r="K32" s="15"/>
      <c r="L32" s="15"/>
      <c r="M32" s="16" t="s">
        <v>118</v>
      </c>
      <c r="N32" s="14"/>
      <c r="O32" s="12"/>
      <c r="P32" s="14"/>
      <c r="Q32" s="12"/>
    </row>
    <row r="33" spans="1:17" ht="15">
      <c r="A33" s="39">
        <f t="shared" si="3"/>
        <v>18</v>
      </c>
      <c r="B33" s="1"/>
      <c r="C33" s="1"/>
      <c r="D33" s="1"/>
      <c r="E33" s="1"/>
      <c r="F33" s="1"/>
      <c r="G33" s="12"/>
      <c r="H33" s="14"/>
      <c r="I33" s="14"/>
      <c r="J33" s="12"/>
      <c r="K33" s="14"/>
      <c r="L33" s="14"/>
      <c r="M33" s="12"/>
      <c r="N33" s="14"/>
      <c r="O33" s="12"/>
      <c r="P33" s="14"/>
      <c r="Q33" s="12"/>
    </row>
    <row r="34" spans="1:17" ht="15">
      <c r="A34" s="39">
        <f t="shared" si="3"/>
        <v>19</v>
      </c>
      <c r="B34" s="1"/>
      <c r="C34" s="21">
        <f t="shared" si="7" ref="C34:C45">+C16</f>
        <v>2021</v>
      </c>
      <c r="D34" s="1"/>
      <c r="E34" s="19">
        <f t="shared" si="8" ref="E34:E45">+E16</f>
        <v>1</v>
      </c>
      <c r="G34" s="27">
        <f>+PrmGT10D!Q52</f>
        <v>1381.4785982780606</v>
      </c>
      <c r="H34" s="27"/>
      <c r="I34" s="27"/>
      <c r="J34" s="27">
        <f>+G34*O16</f>
        <v>1234.7505951583341</v>
      </c>
      <c r="K34" s="27"/>
      <c r="L34" s="29"/>
      <c r="M34" s="20">
        <f>+G34-J34</f>
        <v>146.72800311972651</v>
      </c>
      <c r="N34" s="28"/>
      <c r="O34" s="20"/>
      <c r="P34" s="20"/>
      <c r="Q34" s="20"/>
    </row>
    <row r="35" spans="1:17" ht="15">
      <c r="A35" s="39">
        <f t="shared" si="3"/>
        <v>20</v>
      </c>
      <c r="B35" s="1"/>
      <c r="C35" s="21">
        <f t="shared" si="7"/>
        <v>2021</v>
      </c>
      <c r="D35" s="1"/>
      <c r="E35" s="19">
        <f t="shared" si="8"/>
        <v>2</v>
      </c>
      <c r="G35" s="27">
        <f>+PrmGT10D!Q53</f>
        <v>1078.2300514140236</v>
      </c>
      <c r="H35" s="27"/>
      <c r="I35" s="27"/>
      <c r="J35" s="27">
        <f t="shared" si="9" ref="J35:J44">+G35*O17</f>
        <v>964.19740388147216</v>
      </c>
      <c r="K35" s="27"/>
      <c r="L35" s="29"/>
      <c r="M35" s="20">
        <f t="shared" si="10" ref="M35:M45">+G35-J35</f>
        <v>114.03264753255144</v>
      </c>
      <c r="N35" s="28"/>
      <c r="O35" s="20"/>
      <c r="P35" s="20"/>
      <c r="Q35" s="20"/>
    </row>
    <row r="36" spans="1:17" ht="15">
      <c r="A36" s="39">
        <f t="shared" si="3"/>
        <v>21</v>
      </c>
      <c r="B36" s="1"/>
      <c r="C36" s="21">
        <f t="shared" si="7"/>
        <v>2021</v>
      </c>
      <c r="D36" s="1"/>
      <c r="E36" s="19">
        <f t="shared" si="8"/>
        <v>3</v>
      </c>
      <c r="G36" s="27">
        <f>+PrmGT10D!Q54</f>
        <v>2015.7852772970753</v>
      </c>
      <c r="H36" s="27"/>
      <c r="I36" s="27"/>
      <c r="J36" s="27">
        <f t="shared" si="9"/>
        <v>1793.8895277901645</v>
      </c>
      <c r="K36" s="27"/>
      <c r="L36" s="29"/>
      <c r="M36" s="20">
        <f t="shared" si="10"/>
        <v>221.89574950691076</v>
      </c>
      <c r="N36" s="28"/>
      <c r="O36" s="20"/>
      <c r="P36" s="20"/>
      <c r="Q36" s="20"/>
    </row>
    <row r="37" spans="1:17" ht="15">
      <c r="A37" s="39">
        <f t="shared" si="3"/>
        <v>22</v>
      </c>
      <c r="B37" s="1"/>
      <c r="C37" s="21">
        <f t="shared" si="7"/>
        <v>2021</v>
      </c>
      <c r="D37" s="1"/>
      <c r="E37" s="19">
        <f t="shared" si="8"/>
        <v>4</v>
      </c>
      <c r="G37" s="27">
        <f>+PrmGT10D!Q55</f>
        <v>3076.862568549047</v>
      </c>
      <c r="H37" s="27"/>
      <c r="I37" s="27"/>
      <c r="J37" s="27">
        <f t="shared" si="9"/>
        <v>2738.3839665492865</v>
      </c>
      <c r="K37" s="27"/>
      <c r="L37" s="29"/>
      <c r="M37" s="20">
        <f t="shared" si="10"/>
        <v>338.47860199976049</v>
      </c>
      <c r="N37" s="28"/>
      <c r="O37" s="20"/>
      <c r="P37" s="20"/>
      <c r="Q37" s="20"/>
    </row>
    <row r="38" spans="1:17" ht="15">
      <c r="A38" s="39">
        <f t="shared" si="3"/>
        <v>23</v>
      </c>
      <c r="B38" s="1"/>
      <c r="C38" s="21">
        <f t="shared" si="7"/>
        <v>2021</v>
      </c>
      <c r="D38" s="1"/>
      <c r="E38" s="19">
        <f t="shared" si="8"/>
        <v>5</v>
      </c>
      <c r="G38" s="27">
        <f>+PrmGT10D!Q56</f>
        <v>13564.953675895496</v>
      </c>
      <c r="H38" s="27"/>
      <c r="I38" s="27"/>
      <c r="J38" s="27">
        <f t="shared" si="9"/>
        <v>11950.054590737662</v>
      </c>
      <c r="K38" s="27"/>
      <c r="L38" s="29"/>
      <c r="M38" s="20">
        <f t="shared" si="10"/>
        <v>1614.8990851578346</v>
      </c>
      <c r="N38" s="28"/>
      <c r="O38" s="20"/>
      <c r="P38" s="20"/>
      <c r="Q38" s="20"/>
    </row>
    <row r="39" spans="1:17" ht="15">
      <c r="A39" s="39">
        <f t="shared" si="3"/>
        <v>24</v>
      </c>
      <c r="B39" s="1"/>
      <c r="C39" s="21">
        <f t="shared" si="7"/>
        <v>2021</v>
      </c>
      <c r="D39" s="1"/>
      <c r="E39" s="19">
        <f t="shared" si="8"/>
        <v>6</v>
      </c>
      <c r="G39" s="27">
        <f>+PrmGT10D!Q57</f>
        <v>18107.464062235093</v>
      </c>
      <c r="H39" s="30"/>
      <c r="I39" s="30"/>
      <c r="J39" s="27">
        <f t="shared" si="9"/>
        <v>15923.728930481459</v>
      </c>
      <c r="K39" s="30"/>
      <c r="L39" s="45"/>
      <c r="M39" s="20">
        <f t="shared" si="10"/>
        <v>2183.7351317536341</v>
      </c>
      <c r="N39" s="51"/>
      <c r="O39" s="20"/>
      <c r="P39" s="20"/>
      <c r="Q39" s="20"/>
    </row>
    <row r="40" spans="1:17" ht="15">
      <c r="A40" s="39">
        <f t="shared" si="3"/>
        <v>25</v>
      </c>
      <c r="B40" s="1"/>
      <c r="C40" s="21">
        <f t="shared" si="7"/>
        <v>2021</v>
      </c>
      <c r="D40" s="1"/>
      <c r="E40" s="19">
        <f t="shared" si="8"/>
        <v>7</v>
      </c>
      <c r="F40" s="23"/>
      <c r="G40" s="27">
        <f>+PrmGT10D!Q58</f>
        <v>11615.970361220199</v>
      </c>
      <c r="H40" s="51"/>
      <c r="I40" s="28"/>
      <c r="J40" s="27">
        <f t="shared" si="9"/>
        <v>10225.081236576467</v>
      </c>
      <c r="K40" s="3"/>
      <c r="L40" s="3"/>
      <c r="M40" s="20">
        <f t="shared" si="10"/>
        <v>1390.8891246437324</v>
      </c>
      <c r="N40" s="3"/>
      <c r="O40" s="20"/>
      <c r="P40" s="20"/>
      <c r="Q40" s="20"/>
    </row>
    <row r="41" spans="1:17" ht="15">
      <c r="A41" s="39">
        <f t="shared" si="3"/>
        <v>26</v>
      </c>
      <c r="B41" s="1"/>
      <c r="C41" s="21">
        <f t="shared" si="7"/>
        <v>2021</v>
      </c>
      <c r="D41" s="1"/>
      <c r="E41" s="19">
        <f t="shared" si="8"/>
        <v>8</v>
      </c>
      <c r="G41" s="27">
        <f>+PrmGT10D!Q59</f>
        <v>17022.692786882446</v>
      </c>
      <c r="H41" s="27"/>
      <c r="I41" s="27"/>
      <c r="J41" s="27">
        <f t="shared" si="9"/>
        <v>15625.552777198798</v>
      </c>
      <c r="K41" s="27"/>
      <c r="L41" s="29"/>
      <c r="M41" s="20">
        <f t="shared" si="10"/>
        <v>1397.1400096836478</v>
      </c>
      <c r="N41" s="3"/>
      <c r="O41" s="20"/>
      <c r="P41" s="20"/>
      <c r="Q41" s="20"/>
    </row>
    <row r="42" spans="1:17" ht="15">
      <c r="A42" s="39">
        <f t="shared" si="3"/>
        <v>27</v>
      </c>
      <c r="B42" s="1"/>
      <c r="C42" s="21">
        <f t="shared" si="7"/>
        <v>2021</v>
      </c>
      <c r="D42" s="1"/>
      <c r="E42" s="19">
        <f t="shared" si="8"/>
        <v>9</v>
      </c>
      <c r="G42" s="27">
        <f>+PrmGT10D!Q60</f>
        <v>1586.0315782921434</v>
      </c>
      <c r="H42" s="27"/>
      <c r="I42" s="27"/>
      <c r="J42" s="27">
        <f t="shared" si="9"/>
        <v>1403.456448453391</v>
      </c>
      <c r="K42" s="27"/>
      <c r="L42" s="29"/>
      <c r="M42" s="20">
        <f t="shared" si="10"/>
        <v>182.57512983875245</v>
      </c>
      <c r="N42" s="3"/>
      <c r="O42" s="20"/>
      <c r="P42" s="20"/>
      <c r="Q42" s="20"/>
    </row>
    <row r="43" spans="1:17" ht="15">
      <c r="A43" s="39">
        <f t="shared" si="3"/>
        <v>28</v>
      </c>
      <c r="B43" s="1"/>
      <c r="C43" s="21">
        <f t="shared" si="7"/>
        <v>2021</v>
      </c>
      <c r="D43" s="1"/>
      <c r="E43" s="19">
        <f t="shared" si="8"/>
        <v>10</v>
      </c>
      <c r="G43" s="27">
        <f>+PrmGT10D!Q61</f>
        <v>-6237.3510239488287</v>
      </c>
      <c r="H43" s="27"/>
      <c r="I43" s="27"/>
      <c r="J43" s="27">
        <f t="shared" si="9"/>
        <v>-5348.4667531149826</v>
      </c>
      <c r="K43" s="27"/>
      <c r="L43" s="29"/>
      <c r="M43" s="20">
        <f t="shared" si="10"/>
        <v>-888.88427083384613</v>
      </c>
      <c r="N43" s="3"/>
      <c r="O43" s="20"/>
      <c r="P43" s="20"/>
      <c r="Q43" s="20"/>
    </row>
    <row r="44" spans="1:17" ht="15">
      <c r="A44" s="39">
        <f t="shared" si="3"/>
        <v>29</v>
      </c>
      <c r="B44" s="1"/>
      <c r="C44" s="21">
        <f t="shared" si="7"/>
        <v>2021</v>
      </c>
      <c r="D44" s="1"/>
      <c r="E44" s="19">
        <f t="shared" si="8"/>
        <v>11</v>
      </c>
      <c r="G44" s="27">
        <f>+PrmGT10D!Q62</f>
        <v>-5839.5019153429193</v>
      </c>
      <c r="H44" s="27"/>
      <c r="I44" s="27"/>
      <c r="J44" s="27">
        <f t="shared" si="9"/>
        <v>-5189.2665188399478</v>
      </c>
      <c r="K44" s="27"/>
      <c r="L44" s="29"/>
      <c r="M44" s="20">
        <f t="shared" si="10"/>
        <v>-650.23539650297153</v>
      </c>
      <c r="N44" s="28"/>
      <c r="O44" s="20"/>
      <c r="P44" s="20"/>
      <c r="Q44" s="20"/>
    </row>
    <row r="45" spans="1:17" ht="15">
      <c r="A45" s="39">
        <f t="shared" si="3"/>
        <v>30</v>
      </c>
      <c r="B45" s="1"/>
      <c r="C45" s="21">
        <f t="shared" si="7"/>
        <v>2021</v>
      </c>
      <c r="D45" s="1"/>
      <c r="E45" s="19">
        <f t="shared" si="8"/>
        <v>12</v>
      </c>
      <c r="G45" s="27">
        <f>+PrmGT10D!Q63</f>
        <v>-1424.0819501607316</v>
      </c>
      <c r="H45" s="27"/>
      <c r="I45" s="27"/>
      <c r="J45" s="27">
        <f>+G45*O27</f>
        <v>-1264.2724506892641</v>
      </c>
      <c r="K45" s="27"/>
      <c r="L45" s="29"/>
      <c r="M45" s="20">
        <f t="shared" si="10"/>
        <v>-159.80949947146746</v>
      </c>
      <c r="N45" s="28"/>
      <c r="O45" s="59"/>
      <c r="P45" s="59"/>
      <c r="Q45" s="59"/>
    </row>
    <row r="46" spans="1:17" ht="15">
      <c r="A46" s="39">
        <f t="shared" si="3"/>
        <v>31</v>
      </c>
      <c r="B46" s="1"/>
      <c r="C46" s="1" t="s">
        <v>8</v>
      </c>
      <c r="D46" s="1"/>
      <c r="E46" s="19"/>
      <c r="G46" s="22">
        <f>SUM(G34:G45)</f>
        <v>55948.534070611095</v>
      </c>
      <c r="H46" s="72"/>
      <c r="I46" s="72"/>
      <c r="J46" s="22">
        <f>SUM(J34:J45)</f>
        <v>50057.089754182838</v>
      </c>
      <c r="K46" s="27"/>
      <c r="L46" s="29"/>
      <c r="M46" s="22">
        <f>SUM(M34:M45)</f>
        <v>5891.4443164282657</v>
      </c>
      <c r="N46" s="28"/>
      <c r="O46" s="14"/>
      <c r="P46" s="14"/>
      <c r="Q46" s="14"/>
    </row>
    <row r="47" spans="1:17" ht="15">
      <c r="A47" s="4"/>
      <c r="B47" s="4"/>
      <c r="C47" s="24"/>
      <c r="D47" s="4"/>
      <c r="E47" s="25"/>
      <c r="F47" s="8"/>
      <c r="G47" s="32"/>
      <c r="H47" s="33"/>
      <c r="I47" s="33"/>
      <c r="J47" s="32"/>
      <c r="K47" s="33"/>
      <c r="L47" s="34"/>
      <c r="M47" s="32"/>
      <c r="N47" s="35"/>
      <c r="O47" s="32"/>
      <c r="P47" s="35"/>
      <c r="Q47" s="32"/>
    </row>
    <row r="48" spans="1:17" ht="15">
      <c r="A48" s="47"/>
      <c r="B48" s="47"/>
      <c r="C48" s="48"/>
      <c r="D48" s="47"/>
      <c r="E48" s="49"/>
      <c r="F48" s="50"/>
      <c r="G48" s="30"/>
      <c r="H48" s="30"/>
      <c r="I48" s="30"/>
      <c r="J48" s="30"/>
      <c r="K48" s="30"/>
      <c r="L48" s="31"/>
      <c r="M48" s="30"/>
      <c r="N48" s="51"/>
      <c r="O48" s="30"/>
      <c r="P48" s="51"/>
      <c r="Q48" s="30"/>
    </row>
    <row r="49" spans="1:17" ht="15">
      <c r="A49" s="52"/>
      <c r="B49" s="52"/>
      <c r="C49" s="52"/>
      <c r="D49" s="52"/>
      <c r="E49" s="52"/>
      <c r="F49" s="47"/>
      <c r="G49" s="12"/>
      <c r="H49" s="12"/>
      <c r="I49" s="12"/>
      <c r="J49" s="12"/>
      <c r="K49" s="12"/>
      <c r="L49" s="12"/>
      <c r="M49" s="13"/>
      <c r="N49" s="14"/>
      <c r="O49" s="14"/>
      <c r="P49" s="14"/>
      <c r="Q49" s="14"/>
    </row>
    <row r="50" spans="1:17" ht="15">
      <c r="A50" s="47"/>
      <c r="B50" s="47"/>
      <c r="C50" s="47"/>
      <c r="D50" s="47"/>
      <c r="E50" s="47"/>
      <c r="F50" s="47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spans="1:17" ht="15">
      <c r="A51" s="50"/>
      <c r="B51" s="50"/>
      <c r="C51" s="53"/>
      <c r="D51" s="50"/>
      <c r="E51" s="50"/>
      <c r="F51" s="50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</row>
    <row r="52" spans="1:17" ht="15">
      <c r="A52" s="54"/>
      <c r="B52" s="47"/>
      <c r="C52" s="55"/>
      <c r="D52" s="47"/>
      <c r="E52" s="49"/>
      <c r="F52" s="50"/>
      <c r="G52" s="30"/>
      <c r="H52" s="51"/>
      <c r="I52" s="51"/>
      <c r="J52" s="30"/>
      <c r="K52" s="51"/>
      <c r="L52" s="31"/>
      <c r="M52" s="30"/>
      <c r="N52" s="51"/>
      <c r="O52" s="30"/>
      <c r="P52" s="51"/>
      <c r="Q52" s="30"/>
    </row>
    <row r="53" spans="1:17" ht="15">
      <c r="A53" s="54"/>
      <c r="B53" s="47"/>
      <c r="C53" s="48"/>
      <c r="D53" s="47"/>
      <c r="E53" s="49"/>
      <c r="F53" s="50"/>
      <c r="G53" s="30"/>
      <c r="H53" s="30"/>
      <c r="I53" s="30"/>
      <c r="J53" s="30"/>
      <c r="K53" s="30"/>
      <c r="L53" s="30"/>
      <c r="M53" s="30"/>
      <c r="N53" s="51"/>
      <c r="O53" s="30"/>
      <c r="P53" s="51"/>
      <c r="Q53" s="30"/>
    </row>
    <row r="54" spans="1:17" ht="15">
      <c r="A54" s="54"/>
      <c r="B54" s="47"/>
      <c r="C54" s="48"/>
      <c r="D54" s="47"/>
      <c r="E54" s="49"/>
      <c r="F54" s="50"/>
      <c r="G54" s="30"/>
      <c r="H54" s="30"/>
      <c r="I54" s="30"/>
      <c r="J54" s="30"/>
      <c r="K54" s="30"/>
      <c r="L54" s="30"/>
      <c r="M54" s="30"/>
      <c r="N54" s="51"/>
      <c r="O54" s="30"/>
      <c r="P54" s="51"/>
      <c r="Q54" s="30"/>
    </row>
    <row r="55" spans="1:17" ht="15">
      <c r="A55" s="54"/>
      <c r="B55" s="47"/>
      <c r="C55" s="48"/>
      <c r="D55" s="47"/>
      <c r="E55" s="49"/>
      <c r="F55" s="50"/>
      <c r="G55" s="30"/>
      <c r="H55" s="30"/>
      <c r="I55" s="30"/>
      <c r="J55" s="30"/>
      <c r="K55" s="30"/>
      <c r="L55" s="30"/>
      <c r="M55" s="30"/>
      <c r="N55" s="51"/>
      <c r="O55" s="30"/>
      <c r="P55" s="51"/>
      <c r="Q55" s="30"/>
    </row>
    <row r="56" spans="1:17" ht="15">
      <c r="A56" s="54"/>
      <c r="B56" s="47"/>
      <c r="C56" s="48"/>
      <c r="D56" s="47"/>
      <c r="E56" s="49"/>
      <c r="F56" s="50"/>
      <c r="G56" s="30"/>
      <c r="H56" s="30"/>
      <c r="I56" s="30"/>
      <c r="J56" s="30"/>
      <c r="K56" s="30"/>
      <c r="L56" s="30"/>
      <c r="M56" s="30"/>
      <c r="N56" s="51"/>
      <c r="O56" s="30"/>
      <c r="P56" s="51"/>
      <c r="Q56" s="30"/>
    </row>
    <row r="57" spans="1:17" ht="15">
      <c r="A57" s="54"/>
      <c r="B57" s="47"/>
      <c r="C57" s="48"/>
      <c r="D57" s="47"/>
      <c r="E57" s="49"/>
      <c r="F57" s="50"/>
      <c r="G57" s="30"/>
      <c r="H57" s="30"/>
      <c r="I57" s="30"/>
      <c r="J57" s="30"/>
      <c r="K57" s="30"/>
      <c r="L57" s="30"/>
      <c r="M57" s="30"/>
      <c r="N57" s="51"/>
      <c r="O57" s="30"/>
      <c r="P57" s="51"/>
      <c r="Q57" s="30"/>
    </row>
    <row r="58" spans="1:17" ht="15">
      <c r="A58" s="54"/>
      <c r="B58" s="47"/>
      <c r="C58" s="48"/>
      <c r="D58" s="47"/>
      <c r="E58" s="49"/>
      <c r="F58" s="50"/>
      <c r="G58" s="30"/>
      <c r="H58" s="30"/>
      <c r="I58" s="30"/>
      <c r="J58" s="30"/>
      <c r="K58" s="30"/>
      <c r="L58" s="30"/>
      <c r="M58" s="30"/>
      <c r="N58" s="51"/>
      <c r="O58" s="30"/>
      <c r="P58" s="51"/>
      <c r="Q58" s="30"/>
    </row>
    <row r="59" spans="1:17" ht="15">
      <c r="A59" s="54"/>
      <c r="B59" s="47"/>
      <c r="C59" s="48"/>
      <c r="D59" s="47"/>
      <c r="E59" s="49"/>
      <c r="F59" s="50"/>
      <c r="G59" s="30"/>
      <c r="H59" s="30"/>
      <c r="I59" s="30"/>
      <c r="J59" s="30"/>
      <c r="K59" s="30"/>
      <c r="L59" s="30"/>
      <c r="M59" s="30"/>
      <c r="N59" s="51"/>
      <c r="O59" s="30"/>
      <c r="P59" s="51"/>
      <c r="Q59" s="30"/>
    </row>
    <row r="60" spans="1:17" ht="15">
      <c r="A60" s="54"/>
      <c r="B60" s="47"/>
      <c r="C60" s="48"/>
      <c r="D60" s="47"/>
      <c r="E60" s="49"/>
      <c r="F60" s="50"/>
      <c r="G60" s="30"/>
      <c r="H60" s="30"/>
      <c r="I60" s="30"/>
      <c r="J60" s="30"/>
      <c r="K60" s="30"/>
      <c r="L60" s="30"/>
      <c r="M60" s="30"/>
      <c r="N60" s="51"/>
      <c r="O60" s="30"/>
      <c r="P60" s="51"/>
      <c r="Q60" s="30"/>
    </row>
    <row r="61" spans="1:17" ht="15">
      <c r="A61" s="54"/>
      <c r="B61" s="47"/>
      <c r="C61" s="48"/>
      <c r="D61" s="47"/>
      <c r="E61" s="49"/>
      <c r="F61" s="50"/>
      <c r="G61" s="30"/>
      <c r="H61" s="30"/>
      <c r="I61" s="30"/>
      <c r="J61" s="30"/>
      <c r="K61" s="30"/>
      <c r="L61" s="30"/>
      <c r="M61" s="30"/>
      <c r="N61" s="51"/>
      <c r="O61" s="30"/>
      <c r="P61" s="51"/>
      <c r="Q61" s="30"/>
    </row>
    <row r="62" spans="1:17" ht="15">
      <c r="A62" s="54"/>
      <c r="B62" s="47"/>
      <c r="C62" s="48"/>
      <c r="D62" s="47"/>
      <c r="E62" s="49"/>
      <c r="F62" s="50"/>
      <c r="G62" s="30"/>
      <c r="H62" s="30"/>
      <c r="I62" s="30"/>
      <c r="J62" s="30"/>
      <c r="K62" s="30"/>
      <c r="L62" s="30"/>
      <c r="M62" s="30"/>
      <c r="N62" s="51"/>
      <c r="O62" s="30"/>
      <c r="P62" s="51"/>
      <c r="Q62" s="30"/>
    </row>
    <row r="63" spans="1:17" ht="15">
      <c r="A63" s="54"/>
      <c r="B63" s="47"/>
      <c r="C63" s="48"/>
      <c r="D63" s="47"/>
      <c r="E63" s="49"/>
      <c r="F63" s="50"/>
      <c r="G63" s="30"/>
      <c r="H63" s="30"/>
      <c r="I63" s="30"/>
      <c r="J63" s="30"/>
      <c r="K63" s="30"/>
      <c r="L63" s="30"/>
      <c r="M63" s="30"/>
      <c r="N63" s="51"/>
      <c r="O63" s="30"/>
      <c r="P63" s="51"/>
      <c r="Q63" s="30"/>
    </row>
    <row r="64" spans="1:17" ht="15">
      <c r="A64" s="50"/>
      <c r="B64" s="50"/>
      <c r="C64" s="48"/>
      <c r="D64" s="50"/>
      <c r="E64" s="49"/>
      <c r="F64" s="50"/>
      <c r="G64" s="30"/>
      <c r="H64" s="56"/>
      <c r="I64" s="56"/>
      <c r="J64" s="56"/>
      <c r="K64" s="56"/>
      <c r="L64" s="56"/>
      <c r="M64" s="56"/>
      <c r="N64" s="51"/>
      <c r="O64" s="56"/>
      <c r="P64" s="51"/>
      <c r="Q64" s="56"/>
    </row>
    <row r="65" spans="1:17" ht="15">
      <c r="A65" s="57"/>
      <c r="B65" s="50"/>
      <c r="C65" s="58"/>
      <c r="D65" s="50"/>
      <c r="E65" s="50"/>
      <c r="F65" s="50"/>
      <c r="G65" s="30"/>
      <c r="H65" s="30"/>
      <c r="I65" s="30"/>
      <c r="J65" s="30"/>
      <c r="K65" s="30"/>
      <c r="L65" s="30"/>
      <c r="M65" s="30"/>
      <c r="N65" s="51"/>
      <c r="O65" s="30"/>
      <c r="P65" s="51"/>
      <c r="Q65" s="30"/>
    </row>
    <row r="66" spans="1:17" ht="15">
      <c r="A66" s="50"/>
      <c r="B66" s="50"/>
      <c r="C66" s="53"/>
      <c r="D66" s="50"/>
      <c r="E66" s="50"/>
      <c r="F66" s="50"/>
      <c r="G66" s="30"/>
      <c r="H66" s="30"/>
      <c r="I66" s="30"/>
      <c r="J66" s="30"/>
      <c r="K66" s="30"/>
      <c r="L66" s="30"/>
      <c r="M66" s="30"/>
      <c r="N66" s="51"/>
      <c r="O66" s="51"/>
      <c r="P66" s="51"/>
      <c r="Q66" s="51"/>
    </row>
    <row r="67" spans="1:17" ht="12.75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</row>
  </sheetData>
  <mergeCells count="1">
    <mergeCell ref="C11:Q11"/>
  </mergeCells>
  <printOptions horizontalCentered="1"/>
  <pageMargins left="0.25" right="0" top="1.5" bottom="0.25" header="0.5" footer="0.5"/>
  <pageSetup orientation="landscape" scale="51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">
    <pageSetUpPr fitToPage="1"/>
  </sheetPr>
  <dimension ref="A1:T72"/>
  <sheetViews>
    <sheetView zoomScale="75" zoomScaleNormal="75" zoomScaleSheetLayoutView="70" workbookViewId="0" topLeftCell="A1"/>
  </sheetViews>
  <sheetFormatPr defaultRowHeight="12.75"/>
  <cols>
    <col min="1" max="1" width="5.85714285714286" bestFit="1" customWidth="1"/>
    <col min="2" max="2" width="2.71428571428571" customWidth="1"/>
    <col min="3" max="3" width="12.4285714285714" customWidth="1"/>
    <col min="4" max="4" width="2.71428571428571" customWidth="1"/>
    <col min="5" max="5" width="8" customWidth="1"/>
    <col min="6" max="6" width="2.71428571428571" customWidth="1"/>
    <col min="7" max="7" width="16.8571428571429" bestFit="1" customWidth="1"/>
    <col min="8" max="8" width="1.14285714285714" customWidth="1"/>
    <col min="9" max="9" width="15.5714285714286" customWidth="1"/>
    <col min="10" max="10" width="1.14285714285714" customWidth="1"/>
    <col min="11" max="11" width="16.1428571428571" customWidth="1"/>
    <col min="12" max="12" width="1.42857142857143" customWidth="1"/>
    <col min="13" max="14" width="0" hidden="1" customWidth="1"/>
    <col min="15" max="15" width="16.8571428571429" bestFit="1" customWidth="1"/>
    <col min="16" max="16" width="1.14285714285714" customWidth="1"/>
    <col min="17" max="17" width="17.2857142857143" customWidth="1"/>
    <col min="18" max="18" width="16.8571428571429" hidden="1" customWidth="1"/>
    <col min="19" max="19" width="1.28571428571429" hidden="1" customWidth="1"/>
  </cols>
  <sheetData>
    <row r="1" spans="1:19" ht="15.75">
      <c r="A1" s="1"/>
      <c r="B1" s="1"/>
      <c r="C1" s="1"/>
      <c r="D1" s="1"/>
      <c r="E1" s="1"/>
      <c r="F1" s="1"/>
      <c r="G1" s="2"/>
      <c r="H1" s="3"/>
      <c r="I1" s="3"/>
      <c r="J1" s="3"/>
      <c r="K1" s="3"/>
      <c r="L1" s="3"/>
      <c r="M1" s="3"/>
      <c r="N1" s="3"/>
      <c r="O1" s="3"/>
      <c r="P1" s="3"/>
      <c r="Q1" t="s">
        <v>10</v>
      </c>
      <c r="R1" s="3"/>
      <c r="S1" s="3"/>
    </row>
    <row r="2" spans="1:19" ht="15.75">
      <c r="A2" s="4"/>
      <c r="B2" s="4"/>
      <c r="C2" s="4"/>
      <c r="D2" s="4"/>
      <c r="E2" s="4"/>
      <c r="F2" s="4"/>
      <c r="G2" s="5"/>
      <c r="H2" s="6"/>
      <c r="I2" s="6"/>
      <c r="J2" s="6"/>
      <c r="K2" s="6"/>
      <c r="L2" s="6"/>
      <c r="M2" s="6"/>
      <c r="N2" s="6"/>
      <c r="O2" s="6"/>
      <c r="P2" s="6"/>
      <c r="Q2" s="83" t="s">
        <v>127</v>
      </c>
      <c r="R2" s="6"/>
      <c r="S2" s="6"/>
    </row>
    <row r="3" spans="1:19" ht="15.75">
      <c r="A3" s="4"/>
      <c r="B3" s="4"/>
      <c r="C3" s="4"/>
      <c r="D3" s="4"/>
      <c r="E3" s="4"/>
      <c r="F3" s="4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15.75">
      <c r="A4" s="7" t="str">
        <f>+'Weather Adjustment'!A4</f>
        <v>PUC DOCKET NO</v>
      </c>
      <c r="B4" s="4"/>
      <c r="C4" s="4"/>
      <c r="D4" s="4"/>
      <c r="E4" s="4"/>
      <c r="F4" s="4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ht="15.75">
      <c r="A5" s="7" t="str">
        <f>+'Weather Adjustment'!A5</f>
        <v>ONCOR ELECTRIC DELIVERY COMPANY LLC</v>
      </c>
      <c r="B5" s="4"/>
      <c r="C5" s="4"/>
      <c r="D5" s="4"/>
      <c r="E5" s="4"/>
      <c r="F5" s="4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ht="15.75">
      <c r="A6" s="9" t="str">
        <f>+'Weather Adjustment'!A6</f>
        <v>MONTHLY SALES DATA</v>
      </c>
      <c r="B6" s="4"/>
      <c r="C6" s="4"/>
      <c r="D6" s="4"/>
      <c r="E6" s="4"/>
      <c r="F6" s="4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19" ht="15.75">
      <c r="A7" s="65" t="str">
        <f>+'Weather Adjustment'!A7</f>
        <v>TEST YEAR ENDING December 31, 2021</v>
      </c>
      <c r="B7" s="4"/>
      <c r="C7" s="38"/>
      <c r="D7" s="4"/>
      <c r="E7" s="4"/>
      <c r="F7" s="4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15">
      <c r="B8" s="4"/>
      <c r="C8" s="4"/>
      <c r="D8" s="4"/>
      <c r="E8" s="4"/>
      <c r="F8" s="4"/>
      <c r="G8" s="6"/>
      <c r="H8" s="6"/>
      <c r="I8" s="6"/>
      <c r="J8" s="6"/>
      <c r="K8" s="6"/>
      <c r="L8" s="6"/>
      <c r="M8" s="6"/>
      <c r="N8" s="20"/>
      <c r="O8" s="20"/>
      <c r="P8" s="20"/>
      <c r="Q8" s="6"/>
      <c r="R8" s="6"/>
      <c r="S8" s="6"/>
    </row>
    <row r="9" spans="1:19" ht="15.75">
      <c r="A9" s="41" t="str">
        <f>+'Weather Adjustment'!A9</f>
        <v>SPONSOR:  D. E. NELSON</v>
      </c>
      <c r="B9" s="7"/>
      <c r="C9" s="7"/>
      <c r="D9" s="7"/>
      <c r="E9" s="7"/>
      <c r="F9" s="7"/>
      <c r="G9" s="9"/>
      <c r="H9" s="9"/>
      <c r="I9" s="9"/>
      <c r="J9" s="9"/>
      <c r="K9" s="9"/>
      <c r="L9" s="9"/>
      <c r="M9" s="9"/>
      <c r="N9" s="42"/>
      <c r="O9" s="42"/>
      <c r="P9" s="42"/>
      <c r="Q9" s="9"/>
      <c r="R9" s="9"/>
      <c r="S9" s="9"/>
    </row>
    <row r="10" spans="2:19" ht="15">
      <c r="B10" s="4"/>
      <c r="C10" s="4"/>
      <c r="D10" s="4"/>
      <c r="E10" s="4"/>
      <c r="F10" s="4"/>
      <c r="G10" s="6"/>
      <c r="H10" s="6"/>
      <c r="I10" s="6"/>
      <c r="J10" s="6"/>
      <c r="K10" s="6"/>
      <c r="L10" s="6"/>
      <c r="M10" s="6"/>
      <c r="N10" s="20"/>
      <c r="O10" s="20"/>
      <c r="P10" s="20"/>
      <c r="Q10" s="6"/>
      <c r="R10" s="6"/>
      <c r="S10" s="6"/>
    </row>
    <row r="11" spans="1:19" ht="15">
      <c r="A11" s="4" t="s">
        <v>131</v>
      </c>
      <c r="B11" s="4"/>
      <c r="C11" s="4"/>
      <c r="D11" s="4"/>
      <c r="E11" s="4"/>
      <c r="F11" s="4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9" ht="15">
      <c r="A12" s="1"/>
      <c r="B12" s="1"/>
      <c r="C12" s="1"/>
      <c r="D12" s="1"/>
      <c r="E12" s="1"/>
      <c r="F12" s="1"/>
      <c r="G12" s="85" t="s">
        <v>13</v>
      </c>
      <c r="H12" s="3"/>
      <c r="I12" s="3"/>
      <c r="J12" s="3"/>
      <c r="K12" s="3"/>
      <c r="L12" s="3"/>
      <c r="M12" s="85"/>
      <c r="N12" s="3"/>
      <c r="O12" s="85"/>
      <c r="P12" s="85"/>
      <c r="Q12" s="12" t="s">
        <v>30</v>
      </c>
      <c r="R12" s="85"/>
      <c r="S12" s="3"/>
    </row>
    <row r="13" spans="1:19" ht="15" customHeight="1">
      <c r="A13" s="84" t="s">
        <v>0</v>
      </c>
      <c r="B13" s="84"/>
      <c r="C13" s="84" t="s">
        <v>1</v>
      </c>
      <c r="D13" s="84"/>
      <c r="E13" s="84" t="s">
        <v>2</v>
      </c>
      <c r="F13" s="1"/>
      <c r="G13" s="12" t="s">
        <v>14</v>
      </c>
      <c r="H13" s="12"/>
      <c r="I13" s="14" t="s">
        <v>25</v>
      </c>
      <c r="J13" s="14"/>
      <c r="K13" s="14" t="s">
        <v>27</v>
      </c>
      <c r="L13" s="14"/>
      <c r="M13" s="13" t="s">
        <v>5</v>
      </c>
      <c r="N13" s="14"/>
      <c r="O13" s="12" t="s">
        <v>29</v>
      </c>
      <c r="P13" s="12"/>
      <c r="Q13" s="12" t="s">
        <v>9</v>
      </c>
      <c r="R13" s="13" t="s">
        <v>5</v>
      </c>
      <c r="S13" s="14"/>
    </row>
    <row r="14" spans="1:19" ht="15">
      <c r="A14" s="1"/>
      <c r="B14" s="1"/>
      <c r="C14" s="1"/>
      <c r="D14" s="1"/>
      <c r="E14" s="1"/>
      <c r="F14" s="1"/>
      <c r="G14" s="16" t="s">
        <v>15</v>
      </c>
      <c r="H14" s="15"/>
      <c r="I14" s="16" t="s">
        <v>18</v>
      </c>
      <c r="J14" s="15"/>
      <c r="K14" s="16" t="s">
        <v>19</v>
      </c>
      <c r="L14" s="15"/>
      <c r="M14" s="15"/>
      <c r="N14" s="15"/>
      <c r="O14" s="16" t="s">
        <v>91</v>
      </c>
      <c r="P14" s="15"/>
      <c r="Q14" s="16" t="s">
        <v>92</v>
      </c>
      <c r="R14" s="15"/>
      <c r="S14" s="15"/>
    </row>
    <row r="15" spans="1:19" ht="15">
      <c r="A15" s="17"/>
      <c r="B15" s="1"/>
      <c r="C15" s="17"/>
      <c r="D15" s="1"/>
      <c r="E15" s="17"/>
      <c r="F15" s="1"/>
      <c r="G15" s="12"/>
      <c r="H15" s="3"/>
      <c r="I15" s="3"/>
      <c r="J15" s="3"/>
      <c r="K15" s="3"/>
      <c r="L15" s="3"/>
      <c r="M15" s="14"/>
      <c r="N15" s="3"/>
      <c r="O15" s="14"/>
      <c r="P15" s="14"/>
      <c r="Q15" s="14"/>
      <c r="R15" s="14"/>
      <c r="S15" s="3"/>
    </row>
    <row r="16" spans="1:19" ht="15">
      <c r="A16" s="39">
        <v>1</v>
      </c>
      <c r="B16" s="1"/>
      <c r="C16" s="62">
        <f>+'Weather Adjustment'!C16</f>
        <v>2021</v>
      </c>
      <c r="D16" s="1"/>
      <c r="E16" s="19">
        <f>+'Weather Adjustment'!E16</f>
        <v>1</v>
      </c>
      <c r="F16" s="1"/>
      <c r="G16" s="43">
        <f>+'[2]SUB Model'!$C$17</f>
        <v>8.8260000000000005</v>
      </c>
      <c r="H16" s="20"/>
      <c r="I16" s="43">
        <f>+[3]SUBSTATION!D13</f>
        <v>94.536927442285716</v>
      </c>
      <c r="J16" s="20"/>
      <c r="K16" s="43">
        <f>+[3]SUBSTATION!F13</f>
        <v>145.63196134077899</v>
      </c>
      <c r="L16" s="20"/>
      <c r="M16" s="20">
        <f t="shared" si="0" ref="M16:M27">SUM(I16,K16)</f>
        <v>240.16888878306469</v>
      </c>
      <c r="N16" s="20"/>
      <c r="O16" s="43">
        <f t="shared" si="1" ref="O16:O27">+K16-I16</f>
        <v>51.09503389849327</v>
      </c>
      <c r="P16" s="20"/>
      <c r="Q16" s="20">
        <f t="shared" si="2" ref="Q16:Q27">+G16*O16</f>
        <v>450.96476918810163</v>
      </c>
      <c r="R16" s="20">
        <f t="shared" si="3" ref="R16:R27">SUM(N16,P16)</f>
        <v>0</v>
      </c>
      <c r="S16" s="20"/>
    </row>
    <row r="17" spans="1:19" ht="15">
      <c r="A17" s="39">
        <f>+A16+1</f>
        <v>2</v>
      </c>
      <c r="B17" s="1"/>
      <c r="C17" s="62">
        <f>+'Weather Adjustment'!C17</f>
        <v>2021</v>
      </c>
      <c r="D17" s="1"/>
      <c r="E17" s="19">
        <f>+'Weather Adjustment'!E17</f>
        <v>2</v>
      </c>
      <c r="F17" s="1"/>
      <c r="G17" s="43">
        <f>+G16</f>
        <v>8.8260000000000005</v>
      </c>
      <c r="H17" s="20"/>
      <c r="I17" s="43">
        <f>+[3]SUBSTATION!D14</f>
        <v>99.827905186285733</v>
      </c>
      <c r="J17" s="20"/>
      <c r="K17" s="43">
        <f>+[3]SUBSTATION!F14</f>
        <v>137.45866506563866</v>
      </c>
      <c r="L17" s="20"/>
      <c r="M17" s="20">
        <f t="shared" si="0"/>
        <v>237.28657025192439</v>
      </c>
      <c r="N17" s="20"/>
      <c r="O17" s="43">
        <f t="shared" si="1"/>
        <v>37.630759879352922</v>
      </c>
      <c r="P17" s="20"/>
      <c r="Q17" s="20">
        <f t="shared" si="2"/>
        <v>332.12908669516889</v>
      </c>
      <c r="R17" s="20">
        <f t="shared" si="3"/>
        <v>0</v>
      </c>
      <c r="S17" s="20"/>
    </row>
    <row r="18" spans="1:19" ht="15">
      <c r="A18" s="39">
        <f t="shared" si="4" ref="A18:A64">+A17+1</f>
        <v>3</v>
      </c>
      <c r="B18" s="1"/>
      <c r="C18" s="62">
        <f>+'Weather Adjustment'!C18</f>
        <v>2021</v>
      </c>
      <c r="D18" s="1"/>
      <c r="E18" s="19">
        <f>+'Weather Adjustment'!E18</f>
        <v>3</v>
      </c>
      <c r="F18" s="1"/>
      <c r="G18" s="43">
        <f t="shared" si="5" ref="G18:G27">+G17</f>
        <v>8.8260000000000005</v>
      </c>
      <c r="H18" s="20"/>
      <c r="I18" s="43">
        <f>+[3]SUBSTATION!D15</f>
        <v>252.4883935674286</v>
      </c>
      <c r="J18" s="20"/>
      <c r="K18" s="43">
        <f>+[3]SUBSTATION!F15</f>
        <v>325.10782161953244</v>
      </c>
      <c r="L18" s="20"/>
      <c r="M18" s="20">
        <f t="shared" si="0"/>
        <v>577.59621518696099</v>
      </c>
      <c r="N18" s="20"/>
      <c r="O18" s="43">
        <f t="shared" si="1"/>
        <v>72.619428052103842</v>
      </c>
      <c r="P18" s="20"/>
      <c r="Q18" s="20">
        <f t="shared" si="2"/>
        <v>640.9390719878686</v>
      </c>
      <c r="R18" s="20">
        <f t="shared" si="3"/>
        <v>0</v>
      </c>
      <c r="S18" s="20"/>
    </row>
    <row r="19" spans="1:19" ht="15">
      <c r="A19" s="39">
        <f t="shared" si="4"/>
        <v>4</v>
      </c>
      <c r="B19" s="1"/>
      <c r="C19" s="62">
        <f>+'Weather Adjustment'!C19</f>
        <v>2021</v>
      </c>
      <c r="D19" s="1"/>
      <c r="E19" s="19">
        <f>+'Weather Adjustment'!E19</f>
        <v>4</v>
      </c>
      <c r="F19" s="1"/>
      <c r="G19" s="43">
        <f t="shared" si="5"/>
        <v>8.8260000000000005</v>
      </c>
      <c r="H19" s="20"/>
      <c r="I19" s="43">
        <f>+[3]SUBSTATION!D16</f>
        <v>689.61252210876216</v>
      </c>
      <c r="J19" s="20"/>
      <c r="K19" s="43">
        <f>+[3]SUBSTATION!F16</f>
        <v>765.9873395656806</v>
      </c>
      <c r="L19" s="20"/>
      <c r="M19" s="20">
        <f t="shared" si="0"/>
        <v>1455.5998616744428</v>
      </c>
      <c r="N19" s="20"/>
      <c r="O19" s="43">
        <f>+K19-I19</f>
        <v>76.374817456918436</v>
      </c>
      <c r="P19" s="20"/>
      <c r="Q19" s="20">
        <f t="shared" si="2"/>
        <v>674.08413887476217</v>
      </c>
      <c r="R19" s="20">
        <f t="shared" si="3"/>
        <v>0</v>
      </c>
      <c r="S19" s="20"/>
    </row>
    <row r="20" spans="1:19" ht="15">
      <c r="A20" s="39">
        <f t="shared" si="4"/>
        <v>5</v>
      </c>
      <c r="B20" s="1"/>
      <c r="C20" s="62">
        <f>+'Weather Adjustment'!C20</f>
        <v>2021</v>
      </c>
      <c r="D20" s="1"/>
      <c r="E20" s="19">
        <f>+'Weather Adjustment'!E20</f>
        <v>5</v>
      </c>
      <c r="F20" s="1"/>
      <c r="G20" s="43">
        <f t="shared" si="5"/>
        <v>8.8260000000000005</v>
      </c>
      <c r="H20" s="20"/>
      <c r="I20" s="43">
        <f>+[3]SUBSTATION!D17</f>
        <v>1056.072119503619</v>
      </c>
      <c r="J20" s="20"/>
      <c r="K20" s="43">
        <f>+[3]SUBSTATION!F17</f>
        <v>1450.9738049516993</v>
      </c>
      <c r="L20" s="20"/>
      <c r="M20" s="20">
        <f t="shared" si="0"/>
        <v>2507.0459244553185</v>
      </c>
      <c r="N20" s="20"/>
      <c r="O20" s="43">
        <f t="shared" si="1"/>
        <v>394.90168544808034</v>
      </c>
      <c r="P20" s="20"/>
      <c r="Q20" s="20">
        <f t="shared" si="2"/>
        <v>3485.4022757647572</v>
      </c>
      <c r="R20" s="20">
        <f t="shared" si="3"/>
        <v>0</v>
      </c>
      <c r="S20" s="20"/>
    </row>
    <row r="21" spans="1:19" ht="15">
      <c r="A21" s="39">
        <f t="shared" si="4"/>
        <v>6</v>
      </c>
      <c r="B21" s="1"/>
      <c r="C21" s="62">
        <f>+'Weather Adjustment'!C21</f>
        <v>2021</v>
      </c>
      <c r="D21" s="1"/>
      <c r="E21" s="19">
        <f>+'Weather Adjustment'!E21</f>
        <v>6</v>
      </c>
      <c r="F21" s="1"/>
      <c r="G21" s="43">
        <f t="shared" si="5"/>
        <v>8.8260000000000005</v>
      </c>
      <c r="H21" s="20"/>
      <c r="I21" s="43">
        <f>+[3]SUBSTATION!D18</f>
        <v>1964.4827309542864</v>
      </c>
      <c r="J21" s="20"/>
      <c r="K21" s="43">
        <f>+[3]SUBSTATION!F18</f>
        <v>2443.7061506903669</v>
      </c>
      <c r="L21" s="20"/>
      <c r="M21" s="20">
        <f t="shared" si="0"/>
        <v>4408.1888816446535</v>
      </c>
      <c r="N21" s="20"/>
      <c r="O21" s="43">
        <f t="shared" si="1"/>
        <v>479.22341973608059</v>
      </c>
      <c r="P21" s="20"/>
      <c r="Q21" s="20">
        <f t="shared" si="2"/>
        <v>4229.6259025906475</v>
      </c>
      <c r="R21" s="20">
        <f t="shared" si="3"/>
        <v>0</v>
      </c>
      <c r="S21" s="20"/>
    </row>
    <row r="22" spans="1:19" ht="15">
      <c r="A22" s="39">
        <f t="shared" si="4"/>
        <v>7</v>
      </c>
      <c r="B22" s="1"/>
      <c r="C22" s="62">
        <f>+'Weather Adjustment'!C22</f>
        <v>2021</v>
      </c>
      <c r="D22" s="1"/>
      <c r="E22" s="19">
        <f>+'Weather Adjustment'!E22</f>
        <v>7</v>
      </c>
      <c r="F22" s="1"/>
      <c r="G22" s="43">
        <f t="shared" si="5"/>
        <v>8.8260000000000005</v>
      </c>
      <c r="H22" s="20"/>
      <c r="I22" s="43">
        <f>+[3]SUBSTATION!D19</f>
        <v>3047.9861047832387</v>
      </c>
      <c r="J22" s="20"/>
      <c r="K22" s="43">
        <f>+[3]SUBSTATION!F19</f>
        <v>3324.5035819416066</v>
      </c>
      <c r="L22" s="20"/>
      <c r="M22" s="20">
        <f t="shared" si="0"/>
        <v>6372.4896867248453</v>
      </c>
      <c r="N22" s="20"/>
      <c r="O22" s="43">
        <f t="shared" si="1"/>
        <v>276.51747715836791</v>
      </c>
      <c r="P22" s="20"/>
      <c r="Q22" s="20">
        <f t="shared" si="2"/>
        <v>2440.5432533997555</v>
      </c>
      <c r="R22" s="20">
        <f t="shared" si="3"/>
        <v>0</v>
      </c>
      <c r="S22" s="20"/>
    </row>
    <row r="23" spans="1:19" ht="15">
      <c r="A23" s="39">
        <f t="shared" si="4"/>
        <v>8</v>
      </c>
      <c r="B23" s="1"/>
      <c r="C23" s="62">
        <f>+'Weather Adjustment'!C23</f>
        <v>2021</v>
      </c>
      <c r="D23" s="1"/>
      <c r="E23" s="19">
        <f>+'Weather Adjustment'!E23</f>
        <v>8</v>
      </c>
      <c r="F23" s="1"/>
      <c r="G23" s="43">
        <f t="shared" si="5"/>
        <v>8.8260000000000005</v>
      </c>
      <c r="H23" s="20"/>
      <c r="I23" s="43">
        <f>+[3]SUBSTATION!D20</f>
        <v>3026.7057820098103</v>
      </c>
      <c r="J23" s="20"/>
      <c r="K23" s="43">
        <f>+[3]SUBSTATION!F20</f>
        <v>3385.8608333388793</v>
      </c>
      <c r="L23" s="20"/>
      <c r="M23" s="20">
        <f t="shared" si="0"/>
        <v>6412.5666153486891</v>
      </c>
      <c r="N23" s="20"/>
      <c r="O23" s="43">
        <f t="shared" si="1"/>
        <v>359.15505132906901</v>
      </c>
      <c r="P23" s="20"/>
      <c r="Q23" s="20">
        <f>+G23*O23</f>
        <v>3169.9024830303633</v>
      </c>
      <c r="R23" s="20">
        <f t="shared" si="3"/>
        <v>0</v>
      </c>
      <c r="S23" s="20"/>
    </row>
    <row r="24" spans="1:19" ht="15">
      <c r="A24" s="39">
        <f t="shared" si="4"/>
        <v>9</v>
      </c>
      <c r="B24" s="1"/>
      <c r="C24" s="62">
        <f>+'Weather Adjustment'!C24</f>
        <v>2021</v>
      </c>
      <c r="D24" s="1"/>
      <c r="E24" s="19">
        <f>+'Weather Adjustment'!E24</f>
        <v>9</v>
      </c>
      <c r="F24" s="1"/>
      <c r="G24" s="43">
        <f t="shared" si="5"/>
        <v>8.8260000000000005</v>
      </c>
      <c r="H24" s="20"/>
      <c r="I24" s="43">
        <f>+[3]SUBSTATION!D21</f>
        <v>3069.8193439891907</v>
      </c>
      <c r="J24" s="20"/>
      <c r="K24" s="43">
        <f>+[3]SUBSTATION!F21</f>
        <v>3040.7710036166477</v>
      </c>
      <c r="L24" s="20"/>
      <c r="M24" s="20">
        <f t="shared" si="0"/>
        <v>6110.5903476058384</v>
      </c>
      <c r="N24" s="20"/>
      <c r="O24" s="43">
        <f t="shared" si="1"/>
        <v>-29.048340372542953</v>
      </c>
      <c r="P24" s="20"/>
      <c r="Q24" s="20">
        <f t="shared" si="2"/>
        <v>-256.38065212806413</v>
      </c>
      <c r="R24" s="20">
        <f t="shared" si="3"/>
        <v>0</v>
      </c>
      <c r="S24" s="20"/>
    </row>
    <row r="25" spans="1:19" ht="15">
      <c r="A25" s="39">
        <f t="shared" si="4"/>
        <v>10</v>
      </c>
      <c r="B25" s="1"/>
      <c r="C25" s="62">
        <f>+'Weather Adjustment'!C25</f>
        <v>2021</v>
      </c>
      <c r="D25" s="1"/>
      <c r="E25" s="19">
        <f>+'Weather Adjustment'!E25</f>
        <v>10</v>
      </c>
      <c r="F25" s="1"/>
      <c r="G25" s="43">
        <f t="shared" si="5"/>
        <v>8.8260000000000005</v>
      </c>
      <c r="H25" s="20"/>
      <c r="I25" s="43">
        <f>+[3]SUBSTATION!D22</f>
        <v>2261.9473026408577</v>
      </c>
      <c r="J25" s="20"/>
      <c r="K25" s="43">
        <f>+[3]SUBSTATION!F22</f>
        <v>2078.7577076319308</v>
      </c>
      <c r="L25" s="20"/>
      <c r="M25" s="20">
        <f t="shared" si="0"/>
        <v>4340.7050102727881</v>
      </c>
      <c r="N25" s="20"/>
      <c r="O25" s="43">
        <f>+K25-I25</f>
        <v>-183.18959500892697</v>
      </c>
      <c r="P25" s="20"/>
      <c r="Q25" s="20">
        <f t="shared" si="2"/>
        <v>-1616.8313655487896</v>
      </c>
      <c r="R25" s="20">
        <f t="shared" si="3"/>
        <v>0</v>
      </c>
      <c r="S25" s="20"/>
    </row>
    <row r="26" spans="1:19" ht="15">
      <c r="A26" s="39">
        <f t="shared" si="4"/>
        <v>11</v>
      </c>
      <c r="B26" s="1"/>
      <c r="C26" s="62">
        <f>+'Weather Adjustment'!C26</f>
        <v>2021</v>
      </c>
      <c r="D26" s="1"/>
      <c r="E26" s="19">
        <f>+'Weather Adjustment'!E26</f>
        <v>11</v>
      </c>
      <c r="F26" s="1"/>
      <c r="G26" s="43">
        <f t="shared" si="5"/>
        <v>8.8260000000000005</v>
      </c>
      <c r="H26" s="20"/>
      <c r="I26" s="43">
        <f>+[3]SUBSTATION!D23</f>
        <v>1184.5389559788573</v>
      </c>
      <c r="J26" s="20"/>
      <c r="K26" s="43">
        <f>+[3]SUBSTATION!F23</f>
        <v>1015.6095200095283</v>
      </c>
      <c r="L26" s="20"/>
      <c r="M26" s="20">
        <f t="shared" si="0"/>
        <v>2200.1484759883856</v>
      </c>
      <c r="N26" s="20"/>
      <c r="O26" s="43">
        <f t="shared" si="1"/>
        <v>-168.92943596932901</v>
      </c>
      <c r="P26" s="20"/>
      <c r="Q26" s="20">
        <f t="shared" si="2"/>
        <v>-1490.9712018652979</v>
      </c>
      <c r="R26" s="20">
        <f t="shared" si="3"/>
        <v>0</v>
      </c>
      <c r="S26" s="20"/>
    </row>
    <row r="27" spans="1:19" ht="15">
      <c r="A27" s="39">
        <f t="shared" si="4"/>
        <v>12</v>
      </c>
      <c r="B27" s="1"/>
      <c r="C27" s="62">
        <f>+'Weather Adjustment'!C27</f>
        <v>2021</v>
      </c>
      <c r="D27" s="1"/>
      <c r="E27" s="19">
        <f>+'Weather Adjustment'!E27</f>
        <v>12</v>
      </c>
      <c r="F27" s="1"/>
      <c r="G27" s="43">
        <f t="shared" si="5"/>
        <v>8.8260000000000005</v>
      </c>
      <c r="H27" s="59"/>
      <c r="I27" s="43">
        <f>+[3]SUBSTATION!D24</f>
        <v>492.34084233161906</v>
      </c>
      <c r="J27" s="20"/>
      <c r="K27" s="43">
        <f>+[3]SUBSTATION!F24</f>
        <v>394.99946888792755</v>
      </c>
      <c r="L27" s="59"/>
      <c r="M27" s="59">
        <f t="shared" si="0"/>
        <v>887.34031121954661</v>
      </c>
      <c r="N27" s="59"/>
      <c r="O27" s="68">
        <f t="shared" si="1"/>
        <v>-97.341373443691509</v>
      </c>
      <c r="P27" s="59"/>
      <c r="Q27" s="59">
        <f t="shared" si="2"/>
        <v>-859.13496201402131</v>
      </c>
      <c r="R27" s="20">
        <f t="shared" si="3"/>
        <v>0</v>
      </c>
      <c r="S27" s="20"/>
    </row>
    <row r="28" spans="1:20" ht="15">
      <c r="A28" s="39">
        <f t="shared" si="4"/>
        <v>13</v>
      </c>
      <c r="B28" s="1"/>
      <c r="C28" s="1" t="s">
        <v>8</v>
      </c>
      <c r="D28" s="1"/>
      <c r="E28" s="1"/>
      <c r="F28" s="1"/>
      <c r="G28" s="76"/>
      <c r="H28" s="76"/>
      <c r="I28" s="76">
        <f>SUM(I16:I27)</f>
        <v>17240.358930496241</v>
      </c>
      <c r="J28" s="76"/>
      <c r="K28" s="76">
        <f>SUM(K16:K27)</f>
        <v>18509.367858660218</v>
      </c>
      <c r="L28" s="76"/>
      <c r="M28" s="76">
        <f>SUM(M22:M27)</f>
        <v>26323.840447160095</v>
      </c>
      <c r="N28" s="76"/>
      <c r="O28" s="77">
        <f>+K28-I28</f>
        <v>1269.0089281639775</v>
      </c>
      <c r="P28" s="76"/>
      <c r="Q28" s="76">
        <f>SUM(Q16:Q27)</f>
        <v>11200.272799975255</v>
      </c>
      <c r="R28" s="22">
        <f>SUM(R22:R27)</f>
        <v>0</v>
      </c>
      <c r="S28" s="22"/>
      <c r="T28" s="64"/>
    </row>
    <row r="29" spans="1:19" ht="15">
      <c r="A29" s="39">
        <f t="shared" si="4"/>
        <v>14</v>
      </c>
      <c r="B29" s="1"/>
      <c r="C29" s="1"/>
      <c r="D29" s="1"/>
      <c r="E29" s="1"/>
      <c r="F29" s="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5">
      <c r="A30" s="39">
        <f t="shared" si="4"/>
        <v>15</v>
      </c>
      <c r="B30" s="1"/>
      <c r="C30" s="1"/>
      <c r="D30" s="1"/>
      <c r="E30" s="1"/>
      <c r="F30" s="1"/>
      <c r="G30" s="85" t="s">
        <v>32</v>
      </c>
      <c r="H30" s="3"/>
      <c r="I30" s="3"/>
      <c r="J30" s="3"/>
      <c r="K30" s="3"/>
      <c r="L30" s="3"/>
      <c r="M30" s="85"/>
      <c r="N30" s="3"/>
      <c r="O30" s="85"/>
      <c r="P30" s="85"/>
      <c r="Q30" s="12" t="s">
        <v>34</v>
      </c>
      <c r="R30" s="85"/>
      <c r="S30" s="3"/>
    </row>
    <row r="31" spans="1:19" ht="30">
      <c r="A31" s="39">
        <f t="shared" si="4"/>
        <v>16</v>
      </c>
      <c r="B31" s="84"/>
      <c r="C31" s="84" t="s">
        <v>1</v>
      </c>
      <c r="D31" s="84"/>
      <c r="E31" s="84" t="s">
        <v>2</v>
      </c>
      <c r="F31" s="1"/>
      <c r="G31" s="12" t="s">
        <v>14</v>
      </c>
      <c r="H31" s="12"/>
      <c r="I31" s="14" t="s">
        <v>36</v>
      </c>
      <c r="J31" s="14"/>
      <c r="K31" s="14" t="s">
        <v>37</v>
      </c>
      <c r="L31" s="14"/>
      <c r="M31" s="13" t="s">
        <v>5</v>
      </c>
      <c r="N31" s="14"/>
      <c r="O31" s="12" t="s">
        <v>38</v>
      </c>
      <c r="P31" s="12"/>
      <c r="Q31" s="12" t="s">
        <v>9</v>
      </c>
      <c r="R31" s="13" t="s">
        <v>5</v>
      </c>
      <c r="S31" s="14"/>
    </row>
    <row r="32" spans="1:19" ht="15">
      <c r="A32" s="39">
        <f t="shared" si="4"/>
        <v>17</v>
      </c>
      <c r="B32" s="1"/>
      <c r="C32" s="1"/>
      <c r="D32" s="1"/>
      <c r="E32" s="1"/>
      <c r="F32" s="1"/>
      <c r="G32" s="16" t="s">
        <v>26</v>
      </c>
      <c r="H32" s="15"/>
      <c r="I32" s="16" t="s">
        <v>28</v>
      </c>
      <c r="J32" s="15"/>
      <c r="K32" s="16" t="s">
        <v>61</v>
      </c>
      <c r="L32" s="15"/>
      <c r="M32" s="15"/>
      <c r="N32" s="15"/>
      <c r="O32" s="16" t="s">
        <v>73</v>
      </c>
      <c r="P32" s="15"/>
      <c r="Q32" s="16" t="s">
        <v>74</v>
      </c>
      <c r="R32" s="15"/>
      <c r="S32" s="15"/>
    </row>
    <row r="33" spans="1:19" ht="15">
      <c r="A33" s="39">
        <f t="shared" si="4"/>
        <v>18</v>
      </c>
      <c r="B33" s="1"/>
      <c r="C33" s="1"/>
      <c r="D33" s="1"/>
      <c r="E33" s="1"/>
      <c r="F33" s="1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5">
      <c r="A34" s="39">
        <f t="shared" si="4"/>
        <v>19</v>
      </c>
      <c r="B34" s="1"/>
      <c r="C34" s="18">
        <f t="shared" si="6" ref="C34:C45">+C16</f>
        <v>2021</v>
      </c>
      <c r="D34" s="1"/>
      <c r="E34" s="19">
        <f>+E16</f>
        <v>1</v>
      </c>
      <c r="G34" s="44">
        <v>0</v>
      </c>
      <c r="H34" s="27"/>
      <c r="I34" s="43">
        <v>0</v>
      </c>
      <c r="J34" s="20">
        <f t="shared" si="7" ref="J34:J45">J16</f>
        <v>0</v>
      </c>
      <c r="K34" s="43">
        <v>0</v>
      </c>
      <c r="L34" s="28"/>
      <c r="M34" s="28"/>
      <c r="N34" s="28"/>
      <c r="O34" s="43">
        <f t="shared" si="8" ref="O34:O45">+K34-I34</f>
        <v>0</v>
      </c>
      <c r="P34" s="28"/>
      <c r="Q34" s="20">
        <f t="shared" si="9" ref="Q34:Q45">+G34*O34</f>
        <v>0</v>
      </c>
      <c r="R34" s="28"/>
      <c r="S34" s="28"/>
    </row>
    <row r="35" spans="1:19" ht="15">
      <c r="A35" s="39">
        <f t="shared" si="4"/>
        <v>20</v>
      </c>
      <c r="B35" s="1"/>
      <c r="C35" s="18">
        <f t="shared" si="6"/>
        <v>2021</v>
      </c>
      <c r="D35" s="1"/>
      <c r="E35" s="19">
        <f t="shared" si="10" ref="E35:E45">+E17</f>
        <v>2</v>
      </c>
      <c r="G35" s="43">
        <v>0</v>
      </c>
      <c r="H35" s="27"/>
      <c r="I35" s="43">
        <v>0</v>
      </c>
      <c r="J35" s="20">
        <f t="shared" si="7"/>
        <v>0</v>
      </c>
      <c r="K35" s="43">
        <v>0</v>
      </c>
      <c r="L35" s="28"/>
      <c r="M35" s="28"/>
      <c r="N35" s="28"/>
      <c r="O35" s="43">
        <f t="shared" si="8"/>
        <v>0</v>
      </c>
      <c r="P35" s="28"/>
      <c r="Q35" s="20">
        <f t="shared" si="9"/>
        <v>0</v>
      </c>
      <c r="R35" s="28"/>
      <c r="S35" s="28"/>
    </row>
    <row r="36" spans="1:19" ht="15">
      <c r="A36" s="39">
        <f t="shared" si="4"/>
        <v>21</v>
      </c>
      <c r="B36" s="1"/>
      <c r="C36" s="18">
        <f t="shared" si="6"/>
        <v>2021</v>
      </c>
      <c r="D36" s="1"/>
      <c r="E36" s="19">
        <f t="shared" si="10"/>
        <v>3</v>
      </c>
      <c r="G36" s="43">
        <v>0</v>
      </c>
      <c r="H36" s="27"/>
      <c r="I36" s="43">
        <v>0</v>
      </c>
      <c r="J36" s="20">
        <f t="shared" si="7"/>
        <v>0</v>
      </c>
      <c r="K36" s="43">
        <v>0</v>
      </c>
      <c r="L36" s="28"/>
      <c r="M36" s="28"/>
      <c r="N36" s="28"/>
      <c r="O36" s="43">
        <f t="shared" si="8"/>
        <v>0</v>
      </c>
      <c r="P36" s="28"/>
      <c r="Q36" s="20">
        <f t="shared" si="9"/>
        <v>0</v>
      </c>
      <c r="R36" s="28"/>
      <c r="S36" s="28"/>
    </row>
    <row r="37" spans="1:19" ht="15">
      <c r="A37" s="39">
        <f t="shared" si="4"/>
        <v>22</v>
      </c>
      <c r="B37" s="1"/>
      <c r="C37" s="18">
        <f t="shared" si="6"/>
        <v>2021</v>
      </c>
      <c r="D37" s="1"/>
      <c r="E37" s="19">
        <f t="shared" si="10"/>
        <v>4</v>
      </c>
      <c r="G37" s="43">
        <v>0</v>
      </c>
      <c r="H37" s="27"/>
      <c r="I37" s="43">
        <v>0</v>
      </c>
      <c r="J37" s="20">
        <f t="shared" si="7"/>
        <v>0</v>
      </c>
      <c r="K37" s="43">
        <v>0</v>
      </c>
      <c r="L37" s="28"/>
      <c r="M37" s="28"/>
      <c r="N37" s="28"/>
      <c r="O37" s="43">
        <f>+K37-I37</f>
        <v>0</v>
      </c>
      <c r="P37" s="28"/>
      <c r="Q37" s="20">
        <f t="shared" si="9"/>
        <v>0</v>
      </c>
      <c r="R37" s="28"/>
      <c r="S37" s="28"/>
    </row>
    <row r="38" spans="1:19" ht="15">
      <c r="A38" s="39">
        <f t="shared" si="4"/>
        <v>23</v>
      </c>
      <c r="B38" s="1"/>
      <c r="C38" s="18">
        <f t="shared" si="6"/>
        <v>2021</v>
      </c>
      <c r="D38" s="1"/>
      <c r="E38" s="19">
        <f t="shared" si="10"/>
        <v>5</v>
      </c>
      <c r="G38" s="43">
        <v>0</v>
      </c>
      <c r="H38" s="27"/>
      <c r="I38" s="43">
        <v>0</v>
      </c>
      <c r="J38" s="20">
        <f t="shared" si="7"/>
        <v>0</v>
      </c>
      <c r="K38" s="43">
        <v>0</v>
      </c>
      <c r="L38" s="28"/>
      <c r="M38" s="28"/>
      <c r="N38" s="28"/>
      <c r="O38" s="43">
        <f t="shared" si="8"/>
        <v>0</v>
      </c>
      <c r="P38" s="28"/>
      <c r="Q38" s="20">
        <f t="shared" si="9"/>
        <v>0</v>
      </c>
      <c r="R38" s="28"/>
      <c r="S38" s="28"/>
    </row>
    <row r="39" spans="1:19" ht="15">
      <c r="A39" s="39">
        <f t="shared" si="4"/>
        <v>24</v>
      </c>
      <c r="B39" s="1"/>
      <c r="C39" s="18">
        <f t="shared" si="6"/>
        <v>2021</v>
      </c>
      <c r="D39" s="1"/>
      <c r="E39" s="19">
        <f t="shared" si="10"/>
        <v>6</v>
      </c>
      <c r="G39" s="43">
        <v>0</v>
      </c>
      <c r="H39" s="30"/>
      <c r="I39" s="43">
        <v>0</v>
      </c>
      <c r="J39" s="20">
        <f t="shared" si="7"/>
        <v>0</v>
      </c>
      <c r="K39" s="43">
        <v>0</v>
      </c>
      <c r="L39" s="28"/>
      <c r="M39" s="28"/>
      <c r="N39" s="28"/>
      <c r="O39" s="43">
        <f t="shared" si="8"/>
        <v>0</v>
      </c>
      <c r="P39" s="28"/>
      <c r="Q39" s="20">
        <f t="shared" si="9"/>
        <v>0</v>
      </c>
      <c r="R39" s="28"/>
      <c r="S39" s="28"/>
    </row>
    <row r="40" spans="1:19" ht="15">
      <c r="A40" s="39">
        <f t="shared" si="4"/>
        <v>25</v>
      </c>
      <c r="B40" s="1"/>
      <c r="C40" s="18">
        <f t="shared" si="6"/>
        <v>2021</v>
      </c>
      <c r="D40" s="1"/>
      <c r="E40" s="19">
        <f t="shared" si="10"/>
        <v>7</v>
      </c>
      <c r="F40" s="23"/>
      <c r="G40" s="43">
        <v>0</v>
      </c>
      <c r="H40" s="28"/>
      <c r="I40" s="43">
        <v>0</v>
      </c>
      <c r="J40" s="20">
        <f t="shared" si="7"/>
        <v>0</v>
      </c>
      <c r="K40" s="43">
        <v>0</v>
      </c>
      <c r="L40" s="3"/>
      <c r="M40" s="3"/>
      <c r="N40" s="3"/>
      <c r="O40" s="43">
        <f t="shared" si="8"/>
        <v>0</v>
      </c>
      <c r="P40" s="3"/>
      <c r="Q40" s="20">
        <f t="shared" si="9"/>
        <v>0</v>
      </c>
      <c r="R40" s="3"/>
      <c r="S40" s="3"/>
    </row>
    <row r="41" spans="1:19" ht="15">
      <c r="A41" s="39">
        <f t="shared" si="4"/>
        <v>26</v>
      </c>
      <c r="B41" s="1"/>
      <c r="C41" s="18">
        <f t="shared" si="6"/>
        <v>2021</v>
      </c>
      <c r="D41" s="1"/>
      <c r="E41" s="19">
        <f t="shared" si="10"/>
        <v>8</v>
      </c>
      <c r="G41" s="43">
        <v>0</v>
      </c>
      <c r="H41" s="27"/>
      <c r="I41" s="43">
        <v>0</v>
      </c>
      <c r="J41" s="20">
        <f t="shared" si="7"/>
        <v>0</v>
      </c>
      <c r="K41" s="43">
        <v>0</v>
      </c>
      <c r="L41" s="3"/>
      <c r="M41" s="3"/>
      <c r="N41" s="3"/>
      <c r="O41" s="43">
        <f t="shared" si="8"/>
        <v>0</v>
      </c>
      <c r="P41" s="3"/>
      <c r="Q41" s="20">
        <f>+G41*O41</f>
        <v>0</v>
      </c>
      <c r="R41" s="3"/>
      <c r="S41" s="3"/>
    </row>
    <row r="42" spans="1:19" ht="15">
      <c r="A42" s="39">
        <f t="shared" si="4"/>
        <v>27</v>
      </c>
      <c r="B42" s="1"/>
      <c r="C42" s="18">
        <f t="shared" si="6"/>
        <v>2021</v>
      </c>
      <c r="D42" s="1"/>
      <c r="E42" s="19">
        <f t="shared" si="10"/>
        <v>9</v>
      </c>
      <c r="G42" s="43">
        <v>0</v>
      </c>
      <c r="H42" s="27"/>
      <c r="I42" s="43">
        <v>0</v>
      </c>
      <c r="J42" s="20">
        <f t="shared" si="7"/>
        <v>0</v>
      </c>
      <c r="K42" s="43">
        <v>0</v>
      </c>
      <c r="L42" s="3"/>
      <c r="M42" s="3"/>
      <c r="N42" s="3"/>
      <c r="O42" s="43">
        <f t="shared" si="8"/>
        <v>0</v>
      </c>
      <c r="P42" s="3"/>
      <c r="Q42" s="20">
        <f t="shared" si="9"/>
        <v>0</v>
      </c>
      <c r="R42" s="3"/>
      <c r="S42" s="3"/>
    </row>
    <row r="43" spans="1:19" ht="15">
      <c r="A43" s="39">
        <f t="shared" si="4"/>
        <v>28</v>
      </c>
      <c r="B43" s="1"/>
      <c r="C43" s="18">
        <f t="shared" si="6"/>
        <v>2021</v>
      </c>
      <c r="D43" s="1"/>
      <c r="E43" s="19">
        <f t="shared" si="10"/>
        <v>10</v>
      </c>
      <c r="G43" s="43">
        <v>0</v>
      </c>
      <c r="H43" s="27"/>
      <c r="I43" s="43">
        <v>0</v>
      </c>
      <c r="J43" s="20">
        <f t="shared" si="7"/>
        <v>0</v>
      </c>
      <c r="K43" s="43">
        <v>0</v>
      </c>
      <c r="L43" s="3"/>
      <c r="M43" s="3"/>
      <c r="N43" s="3"/>
      <c r="O43" s="43">
        <f t="shared" si="8"/>
        <v>0</v>
      </c>
      <c r="P43" s="3"/>
      <c r="Q43" s="20">
        <f t="shared" si="9"/>
        <v>0</v>
      </c>
      <c r="R43" s="3"/>
      <c r="S43" s="3"/>
    </row>
    <row r="44" spans="1:19" ht="15">
      <c r="A44" s="39">
        <f t="shared" si="4"/>
        <v>29</v>
      </c>
      <c r="B44" s="1"/>
      <c r="C44" s="18">
        <f t="shared" si="6"/>
        <v>2021</v>
      </c>
      <c r="D44" s="1"/>
      <c r="E44" s="19">
        <f t="shared" si="10"/>
        <v>11</v>
      </c>
      <c r="G44" s="43">
        <v>0</v>
      </c>
      <c r="H44" s="27"/>
      <c r="I44" s="43">
        <v>0</v>
      </c>
      <c r="J44" s="20">
        <f t="shared" si="7"/>
        <v>0</v>
      </c>
      <c r="K44" s="43">
        <v>0</v>
      </c>
      <c r="L44" s="28"/>
      <c r="M44" s="28"/>
      <c r="N44" s="28"/>
      <c r="O44" s="43">
        <f t="shared" si="8"/>
        <v>0</v>
      </c>
      <c r="P44" s="28"/>
      <c r="Q44" s="20">
        <f t="shared" si="9"/>
        <v>0</v>
      </c>
      <c r="R44" s="28"/>
      <c r="S44" s="28"/>
    </row>
    <row r="45" spans="1:19" ht="15">
      <c r="A45" s="39">
        <f t="shared" si="4"/>
        <v>30</v>
      </c>
      <c r="B45" s="1"/>
      <c r="C45" s="18">
        <f t="shared" si="6"/>
        <v>2021</v>
      </c>
      <c r="D45" s="1"/>
      <c r="E45" s="19">
        <f t="shared" si="10"/>
        <v>12</v>
      </c>
      <c r="G45" s="43">
        <v>0</v>
      </c>
      <c r="H45" s="27"/>
      <c r="I45" s="43">
        <v>0</v>
      </c>
      <c r="J45" s="20">
        <f t="shared" si="7"/>
        <v>0</v>
      </c>
      <c r="K45" s="43">
        <v>0</v>
      </c>
      <c r="L45" s="51"/>
      <c r="M45" s="51"/>
      <c r="N45" s="51"/>
      <c r="O45" s="68">
        <f t="shared" si="8"/>
        <v>0</v>
      </c>
      <c r="P45" s="51"/>
      <c r="Q45" s="59">
        <f t="shared" si="9"/>
        <v>0</v>
      </c>
      <c r="R45" s="28"/>
      <c r="S45" s="28"/>
    </row>
    <row r="46" spans="1:19" ht="15">
      <c r="A46" s="39">
        <f t="shared" si="4"/>
        <v>31</v>
      </c>
      <c r="B46" s="1"/>
      <c r="C46" s="1" t="s">
        <v>8</v>
      </c>
      <c r="D46" s="1"/>
      <c r="E46" s="19"/>
      <c r="G46" s="72"/>
      <c r="H46" s="72"/>
      <c r="I46" s="76">
        <f>SUM(I34:I45)</f>
        <v>0</v>
      </c>
      <c r="J46" s="76"/>
      <c r="K46" s="76">
        <f>SUM(K34:K45)</f>
        <v>0</v>
      </c>
      <c r="L46" s="76"/>
      <c r="M46" s="76">
        <f>SUM(M40:M45)</f>
        <v>0</v>
      </c>
      <c r="N46" s="76"/>
      <c r="O46" s="77">
        <f>+K46-I46</f>
        <v>0</v>
      </c>
      <c r="P46" s="76"/>
      <c r="Q46" s="76">
        <f>SUM(Q34:Q45)</f>
        <v>0</v>
      </c>
      <c r="R46" s="22">
        <f>SUM(R40:R45)</f>
        <v>0</v>
      </c>
      <c r="S46" s="22"/>
    </row>
    <row r="47" spans="1:19" ht="15">
      <c r="A47" s="39">
        <f t="shared" si="4"/>
        <v>32</v>
      </c>
      <c r="B47" s="4"/>
      <c r="C47" s="24"/>
      <c r="D47" s="4"/>
      <c r="E47" s="25"/>
      <c r="F47" s="8"/>
      <c r="G47" s="32"/>
      <c r="H47" s="33"/>
      <c r="I47" s="32"/>
      <c r="J47" s="35"/>
      <c r="K47" s="32"/>
      <c r="L47" s="35"/>
      <c r="M47" s="35"/>
      <c r="N47" s="35"/>
      <c r="O47" s="32"/>
      <c r="P47" s="35"/>
      <c r="Q47" s="36"/>
      <c r="R47" s="35"/>
      <c r="S47" s="35"/>
    </row>
    <row r="48" spans="1:19" ht="15">
      <c r="A48" s="39">
        <f t="shared" si="4"/>
        <v>33</v>
      </c>
      <c r="B48" s="1"/>
      <c r="C48" s="21"/>
      <c r="D48" s="1"/>
      <c r="E48" s="19"/>
      <c r="G48" s="30"/>
      <c r="H48" s="27"/>
      <c r="I48" s="30"/>
      <c r="J48" s="28"/>
      <c r="K48" s="30"/>
      <c r="L48" s="28"/>
      <c r="M48" s="28"/>
      <c r="N48" s="28"/>
      <c r="O48" s="30"/>
      <c r="P48" s="28"/>
      <c r="Q48" s="31"/>
      <c r="R48" s="28"/>
      <c r="S48" s="28"/>
    </row>
    <row r="49" spans="1:19" ht="15">
      <c r="A49" s="39">
        <f t="shared" si="4"/>
        <v>34</v>
      </c>
      <c r="B49" s="84"/>
      <c r="C49" s="84" t="s">
        <v>1</v>
      </c>
      <c r="D49" s="84"/>
      <c r="E49" s="84" t="s">
        <v>2</v>
      </c>
      <c r="F49" s="1"/>
      <c r="G49" s="12"/>
      <c r="H49" s="12"/>
      <c r="I49" s="14"/>
      <c r="J49" s="14"/>
      <c r="K49" s="14"/>
      <c r="L49" s="14"/>
      <c r="M49" s="13"/>
      <c r="N49" s="14"/>
      <c r="O49" s="12"/>
      <c r="P49" s="12"/>
      <c r="Q49" s="12" t="s">
        <v>8</v>
      </c>
      <c r="R49" s="13"/>
      <c r="S49" s="14"/>
    </row>
    <row r="50" spans="1:19" ht="15">
      <c r="A50" s="39">
        <f t="shared" si="4"/>
        <v>35</v>
      </c>
      <c r="B50" s="1"/>
      <c r="C50" s="26"/>
      <c r="D50" s="1"/>
      <c r="E50" s="26"/>
      <c r="F50" s="1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6" t="s">
        <v>115</v>
      </c>
      <c r="R50" s="15"/>
      <c r="S50" s="15"/>
    </row>
    <row r="51" spans="1:19" ht="15">
      <c r="A51" s="39">
        <f t="shared" si="4"/>
        <v>36</v>
      </c>
      <c r="C51" s="23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</row>
    <row r="52" spans="1:19" ht="15">
      <c r="A52" s="39">
        <f t="shared" si="4"/>
        <v>37</v>
      </c>
      <c r="B52" s="1"/>
      <c r="C52" s="21">
        <f>+C34</f>
        <v>2021</v>
      </c>
      <c r="D52" s="1"/>
      <c r="E52" s="19">
        <f>+E34</f>
        <v>1</v>
      </c>
      <c r="G52" s="27"/>
      <c r="H52" s="27"/>
      <c r="I52" s="27"/>
      <c r="J52" s="28"/>
      <c r="K52" s="27"/>
      <c r="L52" s="28"/>
      <c r="M52" s="28"/>
      <c r="N52" s="28"/>
      <c r="O52" s="27"/>
      <c r="P52" s="28"/>
      <c r="Q52" s="27">
        <f t="shared" si="11" ref="Q52:Q63">+Q16+Q34</f>
        <v>450.96476918810163</v>
      </c>
      <c r="R52" s="28"/>
      <c r="S52" s="28"/>
    </row>
    <row r="53" spans="1:19" ht="15">
      <c r="A53" s="39">
        <f t="shared" si="4"/>
        <v>38</v>
      </c>
      <c r="B53" s="1"/>
      <c r="C53" s="21">
        <f t="shared" si="12" ref="C53:C63">+C35</f>
        <v>2021</v>
      </c>
      <c r="D53" s="1"/>
      <c r="E53" s="19">
        <f t="shared" si="13" ref="E53:E63">+E35</f>
        <v>2</v>
      </c>
      <c r="G53" s="27"/>
      <c r="H53" s="27"/>
      <c r="I53" s="27"/>
      <c r="J53" s="28"/>
      <c r="K53" s="27"/>
      <c r="L53" s="28"/>
      <c r="M53" s="28"/>
      <c r="N53" s="28"/>
      <c r="O53" s="27"/>
      <c r="P53" s="28"/>
      <c r="Q53" s="27">
        <f t="shared" si="11"/>
        <v>332.12908669516889</v>
      </c>
      <c r="R53" s="28"/>
      <c r="S53" s="28"/>
    </row>
    <row r="54" spans="1:19" ht="15">
      <c r="A54" s="39">
        <f t="shared" si="4"/>
        <v>39</v>
      </c>
      <c r="B54" s="1"/>
      <c r="C54" s="21">
        <f t="shared" si="12"/>
        <v>2021</v>
      </c>
      <c r="D54" s="1"/>
      <c r="E54" s="19">
        <f t="shared" si="13"/>
        <v>3</v>
      </c>
      <c r="G54" s="27"/>
      <c r="H54" s="27"/>
      <c r="I54" s="27"/>
      <c r="J54" s="28"/>
      <c r="K54" s="27"/>
      <c r="L54" s="28"/>
      <c r="M54" s="28"/>
      <c r="N54" s="28"/>
      <c r="O54" s="27"/>
      <c r="P54" s="28"/>
      <c r="Q54" s="27">
        <f t="shared" si="11"/>
        <v>640.9390719878686</v>
      </c>
      <c r="R54" s="28"/>
      <c r="S54" s="28"/>
    </row>
    <row r="55" spans="1:19" ht="15">
      <c r="A55" s="39">
        <f t="shared" si="4"/>
        <v>40</v>
      </c>
      <c r="B55" s="1"/>
      <c r="C55" s="21">
        <f t="shared" si="12"/>
        <v>2021</v>
      </c>
      <c r="D55" s="1"/>
      <c r="E55" s="19">
        <f t="shared" si="13"/>
        <v>4</v>
      </c>
      <c r="G55" s="27"/>
      <c r="H55" s="27"/>
      <c r="I55" s="27"/>
      <c r="J55" s="28"/>
      <c r="K55" s="27"/>
      <c r="L55" s="28"/>
      <c r="M55" s="28"/>
      <c r="N55" s="28"/>
      <c r="O55" s="27"/>
      <c r="P55" s="28"/>
      <c r="Q55" s="27">
        <f t="shared" si="11"/>
        <v>674.08413887476217</v>
      </c>
      <c r="R55" s="28"/>
      <c r="S55" s="28"/>
    </row>
    <row r="56" spans="1:19" ht="15">
      <c r="A56" s="39">
        <f t="shared" si="4"/>
        <v>41</v>
      </c>
      <c r="B56" s="1"/>
      <c r="C56" s="21">
        <f t="shared" si="12"/>
        <v>2021</v>
      </c>
      <c r="D56" s="1"/>
      <c r="E56" s="19">
        <f t="shared" si="13"/>
        <v>5</v>
      </c>
      <c r="G56" s="27"/>
      <c r="H56" s="27"/>
      <c r="I56" s="27"/>
      <c r="J56" s="28"/>
      <c r="K56" s="27"/>
      <c r="L56" s="28"/>
      <c r="M56" s="28"/>
      <c r="N56" s="28"/>
      <c r="O56" s="27"/>
      <c r="P56" s="28"/>
      <c r="Q56" s="27">
        <f t="shared" si="11"/>
        <v>3485.4022757647572</v>
      </c>
      <c r="R56" s="28"/>
      <c r="S56" s="28"/>
    </row>
    <row r="57" spans="1:19" ht="15">
      <c r="A57" s="39">
        <f t="shared" si="4"/>
        <v>42</v>
      </c>
      <c r="B57" s="1"/>
      <c r="C57" s="21">
        <f t="shared" si="12"/>
        <v>2021</v>
      </c>
      <c r="D57" s="1"/>
      <c r="E57" s="19">
        <f t="shared" si="13"/>
        <v>6</v>
      </c>
      <c r="G57" s="30"/>
      <c r="H57" s="30"/>
      <c r="I57" s="30"/>
      <c r="J57" s="51"/>
      <c r="K57" s="30"/>
      <c r="L57" s="51"/>
      <c r="M57" s="51"/>
      <c r="N57" s="51"/>
      <c r="O57" s="30"/>
      <c r="P57" s="51"/>
      <c r="Q57" s="30">
        <f t="shared" si="11"/>
        <v>4229.6259025906475</v>
      </c>
      <c r="R57" s="46"/>
      <c r="S57" s="46"/>
    </row>
    <row r="58" spans="1:19" ht="15">
      <c r="A58" s="39">
        <f t="shared" si="4"/>
        <v>43</v>
      </c>
      <c r="B58" s="1"/>
      <c r="C58" s="21">
        <f t="shared" si="12"/>
        <v>2021</v>
      </c>
      <c r="D58" s="1"/>
      <c r="E58" s="19">
        <f t="shared" si="13"/>
        <v>7</v>
      </c>
      <c r="G58" s="27"/>
      <c r="H58" s="28"/>
      <c r="I58" s="27"/>
      <c r="J58" s="28"/>
      <c r="K58" s="27"/>
      <c r="L58" s="28"/>
      <c r="M58" s="28"/>
      <c r="N58" s="28"/>
      <c r="O58" s="27"/>
      <c r="P58" s="28"/>
      <c r="Q58" s="27">
        <f>+Q22+Q40</f>
        <v>2440.5432533997555</v>
      </c>
      <c r="R58" s="28"/>
      <c r="S58" s="28"/>
    </row>
    <row r="59" spans="1:19" ht="15">
      <c r="A59" s="39">
        <f t="shared" si="4"/>
        <v>44</v>
      </c>
      <c r="B59" s="1"/>
      <c r="C59" s="21">
        <f t="shared" si="12"/>
        <v>2021</v>
      </c>
      <c r="D59" s="1"/>
      <c r="E59" s="19">
        <f t="shared" si="13"/>
        <v>8</v>
      </c>
      <c r="G59" s="27"/>
      <c r="H59" s="27"/>
      <c r="I59" s="27"/>
      <c r="J59" s="28"/>
      <c r="K59" s="27"/>
      <c r="L59" s="28"/>
      <c r="M59" s="28"/>
      <c r="N59" s="28"/>
      <c r="O59" s="27"/>
      <c r="P59" s="28"/>
      <c r="Q59" s="27">
        <f t="shared" si="11"/>
        <v>3169.9024830303633</v>
      </c>
      <c r="R59" s="28"/>
      <c r="S59" s="28"/>
    </row>
    <row r="60" spans="1:19" ht="15">
      <c r="A60" s="39">
        <f t="shared" si="4"/>
        <v>45</v>
      </c>
      <c r="B60" s="1"/>
      <c r="C60" s="21">
        <f t="shared" si="12"/>
        <v>2021</v>
      </c>
      <c r="D60" s="1"/>
      <c r="E60" s="19">
        <f t="shared" si="13"/>
        <v>9</v>
      </c>
      <c r="G60" s="27"/>
      <c r="H60" s="27"/>
      <c r="I60" s="27"/>
      <c r="J60" s="28"/>
      <c r="K60" s="27"/>
      <c r="L60" s="28"/>
      <c r="M60" s="28"/>
      <c r="N60" s="28"/>
      <c r="O60" s="27"/>
      <c r="P60" s="28"/>
      <c r="Q60" s="27">
        <f t="shared" si="11"/>
        <v>-256.38065212806413</v>
      </c>
      <c r="R60" s="28"/>
      <c r="S60" s="28"/>
    </row>
    <row r="61" spans="1:19" ht="15">
      <c r="A61" s="39">
        <f t="shared" si="4"/>
        <v>46</v>
      </c>
      <c r="B61" s="1"/>
      <c r="C61" s="21">
        <f t="shared" si="12"/>
        <v>2021</v>
      </c>
      <c r="D61" s="1"/>
      <c r="E61" s="19">
        <f t="shared" si="13"/>
        <v>10</v>
      </c>
      <c r="G61" s="27"/>
      <c r="H61" s="27"/>
      <c r="I61" s="27"/>
      <c r="J61" s="28"/>
      <c r="K61" s="27"/>
      <c r="L61" s="28"/>
      <c r="M61" s="28"/>
      <c r="N61" s="28"/>
      <c r="O61" s="27"/>
      <c r="P61" s="28"/>
      <c r="Q61" s="27">
        <f t="shared" si="11"/>
        <v>-1616.8313655487896</v>
      </c>
      <c r="R61" s="28"/>
      <c r="S61" s="28"/>
    </row>
    <row r="62" spans="1:19" ht="15">
      <c r="A62" s="39">
        <f t="shared" si="4"/>
        <v>47</v>
      </c>
      <c r="B62" s="1"/>
      <c r="C62" s="21">
        <f t="shared" si="12"/>
        <v>2021</v>
      </c>
      <c r="D62" s="1"/>
      <c r="E62" s="19">
        <f t="shared" si="13"/>
        <v>11</v>
      </c>
      <c r="G62" s="27"/>
      <c r="H62" s="27"/>
      <c r="I62" s="27"/>
      <c r="J62" s="28"/>
      <c r="K62" s="27"/>
      <c r="L62" s="28"/>
      <c r="M62" s="28"/>
      <c r="N62" s="28"/>
      <c r="O62" s="27"/>
      <c r="P62" s="28"/>
      <c r="Q62" s="27">
        <f t="shared" si="11"/>
        <v>-1490.9712018652979</v>
      </c>
      <c r="R62" s="28"/>
      <c r="S62" s="28"/>
    </row>
    <row r="63" spans="1:19" ht="15">
      <c r="A63" s="39">
        <f t="shared" si="4"/>
        <v>48</v>
      </c>
      <c r="B63" s="1"/>
      <c r="C63" s="21">
        <f t="shared" si="12"/>
        <v>2021</v>
      </c>
      <c r="D63" s="1"/>
      <c r="E63" s="19">
        <f t="shared" si="13"/>
        <v>12</v>
      </c>
      <c r="G63" s="27"/>
      <c r="H63" s="27"/>
      <c r="I63" s="27"/>
      <c r="J63" s="28"/>
      <c r="K63" s="27"/>
      <c r="L63" s="28"/>
      <c r="M63" s="28"/>
      <c r="N63" s="28"/>
      <c r="O63" s="27"/>
      <c r="P63" s="28"/>
      <c r="Q63" s="30">
        <f t="shared" si="11"/>
        <v>-859.13496201402131</v>
      </c>
      <c r="R63" s="28"/>
      <c r="S63" s="28"/>
    </row>
    <row r="64" spans="1:20" ht="15">
      <c r="A64" s="39">
        <f t="shared" si="4"/>
        <v>49</v>
      </c>
      <c r="C64" s="37" t="s">
        <v>8</v>
      </c>
      <c r="E64" s="19"/>
      <c r="G64" s="72"/>
      <c r="H64" s="78"/>
      <c r="I64" s="78"/>
      <c r="J64" s="74"/>
      <c r="K64" s="78"/>
      <c r="L64" s="74"/>
      <c r="M64" s="74"/>
      <c r="N64" s="74"/>
      <c r="O64" s="78"/>
      <c r="P64" s="74"/>
      <c r="Q64" s="72">
        <f>SUM(Q52:Q63)</f>
        <v>11200.272799975255</v>
      </c>
      <c r="R64" s="28"/>
      <c r="S64" s="28"/>
      <c r="T64" s="64"/>
    </row>
    <row r="71" spans="7:19" ht="15">
      <c r="G71" s="27"/>
      <c r="H71" s="27"/>
      <c r="I71" s="27"/>
      <c r="J71" s="28"/>
      <c r="K71" s="27"/>
      <c r="L71" s="28"/>
      <c r="M71" s="28"/>
      <c r="N71" s="28"/>
      <c r="O71" s="27"/>
      <c r="P71" s="28"/>
      <c r="R71" s="28"/>
      <c r="S71" s="28"/>
    </row>
    <row r="72" spans="3:19" ht="15">
      <c r="C72" s="23"/>
      <c r="G72" s="27"/>
      <c r="H72" s="27"/>
      <c r="I72" s="27"/>
      <c r="J72" s="27"/>
      <c r="K72" s="27"/>
      <c r="L72" s="27"/>
      <c r="M72" s="28"/>
      <c r="N72" s="28"/>
      <c r="O72" s="28"/>
      <c r="P72" s="28"/>
      <c r="Q72" s="28"/>
      <c r="R72" s="28"/>
      <c r="S72" s="28"/>
    </row>
  </sheetData>
  <printOptions horizontalCentered="1"/>
  <pageMargins left="0.25" right="0" top="1.5" bottom="0.25" header="0.5" footer="0.5"/>
  <pageSetup orientation="landscape" scale="4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Weather Adjustment</vt:lpstr>
      <vt:lpstr>Residential</vt:lpstr>
      <vt:lpstr>SecLE10</vt:lpstr>
      <vt:lpstr>SecGT10</vt:lpstr>
      <vt:lpstr>SGT10_IDR_NIDR</vt:lpstr>
      <vt:lpstr>PrmGT10D</vt:lpstr>
      <vt:lpstr>PrmGT10D IDR_NIDR</vt:lpstr>
      <vt:lpstr>Substation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