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120" yWindow="75" windowWidth="19410" windowHeight="11310" activeTab="0"/>
  </bookViews>
  <sheets>
    <sheet name="Energy Loss Factor" sheetId="2" r:id="rId2"/>
    <sheet name="Demand Loss Factor" sheetId="4" r:id="rId3"/>
    <sheet name="2021 Stats" sheetId="8" r:id="rId4"/>
  </sheets>
  <definedNames>
    <definedName name="_xlnm.Print_Area" localSheetId="2">'2021 Stats'!$A$1:$F$50</definedName>
    <definedName name="_xlnm.Print_Area" localSheetId="1">'Demand Loss Factor'!$A$1:$H$55</definedName>
    <definedName name="_xlnm.Print_Area" localSheetId="0">'Energy Loss Factor'!$A$1:$H$55</definedName>
  </definedNames>
  <calcPr calcId="152511"/>
</workbook>
</file>

<file path=xl/calcChain.xml><?xml version="1.0" encoding="utf-8"?>
<calcChain xmlns="http://schemas.openxmlformats.org/spreadsheetml/2006/main">
  <c r="G55" i="2" l="1"/>
</calcChain>
</file>

<file path=xl/sharedStrings.xml><?xml version="1.0" encoding="utf-8"?>
<sst xmlns="http://schemas.openxmlformats.org/spreadsheetml/2006/main" count="137" uniqueCount="101">
  <si>
    <t>Secondary</t>
  </si>
  <si>
    <t xml:space="preserve">    Total</t>
  </si>
  <si>
    <t>Primary</t>
  </si>
  <si>
    <t>Demand</t>
  </si>
  <si>
    <t>Coincident</t>
  </si>
  <si>
    <t>System Line Loss Calculation</t>
  </si>
  <si>
    <t>Energy</t>
  </si>
  <si>
    <t>MW</t>
  </si>
  <si>
    <t>MWh</t>
  </si>
  <si>
    <t>Losses</t>
  </si>
  <si>
    <t>Booked</t>
  </si>
  <si>
    <t>Sales</t>
  </si>
  <si>
    <t>Percent Losses Calculation Procedure</t>
  </si>
  <si>
    <t xml:space="preserve">      Remainder to Distribution Primary System, MWh</t>
  </si>
  <si>
    <t xml:space="preserve">      Primary Sales, MWh</t>
  </si>
  <si>
    <t xml:space="preserve">      Remainder to Distribution Secondary System, MWh</t>
  </si>
  <si>
    <t>Primary:</t>
  </si>
  <si>
    <t>Secondary:</t>
  </si>
  <si>
    <t xml:space="preserve">      Primary Losses, MWh</t>
  </si>
  <si>
    <t>Loss Factors</t>
  </si>
  <si>
    <t xml:space="preserve">      Loss Element by Voltage Level (1 - (Percent Losses/100):</t>
  </si>
  <si>
    <t xml:space="preserve">          Primary</t>
  </si>
  <si>
    <t xml:space="preserve">          Secondary</t>
  </si>
  <si>
    <t xml:space="preserve">      Factor by Voltage Level :</t>
  </si>
  <si>
    <t xml:space="preserve">      Remainder to Distribution Primary System, MW</t>
  </si>
  <si>
    <t xml:space="preserve">      Primary Losses, MW</t>
  </si>
  <si>
    <t xml:space="preserve">      Remainder to Distribution Secondary System, MW</t>
  </si>
  <si>
    <t xml:space="preserve">      Secondary Losses, MWh</t>
  </si>
  <si>
    <t xml:space="preserve">      Secondary Sales, MWh</t>
  </si>
  <si>
    <t>Energy Loss Factor Calculation</t>
  </si>
  <si>
    <t xml:space="preserve">      Secondary Losses, MW</t>
  </si>
  <si>
    <t>Demand Loss Factor Calculation</t>
  </si>
  <si>
    <t>Substation</t>
  </si>
  <si>
    <t>Substation:</t>
  </si>
  <si>
    <t xml:space="preserve">      Substation Losses, MWh</t>
  </si>
  <si>
    <t xml:space="preserve">      Substation Sales, MWh</t>
  </si>
  <si>
    <t xml:space="preserve">      Input to Distribution Primary System, MWh</t>
  </si>
  <si>
    <t xml:space="preserve">      Input to Distribution Secondary System, MWh</t>
  </si>
  <si>
    <t xml:space="preserve">      Input to Distribution Substation Transformation System, MWh</t>
  </si>
  <si>
    <t>Booked Sales and Energy Losses by Voltage Level, MWh</t>
  </si>
  <si>
    <t xml:space="preserve">          Substation</t>
  </si>
  <si>
    <t xml:space="preserve">      Input to Distribution Substation System, MW</t>
  </si>
  <si>
    <t xml:space="preserve">      Substation Losses, MW</t>
  </si>
  <si>
    <t xml:space="preserve">      Input to Distribution Primary System, MW</t>
  </si>
  <si>
    <t xml:space="preserve">      Input to Distribution Secondary System, MW</t>
  </si>
  <si>
    <t>Line</t>
  </si>
  <si>
    <t>No.</t>
  </si>
  <si>
    <t>(a)</t>
  </si>
  <si>
    <t>(b)</t>
  </si>
  <si>
    <t>(d)</t>
  </si>
  <si>
    <t>(c)</t>
  </si>
  <si>
    <t xml:space="preserve">      Percent Losses (Line 15/Line14) </t>
  </si>
  <si>
    <t xml:space="preserve">      Percent Losses (Line 21/Line 20) </t>
  </si>
  <si>
    <t xml:space="preserve">      Percent Losses (Line 27/Line 26) </t>
  </si>
  <si>
    <t xml:space="preserve">          Substation (1.0/Line 33)</t>
  </si>
  <si>
    <t xml:space="preserve">          Primary (Line 38/Line 34)</t>
  </si>
  <si>
    <t xml:space="preserve">          Secondary (Line 39/Line 35)</t>
  </si>
  <si>
    <t xml:space="preserve">      Percent Losses (Line 15/Line 14) </t>
  </si>
  <si>
    <t>Retail Sales from Service Drop</t>
  </si>
  <si>
    <t>Output from Secondary</t>
  </si>
  <si>
    <t>Output from Line Transformers</t>
  </si>
  <si>
    <t>Input to Line Transformers</t>
  </si>
  <si>
    <t>Output from Primary Lines</t>
  </si>
  <si>
    <t>Output from Distribution Substations</t>
  </si>
  <si>
    <t>Total Output from Distribution Substations</t>
  </si>
  <si>
    <t>Input to Distribution Substations</t>
  </si>
  <si>
    <t>Total System Losses</t>
  </si>
  <si>
    <t>NOTE:</t>
  </si>
  <si>
    <t>System Peak Demand, MW (as Calculated Page 3)</t>
  </si>
  <si>
    <t>(Coincident Demands and Demand Losses Page 3):</t>
  </si>
  <si>
    <t xml:space="preserve">      Substation Demand, MW</t>
  </si>
  <si>
    <t xml:space="preserve">      Primary Demand, MW</t>
  </si>
  <si>
    <t xml:space="preserve">      Secondary Demand, MW</t>
  </si>
  <si>
    <t>(Booked Sales and Energy Losses Page 3):</t>
  </si>
  <si>
    <t>System Net Consumed, MWh (as Calculated page 3)</t>
  </si>
  <si>
    <t>Coincident Demand and Demand Losses, MW</t>
  </si>
  <si>
    <t>Distribution Substation Loss Factor  *</t>
  </si>
  <si>
    <t>Primary Line Loss Factor  *</t>
  </si>
  <si>
    <t>Line Transformer Loss Factor  *</t>
  </si>
  <si>
    <t>Secondary Conductor Loss Factor  *</t>
  </si>
  <si>
    <t>Service Drop Factor   *</t>
  </si>
  <si>
    <t xml:space="preserve">      * For Loss Factors, refer to WP/II-H-1.3/2</t>
  </si>
  <si>
    <t>Calculated Losses Using 2015 Oncor Integrated Power System Loss Analysis</t>
  </si>
  <si>
    <t xml:space="preserve">                                   WP/II-H-1.3/1</t>
  </si>
  <si>
    <t xml:space="preserve">                                    Page 3 of 3</t>
  </si>
  <si>
    <t xml:space="preserve">                                                WP/II-H-1.3/1</t>
  </si>
  <si>
    <t xml:space="preserve">                                                Page 1 of 3</t>
  </si>
  <si>
    <t xml:space="preserve">                                                 WP/II-H-1.3/1</t>
  </si>
  <si>
    <t xml:space="preserve">                                                  Page 2 of 3</t>
  </si>
  <si>
    <t>Sales from Primary</t>
  </si>
  <si>
    <t>Sales from Substations</t>
  </si>
  <si>
    <t>Oncor Electric Delivery Company LLC</t>
  </si>
  <si>
    <t>Unadjusted Test Year Load Data</t>
  </si>
  <si>
    <t xml:space="preserve">                                                                                        2021 TEST YEAR DATA</t>
  </si>
  <si>
    <t>For the Test Year Ended December 31, 2021</t>
  </si>
  <si>
    <t xml:space="preserve">                                                                                                   2021 TEST YEAR DATA</t>
  </si>
  <si>
    <t>For the Test Year Ending December 31, 2021</t>
  </si>
  <si>
    <t>2021 Analysis of System Losses</t>
  </si>
  <si>
    <t xml:space="preserve">      2021 Annual Energy from company records and Demand at ERCOT's 2021 annual peak</t>
  </si>
  <si>
    <t xml:space="preserve"> </t>
  </si>
  <si>
    <t>Sponsor: D.E.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</si>
</sst>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"/>
    <numFmt numFmtId="165" formatCode="0.0000%"/>
    <numFmt numFmtId="166" formatCode="0.000000"/>
    <numFmt numFmtId="167" formatCode="0.00000000"/>
    <numFmt numFmtId="168" formatCode="0.0"/>
    <numFmt numFmtId="169" formatCode="#,##0.00000"/>
    <numFmt numFmtId="170" formatCode="0.0000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quotePrefix="1"/>
    <xf numFmtId="3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4" fontId="0" fillId="0" borderId="0" xfId="0" applyNumberFormat="1"/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4" fontId="0" fillId="0" borderId="0" xfId="0" applyNumberFormat="1" applyFill="1"/>
    <xf numFmtId="166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3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Fill="1" quotePrefix="1"/>
    <xf numFmtId="0" fontId="0" fillId="0" borderId="0" xfId="0" applyAlignment="1" quotePrefix="1">
      <alignment horizontal="centerContinuous"/>
    </xf>
    <xf numFmtId="165" fontId="0" fillId="0" borderId="0" xfId="0" applyNumberFormat="1" applyFill="1"/>
    <xf numFmtId="169" fontId="0" fillId="0" borderId="0" xfId="0" applyNumberFormat="1" applyFill="1"/>
    <xf numFmtId="3" fontId="0" fillId="0" borderId="0" xfId="0" applyNumberFormat="1" applyFont="1" applyFill="1"/>
    <xf numFmtId="3" fontId="2" fillId="0" borderId="0" xfId="0" applyNumberFormat="1" applyFont="1" applyFill="1"/>
    <xf numFmtId="165" fontId="2" fillId="0" borderId="0" xfId="0" applyNumberFormat="1" applyFont="1" applyFill="1"/>
    <xf numFmtId="170" fontId="0" fillId="0" borderId="0" xfId="0" applyNumberFormat="1" applyFill="1"/>
    <xf numFmtId="169" fontId="0" fillId="0" borderId="0" xfId="0" applyNumberFormat="1" applyFont="1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/>
    <xf numFmtId="167" fontId="0" fillId="0" borderId="2" xfId="0" applyNumberFormat="1" applyBorder="1"/>
    <xf numFmtId="0" fontId="0" fillId="0" borderId="0" xfId="0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G55"/>
  <sheetViews>
    <sheetView tabSelected="1" zoomScale="80" zoomScaleNormal="80" workbookViewId="0" topLeftCell="A1">
      <selection pane="topLeft" activeCell="C4" sqref="C4"/>
    </sheetView>
  </sheetViews>
  <sheetFormatPr defaultRowHeight="15"/>
  <cols>
    <col min="1" max="1" width="4.28571428571429" style="18" bestFit="1" customWidth="1"/>
    <col min="2" max="2" width="2.42857142857143" style="18" customWidth="1"/>
    <col min="3" max="3" width="55.2857142857143" customWidth="1"/>
    <col min="4" max="4" width="0.857142857142857" customWidth="1"/>
    <col min="5" max="5" width="15.8571428571429" customWidth="1"/>
    <col min="6" max="6" width="2.85714285714286" customWidth="1"/>
    <col min="7" max="7" width="15.7142857142857" customWidth="1"/>
  </cols>
  <sheetData>
    <row r="1" spans="5:5" ht="15">
      <c r="E1" t="s">
        <v>85</v>
      </c>
    </row>
    <row r="2" spans="5:5" ht="15">
      <c r="E2" t="s">
        <v>86</v>
      </c>
    </row>
    <row r="4" spans="3:3" ht="15">
      <c r="C4" s="4" t="s">
        <v>93</v>
      </c>
    </row>
    <row r="5" spans="3:7" ht="15">
      <c r="C5" s="6" t="s">
        <v>91</v>
      </c>
      <c r="D5" s="6"/>
      <c r="E5" s="6"/>
      <c r="F5" s="6"/>
      <c r="G5" s="6"/>
    </row>
    <row r="6" spans="3:7" ht="15">
      <c r="C6" s="6" t="s">
        <v>92</v>
      </c>
      <c r="D6" s="6"/>
      <c r="E6" s="6"/>
      <c r="F6" s="6"/>
      <c r="G6" s="6"/>
    </row>
    <row r="7" spans="3:7" ht="15">
      <c r="C7" s="6" t="s">
        <v>94</v>
      </c>
      <c r="D7" s="6"/>
      <c r="E7" s="6"/>
      <c r="F7" s="6"/>
      <c r="G7" s="6"/>
    </row>
    <row r="8" spans="3:7" ht="15">
      <c r="C8" s="37" t="s">
        <v>100</v>
      </c>
      <c r="D8" s="37"/>
      <c r="E8" s="37"/>
      <c r="F8" s="37"/>
      <c r="G8" s="37"/>
    </row>
    <row r="9" spans="3:7" ht="15">
      <c r="C9" s="6"/>
      <c r="D9" s="6"/>
      <c r="E9" s="6"/>
      <c r="F9" s="6"/>
      <c r="G9" s="6"/>
    </row>
    <row r="10" spans="3:7" ht="15">
      <c r="C10" s="6" t="s">
        <v>5</v>
      </c>
      <c r="D10" s="6"/>
      <c r="E10" s="6"/>
      <c r="F10" s="6"/>
      <c r="G10" s="6"/>
    </row>
    <row r="11" spans="3:7" ht="15">
      <c r="C11" s="6" t="s">
        <v>29</v>
      </c>
      <c r="D11" s="6"/>
      <c r="E11" s="6"/>
      <c r="F11" s="6"/>
      <c r="G11" s="6"/>
    </row>
    <row r="13" spans="1:2" ht="15">
      <c r="A13" s="4" t="s">
        <v>45</v>
      </c>
      <c r="B13" s="4"/>
    </row>
    <row r="14" spans="1:2" ht="15">
      <c r="A14" s="22" t="s">
        <v>46</v>
      </c>
      <c r="B14" s="5"/>
    </row>
    <row r="15" spans="1:7" ht="15">
      <c r="A15" s="19" t="s">
        <v>47</v>
      </c>
      <c r="B15" s="19"/>
      <c r="C15" s="4" t="s">
        <v>48</v>
      </c>
      <c r="D15" s="4"/>
      <c r="E15" s="4" t="s">
        <v>50</v>
      </c>
      <c r="F15" s="4"/>
      <c r="G15" s="4" t="s">
        <v>49</v>
      </c>
    </row>
    <row r="16" spans="1:7" ht="15">
      <c r="A16" s="18">
        <v>1</v>
      </c>
      <c r="C16" t="s">
        <v>74</v>
      </c>
      <c r="E16" s="17"/>
      <c r="F16" s="17"/>
      <c r="G16" s="16">
        <f>'2021 Stats'!C32</f>
        <v>119258130.50311734</v>
      </c>
    </row>
    <row r="17" spans="1:7" ht="15">
      <c r="A17" s="18">
        <v>2</v>
      </c>
      <c r="E17" s="17"/>
      <c r="F17" s="17"/>
      <c r="G17" s="17"/>
    </row>
    <row r="18" spans="1:7" ht="15">
      <c r="A18" s="18">
        <v>3</v>
      </c>
      <c r="C18" t="s">
        <v>39</v>
      </c>
      <c r="E18" s="17"/>
      <c r="F18" s="17"/>
      <c r="G18" s="17"/>
    </row>
    <row r="19" spans="1:7" ht="15">
      <c r="A19" s="18">
        <v>4</v>
      </c>
      <c r="C19" t="s">
        <v>73</v>
      </c>
      <c r="E19" s="17"/>
      <c r="F19" s="17"/>
      <c r="G19" s="17"/>
    </row>
    <row r="20" spans="1:7" ht="15">
      <c r="A20" s="18">
        <v>5</v>
      </c>
      <c r="E20" s="33" t="s">
        <v>6</v>
      </c>
      <c r="F20" s="17"/>
      <c r="G20" s="33" t="s">
        <v>10</v>
      </c>
    </row>
    <row r="21" spans="1:7" ht="15">
      <c r="A21" s="18">
        <v>6</v>
      </c>
      <c r="E21" s="34" t="s">
        <v>9</v>
      </c>
      <c r="F21" s="17"/>
      <c r="G21" s="34" t="s">
        <v>11</v>
      </c>
    </row>
    <row r="22" spans="1:7" ht="15">
      <c r="A22" s="18">
        <v>7</v>
      </c>
      <c r="C22" t="s">
        <v>32</v>
      </c>
      <c r="E22" s="16">
        <f>('2021 Stats'!C32-'2021 Stats'!C30)</f>
        <v>680634.82519130409</v>
      </c>
      <c r="F22" s="17"/>
      <c r="G22" s="16">
        <f>'2021 Stats'!C29</f>
        <v>6412195</v>
      </c>
    </row>
    <row r="23" spans="1:7" ht="15">
      <c r="A23" s="18">
        <v>8</v>
      </c>
      <c r="C23" t="s">
        <v>2</v>
      </c>
      <c r="E23" s="16">
        <f>('2021 Stats'!C28-'2021 Stats'!C26)</f>
        <v>1030222.1776971072</v>
      </c>
      <c r="F23" s="17"/>
      <c r="G23" s="16">
        <f>'2021 Stats'!C25</f>
        <v>17209450</v>
      </c>
    </row>
    <row r="24" spans="1:7" ht="15">
      <c r="A24" s="18">
        <v>9</v>
      </c>
      <c r="C24" t="s">
        <v>0</v>
      </c>
      <c r="E24" s="28">
        <f>'2021 Stats'!C24-'2021 Stats'!C18</f>
        <v>2002628.5002289265</v>
      </c>
      <c r="F24" s="17"/>
      <c r="G24" s="28">
        <f>'2021 Stats'!C18</f>
        <v>91923000</v>
      </c>
    </row>
    <row r="25" spans="1:7" ht="15">
      <c r="A25" s="18">
        <v>10</v>
      </c>
      <c r="C25" s="1" t="s">
        <v>1</v>
      </c>
      <c r="E25" s="16">
        <f>SUM(E22:E24)</f>
        <v>3713485.5031173378</v>
      </c>
      <c r="F25" s="17"/>
      <c r="G25" s="16">
        <f>SUM(G22:G24)</f>
        <v>115544645</v>
      </c>
    </row>
    <row r="26" spans="1:1" ht="15">
      <c r="A26" s="18">
        <v>11</v>
      </c>
    </row>
    <row r="27" spans="1:3" ht="15">
      <c r="A27" s="18">
        <v>12</v>
      </c>
      <c r="C27" t="s">
        <v>12</v>
      </c>
    </row>
    <row r="28" spans="1:3" ht="15">
      <c r="A28" s="18">
        <v>13</v>
      </c>
      <c r="C28" t="s">
        <v>33</v>
      </c>
    </row>
    <row r="29" spans="1:7" ht="15">
      <c r="A29" s="18">
        <v>14</v>
      </c>
      <c r="C29" s="1" t="s">
        <v>38</v>
      </c>
      <c r="G29" s="2">
        <f>G16</f>
        <v>119258130.50311734</v>
      </c>
    </row>
    <row r="30" spans="1:7" ht="15">
      <c r="A30" s="18">
        <v>15</v>
      </c>
      <c r="C30" s="1" t="s">
        <v>34</v>
      </c>
      <c r="G30" s="2">
        <f>E22</f>
        <v>680634.82519130409</v>
      </c>
    </row>
    <row r="31" spans="1:7" ht="15">
      <c r="A31" s="18">
        <v>16</v>
      </c>
      <c r="C31" s="1" t="s">
        <v>35</v>
      </c>
      <c r="G31" s="3">
        <f>G22</f>
        <v>6412195</v>
      </c>
    </row>
    <row r="32" spans="1:7" ht="15">
      <c r="A32" s="18">
        <v>17</v>
      </c>
      <c r="C32" s="1" t="s">
        <v>13</v>
      </c>
      <c r="G32" s="2">
        <f>G29-G30-G31</f>
        <v>112165300.67792603</v>
      </c>
    </row>
    <row r="33" spans="1:7" ht="15">
      <c r="A33" s="18">
        <v>18</v>
      </c>
      <c r="C33" s="23" t="s">
        <v>51</v>
      </c>
      <c r="G33" s="9">
        <f>G30/G29</f>
        <v>0.0057072404398751889</v>
      </c>
    </row>
    <row r="34" spans="1:3" ht="15">
      <c r="A34" s="18">
        <v>19</v>
      </c>
      <c r="C34" t="s">
        <v>16</v>
      </c>
    </row>
    <row r="35" spans="1:7" ht="15">
      <c r="A35" s="18">
        <v>20</v>
      </c>
      <c r="C35" s="1" t="s">
        <v>36</v>
      </c>
      <c r="G35" s="2">
        <f>G32</f>
        <v>112165300.67792603</v>
      </c>
    </row>
    <row r="36" spans="1:7" ht="15">
      <c r="A36" s="18">
        <v>21</v>
      </c>
      <c r="C36" s="1" t="s">
        <v>18</v>
      </c>
      <c r="G36" s="2">
        <f>E23</f>
        <v>1030222.1776971072</v>
      </c>
    </row>
    <row r="37" spans="1:7" ht="15">
      <c r="A37" s="18">
        <v>22</v>
      </c>
      <c r="C37" s="1" t="s">
        <v>14</v>
      </c>
      <c r="G37" s="3">
        <f>G23</f>
        <v>17209450</v>
      </c>
    </row>
    <row r="38" spans="1:7" ht="15">
      <c r="A38" s="18">
        <v>23</v>
      </c>
      <c r="C38" s="1" t="s">
        <v>15</v>
      </c>
      <c r="G38" s="2">
        <f>G35-G36-G37</f>
        <v>93925628.500228927</v>
      </c>
    </row>
    <row r="39" spans="1:7" ht="15">
      <c r="A39" s="18">
        <v>24</v>
      </c>
      <c r="C39" s="23" t="s">
        <v>52</v>
      </c>
      <c r="G39" s="9">
        <f>G36/G35</f>
        <v>0.0091848563813448011</v>
      </c>
    </row>
    <row r="40" spans="1:3" ht="15">
      <c r="A40" s="18">
        <v>25</v>
      </c>
      <c r="C40" t="s">
        <v>17</v>
      </c>
    </row>
    <row r="41" spans="1:7" ht="15">
      <c r="A41" s="18">
        <v>26</v>
      </c>
      <c r="C41" s="1" t="s">
        <v>37</v>
      </c>
      <c r="G41" s="2">
        <f>G38</f>
        <v>93925628.500228927</v>
      </c>
    </row>
    <row r="42" spans="1:7" ht="15">
      <c r="A42" s="18">
        <v>27</v>
      </c>
      <c r="C42" s="1" t="s">
        <v>27</v>
      </c>
      <c r="G42" s="3">
        <f>E24</f>
        <v>2002628.5002289265</v>
      </c>
    </row>
    <row r="43" spans="1:7" ht="15">
      <c r="A43" s="18">
        <v>28</v>
      </c>
      <c r="C43" s="1" t="s">
        <v>28</v>
      </c>
      <c r="G43" s="16">
        <f>G41-G42</f>
        <v>91923000</v>
      </c>
    </row>
    <row r="44" spans="1:7" ht="15">
      <c r="A44" s="18">
        <v>29</v>
      </c>
      <c r="C44" s="23" t="s">
        <v>53</v>
      </c>
      <c r="G44" s="9">
        <f>G42/G41</f>
        <v>0.021321427731772331</v>
      </c>
    </row>
    <row r="45" spans="1:1" ht="15">
      <c r="A45" s="18">
        <v>30</v>
      </c>
    </row>
    <row r="46" spans="1:3" ht="15">
      <c r="A46" s="18">
        <v>31</v>
      </c>
      <c r="C46" t="s">
        <v>19</v>
      </c>
    </row>
    <row r="47" spans="1:3" ht="15">
      <c r="A47" s="18">
        <v>32</v>
      </c>
      <c r="C47" s="1" t="s">
        <v>20</v>
      </c>
    </row>
    <row r="48" spans="1:7" ht="15">
      <c r="A48" s="18">
        <v>33</v>
      </c>
      <c r="C48" s="1" t="s">
        <v>40</v>
      </c>
      <c r="G48" s="13">
        <f>1-G33</f>
        <v>0.99429275956012486</v>
      </c>
    </row>
    <row r="49" spans="1:7" ht="15">
      <c r="A49" s="18">
        <v>34</v>
      </c>
      <c r="C49" s="1" t="s">
        <v>21</v>
      </c>
      <c r="G49" s="13">
        <f>1-G39</f>
        <v>0.99081514361865519</v>
      </c>
    </row>
    <row r="50" spans="1:7" ht="15">
      <c r="A50" s="18">
        <v>35</v>
      </c>
      <c r="C50" s="1" t="s">
        <v>22</v>
      </c>
      <c r="G50" s="13">
        <f>1-G44</f>
        <v>0.97867857226822763</v>
      </c>
    </row>
    <row r="51" spans="1:1" ht="15">
      <c r="A51" s="18">
        <v>36</v>
      </c>
    </row>
    <row r="52" spans="1:3" ht="15.75" thickBot="1">
      <c r="A52" s="18">
        <v>37</v>
      </c>
      <c r="C52" s="1" t="s">
        <v>23</v>
      </c>
    </row>
    <row r="53" spans="1:7" ht="15.75" thickBot="1">
      <c r="A53" s="18">
        <v>38</v>
      </c>
      <c r="C53" s="23" t="s">
        <v>54</v>
      </c>
      <c r="G53" s="36">
        <f>1/G48</f>
        <v>1.0057400000000001</v>
      </c>
    </row>
    <row r="54" spans="1:7" ht="15.75" thickBot="1">
      <c r="A54" s="18">
        <v>39</v>
      </c>
      <c r="C54" s="23" t="s">
        <v>55</v>
      </c>
      <c r="G54" s="36">
        <f>G53/G49</f>
        <v>1.0150632097999999</v>
      </c>
    </row>
    <row r="55" spans="1:7" ht="15.75" thickBot="1">
      <c r="A55" s="18">
        <v>40</v>
      </c>
      <c r="C55" s="23" t="s">
        <v>56</v>
      </c>
      <c r="G55" s="36">
        <f>G54/G50</f>
        <v>1.0371773108789393</v>
      </c>
    </row>
  </sheetData>
  <mergeCells count="1">
    <mergeCell ref="C8:G8"/>
  </mergeCells>
  <pageMargins left="1.5" right="0.75" top="1" bottom="1" header="0.3" footer="0.3"/>
  <pageSetup orientation="portrait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G55"/>
  <sheetViews>
    <sheetView zoomScale="80" zoomScaleNormal="80" workbookViewId="0" topLeftCell="A1">
      <selection pane="topLeft" activeCell="A8" sqref="A8:XFD8"/>
    </sheetView>
  </sheetViews>
  <sheetFormatPr defaultRowHeight="15"/>
  <cols>
    <col min="1" max="1" width="4.28571428571429" bestFit="1" customWidth="1"/>
    <col min="2" max="2" width="2" customWidth="1"/>
    <col min="3" max="3" width="55.2857142857143" customWidth="1"/>
    <col min="4" max="4" width="0.857142857142857" customWidth="1"/>
    <col min="5" max="5" width="15.8571428571429" customWidth="1"/>
    <col min="6" max="6" width="2.85714285714286" customWidth="1"/>
    <col min="7" max="7" width="15.7142857142857" customWidth="1"/>
  </cols>
  <sheetData>
    <row r="1" spans="5:5" ht="15">
      <c r="E1" t="s">
        <v>87</v>
      </c>
    </row>
    <row r="2" spans="5:5" ht="15">
      <c r="E2" t="s">
        <v>88</v>
      </c>
    </row>
    <row r="4" spans="3:3" ht="15">
      <c r="C4" s="4" t="s">
        <v>93</v>
      </c>
    </row>
    <row r="5" spans="3:7" ht="15">
      <c r="C5" s="6" t="s">
        <v>91</v>
      </c>
      <c r="D5" s="6"/>
      <c r="E5" s="6"/>
      <c r="F5" s="6"/>
      <c r="G5" s="6"/>
    </row>
    <row r="6" spans="3:7" ht="15">
      <c r="C6" s="6" t="s">
        <v>92</v>
      </c>
      <c r="D6" s="6"/>
      <c r="E6" s="6"/>
      <c r="F6" s="6"/>
      <c r="G6" s="6"/>
    </row>
    <row r="7" spans="3:7" ht="15">
      <c r="C7" s="6" t="s">
        <v>94</v>
      </c>
      <c r="D7" s="6"/>
      <c r="E7" s="6"/>
      <c r="F7" s="6"/>
      <c r="G7" s="6"/>
    </row>
    <row r="8" spans="1:7" ht="15">
      <c r="A8" s="18"/>
      <c r="B8" s="18"/>
      <c r="C8" s="37" t="s">
        <v>100</v>
      </c>
      <c r="D8" s="37"/>
      <c r="E8" s="37"/>
      <c r="F8" s="37"/>
      <c r="G8" s="37"/>
    </row>
    <row r="9" spans="3:7" ht="15">
      <c r="C9" s="6"/>
      <c r="D9" s="6"/>
      <c r="E9" s="6"/>
      <c r="F9" s="6"/>
      <c r="G9" s="6"/>
    </row>
    <row r="10" spans="3:7" ht="15">
      <c r="C10" s="6" t="s">
        <v>5</v>
      </c>
      <c r="D10" s="6"/>
      <c r="E10" s="6"/>
      <c r="F10" s="6"/>
      <c r="G10" s="6"/>
    </row>
    <row r="11" spans="3:7" ht="15">
      <c r="C11" s="6" t="s">
        <v>31</v>
      </c>
      <c r="D11" s="6"/>
      <c r="E11" s="6"/>
      <c r="F11" s="6"/>
      <c r="G11" s="6"/>
    </row>
    <row r="13" spans="1:1" ht="15">
      <c r="A13" t="s">
        <v>45</v>
      </c>
    </row>
    <row r="14" spans="1:2" ht="15">
      <c r="A14" s="21" t="s">
        <v>46</v>
      </c>
      <c r="B14" s="20"/>
    </row>
    <row r="15" spans="1:7" ht="15">
      <c r="A15" s="4" t="s">
        <v>47</v>
      </c>
      <c r="B15" s="4"/>
      <c r="C15" s="4" t="s">
        <v>48</v>
      </c>
      <c r="D15" s="4"/>
      <c r="E15" s="4" t="s">
        <v>50</v>
      </c>
      <c r="F15" s="4"/>
      <c r="G15" s="4" t="s">
        <v>49</v>
      </c>
    </row>
    <row r="16" spans="1:7" ht="15">
      <c r="A16" s="18">
        <v>1</v>
      </c>
      <c r="C16" t="s">
        <v>68</v>
      </c>
      <c r="G16" s="32">
        <f>'2021 Stats'!F32</f>
        <v>23735.751711757661</v>
      </c>
    </row>
    <row r="17" spans="1:7" ht="15">
      <c r="A17" s="18">
        <v>2</v>
      </c>
      <c r="G17" s="17"/>
    </row>
    <row r="18" spans="1:7" ht="15">
      <c r="A18" s="18">
        <v>3</v>
      </c>
      <c r="C18" t="s">
        <v>75</v>
      </c>
      <c r="G18" s="17"/>
    </row>
    <row r="19" spans="1:7" ht="15">
      <c r="A19" s="18">
        <v>4</v>
      </c>
      <c r="C19" t="s">
        <v>69</v>
      </c>
      <c r="G19" s="17"/>
    </row>
    <row r="20" spans="1:7" ht="15">
      <c r="A20" s="18">
        <v>5</v>
      </c>
      <c r="E20" s="4" t="s">
        <v>3</v>
      </c>
      <c r="G20" s="33" t="s">
        <v>4</v>
      </c>
    </row>
    <row r="21" spans="1:7" ht="15">
      <c r="A21" s="18">
        <v>6</v>
      </c>
      <c r="E21" s="5" t="s">
        <v>9</v>
      </c>
      <c r="G21" s="34" t="s">
        <v>3</v>
      </c>
    </row>
    <row r="22" spans="1:7" ht="15">
      <c r="A22" s="18">
        <v>7</v>
      </c>
      <c r="C22" t="s">
        <v>32</v>
      </c>
      <c r="E22" s="32">
        <f>'2021 Stats'!F32-'2021 Stats'!F30</f>
        <v>150.23971144200914</v>
      </c>
      <c r="F22" s="14"/>
      <c r="G22" s="32">
        <f>'2021 Stats'!F29</f>
        <v>766.78099999999995</v>
      </c>
    </row>
    <row r="23" spans="1:7" ht="15">
      <c r="A23" s="18">
        <v>8</v>
      </c>
      <c r="C23" t="s">
        <v>2</v>
      </c>
      <c r="E23" s="32">
        <f>'2021 Stats'!F28-'2021 Stats'!F26</f>
        <v>309.27985868599353</v>
      </c>
      <c r="F23" s="14"/>
      <c r="G23" s="32">
        <f>'2021 Stats'!F25</f>
        <v>2197.9000000000001</v>
      </c>
    </row>
    <row r="24" spans="1:7" ht="15">
      <c r="A24" s="18">
        <v>9</v>
      </c>
      <c r="C24" t="s">
        <v>0</v>
      </c>
      <c r="E24" s="35">
        <f>'2021 Stats'!F24-'2021 Stats'!F18</f>
        <v>364.60114162965692</v>
      </c>
      <c r="F24" s="14"/>
      <c r="G24" s="35">
        <f>'2021 Stats'!F18</f>
        <v>19946.950000000001</v>
      </c>
    </row>
    <row r="25" spans="1:7" ht="15">
      <c r="A25" s="18">
        <v>10</v>
      </c>
      <c r="C25" s="1" t="s">
        <v>1</v>
      </c>
      <c r="E25" s="10">
        <f>SUM(E22:E24)</f>
        <v>824.12071175765959</v>
      </c>
      <c r="F25" s="14"/>
      <c r="G25" s="10">
        <f>SUM(G22:G24)</f>
        <v>22911.631000000001</v>
      </c>
    </row>
    <row r="26" spans="1:1" ht="15">
      <c r="A26" s="18">
        <v>11</v>
      </c>
    </row>
    <row r="27" spans="1:3" ht="15">
      <c r="A27" s="18">
        <v>12</v>
      </c>
      <c r="C27" t="s">
        <v>12</v>
      </c>
    </row>
    <row r="28" spans="1:3" ht="15">
      <c r="A28" s="18">
        <v>13</v>
      </c>
      <c r="C28" t="s">
        <v>33</v>
      </c>
    </row>
    <row r="29" spans="1:7" ht="15">
      <c r="A29" s="18">
        <v>14</v>
      </c>
      <c r="C29" s="1" t="s">
        <v>41</v>
      </c>
      <c r="G29" s="10">
        <f>G16</f>
        <v>23735.751711757661</v>
      </c>
    </row>
    <row r="30" spans="1:7" ht="15">
      <c r="A30" s="18">
        <v>15</v>
      </c>
      <c r="C30" s="1" t="s">
        <v>42</v>
      </c>
      <c r="G30" s="10">
        <f>E22</f>
        <v>150.23971144200914</v>
      </c>
    </row>
    <row r="31" spans="1:7" ht="15">
      <c r="A31" s="18">
        <v>16</v>
      </c>
      <c r="C31" s="1" t="s">
        <v>70</v>
      </c>
      <c r="G31" s="11">
        <f>G22</f>
        <v>766.78099999999995</v>
      </c>
    </row>
    <row r="32" spans="1:7" ht="15">
      <c r="A32" s="18">
        <v>17</v>
      </c>
      <c r="C32" s="1" t="s">
        <v>24</v>
      </c>
      <c r="G32" s="10">
        <f>G29-G30-G31</f>
        <v>22818.731000315653</v>
      </c>
    </row>
    <row r="33" spans="1:7" ht="15">
      <c r="A33" s="18">
        <v>18</v>
      </c>
      <c r="C33" s="23" t="s">
        <v>57</v>
      </c>
      <c r="G33" s="9">
        <f>G30/G29</f>
        <v>0.0063296799387898431</v>
      </c>
    </row>
    <row r="34" spans="1:3" ht="15">
      <c r="A34" s="18">
        <v>19</v>
      </c>
      <c r="C34" t="s">
        <v>16</v>
      </c>
    </row>
    <row r="35" spans="1:7" ht="15">
      <c r="A35" s="18">
        <v>20</v>
      </c>
      <c r="C35" s="1" t="s">
        <v>43</v>
      </c>
      <c r="G35" s="14">
        <f>G32</f>
        <v>22818.731000315653</v>
      </c>
    </row>
    <row r="36" spans="1:7" ht="15">
      <c r="A36" s="18">
        <v>21</v>
      </c>
      <c r="C36" s="1" t="s">
        <v>25</v>
      </c>
      <c r="G36" s="14">
        <f>E23</f>
        <v>309.27985868599353</v>
      </c>
    </row>
    <row r="37" spans="1:7" ht="15">
      <c r="A37" s="18">
        <v>22</v>
      </c>
      <c r="C37" s="1" t="s">
        <v>71</v>
      </c>
      <c r="G37" s="15">
        <f>G23</f>
        <v>2197.9000000000001</v>
      </c>
    </row>
    <row r="38" spans="1:7" ht="15">
      <c r="A38" s="18">
        <v>23</v>
      </c>
      <c r="C38" s="1" t="s">
        <v>26</v>
      </c>
      <c r="G38" s="14">
        <f>G35-G36-G37</f>
        <v>20311.551141629658</v>
      </c>
    </row>
    <row r="39" spans="1:7" ht="15">
      <c r="A39" s="18">
        <v>24</v>
      </c>
      <c r="C39" s="23" t="s">
        <v>52</v>
      </c>
      <c r="G39" s="9">
        <f>G36/G35</f>
        <v>0.013553771183932851</v>
      </c>
    </row>
    <row r="40" spans="1:3" ht="15">
      <c r="A40" s="18">
        <v>25</v>
      </c>
      <c r="C40" t="s">
        <v>17</v>
      </c>
    </row>
    <row r="41" spans="1:7" ht="15">
      <c r="A41" s="18">
        <v>26</v>
      </c>
      <c r="C41" s="1" t="s">
        <v>44</v>
      </c>
      <c r="G41" s="10">
        <f>G38</f>
        <v>20311.551141629658</v>
      </c>
    </row>
    <row r="42" spans="1:7" ht="15">
      <c r="A42" s="18">
        <v>27</v>
      </c>
      <c r="C42" s="1" t="s">
        <v>30</v>
      </c>
      <c r="G42" s="15">
        <f>E24</f>
        <v>364.60114162965692</v>
      </c>
    </row>
    <row r="43" spans="1:7" ht="15">
      <c r="A43" s="18">
        <v>28</v>
      </c>
      <c r="C43" s="1" t="s">
        <v>72</v>
      </c>
      <c r="G43" s="32">
        <f>G41-G42</f>
        <v>19946.950000000001</v>
      </c>
    </row>
    <row r="44" spans="1:7" ht="15">
      <c r="A44" s="18">
        <v>29</v>
      </c>
      <c r="C44" s="23" t="s">
        <v>53</v>
      </c>
      <c r="G44" s="9">
        <f>G42/G41</f>
        <v>0.017950433183922941</v>
      </c>
    </row>
    <row r="45" spans="1:1" ht="15">
      <c r="A45" s="18">
        <v>30</v>
      </c>
    </row>
    <row r="46" spans="1:3" ht="15">
      <c r="A46" s="18">
        <v>31</v>
      </c>
      <c r="C46" t="s">
        <v>19</v>
      </c>
    </row>
    <row r="47" spans="1:3" ht="15">
      <c r="A47" s="18">
        <v>32</v>
      </c>
      <c r="C47" s="1" t="s">
        <v>20</v>
      </c>
    </row>
    <row r="48" spans="1:7" ht="15">
      <c r="A48" s="18">
        <v>33</v>
      </c>
      <c r="C48" s="1" t="s">
        <v>40</v>
      </c>
      <c r="G48" s="13">
        <f>1-G33</f>
        <v>0.99367032006121014</v>
      </c>
    </row>
    <row r="49" spans="1:7" ht="15">
      <c r="A49" s="18">
        <v>34</v>
      </c>
      <c r="C49" s="1" t="s">
        <v>21</v>
      </c>
      <c r="G49" s="13">
        <f>1-G39</f>
        <v>0.98644622881606714</v>
      </c>
    </row>
    <row r="50" spans="1:7" ht="15">
      <c r="A50" s="18">
        <v>35</v>
      </c>
      <c r="C50" s="1" t="s">
        <v>22</v>
      </c>
      <c r="G50" s="13">
        <f>1-G44</f>
        <v>0.98204956681607702</v>
      </c>
    </row>
    <row r="51" spans="1:1" ht="15">
      <c r="A51" s="18">
        <v>36</v>
      </c>
    </row>
    <row r="52" spans="1:3" ht="15.75" thickBot="1">
      <c r="A52" s="18">
        <v>37</v>
      </c>
      <c r="C52" s="1" t="s">
        <v>23</v>
      </c>
    </row>
    <row r="53" spans="1:7" ht="15.75" thickBot="1">
      <c r="A53" s="18">
        <v>38</v>
      </c>
      <c r="C53" s="1" t="s">
        <v>54</v>
      </c>
      <c r="G53" s="36">
        <f>1/G48</f>
        <v>1.00637</v>
      </c>
    </row>
    <row r="54" spans="1:7" ht="15.75" thickBot="1">
      <c r="A54" s="18">
        <v>39</v>
      </c>
      <c r="C54" s="1" t="s">
        <v>55</v>
      </c>
      <c r="G54" s="36">
        <f>G53/G49</f>
        <v>1.0201975238000001</v>
      </c>
    </row>
    <row r="55" spans="1:7" ht="15.75" thickBot="1">
      <c r="A55" s="18">
        <v>40</v>
      </c>
      <c r="C55" s="1" t="s">
        <v>56</v>
      </c>
      <c r="G55" s="36">
        <f>G54/G50</f>
        <v>1.0388452459763342</v>
      </c>
    </row>
  </sheetData>
  <mergeCells count="1">
    <mergeCell ref="C8:G8"/>
  </mergeCells>
  <pageMargins left="1.5" right="0.75" top="1" bottom="1" header="0.3" footer="0.3"/>
  <pageSetup orientation="portrait" scale="7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H39"/>
  <sheetViews>
    <sheetView zoomScale="80" zoomScaleNormal="80" workbookViewId="0" topLeftCell="A1">
      <selection pane="topLeft" activeCell="J18" sqref="J18"/>
    </sheetView>
  </sheetViews>
  <sheetFormatPr defaultRowHeight="15"/>
  <cols>
    <col min="1" max="1" width="42.8571428571429" customWidth="1"/>
    <col min="2" max="2" width="0.857142857142857" customWidth="1"/>
    <col min="3" max="3" width="15.2857142857143" customWidth="1"/>
    <col min="4" max="5" width="9.14285714285714" customWidth="1"/>
    <col min="6" max="6" width="9.85714285714286" bestFit="1" customWidth="1"/>
  </cols>
  <sheetData>
    <row r="1" spans="4:4" ht="15">
      <c r="D1" t="s">
        <v>83</v>
      </c>
    </row>
    <row r="2" spans="4:4" ht="15">
      <c r="D2" t="s">
        <v>84</v>
      </c>
    </row>
    <row r="6" spans="1:3" ht="15">
      <c r="A6" s="4" t="s">
        <v>95</v>
      </c>
      <c r="B6" s="4"/>
      <c r="C6" s="4"/>
    </row>
    <row r="7" spans="1:6" ht="15">
      <c r="A7" s="6" t="s">
        <v>91</v>
      </c>
      <c r="B7" s="6"/>
      <c r="C7" s="6"/>
      <c r="D7" s="6"/>
      <c r="E7" s="6"/>
      <c r="F7" s="6"/>
    </row>
    <row r="8" spans="1:6" ht="15">
      <c r="A8" s="6" t="s">
        <v>92</v>
      </c>
      <c r="B8" s="6"/>
      <c r="C8" s="6"/>
      <c r="D8" s="6"/>
      <c r="E8" s="6"/>
      <c r="F8" s="6"/>
    </row>
    <row r="9" spans="1:6" ht="15">
      <c r="A9" s="6" t="s">
        <v>96</v>
      </c>
      <c r="B9" s="6"/>
      <c r="C9" s="6"/>
      <c r="D9" s="6"/>
      <c r="E9" s="6"/>
      <c r="F9" s="6"/>
    </row>
    <row r="10" spans="1:6" ht="15">
      <c r="A10" s="37" t="s">
        <v>100</v>
      </c>
      <c r="B10" s="37"/>
      <c r="C10" s="37"/>
      <c r="D10" s="37"/>
      <c r="E10" s="37"/>
      <c r="F10" s="37"/>
    </row>
    <row r="11" spans="1:6" ht="15">
      <c r="A11" s="6"/>
      <c r="B11" s="6"/>
      <c r="C11" s="6"/>
      <c r="D11" s="6"/>
      <c r="E11" s="6"/>
      <c r="F11" s="6"/>
    </row>
    <row r="12" spans="1:6" ht="15">
      <c r="A12" s="24" t="s">
        <v>97</v>
      </c>
      <c r="B12" s="6"/>
      <c r="C12" s="6"/>
      <c r="D12" s="6"/>
      <c r="E12" s="6"/>
      <c r="F12" s="6"/>
    </row>
    <row r="13" spans="1:1" ht="15">
      <c r="A13" s="1"/>
    </row>
    <row r="14" spans="1:1" ht="15">
      <c r="A14" s="8" t="s">
        <v>82</v>
      </c>
    </row>
    <row r="15" spans="1:1" ht="15">
      <c r="A15" s="1"/>
    </row>
    <row r="17" spans="3:6" ht="15">
      <c r="C17" s="5" t="s">
        <v>8</v>
      </c>
      <c r="F17" s="5" t="s">
        <v>7</v>
      </c>
    </row>
    <row r="18" spans="1:6" ht="15">
      <c r="A18" s="17" t="s">
        <v>58</v>
      </c>
      <c r="B18" s="17"/>
      <c r="C18" s="16">
        <v>91923000</v>
      </c>
      <c r="D18" s="17"/>
      <c r="E18" s="17"/>
      <c r="F18" s="12">
        <v>19946.950000000001</v>
      </c>
    </row>
    <row r="19" spans="1:6" ht="15">
      <c r="A19" s="17" t="s">
        <v>80</v>
      </c>
      <c r="B19" s="17"/>
      <c r="C19" s="17">
        <v>1.0031399999999999</v>
      </c>
      <c r="D19" s="17"/>
      <c r="E19" s="17"/>
      <c r="F19" s="17">
        <v>1.0038100000000001</v>
      </c>
    </row>
    <row r="20" spans="1:6" ht="15">
      <c r="A20" s="17" t="s">
        <v>59</v>
      </c>
      <c r="B20" s="17"/>
      <c r="C20" s="16">
        <f>C18*C19</f>
        <v>92211638.219999999</v>
      </c>
      <c r="D20" s="25"/>
      <c r="E20" s="25"/>
      <c r="F20" s="12">
        <f>F18*F19</f>
        <v>20022.947879500003</v>
      </c>
    </row>
    <row r="21" spans="1:6" ht="15">
      <c r="A21" s="17" t="s">
        <v>79</v>
      </c>
      <c r="B21" s="17"/>
      <c r="C21" s="26">
        <v>1.0009999999999999</v>
      </c>
      <c r="D21" s="25"/>
      <c r="E21" s="25"/>
      <c r="F21" s="17">
        <v>1.00189</v>
      </c>
    </row>
    <row r="22" spans="1:6" ht="15">
      <c r="A22" s="17" t="s">
        <v>60</v>
      </c>
      <c r="B22" s="17"/>
      <c r="C22" s="27">
        <f>C20*C21</f>
        <v>92303849.858219996</v>
      </c>
      <c r="D22" s="29"/>
      <c r="E22" s="29"/>
      <c r="F22" s="12">
        <f>F20*F21</f>
        <v>20060.791250992257</v>
      </c>
    </row>
    <row r="23" spans="1:6" ht="15">
      <c r="A23" s="17" t="s">
        <v>78</v>
      </c>
      <c r="B23" s="17"/>
      <c r="C23" s="26">
        <v>1.0175700000000001</v>
      </c>
      <c r="D23" s="25"/>
      <c r="E23" s="25"/>
      <c r="F23" s="30">
        <v>1.0125</v>
      </c>
    </row>
    <row r="24" spans="1:6" ht="15">
      <c r="A24" s="17" t="s">
        <v>61</v>
      </c>
      <c r="B24" s="17"/>
      <c r="C24" s="16">
        <f>C22*C23</f>
        <v>93925628.500228927</v>
      </c>
      <c r="D24" s="17"/>
      <c r="E24" s="17"/>
      <c r="F24" s="12">
        <f>F22*F23</f>
        <v>20311.551141629658</v>
      </c>
    </row>
    <row r="25" spans="1:6" ht="15">
      <c r="A25" s="17" t="s">
        <v>89</v>
      </c>
      <c r="B25" s="17"/>
      <c r="C25" s="16">
        <v>17209450</v>
      </c>
      <c r="D25" s="17"/>
      <c r="E25" s="17"/>
      <c r="F25" s="12">
        <v>2197.9000000000001</v>
      </c>
    </row>
    <row r="26" spans="1:6" ht="15">
      <c r="A26" s="17" t="s">
        <v>62</v>
      </c>
      <c r="B26" s="17"/>
      <c r="C26" s="16">
        <f>C24+C25</f>
        <v>111135078.50022893</v>
      </c>
      <c r="F26" s="7">
        <f>F24+F25</f>
        <v>22509.451141629659</v>
      </c>
    </row>
    <row r="27" spans="1:6" ht="15">
      <c r="A27" s="17" t="s">
        <v>77</v>
      </c>
      <c r="B27" s="17"/>
      <c r="C27" s="26">
        <v>1.0092699999999999</v>
      </c>
      <c r="D27" s="17"/>
      <c r="E27" s="17"/>
      <c r="F27" s="17">
        <v>1.0137400000000001</v>
      </c>
    </row>
    <row r="28" spans="1:6" ht="15">
      <c r="A28" t="s">
        <v>63</v>
      </c>
      <c r="C28" s="2">
        <f>C26*C27</f>
        <v>112165300.67792603</v>
      </c>
      <c r="D28" s="9"/>
      <c r="E28" s="9"/>
      <c r="F28" s="7">
        <f>F26*F27</f>
        <v>22818.731000315653</v>
      </c>
    </row>
    <row r="29" spans="1:6" ht="15">
      <c r="A29" s="17" t="s">
        <v>90</v>
      </c>
      <c r="B29" s="17"/>
      <c r="C29" s="16">
        <v>6412195</v>
      </c>
      <c r="D29" s="25"/>
      <c r="E29" s="25"/>
      <c r="F29" s="12">
        <v>766.78099999999995</v>
      </c>
    </row>
    <row r="30" spans="1:6" ht="15">
      <c r="A30" s="17" t="s">
        <v>64</v>
      </c>
      <c r="B30" s="17"/>
      <c r="C30" s="16">
        <f>C28+C29</f>
        <v>118577495.67792603</v>
      </c>
      <c r="D30" s="9"/>
      <c r="E30" s="9"/>
      <c r="F30" s="7">
        <f>F28+F29</f>
        <v>23585.512000315652</v>
      </c>
    </row>
    <row r="31" spans="1:6" ht="15">
      <c r="A31" s="17" t="s">
        <v>76</v>
      </c>
      <c r="B31" s="17"/>
      <c r="C31" s="31">
        <v>1.0057400000000001</v>
      </c>
      <c r="D31" s="25"/>
      <c r="E31" s="25"/>
      <c r="F31" s="17">
        <v>1.00637</v>
      </c>
    </row>
    <row r="32" spans="1:6" ht="15">
      <c r="A32" t="s">
        <v>65</v>
      </c>
      <c r="C32" s="2">
        <f>C30*C31</f>
        <v>119258130.50311734</v>
      </c>
      <c r="F32" s="7">
        <f>F30*F31</f>
        <v>23735.751711757661</v>
      </c>
    </row>
    <row r="33" spans="8:8" ht="15">
      <c r="H33" t="s">
        <v>99</v>
      </c>
    </row>
    <row r="34" spans="1:6" ht="15">
      <c r="A34" s="17" t="s">
        <v>66</v>
      </c>
      <c r="B34" s="17"/>
      <c r="C34" s="16">
        <f>C32-C29-C25-C18</f>
        <v>3713485.5031173378</v>
      </c>
      <c r="D34" s="17"/>
      <c r="E34" s="17"/>
      <c r="F34" s="12">
        <f>F32-F29-F25-F18</f>
        <v>824.12071175765959</v>
      </c>
    </row>
    <row r="36" spans="1:1" ht="15">
      <c r="A36" t="s">
        <v>67</v>
      </c>
    </row>
    <row r="37" spans="1:3" ht="15">
      <c r="A37" s="23" t="s">
        <v>98</v>
      </c>
      <c r="B37" s="17"/>
      <c r="C37" s="17"/>
    </row>
    <row r="38" spans="1:1" ht="15">
      <c r="A38" s="23"/>
    </row>
    <row r="39" spans="1:1" ht="15">
      <c r="A39" t="s">
        <v>81</v>
      </c>
    </row>
  </sheetData>
  <mergeCells count="1">
    <mergeCell ref="A10:F10"/>
  </mergeCells>
  <pageMargins left="1.5" right="0.75" top="1" bottom="1" header="0.3" footer="0.3"/>
  <pageSetup orientation="portrait" scale="8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Loss Factor</vt:lpstr>
      <vt:lpstr>Demand Loss Factor</vt:lpstr>
      <vt:lpstr>2021 Stats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