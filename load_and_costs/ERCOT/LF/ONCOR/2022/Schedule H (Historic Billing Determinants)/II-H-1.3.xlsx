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2022 Rate Case\Section II (Test Year Data)\Schedule H (Historic Billing Determinants)\"/>
    </mc:Choice>
  </mc:AlternateContent>
  <bookViews>
    <workbookView xWindow="-20" yWindow="4580" windowWidth="20100" windowHeight="4620" activeTab="0"/>
  </bookViews>
  <sheets>
    <sheet name="RESIDENTIAL" sheetId="1" r:id="rId2"/>
    <sheet name="SEC &lt; 10kW" sheetId="37" r:id="rId3"/>
    <sheet name="SEC &gt; 10kW " sheetId="38" r:id="rId4"/>
    <sheet name="PRIMARY  &lt; 10kW" sheetId="39" r:id="rId5"/>
    <sheet name="PRIMARY  &gt; 10kW DLS" sheetId="40" r:id="rId6"/>
    <sheet name="PRIMARY  SUBSTATIONS" sheetId="41" r:id="rId7"/>
    <sheet name="TRANSMISSION" sheetId="42" r:id="rId8"/>
    <sheet name="STREET LIGHTING" sheetId="48" r:id="rId9"/>
    <sheet name="WHOLESALE SUB" sheetId="49" r:id="rId10"/>
    <sheet name="WHOLESALE DLS" sheetId="45" r:id="rId11"/>
    <sheet name="36-MO LF-RES" sheetId="2" r:id="rId12"/>
    <sheet name="36 MO LF-SGS" sheetId="4" r:id="rId13"/>
    <sheet name="36 MO LF - LGS" sheetId="6" r:id="rId14"/>
    <sheet name="36 MO LF - SGP " sheetId="27" r:id="rId15"/>
    <sheet name="36 MO LF - LGP_SUBST" sheetId="34" r:id="rId16"/>
    <sheet name="36 MO LF - LGP_DLS" sheetId="33" r:id="rId17"/>
    <sheet name="36 MO LF -  HV" sheetId="29" r:id="rId18"/>
    <sheet name="36 MO LF -  WHLS SUB" sheetId="30" r:id="rId19"/>
    <sheet name="36 MO LF -  WHLS DLS" sheetId="31" r:id="rId20"/>
  </sheets>
  <externalReferences>
    <externalReference r:id="rId23"/>
    <externalReference r:id="rId24"/>
  </externalReferences>
  <definedNames>
    <definedName name="_xlnm.Print_Area" localSheetId="16">'36 MO LF -  HV'!$A$1:$V$33</definedName>
    <definedName name="_xlnm.Print_Area" localSheetId="18">'36 MO LF -  WHLS DLS'!$A$1:$V$33</definedName>
    <definedName name="_xlnm.Print_Area" localSheetId="17">'36 MO LF -  WHLS SUB'!$A$1:$V$33</definedName>
    <definedName name="_xlnm.Print_Area" localSheetId="15">'36 MO LF - LGP_DLS'!$A$1:$V$33</definedName>
    <definedName name="_xlnm.Print_Area" localSheetId="14">'36 MO LF - LGP_SUBST'!$A$1:$V$33</definedName>
    <definedName name="_xlnm.Print_Area" localSheetId="12">'36 MO LF - LGS'!$A$1:$V$33</definedName>
    <definedName name="_xlnm.Print_Area" localSheetId="13">'36 MO LF - SGP '!$A$1:$V$33</definedName>
    <definedName name="_xlnm.Print_Area" localSheetId="11">'36 MO LF-SGS'!$A$1:$V$33</definedName>
    <definedName name="_xlnm.Print_Area" localSheetId="10">'36-MO LF-RES'!$A$1:$V$33</definedName>
  </definedNames>
  <calcPr calcId="152511"/>
</workbook>
</file>

<file path=xl/calcChain.xml><?xml version="1.0" encoding="utf-8"?>
<calcChain xmlns="http://schemas.openxmlformats.org/spreadsheetml/2006/main">
  <c r="V34" i="1" l="1"/>
</calcChain>
</file>

<file path=xl/sharedStrings.xml><?xml version="1.0" encoding="utf-8"?>
<sst xmlns="http://schemas.openxmlformats.org/spreadsheetml/2006/main" count="1038" uniqueCount="113">
  <si>
    <t>Rate Class     =  Residential Service</t>
  </si>
  <si>
    <t>Voltage Level = Secondary</t>
  </si>
  <si>
    <t>Line</t>
  </si>
  <si>
    <t xml:space="preserve">  ERCOT</t>
  </si>
  <si>
    <t xml:space="preserve"> SYSTEM</t>
  </si>
  <si>
    <t xml:space="preserve"> </t>
  </si>
  <si>
    <t xml:space="preserve">   CLASS</t>
  </si>
  <si>
    <t xml:space="preserve">         KWH</t>
  </si>
  <si>
    <t xml:space="preserve">        KWH</t>
  </si>
  <si>
    <t>No.</t>
  </si>
  <si>
    <t xml:space="preserve"> Month</t>
  </si>
  <si>
    <t>PEAK KW*</t>
  </si>
  <si>
    <t>PEAK KW#</t>
  </si>
  <si>
    <t xml:space="preserve">       SALES*</t>
  </si>
  <si>
    <t xml:space="preserve">      SALES#</t>
  </si>
  <si>
    <t xml:space="preserve"> COIN</t>
  </si>
  <si>
    <t xml:space="preserve">  LOAD+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</si>
  <si>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</si>
  <si>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</si>
  <si>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</si>
  <si>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</si>
  <si>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</si>
  <si>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</si>
  <si>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</si>
  <si>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</si>
  <si>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</si>
  <si>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</si>
  <si>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</si>
  <si>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</si>
  <si>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#    AT METER</t>
  </si>
  <si>
    <t>+    BASED ON CLASS KW</t>
  </si>
  <si>
    <t xml:space="preserve">          SCHEDULE  II - H - 1.3</t>
  </si>
  <si>
    <t>Rate Class     =  Secondary Service Less Than or Equal to 10 kW</t>
  </si>
  <si>
    <t>Rate Class     =  Secondary Service Greater Than 10 kW</t>
  </si>
  <si>
    <t>Rate Class     =  Primary Service Less Than or Equal to 10 kW</t>
  </si>
  <si>
    <t>Voltage Level = Primary</t>
  </si>
  <si>
    <t xml:space="preserve"> +   BASED ON CLASS KW</t>
  </si>
  <si>
    <t>Rate Class     =  Transmission Service</t>
  </si>
  <si>
    <t>Voltage Level = Transmission</t>
  </si>
  <si>
    <t xml:space="preserve">Rate Class     =  Lighting Service </t>
  </si>
  <si>
    <t>Voltage Level = Secondary and Primary</t>
  </si>
  <si>
    <t xml:space="preserve">   COIN</t>
  </si>
  <si>
    <t xml:space="preserve">       ( c )</t>
  </si>
  <si>
    <t xml:space="preserve">      ( e )</t>
  </si>
  <si>
    <t xml:space="preserve">      ( f )</t>
  </si>
  <si>
    <t xml:space="preserve">    ( a )</t>
  </si>
  <si>
    <t xml:space="preserve">     ( b )</t>
  </si>
  <si>
    <t xml:space="preserve">    ( c )</t>
  </si>
  <si>
    <t xml:space="preserve">    ( e )</t>
  </si>
  <si>
    <t>COINCIDENCE AND LOAD FACTORS</t>
  </si>
  <si>
    <t>Voltage Level  =  Primary</t>
  </si>
  <si>
    <t>ONCOR ELECTRIC DELIVERY COMPANY LLC</t>
  </si>
  <si>
    <t xml:space="preserve">           FACTOR</t>
  </si>
  <si>
    <t xml:space="preserve">Rate Class     =  Primary Service Greater Than 10kW - Substation </t>
  </si>
  <si>
    <t xml:space="preserve">Rate Class     =  Primary Service Greater Than 10 kW - Distribution Line </t>
  </si>
  <si>
    <t xml:space="preserve">Rate Class      =  Wholesale Substation Service </t>
  </si>
  <si>
    <t xml:space="preserve">Rate Class      =  Wholesale Distribution Line Service   </t>
  </si>
  <si>
    <t xml:space="preserve">Rate Class     =  Secondary Service Greater Than 10 kW </t>
  </si>
  <si>
    <t>SPONSOR:  D. E. NELSON</t>
  </si>
  <si>
    <t xml:space="preserve">Rate Class     =  Primary Service Greater Than 10 kW - Substation </t>
  </si>
  <si>
    <t xml:space="preserve">          PAGE   11  OF  19</t>
  </si>
  <si>
    <t xml:space="preserve">          PAGE   12  OF  19</t>
  </si>
  <si>
    <t xml:space="preserve">          PAGE   13  OF  19</t>
  </si>
  <si>
    <t xml:space="preserve">          PAGE   14  OF  19</t>
  </si>
  <si>
    <t xml:space="preserve">          PAGE   15  OF  19</t>
  </si>
  <si>
    <t xml:space="preserve">          PAGE   16  OF  19</t>
  </si>
  <si>
    <t xml:space="preserve">          PAGE  17  OF  19</t>
  </si>
  <si>
    <t xml:space="preserve">          PAGE  18  OF  19</t>
  </si>
  <si>
    <t xml:space="preserve">          PAGE   19  OF  19</t>
  </si>
  <si>
    <t xml:space="preserve">     ( d )</t>
  </si>
  <si>
    <t xml:space="preserve">     ( f )</t>
  </si>
  <si>
    <t xml:space="preserve">  COIN</t>
  </si>
  <si>
    <t>UNADJUSTED TEST YEAR LOAD DATA</t>
  </si>
  <si>
    <t xml:space="preserve">Rate Class      =  Wholesale Service - Distribution Line </t>
  </si>
  <si>
    <t>Rate Class      =  Wholesale Service - Substation</t>
  </si>
  <si>
    <t xml:space="preserve">           ( a )</t>
  </si>
  <si>
    <t xml:space="preserve">           ( b )</t>
  </si>
  <si>
    <t xml:space="preserve">       SUM OF</t>
  </si>
  <si>
    <t>MAX DEMANDS*</t>
  </si>
  <si>
    <t xml:space="preserve">    CUSTOMER</t>
  </si>
  <si>
    <t>MAX DEMANDS#</t>
  </si>
  <si>
    <t xml:space="preserve">       ( d )</t>
  </si>
  <si>
    <t xml:space="preserve">      ( g )</t>
  </si>
  <si>
    <t xml:space="preserve">      ( h )</t>
  </si>
  <si>
    <t xml:space="preserve">           ( i )</t>
  </si>
  <si>
    <t xml:space="preserve">          ( j )</t>
  </si>
  <si>
    <t xml:space="preserve">PUC DOCKET NO.  </t>
  </si>
  <si>
    <t>*     AT SOURCE(BUSBAR)</t>
  </si>
  <si>
    <t xml:space="preserve">PUC DOCKET NO. </t>
  </si>
  <si>
    <t xml:space="preserve">  CLASS</t>
  </si>
  <si>
    <t xml:space="preserve">                   PAGE   2  OF  19</t>
  </si>
  <si>
    <t xml:space="preserve">   ( k )</t>
  </si>
  <si>
    <t xml:space="preserve">   ( l )</t>
  </si>
  <si>
    <t xml:space="preserve"> LOAD+</t>
  </si>
  <si>
    <t xml:space="preserve">     FACTOR</t>
  </si>
  <si>
    <t xml:space="preserve">                   SCHEDULE  II-H-1.3</t>
  </si>
  <si>
    <t>PUC DOCKET NO.</t>
  </si>
  <si>
    <t xml:space="preserve">                   PAGE   1  OF  19</t>
  </si>
  <si>
    <t xml:space="preserve">                   PAGE   3  OF  19</t>
  </si>
  <si>
    <t xml:space="preserve">                   PAGE   4  OF  19</t>
  </si>
  <si>
    <t xml:space="preserve">                   PAGE   5  OF  19</t>
  </si>
  <si>
    <t xml:space="preserve">                   PAGE   6  OF  19</t>
  </si>
  <si>
    <t xml:space="preserve">                   PAGE   7  OF  19</t>
  </si>
  <si>
    <t xml:space="preserve">                   PAGE   8  OF  19</t>
  </si>
  <si>
    <t xml:space="preserve">                   PAGE   9  OF  19</t>
  </si>
  <si>
    <t xml:space="preserve">                   PAGE   10  OF  19</t>
  </si>
  <si>
    <t xml:space="preserve">              2018</t>
  </si>
  <si>
    <t xml:space="preserve">               2018</t>
  </si>
  <si>
    <t xml:space="preserve">              2019</t>
  </si>
  <si>
    <t>THREE YEARS ENDING DECEMBER 31, 2020</t>
  </si>
  <si>
    <t xml:space="preserve">              2020</t>
  </si>
  <si>
    <t xml:space="preserve">               2019</t>
  </si>
  <si>
    <t>FOR THE TEST YEAR ENDING  DECEMBER 31,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</si>
</sst>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0.0000"/>
  </numFmts>
  <fonts count="19">
    <font>
      <sz val="10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4"/>
      <name val="Arial"/>
      <family val="2"/>
    </font>
    <font>
      <u val="single"/>
      <sz val="12"/>
      <name val="Arial"/>
      <family val="2"/>
    </font>
    <font>
      <sz val="8"/>
      <name val="Tahoma"/>
      <family val="2"/>
    </font>
    <font>
      <sz val="12"/>
      <name val="Tahoma"/>
      <family val="2"/>
    </font>
    <font>
      <b/>
      <sz val="10"/>
      <name val="Tahoma"/>
      <family val="2"/>
    </font>
    <font>
      <sz val="9"/>
      <name val="Tahoma"/>
      <family val="2"/>
    </font>
    <font>
      <b/>
      <sz val="14"/>
      <name val="Arial"/>
      <family val="2"/>
    </font>
    <font>
      <u val="single"/>
      <sz val="14"/>
      <name val="Arial"/>
      <family val="2"/>
    </font>
    <font>
      <b/>
      <sz val="12"/>
      <name val="Tahoma"/>
      <family val="2"/>
    </font>
    <font>
      <i/>
      <sz val="14"/>
      <name val="Arial"/>
      <family val="2"/>
    </font>
    <font>
      <sz val="11"/>
      <name val="Tahoma"/>
      <family val="2"/>
    </font>
    <font>
      <sz val="14"/>
      <color rgb="FF000000"/>
      <name val="Arial"/>
      <family val="2"/>
    </font>
    <font>
      <sz val="12"/>
      <color rgb="FF000000"/>
      <name val="Arial"/>
      <family val="2"/>
    </font>
    <font>
      <sz val="14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/>
      <bottom style="double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5">
    <xf numFmtId="0" fontId="0" fillId="0" borderId="0" xfId="0"/>
    <xf numFmtId="0" fontId="3" fillId="0" borderId="0" xfId="0" applyFont="1"/>
    <xf numFmtId="0" fontId="4" fillId="0" borderId="0" xfId="0" applyFont="1"/>
    <xf numFmtId="3" fontId="4" fillId="0" borderId="0" xfId="0" applyNumberFormat="1" applyFont="1"/>
    <xf numFmtId="0" fontId="5" fillId="0" borderId="0" xfId="0" applyFont="1"/>
    <xf numFmtId="3" fontId="5" fillId="0" borderId="0" xfId="0" applyNumberFormat="1" applyFont="1"/>
    <xf numFmtId="49" fontId="5" fillId="0" borderId="0" xfId="0" applyNumberFormat="1" applyFont="1"/>
    <xf numFmtId="49" fontId="4" fillId="0" borderId="0" xfId="0" applyNumberFormat="1" applyFont="1"/>
    <xf numFmtId="0" fontId="6" fillId="0" borderId="0" xfId="0" applyFont="1"/>
    <xf numFmtId="164" fontId="4" fillId="0" borderId="0" xfId="0" applyNumberFormat="1" applyFont="1"/>
    <xf numFmtId="0" fontId="4" fillId="0" borderId="0" xfId="0" applyFont="1" applyAlignment="1">
      <alignment horizontal="center"/>
    </xf>
    <xf numFmtId="0" fontId="4" fillId="0" borderId="0" xfId="0" applyNumberFormat="1" applyFont="1"/>
    <xf numFmtId="0" fontId="4" fillId="0" borderId="0" xfId="0" applyNumberFormat="1" applyFont="1" applyBorder="1"/>
    <xf numFmtId="0" fontId="4" fillId="0" borderId="1" xfId="0" applyNumberFormat="1" applyFont="1" applyBorder="1"/>
    <xf numFmtId="164" fontId="4" fillId="0" borderId="0" xfId="0" applyNumberFormat="1" applyFont="1" quotePrefix="1"/>
    <xf numFmtId="164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right"/>
    </xf>
    <xf numFmtId="0" fontId="4" fillId="0" borderId="1" xfId="0" applyNumberFormat="1" applyFont="1" applyBorder="1" applyAlignment="1">
      <alignment/>
    </xf>
    <xf numFmtId="0" fontId="4" fillId="0" borderId="0" xfId="0" applyFont="1" applyAlignment="1">
      <alignment horizontal="centerContinuous"/>
    </xf>
    <xf numFmtId="3" fontId="4" fillId="0" borderId="0" xfId="0" applyNumberFormat="1" applyFont="1" applyAlignment="1">
      <alignment horizontal="centerContinuous"/>
    </xf>
    <xf numFmtId="0" fontId="3" fillId="0" borderId="0" xfId="0" applyFont="1" applyAlignment="1">
      <alignment horizontal="centerContinuous"/>
    </xf>
    <xf numFmtId="3" fontId="3" fillId="0" borderId="0" xfId="0" applyNumberFormat="1" applyFont="1" applyAlignment="1">
      <alignment horizontal="centerContinuous"/>
    </xf>
    <xf numFmtId="164" fontId="4" fillId="0" borderId="0" xfId="0" applyNumberFormat="1" applyFont="1" applyAlignment="1">
      <alignment horizontal="centerContinuous"/>
    </xf>
    <xf numFmtId="164" fontId="3" fillId="0" borderId="0" xfId="0" applyNumberFormat="1" applyFont="1" applyAlignment="1">
      <alignment horizontal="centerContinuous"/>
    </xf>
    <xf numFmtId="0" fontId="4" fillId="0" borderId="0" xfId="0" applyNumberFormat="1" applyFont="1" applyAlignment="1">
      <alignment/>
    </xf>
    <xf numFmtId="164" fontId="4" fillId="0" borderId="1" xfId="0" applyNumberFormat="1" applyFont="1" applyBorder="1"/>
    <xf numFmtId="164" fontId="4" fillId="0" borderId="1" xfId="0" applyNumberFormat="1" applyFont="1" applyBorder="1" applyAlignment="1">
      <alignment/>
    </xf>
    <xf numFmtId="3" fontId="5" fillId="0" borderId="1" xfId="0" applyNumberFormat="1" applyFont="1" applyBorder="1"/>
    <xf numFmtId="0" fontId="11" fillId="0" borderId="0" xfId="0" applyFont="1"/>
    <xf numFmtId="0" fontId="11" fillId="0" borderId="0" xfId="0" applyFont="1" applyAlignment="1">
      <alignment horizontal="centerContinuous"/>
    </xf>
    <xf numFmtId="0" fontId="5" fillId="0" borderId="0" xfId="0" applyFont="1" applyAlignment="1">
      <alignment horizontal="centerContinuous"/>
    </xf>
    <xf numFmtId="3" fontId="5" fillId="0" borderId="0" xfId="0" applyNumberFormat="1" applyFont="1" applyAlignment="1">
      <alignment horizontal="centerContinuous"/>
    </xf>
    <xf numFmtId="3" fontId="11" fillId="0" borderId="0" xfId="0" applyNumberFormat="1" applyFont="1" applyAlignment="1">
      <alignment horizontal="centerContinuous"/>
    </xf>
    <xf numFmtId="0" fontId="12" fillId="0" borderId="0" xfId="0" applyFont="1"/>
    <xf numFmtId="0" fontId="5" fillId="0" borderId="1" xfId="0" applyFont="1" applyBorder="1"/>
    <xf numFmtId="164" fontId="5" fillId="0" borderId="0" xfId="0" applyNumberFormat="1" applyFont="1"/>
    <xf numFmtId="0" fontId="5" fillId="0" borderId="0" xfId="0" applyFont="1" applyAlignment="1">
      <alignment horizontal="center"/>
    </xf>
    <xf numFmtId="3" fontId="5" fillId="0" borderId="0" xfId="0" applyNumberFormat="1" applyFont="1" applyBorder="1"/>
    <xf numFmtId="3" fontId="5" fillId="0" borderId="2" xfId="0" applyNumberFormat="1" applyFont="1" applyBorder="1"/>
    <xf numFmtId="164" fontId="4" fillId="0" borderId="0" xfId="0" applyNumberFormat="1" applyFont="1" applyBorder="1"/>
    <xf numFmtId="3" fontId="14" fillId="0" borderId="0" xfId="0" applyNumberFormat="1" applyFont="1"/>
    <xf numFmtId="164" fontId="5" fillId="0" borderId="0" xfId="0" applyNumberFormat="1" applyFont="1" applyAlignment="1">
      <alignment horizontal="centerContinuous"/>
    </xf>
    <xf numFmtId="164" fontId="5" fillId="0" borderId="1" xfId="0" applyNumberFormat="1" applyFont="1" applyBorder="1"/>
    <xf numFmtId="3" fontId="5" fillId="0" borderId="0" xfId="0" applyNumberFormat="1" applyFont="1" applyAlignment="1">
      <alignment/>
    </xf>
    <xf numFmtId="3" fontId="5" fillId="0" borderId="0" xfId="0" applyNumberFormat="1" applyFont="1" applyBorder="1" applyAlignment="1">
      <alignment/>
    </xf>
    <xf numFmtId="3" fontId="16" fillId="0" borderId="0" xfId="0" applyNumberFormat="1" applyFont="1" applyFill="1" applyBorder="1" applyAlignment="1" applyProtection="1">
      <alignment horizontal="right" wrapText="1"/>
      <protection/>
    </xf>
    <xf numFmtId="3" fontId="16" fillId="0" borderId="0" xfId="0" applyNumberFormat="1" applyFont="1" applyFill="1" applyBorder="1" applyAlignment="1" applyProtection="1">
      <alignment horizontal="right" vertical="center" wrapText="1"/>
      <protection/>
    </xf>
    <xf numFmtId="164" fontId="16" fillId="0" borderId="0" xfId="0" applyNumberFormat="1" applyFont="1" applyFill="1" applyBorder="1" applyAlignment="1" applyProtection="1">
      <alignment wrapText="1"/>
      <protection/>
    </xf>
    <xf numFmtId="0" fontId="5" fillId="0" borderId="0" xfId="0" applyFont="1" applyBorder="1"/>
    <xf numFmtId="164" fontId="5" fillId="0" borderId="0" xfId="0" applyNumberFormat="1" applyFont="1" applyBorder="1"/>
    <xf numFmtId="3" fontId="16" fillId="0" borderId="2" xfId="0" applyNumberFormat="1" applyFont="1" applyFill="1" applyBorder="1" applyAlignment="1" applyProtection="1">
      <alignment horizontal="right" wrapText="1"/>
      <protection/>
    </xf>
    <xf numFmtId="3" fontId="5" fillId="0" borderId="0" xfId="18" applyNumberFormat="1" applyFont="1"/>
    <xf numFmtId="3" fontId="18" fillId="0" borderId="0" xfId="0" applyNumberFormat="1" applyFont="1"/>
    <xf numFmtId="164" fontId="17" fillId="0" borderId="0" xfId="0" applyNumberFormat="1" applyFont="1" applyFill="1" applyBorder="1" applyAlignment="1" applyProtection="1">
      <alignment wrapText="1"/>
      <protection/>
    </xf>
    <xf numFmtId="0" fontId="4" fillId="0" borderId="0" xfId="0" applyFont="1" applyBorder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2.xml" /><Relationship Id="rId22" Type="http://schemas.openxmlformats.org/officeDocument/2006/relationships/sharedStrings" Target="sharedStrings.xml" /><Relationship Id="rId23" Type="http://schemas.openxmlformats.org/officeDocument/2006/relationships/externalLink" Target="externalLinks/externalLink1.xml" /><Relationship Id="rId5" Type="http://schemas.openxmlformats.org/officeDocument/2006/relationships/worksheet" Target="worksheets/sheet4.xml" /><Relationship Id="rId7" Type="http://schemas.openxmlformats.org/officeDocument/2006/relationships/worksheet" Target="worksheets/sheet6.xml" /><Relationship Id="rId9" Type="http://schemas.openxmlformats.org/officeDocument/2006/relationships/worksheet" Target="worksheets/sheet8.xml" /><Relationship Id="rId2" Type="http://schemas.openxmlformats.org/officeDocument/2006/relationships/worksheet" Target="worksheets/sheet1.xml" /><Relationship Id="rId18" Type="http://schemas.openxmlformats.org/officeDocument/2006/relationships/worksheet" Target="worksheets/sheet17.xml" /><Relationship Id="rId14" Type="http://schemas.openxmlformats.org/officeDocument/2006/relationships/worksheet" Target="worksheets/sheet13.xml" /><Relationship Id="rId15" Type="http://schemas.openxmlformats.org/officeDocument/2006/relationships/worksheet" Target="worksheets/sheet14.xml" /><Relationship Id="rId16" Type="http://schemas.openxmlformats.org/officeDocument/2006/relationships/worksheet" Target="worksheets/sheet15.xml" /><Relationship Id="rId17" Type="http://schemas.openxmlformats.org/officeDocument/2006/relationships/worksheet" Target="worksheets/sheet16.xml" /><Relationship Id="rId10" Type="http://schemas.openxmlformats.org/officeDocument/2006/relationships/worksheet" Target="worksheets/sheet9.xml" /><Relationship Id="rId11" Type="http://schemas.openxmlformats.org/officeDocument/2006/relationships/worksheet" Target="worksheets/sheet10.xml" /><Relationship Id="rId12" Type="http://schemas.openxmlformats.org/officeDocument/2006/relationships/worksheet" Target="worksheets/sheet11.xml" /><Relationship Id="rId1" Type="http://schemas.openxmlformats.org/officeDocument/2006/relationships/theme" Target="theme/theme1.xml" /><Relationship Id="rId4" Type="http://schemas.openxmlformats.org/officeDocument/2006/relationships/worksheet" Target="worksheets/sheet3.xml" /><Relationship Id="rId6" Type="http://schemas.openxmlformats.org/officeDocument/2006/relationships/worksheet" Target="worksheets/sheet5.xml" /><Relationship Id="rId8" Type="http://schemas.openxmlformats.org/officeDocument/2006/relationships/worksheet" Target="worksheets/sheet7.xml" /><Relationship Id="rId19" Type="http://schemas.openxmlformats.org/officeDocument/2006/relationships/worksheet" Target="worksheets/sheet18.xml" /><Relationship Id="rId13" Type="http://schemas.openxmlformats.org/officeDocument/2006/relationships/worksheet" Target="worksheets/sheet12.xml" /><Relationship Id="rId21" Type="http://schemas.openxmlformats.org/officeDocument/2006/relationships/styles" Target="styles.xml" /><Relationship Id="rId24" Type="http://schemas.openxmlformats.org/officeDocument/2006/relationships/externalLink" Target="externalLinks/externalLink2.xml" /><Relationship Id="rId25" Type="http://schemas.openxmlformats.org/officeDocument/2006/relationships/calcChain" Target="calcChain.xml" /><Relationship Id="rId20" Type="http://schemas.openxmlformats.org/officeDocument/2006/relationships/worksheet" Target="worksheets/sheet19.xml" 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Schedule%20II-H%20WP/WP_II_H-1.3_1.xlsx" TargetMode="External" /></Relationships>
</file>

<file path=xl/externalLinks/_rels/externalLink2.xml.rels><?xml version="1.0" encoding="UTF-8" standalone="yes"?><Relationships xmlns="http://schemas.openxmlformats.org/package/2006/relationships"><Relationship Id="rId1" Type="http://schemas.openxmlformats.org/officeDocument/2006/relationships/externalLinkPath" Target="II-H-1.2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nergy Loss Factor"/>
      <sheetName val="Demand Loss Factor"/>
      <sheetName val="2021 Stats"/>
    </sheetNames>
    <sheetDataSet>
      <sheetData sheetId="0">
        <row r="52">
          <cell r="G52">
            <v>1.00574</v>
          </cell>
        </row>
        <row r="53">
          <cell r="G53">
            <v>1.0150632098</v>
          </cell>
        </row>
        <row r="54">
          <cell r="G54">
            <v>1.03717731087894</v>
          </cell>
        </row>
      </sheetData>
      <sheetData sheetId="1">
        <row r="52">
          <cell r="G52">
            <v>1.00637</v>
          </cell>
        </row>
        <row r="53">
          <cell r="G53">
            <v>1.0201975238</v>
          </cell>
        </row>
        <row r="54">
          <cell r="G54">
            <v>1.03884524597633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RES"/>
      <sheetName val="GS SEC SMALL"/>
      <sheetName val="GS SEC LRG NONIDR"/>
      <sheetName val="GS SEC LRG IDR "/>
      <sheetName val="GS PRI SMALL"/>
      <sheetName val="GS PRI LRG NONIDR"/>
      <sheetName val="GS PRI LRG IDR "/>
      <sheetName val="GS PRI LRG SUB"/>
      <sheetName val="TRANSMISSION"/>
      <sheetName val="SL - UNMETERED"/>
      <sheetName val="SL - METERED NON CO"/>
      <sheetName val="SL - METERED CO OWNED"/>
      <sheetName val="OUTDOOR LIGHTING"/>
      <sheetName val="WHOLESALE-SUB"/>
      <sheetName val="WHOLESALE-DLS"/>
    </sheetNames>
    <sheetDataSet>
      <sheetData sheetId="0">
        <row r="16">
          <cell r="I16">
            <v>3891654035</v>
          </cell>
        </row>
        <row r="18">
          <cell r="I18">
            <v>3835104200</v>
          </cell>
        </row>
        <row r="20">
          <cell r="I20">
            <v>4297856697</v>
          </cell>
        </row>
        <row r="22">
          <cell r="I22">
            <v>2463697416</v>
          </cell>
        </row>
        <row r="24">
          <cell r="I24">
            <v>2623759112</v>
          </cell>
        </row>
        <row r="26">
          <cell r="I26">
            <v>3299051861</v>
          </cell>
        </row>
        <row r="28">
          <cell r="I28">
            <v>4869095251</v>
          </cell>
        </row>
        <row r="30">
          <cell r="I30">
            <v>5021725819</v>
          </cell>
        </row>
        <row r="32">
          <cell r="I32">
            <v>5032815580</v>
          </cell>
        </row>
        <row r="34">
          <cell r="I34">
            <v>3875250241</v>
          </cell>
        </row>
        <row r="36">
          <cell r="I36">
            <v>2797502840</v>
          </cell>
        </row>
        <row r="38">
          <cell r="I38">
            <v>2766372734</v>
          </cell>
        </row>
      </sheetData>
      <sheetData sheetId="1">
        <row r="16">
          <cell r="I16">
            <v>158994545</v>
          </cell>
        </row>
        <row r="18">
          <cell r="I18">
            <v>154922667</v>
          </cell>
        </row>
        <row r="20">
          <cell r="I20">
            <v>162310994</v>
          </cell>
        </row>
        <row r="22">
          <cell r="I22">
            <v>132745054</v>
          </cell>
        </row>
        <row r="24">
          <cell r="I24">
            <v>134274800</v>
          </cell>
        </row>
        <row r="26">
          <cell r="I26">
            <v>143016634</v>
          </cell>
        </row>
        <row r="28">
          <cell r="I28">
            <v>172928670</v>
          </cell>
        </row>
        <row r="30">
          <cell r="I30">
            <v>173132985</v>
          </cell>
        </row>
        <row r="32">
          <cell r="I32">
            <v>173980163</v>
          </cell>
        </row>
        <row r="34">
          <cell r="I34">
            <v>156079341</v>
          </cell>
        </row>
        <row r="36">
          <cell r="I36">
            <v>135571392</v>
          </cell>
        </row>
        <row r="38">
          <cell r="I38">
            <v>137974904</v>
          </cell>
        </row>
      </sheetData>
      <sheetData sheetId="2">
        <row r="16">
          <cell r="I16">
            <v>1998993921</v>
          </cell>
        </row>
        <row r="18">
          <cell r="I18">
            <v>1977503676</v>
          </cell>
        </row>
        <row r="20">
          <cell r="I20">
            <v>2201181387</v>
          </cell>
        </row>
        <row r="22">
          <cell r="I22">
            <v>1800792498</v>
          </cell>
        </row>
        <row r="24">
          <cell r="I24">
            <v>2029244473</v>
          </cell>
        </row>
        <row r="26">
          <cell r="I26">
            <v>2281615721</v>
          </cell>
        </row>
        <row r="28">
          <cell r="I28">
            <v>2773542025</v>
          </cell>
        </row>
        <row r="30">
          <cell r="I30">
            <v>2813879859</v>
          </cell>
        </row>
        <row r="32">
          <cell r="I32">
            <v>2861233955</v>
          </cell>
        </row>
        <row r="34">
          <cell r="I34">
            <v>2450797322</v>
          </cell>
        </row>
        <row r="36">
          <cell r="I36">
            <v>2065732092</v>
          </cell>
        </row>
        <row r="38">
          <cell r="I38">
            <v>1930751950</v>
          </cell>
        </row>
      </sheetData>
      <sheetData sheetId="3">
        <row r="16">
          <cell r="I16">
            <v>1351918368</v>
          </cell>
        </row>
        <row r="18">
          <cell r="I18">
            <v>1326371430</v>
          </cell>
        </row>
        <row r="20">
          <cell r="I20">
            <v>1339560309</v>
          </cell>
        </row>
        <row r="22">
          <cell r="I22">
            <v>1346806153</v>
          </cell>
        </row>
        <row r="24">
          <cell r="I24">
            <v>1406273540</v>
          </cell>
        </row>
        <row r="26">
          <cell r="I26">
            <v>1462016083</v>
          </cell>
        </row>
        <row r="28">
          <cell r="I28">
            <v>1695733062</v>
          </cell>
        </row>
        <row r="30">
          <cell r="I30">
            <v>1697138007</v>
          </cell>
        </row>
        <row r="32">
          <cell r="I32">
            <v>1692406091</v>
          </cell>
        </row>
        <row r="34">
          <cell r="I34">
            <v>1554722199</v>
          </cell>
        </row>
        <row r="36">
          <cell r="I36">
            <v>1463865882</v>
          </cell>
        </row>
        <row r="38">
          <cell r="I38">
            <v>1408196282</v>
          </cell>
        </row>
      </sheetData>
      <sheetData sheetId="4">
        <row r="16">
          <cell r="I16">
            <v>2226543</v>
          </cell>
        </row>
        <row r="18">
          <cell r="I18">
            <v>2052440</v>
          </cell>
        </row>
        <row r="20">
          <cell r="I20">
            <v>1836764</v>
          </cell>
        </row>
        <row r="22">
          <cell r="I22">
            <v>2697261</v>
          </cell>
        </row>
        <row r="24">
          <cell r="I24">
            <v>2349193</v>
          </cell>
        </row>
        <row r="26">
          <cell r="I26">
            <v>2389009</v>
          </cell>
        </row>
        <row r="28">
          <cell r="I28">
            <v>2229288</v>
          </cell>
        </row>
        <row r="30">
          <cell r="I30">
            <v>2289003</v>
          </cell>
        </row>
        <row r="32">
          <cell r="I32">
            <v>2439904</v>
          </cell>
        </row>
        <row r="34">
          <cell r="I34">
            <v>2267846</v>
          </cell>
        </row>
        <row r="36">
          <cell r="I36">
            <v>2265679</v>
          </cell>
        </row>
        <row r="38">
          <cell r="I38">
            <v>2418619</v>
          </cell>
        </row>
      </sheetData>
      <sheetData sheetId="5">
        <row r="16">
          <cell r="I16">
            <v>142162335</v>
          </cell>
        </row>
        <row r="18">
          <cell r="I18">
            <v>136104227</v>
          </cell>
        </row>
        <row r="20">
          <cell r="I20">
            <v>125450911</v>
          </cell>
        </row>
        <row r="22">
          <cell r="I22">
            <v>146049568</v>
          </cell>
        </row>
        <row r="24">
          <cell r="I24">
            <v>168470619</v>
          </cell>
        </row>
        <row r="26">
          <cell r="I26">
            <v>176125535</v>
          </cell>
        </row>
        <row r="28">
          <cell r="I28">
            <v>182621139</v>
          </cell>
        </row>
        <row r="30">
          <cell r="I30">
            <v>112099971</v>
          </cell>
        </row>
        <row r="32">
          <cell r="I32">
            <v>170101246</v>
          </cell>
        </row>
        <row r="34">
          <cell r="I34">
            <v>216102761</v>
          </cell>
        </row>
        <row r="36">
          <cell r="I36">
            <v>157504876</v>
          </cell>
        </row>
        <row r="38">
          <cell r="I38">
            <v>168890297</v>
          </cell>
        </row>
      </sheetData>
      <sheetData sheetId="6">
        <row r="16">
          <cell r="I16">
            <v>1196329426</v>
          </cell>
        </row>
        <row r="18">
          <cell r="I18">
            <v>1150822551</v>
          </cell>
        </row>
        <row r="20">
          <cell r="I20">
            <v>1014192818</v>
          </cell>
        </row>
        <row r="22">
          <cell r="I22">
            <v>1181580735</v>
          </cell>
        </row>
        <row r="24">
          <cell r="I24">
            <v>1246661858</v>
          </cell>
        </row>
        <row r="26">
          <cell r="I26">
            <v>1284301945</v>
          </cell>
        </row>
        <row r="28">
          <cell r="I28">
            <v>1342534030</v>
          </cell>
        </row>
        <row r="30">
          <cell r="I30">
            <v>1253721174</v>
          </cell>
        </row>
        <row r="32">
          <cell r="I32">
            <v>1307569606</v>
          </cell>
        </row>
        <row r="34">
          <cell r="I34">
            <v>1300302492</v>
          </cell>
        </row>
        <row r="36">
          <cell r="I36">
            <v>1256982908</v>
          </cell>
        </row>
        <row r="38">
          <cell r="I38">
            <v>1336111748</v>
          </cell>
        </row>
      </sheetData>
      <sheetData sheetId="7">
        <row r="16">
          <cell r="I16">
            <v>455381089</v>
          </cell>
        </row>
        <row r="18">
          <cell r="I18">
            <v>440484862</v>
          </cell>
        </row>
        <row r="20">
          <cell r="I20">
            <v>370699961</v>
          </cell>
        </row>
        <row r="22">
          <cell r="I22">
            <v>475999602</v>
          </cell>
        </row>
        <row r="24">
          <cell r="I24">
            <v>501702318</v>
          </cell>
        </row>
        <row r="26">
          <cell r="I26">
            <v>494361390</v>
          </cell>
        </row>
        <row r="28">
          <cell r="I28">
            <v>528389711</v>
          </cell>
        </row>
        <row r="30">
          <cell r="I30">
            <v>628154488</v>
          </cell>
        </row>
        <row r="32">
          <cell r="I32">
            <v>561285652</v>
          </cell>
        </row>
        <row r="34">
          <cell r="I34">
            <v>542421610</v>
          </cell>
        </row>
        <row r="36">
          <cell r="I36">
            <v>542819922</v>
          </cell>
        </row>
        <row r="38">
          <cell r="I38">
            <v>550146821</v>
          </cell>
        </row>
      </sheetData>
      <sheetData sheetId="8">
        <row r="16">
          <cell r="I16">
            <v>1633074126</v>
          </cell>
        </row>
        <row r="18">
          <cell r="I18">
            <v>1535968217</v>
          </cell>
        </row>
        <row r="20">
          <cell r="I20">
            <v>1422348554</v>
          </cell>
        </row>
        <row r="22">
          <cell r="I22">
            <v>1650233866</v>
          </cell>
        </row>
        <row r="24">
          <cell r="I24">
            <v>1740191984</v>
          </cell>
        </row>
        <row r="26">
          <cell r="I26">
            <v>1739215540</v>
          </cell>
        </row>
        <row r="28">
          <cell r="I28">
            <v>1777198436</v>
          </cell>
        </row>
        <row r="30">
          <cell r="I30">
            <v>1793854071</v>
          </cell>
        </row>
        <row r="32">
          <cell r="I32">
            <v>1815185444</v>
          </cell>
        </row>
        <row r="34">
          <cell r="I34">
            <v>1846716296</v>
          </cell>
        </row>
        <row r="36">
          <cell r="I36">
            <v>1877484630</v>
          </cell>
        </row>
        <row r="38">
          <cell r="I38">
            <v>1875813062</v>
          </cell>
        </row>
      </sheetData>
      <sheetData sheetId="9">
        <row r="16">
          <cell r="I16">
            <v>24147529</v>
          </cell>
        </row>
        <row r="18">
          <cell r="I18">
            <v>24094450</v>
          </cell>
        </row>
        <row r="20">
          <cell r="I20">
            <v>24031261</v>
          </cell>
        </row>
        <row r="22">
          <cell r="I22">
            <v>23995278</v>
          </cell>
        </row>
        <row r="24">
          <cell r="I24">
            <v>23869185</v>
          </cell>
        </row>
        <row r="26">
          <cell r="I26">
            <v>23449708</v>
          </cell>
        </row>
        <row r="28">
          <cell r="I28">
            <v>23222491</v>
          </cell>
        </row>
        <row r="30">
          <cell r="I30">
            <v>23152856</v>
          </cell>
        </row>
        <row r="32">
          <cell r="I32">
            <v>23202769</v>
          </cell>
        </row>
        <row r="34">
          <cell r="I34">
            <v>23481933</v>
          </cell>
        </row>
        <row r="36">
          <cell r="I36">
            <v>23483199</v>
          </cell>
        </row>
        <row r="38">
          <cell r="I38">
            <v>23485021</v>
          </cell>
        </row>
      </sheetData>
      <sheetData sheetId="10">
        <row r="16">
          <cell r="I16">
            <v>1021478</v>
          </cell>
        </row>
        <row r="18">
          <cell r="I18">
            <v>931786</v>
          </cell>
        </row>
        <row r="20">
          <cell r="I20">
            <v>877853</v>
          </cell>
        </row>
        <row r="22">
          <cell r="I22">
            <v>791686</v>
          </cell>
        </row>
        <row r="24">
          <cell r="I24">
            <v>766388</v>
          </cell>
        </row>
        <row r="26">
          <cell r="I26">
            <v>711636</v>
          </cell>
        </row>
        <row r="28">
          <cell r="I28">
            <v>678530</v>
          </cell>
        </row>
        <row r="30">
          <cell r="I30">
            <v>679420</v>
          </cell>
        </row>
        <row r="32">
          <cell r="I32">
            <v>716500</v>
          </cell>
        </row>
        <row r="34">
          <cell r="I34">
            <v>764823</v>
          </cell>
        </row>
        <row r="36">
          <cell r="I36">
            <v>802044</v>
          </cell>
        </row>
        <row r="38">
          <cell r="I38">
            <v>891223</v>
          </cell>
        </row>
      </sheetData>
      <sheetData sheetId="11">
        <row r="16">
          <cell r="I16">
            <v>29390</v>
          </cell>
        </row>
        <row r="18">
          <cell r="I18">
            <v>26185</v>
          </cell>
        </row>
        <row r="20">
          <cell r="I20">
            <v>26437</v>
          </cell>
        </row>
        <row r="22">
          <cell r="I22">
            <v>23808</v>
          </cell>
        </row>
        <row r="24">
          <cell r="I24">
            <v>22502</v>
          </cell>
        </row>
        <row r="26">
          <cell r="I26">
            <v>21217</v>
          </cell>
        </row>
        <row r="28">
          <cell r="I28">
            <v>20637</v>
          </cell>
        </row>
        <row r="30">
          <cell r="I30">
            <v>20069</v>
          </cell>
        </row>
        <row r="32">
          <cell r="I32">
            <v>21641</v>
          </cell>
        </row>
        <row r="34">
          <cell r="I34">
            <v>22010</v>
          </cell>
        </row>
        <row r="36">
          <cell r="I36">
            <v>24147</v>
          </cell>
        </row>
        <row r="38">
          <cell r="I38">
            <v>25666</v>
          </cell>
        </row>
      </sheetData>
      <sheetData sheetId="12">
        <row r="16">
          <cell r="I16">
            <v>7507708</v>
          </cell>
        </row>
        <row r="18">
          <cell r="I18">
            <v>7489057</v>
          </cell>
        </row>
        <row r="20">
          <cell r="I20">
            <v>7495053</v>
          </cell>
        </row>
        <row r="22">
          <cell r="I22">
            <v>7488568</v>
          </cell>
        </row>
        <row r="24">
          <cell r="I24">
            <v>7479207</v>
          </cell>
        </row>
        <row r="26">
          <cell r="I26">
            <v>7475464</v>
          </cell>
        </row>
        <row r="28">
          <cell r="I28">
            <v>7468707</v>
          </cell>
        </row>
        <row r="30">
          <cell r="I30">
            <v>7427261</v>
          </cell>
        </row>
        <row r="32">
          <cell r="I32">
            <v>7414232</v>
          </cell>
        </row>
        <row r="34">
          <cell r="I34">
            <v>7392697</v>
          </cell>
        </row>
        <row r="36">
          <cell r="I36">
            <v>7377734</v>
          </cell>
        </row>
        <row r="38">
          <cell r="I38">
            <v>7357544</v>
          </cell>
        </row>
      </sheetData>
      <sheetData sheetId="13">
        <row r="16">
          <cell r="I16">
            <v>30545411.8991852</v>
          </cell>
        </row>
        <row r="18">
          <cell r="I18">
            <v>32623920.4631634</v>
          </cell>
        </row>
        <row r="20">
          <cell r="I20">
            <v>20962680.7515907</v>
          </cell>
        </row>
        <row r="22">
          <cell r="I22">
            <v>19493341.9691153</v>
          </cell>
        </row>
        <row r="24">
          <cell r="I24">
            <v>21317608.9791155</v>
          </cell>
        </row>
        <row r="26">
          <cell r="I26">
            <v>29791083.8036194</v>
          </cell>
        </row>
        <row r="28">
          <cell r="I28">
            <v>33405520.6956776</v>
          </cell>
        </row>
        <row r="30">
          <cell r="I30">
            <v>35378271.5211033</v>
          </cell>
        </row>
        <row r="32">
          <cell r="I32">
            <v>29276573.6614021</v>
          </cell>
        </row>
        <row r="34">
          <cell r="I34">
            <v>22797878.3039483</v>
          </cell>
        </row>
        <row r="36">
          <cell r="I36">
            <v>21581480.6341583</v>
          </cell>
        </row>
        <row r="38">
          <cell r="I38">
            <v>23173416.6201132</v>
          </cell>
        </row>
      </sheetData>
      <sheetData sheetId="14">
        <row r="16">
          <cell r="I16">
            <v>38701154.4808788</v>
          </cell>
        </row>
        <row r="18">
          <cell r="I18">
            <v>41973738.1136055</v>
          </cell>
        </row>
        <row r="20">
          <cell r="I20">
            <v>27744607.3011807</v>
          </cell>
        </row>
        <row r="22">
          <cell r="I22">
            <v>25704220.8966098</v>
          </cell>
        </row>
        <row r="24">
          <cell r="I24">
            <v>27593708.4082024</v>
          </cell>
        </row>
        <row r="26">
          <cell r="I26">
            <v>36036138.0319319</v>
          </cell>
        </row>
        <row r="28">
          <cell r="I28">
            <v>40369156.0966268</v>
          </cell>
        </row>
        <row r="30">
          <cell r="I30">
            <v>42827975.608221</v>
          </cell>
        </row>
        <row r="32">
          <cell r="I32">
            <v>36628118.1358253</v>
          </cell>
        </row>
        <row r="34">
          <cell r="I34">
            <v>31102423.9203989</v>
          </cell>
        </row>
        <row r="36">
          <cell r="I36">
            <v>30531665.0530835</v>
          </cell>
        </row>
        <row r="38">
          <cell r="I38">
            <v>30180345.5284292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1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2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3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8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9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Z41"/>
  <sheetViews>
    <sheetView tabSelected="1" zoomScale="75" zoomScaleNormal="75" workbookViewId="0" topLeftCell="A13">
      <selection pane="topLeft" activeCell="J15" sqref="J15"/>
    </sheetView>
  </sheetViews>
  <sheetFormatPr defaultColWidth="9.18428571428571" defaultRowHeight="18.75" customHeight="1"/>
  <cols>
    <col min="1" max="1" width="4.71428571428571" style="4" customWidth="1"/>
    <col min="2" max="3" width="7.71428571428571" style="4" customWidth="1"/>
    <col min="4" max="4" width="20.5714285714286" style="5" customWidth="1"/>
    <col min="5" max="5" width="2.71428571428571" style="4" customWidth="1"/>
    <col min="6" max="6" width="21.2857142857143" style="5" customWidth="1"/>
    <col min="7" max="7" width="4.14285714285714" style="4" customWidth="1"/>
    <col min="8" max="8" width="14.8571428571429" style="5" customWidth="1"/>
    <col min="9" max="9" width="2.71428571428571" style="4" customWidth="1"/>
    <col min="10" max="10" width="14.7142857142857" style="5" customWidth="1"/>
    <col min="11" max="11" width="3.71428571428571" style="4" customWidth="1"/>
    <col min="12" max="12" width="15" style="5" customWidth="1"/>
    <col min="13" max="13" width="2.71428571428571" style="5" customWidth="1"/>
    <col min="14" max="14" width="14.5714285714286" style="5" customWidth="1"/>
    <col min="15" max="15" width="3.71428571428571" style="4" customWidth="1"/>
    <col min="16" max="16" width="15" style="5" customWidth="1"/>
    <col min="17" max="17" width="2.71428571428571" style="5" customWidth="1"/>
    <col min="18" max="18" width="15" style="5" customWidth="1"/>
    <col min="19" max="19" width="5.71428571428571" style="4" customWidth="1"/>
    <col min="20" max="20" width="20.4285714285714" style="5" customWidth="1"/>
    <col min="21" max="21" width="2.71428571428571" style="5" customWidth="1"/>
    <col min="22" max="22" width="20.2857142857143" style="5" customWidth="1"/>
    <col min="23" max="23" width="3.14285714285714" style="4" customWidth="1"/>
    <col min="24" max="24" width="9.71428571428571" style="4" customWidth="1"/>
    <col min="25" max="25" width="1.71428571428571" style="4" customWidth="1"/>
    <col min="26" max="26" width="9.42857142857143" style="4" customWidth="1"/>
    <col min="27" max="16384" width="9.14285714285714" style="4"/>
  </cols>
  <sheetData>
    <row r="1" spans="1:22" ht="18.75" customHeight="1">
      <c r="A1" s="28"/>
      <c r="V1" s="4" t="s">
        <v>95</v>
      </c>
    </row>
    <row r="2" spans="22:22" ht="18.75" customHeight="1">
      <c r="V2" s="4" t="s">
        <v>97</v>
      </c>
    </row>
    <row r="7" spans="1:26" ht="18.75" customHeight="1">
      <c r="A7" s="29" t="s">
        <v>86</v>
      </c>
      <c r="B7" s="30"/>
      <c r="C7" s="30"/>
      <c r="D7" s="30"/>
      <c r="E7" s="30"/>
      <c r="F7" s="31"/>
      <c r="G7" s="30"/>
      <c r="H7" s="30"/>
      <c r="I7" s="30"/>
      <c r="J7" s="31"/>
      <c r="K7" s="30"/>
      <c r="L7" s="30"/>
      <c r="M7" s="30"/>
      <c r="N7" s="29"/>
      <c r="O7" s="31"/>
      <c r="P7" s="30"/>
      <c r="Q7" s="30"/>
      <c r="R7" s="31"/>
      <c r="S7" s="30"/>
      <c r="T7" s="30"/>
      <c r="U7" s="30"/>
      <c r="V7" s="30"/>
      <c r="W7" s="30"/>
      <c r="X7" s="30"/>
      <c r="Y7" s="30"/>
      <c r="Z7" s="30"/>
    </row>
    <row r="8" spans="1:26" ht="18" customHeight="1">
      <c r="A8" s="29" t="s">
        <v>51</v>
      </c>
      <c r="B8" s="30"/>
      <c r="C8" s="30"/>
      <c r="D8" s="30"/>
      <c r="E8" s="30"/>
      <c r="F8" s="31"/>
      <c r="G8" s="30"/>
      <c r="H8" s="30"/>
      <c r="I8" s="30"/>
      <c r="J8" s="31"/>
      <c r="K8" s="30"/>
      <c r="L8" s="31"/>
      <c r="M8" s="31"/>
      <c r="N8" s="29"/>
      <c r="O8" s="32"/>
      <c r="P8" s="30"/>
      <c r="Q8" s="30"/>
      <c r="R8" s="32"/>
      <c r="S8" s="29"/>
      <c r="T8" s="30"/>
      <c r="U8" s="30"/>
      <c r="V8" s="30"/>
      <c r="W8" s="30"/>
      <c r="X8" s="30"/>
      <c r="Y8" s="30"/>
      <c r="Z8" s="30"/>
    </row>
    <row r="9" spans="1:26" ht="18" customHeight="1">
      <c r="A9" s="29" t="s">
        <v>72</v>
      </c>
      <c r="B9" s="30"/>
      <c r="C9" s="30"/>
      <c r="D9" s="30"/>
      <c r="E9" s="30"/>
      <c r="F9" s="31"/>
      <c r="G9" s="29"/>
      <c r="H9" s="30"/>
      <c r="I9" s="30"/>
      <c r="J9" s="31"/>
      <c r="K9" s="29"/>
      <c r="L9" s="29"/>
      <c r="M9" s="31"/>
      <c r="N9" s="31"/>
      <c r="O9" s="31"/>
      <c r="P9" s="30"/>
      <c r="Q9" s="29"/>
      <c r="R9" s="32"/>
      <c r="S9" s="29"/>
      <c r="T9" s="30"/>
      <c r="U9" s="30"/>
      <c r="V9" s="30"/>
      <c r="W9" s="30"/>
      <c r="X9" s="30"/>
      <c r="Y9" s="30"/>
      <c r="Z9" s="30"/>
    </row>
    <row r="10" spans="1:26" ht="18" customHeight="1">
      <c r="A10" s="29" t="s">
        <v>112</v>
      </c>
      <c r="B10" s="30"/>
      <c r="C10" s="30"/>
      <c r="D10" s="30"/>
      <c r="E10" s="30"/>
      <c r="F10" s="30"/>
      <c r="G10" s="29"/>
      <c r="H10" s="30"/>
      <c r="I10" s="30"/>
      <c r="J10" s="30"/>
      <c r="K10" s="29"/>
      <c r="L10" s="32"/>
      <c r="M10" s="31"/>
      <c r="N10" s="31"/>
      <c r="O10" s="31"/>
      <c r="P10" s="30"/>
      <c r="Q10" s="29"/>
      <c r="R10" s="32"/>
      <c r="S10" s="29"/>
      <c r="T10" s="30"/>
      <c r="U10" s="30"/>
      <c r="V10" s="30"/>
      <c r="W10" s="30"/>
      <c r="X10" s="30"/>
      <c r="Y10" s="30"/>
      <c r="Z10" s="30"/>
    </row>
    <row r="11" spans="1:26" ht="18" customHeight="1">
      <c r="A11" s="30"/>
      <c r="B11" s="30"/>
      <c r="C11" s="30"/>
      <c r="D11" s="30"/>
      <c r="E11" s="30"/>
      <c r="F11" s="31"/>
      <c r="G11" s="30"/>
      <c r="H11" s="30"/>
      <c r="I11" s="30"/>
      <c r="J11" s="31"/>
      <c r="K11" s="30"/>
      <c r="L11" s="31"/>
      <c r="M11" s="31"/>
      <c r="N11" s="31"/>
      <c r="O11" s="31"/>
      <c r="P11" s="30"/>
      <c r="Q11" s="30"/>
      <c r="R11" s="31"/>
      <c r="S11" s="30"/>
      <c r="T11" s="30"/>
      <c r="U11" s="30"/>
      <c r="V11" s="30"/>
      <c r="W11" s="30"/>
      <c r="X11" s="30"/>
      <c r="Y11" s="30"/>
      <c r="Z11" s="30"/>
    </row>
    <row r="12" spans="1:26" ht="18.75" customHeight="1">
      <c r="A12" s="29" t="s">
        <v>58</v>
      </c>
      <c r="B12" s="30"/>
      <c r="C12" s="30"/>
      <c r="D12" s="30"/>
      <c r="E12" s="30"/>
      <c r="F12" s="31"/>
      <c r="G12" s="30"/>
      <c r="H12" s="30"/>
      <c r="I12" s="30"/>
      <c r="J12" s="31"/>
      <c r="K12" s="30"/>
      <c r="L12" s="32"/>
      <c r="M12" s="31"/>
      <c r="N12" s="32"/>
      <c r="O12" s="32"/>
      <c r="P12" s="30"/>
      <c r="Q12" s="30"/>
      <c r="R12" s="31"/>
      <c r="S12" s="30"/>
      <c r="T12" s="30"/>
      <c r="U12" s="30"/>
      <c r="V12" s="30"/>
      <c r="W12" s="30"/>
      <c r="X12" s="30"/>
      <c r="Y12" s="30"/>
      <c r="Z12" s="30"/>
    </row>
    <row r="13" spans="1:26" ht="18.75" customHeight="1">
      <c r="A13" s="30"/>
      <c r="B13" s="30"/>
      <c r="C13" s="30"/>
      <c r="D13" s="30"/>
      <c r="E13" s="30"/>
      <c r="F13" s="31"/>
      <c r="G13" s="30"/>
      <c r="H13" s="30"/>
      <c r="I13" s="30"/>
      <c r="J13" s="31"/>
      <c r="K13" s="30"/>
      <c r="L13" s="30"/>
      <c r="M13" s="31"/>
      <c r="N13" s="30"/>
      <c r="O13" s="32"/>
      <c r="P13" s="30"/>
      <c r="Q13" s="30"/>
      <c r="R13" s="31"/>
      <c r="S13" s="30"/>
      <c r="T13" s="30"/>
      <c r="U13" s="30"/>
      <c r="V13" s="30"/>
      <c r="W13" s="30"/>
      <c r="X13" s="30"/>
      <c r="Y13" s="30"/>
      <c r="Z13" s="30"/>
    </row>
    <row r="14" spans="1:1" ht="18.75" customHeight="1">
      <c r="A14" s="4" t="s">
        <v>0</v>
      </c>
    </row>
    <row r="15" spans="1:1" ht="18.75" customHeight="1">
      <c r="A15" s="4" t="s">
        <v>1</v>
      </c>
    </row>
    <row r="16" ht="15" customHeight="1"/>
    <row r="17" spans="4:26" s="6" customFormat="1" ht="18.75" customHeight="1">
      <c r="D17" s="6" t="s">
        <v>75</v>
      </c>
      <c r="F17" s="6" t="s">
        <v>76</v>
      </c>
      <c r="H17" s="6" t="s">
        <v>42</v>
      </c>
      <c r="J17" s="6" t="s">
        <v>81</v>
      </c>
      <c r="L17" s="6" t="s">
        <v>43</v>
      </c>
      <c r="N17" s="6" t="s">
        <v>44</v>
      </c>
      <c r="P17" s="6" t="s">
        <v>82</v>
      </c>
      <c r="R17" s="6" t="s">
        <v>83</v>
      </c>
      <c r="T17" s="6" t="s">
        <v>84</v>
      </c>
      <c r="V17" s="6" t="s">
        <v>85</v>
      </c>
      <c r="X17" s="6" t="s">
        <v>91</v>
      </c>
      <c r="Z17" s="6" t="s">
        <v>92</v>
      </c>
    </row>
    <row r="18" spans="4:6" s="6" customFormat="1" ht="18.75" customHeight="1">
      <c r="D18" s="6" t="s">
        <v>77</v>
      </c>
      <c r="F18" s="6" t="s">
        <v>77</v>
      </c>
    </row>
    <row r="19" spans="1:24" ht="18.75" customHeight="1">
      <c r="A19" s="4" t="s">
        <v>2</v>
      </c>
      <c r="D19" s="5" t="s">
        <v>79</v>
      </c>
      <c r="F19" s="5" t="s">
        <v>79</v>
      </c>
      <c r="H19" s="5" t="s">
        <v>6</v>
      </c>
      <c r="I19" s="5"/>
      <c r="J19" s="5" t="s">
        <v>89</v>
      </c>
      <c r="L19" s="5" t="s">
        <v>4</v>
      </c>
      <c r="M19" s="4" t="s">
        <v>5</v>
      </c>
      <c r="N19" s="5" t="s">
        <v>4</v>
      </c>
      <c r="P19" s="5" t="s">
        <v>3</v>
      </c>
      <c r="R19" s="5" t="s">
        <v>3</v>
      </c>
      <c r="T19" s="5" t="s">
        <v>7</v>
      </c>
      <c r="V19" s="5" t="s">
        <v>8</v>
      </c>
      <c r="X19" s="4" t="s">
        <v>94</v>
      </c>
    </row>
    <row r="20" spans="1:26" ht="18.75" customHeight="1">
      <c r="A20" s="33" t="s">
        <v>9</v>
      </c>
      <c r="B20" s="33" t="s">
        <v>10</v>
      </c>
      <c r="D20" s="27" t="s">
        <v>78</v>
      </c>
      <c r="F20" s="27" t="s">
        <v>80</v>
      </c>
      <c r="H20" s="27" t="s">
        <v>11</v>
      </c>
      <c r="I20" s="5"/>
      <c r="J20" s="27" t="s">
        <v>12</v>
      </c>
      <c r="L20" s="27" t="s">
        <v>11</v>
      </c>
      <c r="M20" s="4"/>
      <c r="N20" s="27" t="s">
        <v>12</v>
      </c>
      <c r="P20" s="27" t="s">
        <v>11</v>
      </c>
      <c r="R20" s="27" t="s">
        <v>12</v>
      </c>
      <c r="T20" s="27" t="s">
        <v>13</v>
      </c>
      <c r="V20" s="27" t="s">
        <v>14</v>
      </c>
      <c r="X20" s="34" t="s">
        <v>15</v>
      </c>
      <c r="Z20" s="34" t="s">
        <v>93</v>
      </c>
    </row>
    <row r="21" spans="13:26" ht="18.75" customHeight="1">
      <c r="M21" s="4"/>
      <c r="X21" s="35"/>
      <c r="Y21" s="35"/>
      <c r="Z21" s="35"/>
    </row>
    <row r="22" spans="1:26" ht="25" customHeight="1">
      <c r="A22" s="36">
        <v>1</v>
      </c>
      <c r="B22" s="36" t="s">
        <v>17</v>
      </c>
      <c r="D22" s="5">
        <f>'[1]Demand Loss Factor'!$G$54*F22</f>
        <v>34014382.155618154</v>
      </c>
      <c r="E22" s="5"/>
      <c r="F22" s="51">
        <v>32742492</v>
      </c>
      <c r="G22" s="5"/>
      <c r="H22" s="5">
        <f>'[1]Demand Loss Factor'!$G$54*J22</f>
        <v>9689978.3222168665</v>
      </c>
      <c r="I22" s="5"/>
      <c r="J22" s="43">
        <v>9327643.7080000006</v>
      </c>
      <c r="K22" s="5"/>
      <c r="L22" s="5">
        <f>'[1]Demand Loss Factor'!$G$54*N22</f>
        <v>9415346.0432117768</v>
      </c>
      <c r="N22" s="5">
        <v>9063280.6760000009</v>
      </c>
      <c r="O22" s="5"/>
      <c r="P22" s="5">
        <f>'[1]Demand Loss Factor'!$G$54*R22</f>
        <v>9413484.4283756055</v>
      </c>
      <c r="R22" s="5">
        <v>9061488.6720000003</v>
      </c>
      <c r="S22" s="5"/>
      <c r="T22" s="5">
        <f>'[1]Energy Loss Factor'!$G$54*V22</f>
        <v>4036335266.8924732</v>
      </c>
      <c r="V22" s="45">
        <f>[2]RES!$I$16</f>
        <v>3891654035</v>
      </c>
      <c r="W22" s="48"/>
      <c r="X22" s="49">
        <f>N22/J22</f>
        <v>0.97165811213680209</v>
      </c>
      <c r="Y22" s="49"/>
      <c r="Z22" s="47">
        <v>0.57005942451255032</v>
      </c>
    </row>
    <row r="23" spans="1:26" ht="25" customHeight="1">
      <c r="A23" s="36">
        <v>2</v>
      </c>
      <c r="B23" s="36" t="s">
        <v>18</v>
      </c>
      <c r="D23" s="5">
        <f>'[1]Demand Loss Factor'!$G$54*F23</f>
        <v>38067568.816141061</v>
      </c>
      <c r="E23" s="5"/>
      <c r="F23" s="43">
        <v>36644119</v>
      </c>
      <c r="G23" s="5"/>
      <c r="H23" s="5">
        <f>'[1]Demand Loss Factor'!$G$54*J23</f>
        <v>15323220.831458662</v>
      </c>
      <c r="I23" s="5"/>
      <c r="J23" s="43">
        <v>14750243.976</v>
      </c>
      <c r="K23" s="5"/>
      <c r="L23" s="5">
        <f>'[1]Demand Loss Factor'!$G$54*N23</f>
        <v>15282316.117061582</v>
      </c>
      <c r="N23" s="5">
        <v>14710868.800000001</v>
      </c>
      <c r="O23" s="5"/>
      <c r="P23" s="5">
        <f>'[1]Demand Loss Factor'!$G$54*R23</f>
        <v>15295621.576330569</v>
      </c>
      <c r="R23" s="5">
        <v>14723676.732000001</v>
      </c>
      <c r="S23" s="5"/>
      <c r="T23" s="5">
        <f>'[1]Energy Loss Factor'!$G$54*V23</f>
        <v>3977683061.0965257</v>
      </c>
      <c r="V23" s="45">
        <f>[2]RES!$I$18</f>
        <v>3835104200</v>
      </c>
      <c r="W23" s="48"/>
      <c r="X23" s="49">
        <f t="shared" si="0" ref="X23:X33">N23/J23</f>
        <v>0.9973305406972206</v>
      </c>
      <c r="Y23" s="49"/>
      <c r="Z23" s="47">
        <v>0.44910690229122746</v>
      </c>
    </row>
    <row r="24" spans="1:26" ht="25" customHeight="1">
      <c r="A24" s="36">
        <v>3</v>
      </c>
      <c r="B24" s="36" t="s">
        <v>19</v>
      </c>
      <c r="D24" s="5">
        <f>'[1]Demand Loss Factor'!$G$54*F24</f>
        <v>30724527.554540955</v>
      </c>
      <c r="E24" s="5"/>
      <c r="F24" s="43">
        <v>29575654</v>
      </c>
      <c r="G24" s="5"/>
      <c r="H24" s="5">
        <f>'[1]Demand Loss Factor'!$G$54*J24</f>
        <v>6499678.546521117</v>
      </c>
      <c r="I24" s="5"/>
      <c r="J24" s="43">
        <v>6256637.9079999998</v>
      </c>
      <c r="K24" s="5"/>
      <c r="L24" s="5">
        <f>'[1]Demand Loss Factor'!$G$54*N24</f>
        <v>6499678.546521117</v>
      </c>
      <c r="N24" s="5">
        <v>6256637.9079999998</v>
      </c>
      <c r="O24" s="5"/>
      <c r="P24" s="5">
        <f>'[1]Demand Loss Factor'!$G$54*R24</f>
        <v>4853393.712102741</v>
      </c>
      <c r="R24" s="5">
        <v>4671912.1359999999</v>
      </c>
      <c r="S24" s="5"/>
      <c r="T24" s="5">
        <f>'[1]Energy Loss Factor'!$G$54*V24</f>
        <v>4457639451.5375004</v>
      </c>
      <c r="V24" s="45">
        <f>[2]RES!$I$20</f>
        <v>4297856697</v>
      </c>
      <c r="W24" s="48"/>
      <c r="X24" s="49">
        <f t="shared" si="0"/>
        <v>1</v>
      </c>
      <c r="Y24" s="49"/>
      <c r="Z24" s="47">
        <v>0.54747399347944514</v>
      </c>
    </row>
    <row r="25" spans="1:26" ht="25" customHeight="1">
      <c r="A25" s="36">
        <v>4</v>
      </c>
      <c r="B25" s="36" t="s">
        <v>20</v>
      </c>
      <c r="D25" s="5">
        <f>'[1]Demand Loss Factor'!$G$54*F25</f>
        <v>29783836.562785447</v>
      </c>
      <c r="E25" s="5"/>
      <c r="F25" s="43">
        <v>28670138</v>
      </c>
      <c r="G25" s="5"/>
      <c r="H25" s="5">
        <f>'[1]Demand Loss Factor'!$G$54*J25</f>
        <v>6425623.1001967313</v>
      </c>
      <c r="I25" s="5"/>
      <c r="J25" s="43">
        <v>6185351.5959999999</v>
      </c>
      <c r="K25" s="5"/>
      <c r="L25" s="5">
        <f>'[1]Demand Loss Factor'!$G$54*N25</f>
        <v>6345153.1002873974</v>
      </c>
      <c r="N25" s="5">
        <v>6107890.5880000005</v>
      </c>
      <c r="O25" s="5"/>
      <c r="P25" s="5">
        <f>'[1]Demand Loss Factor'!$G$54*R25</f>
        <v>5914306.4287584405</v>
      </c>
      <c r="R25" s="5">
        <v>5693154.4440000001</v>
      </c>
      <c r="S25" s="5"/>
      <c r="T25" s="5">
        <f>'[1]Energy Loss Factor'!$G$54*V25</f>
        <v>2555291060.7462716</v>
      </c>
      <c r="V25" s="45">
        <f>[2]RES!$I$22</f>
        <v>2463697416</v>
      </c>
      <c r="W25" s="48"/>
      <c r="X25" s="49">
        <f t="shared" si="0"/>
        <v>0.98747670091218542</v>
      </c>
      <c r="Y25" s="49"/>
      <c r="Z25" s="47">
        <v>0.55232350751821513</v>
      </c>
    </row>
    <row r="26" spans="1:26" ht="25" customHeight="1">
      <c r="A26" s="36">
        <v>5</v>
      </c>
      <c r="B26" s="36" t="s">
        <v>21</v>
      </c>
      <c r="D26" s="5">
        <f>'[1]Demand Loss Factor'!$G$54*F26</f>
        <v>28647806.305202778</v>
      </c>
      <c r="E26" s="5"/>
      <c r="F26" s="43">
        <v>27576587</v>
      </c>
      <c r="G26" s="5"/>
      <c r="H26" s="5">
        <f>'[1]Demand Loss Factor'!$G$54*J26</f>
        <v>9086243.5925078355</v>
      </c>
      <c r="I26" s="5"/>
      <c r="J26" s="43">
        <v>8746484.2599999998</v>
      </c>
      <c r="K26" s="5"/>
      <c r="L26" s="5">
        <f>'[1]Demand Loss Factor'!$G$54*N26</f>
        <v>8794566.6263446286</v>
      </c>
      <c r="N26" s="5">
        <v>8465713.8880000003</v>
      </c>
      <c r="O26" s="5"/>
      <c r="P26" s="5">
        <f>'[1]Demand Loss Factor'!$G$54*R26</f>
        <v>8794566.6263446286</v>
      </c>
      <c r="R26" s="5">
        <v>8465713.8880000003</v>
      </c>
      <c r="S26" s="5"/>
      <c r="T26" s="5">
        <f>'[1]Energy Loss Factor'!$G$54*V26</f>
        <v>2721303420.1782737</v>
      </c>
      <c r="V26" s="45">
        <f>[2]RES!$I$24</f>
        <v>2623759112</v>
      </c>
      <c r="W26" s="48"/>
      <c r="X26" s="49">
        <f t="shared" si="0"/>
        <v>0.96789905936445375</v>
      </c>
      <c r="Y26" s="49"/>
      <c r="Z26" s="47">
        <v>0.45958072345645401</v>
      </c>
    </row>
    <row r="27" spans="1:26" ht="25" customHeight="1">
      <c r="A27" s="36">
        <v>6</v>
      </c>
      <c r="B27" s="36" t="s">
        <v>22</v>
      </c>
      <c r="D27" s="5">
        <f>'[1]Demand Loss Factor'!$G$54*F27</f>
        <v>30048625.749841861</v>
      </c>
      <c r="E27" s="5"/>
      <c r="F27" s="43">
        <v>28925026</v>
      </c>
      <c r="G27" s="5"/>
      <c r="H27" s="5">
        <f>'[1]Demand Loss Factor'!$G$54*J27</f>
        <v>11853884.280683933</v>
      </c>
      <c r="I27" s="5"/>
      <c r="J27" s="44">
        <v>11410635.344000001</v>
      </c>
      <c r="K27" s="5"/>
      <c r="L27" s="5">
        <f>'[1]Demand Loss Factor'!$G$54*N27</f>
        <v>10950002.447361628</v>
      </c>
      <c r="N27" s="37">
        <v>10540552.107999999</v>
      </c>
      <c r="O27" s="5"/>
      <c r="P27" s="5">
        <f>'[1]Demand Loss Factor'!$G$54*R27</f>
        <v>10604321.131863246</v>
      </c>
      <c r="Q27" s="37"/>
      <c r="R27" s="37">
        <v>10207796.755999999</v>
      </c>
      <c r="S27" s="5"/>
      <c r="T27" s="5">
        <f>'[1]Energy Loss Factor'!$G$54*V27</f>
        <v>3421701737.6421404</v>
      </c>
      <c r="V27" s="45">
        <f>[2]RES!$I$26</f>
        <v>3299051861</v>
      </c>
      <c r="W27" s="48"/>
      <c r="X27" s="49">
        <f t="shared" si="0"/>
        <v>0.92374804646986519</v>
      </c>
      <c r="Y27" s="49"/>
      <c r="Z27" s="47">
        <v>0.54510447060297507</v>
      </c>
    </row>
    <row r="28" spans="1:26" ht="25" customHeight="1">
      <c r="A28" s="36">
        <v>7</v>
      </c>
      <c r="B28" s="36" t="s">
        <v>23</v>
      </c>
      <c r="D28" s="5">
        <f>'[1]Demand Loss Factor'!$G$54*F28</f>
        <v>30140552.126813062</v>
      </c>
      <c r="E28" s="5"/>
      <c r="F28" s="43">
        <v>29013515</v>
      </c>
      <c r="G28" s="5"/>
      <c r="H28" s="5">
        <f>'[1]Demand Loss Factor'!$G$54*J28</f>
        <v>12486168.015243357</v>
      </c>
      <c r="I28" s="5"/>
      <c r="J28" s="43">
        <v>12019276.272</v>
      </c>
      <c r="K28" s="5"/>
      <c r="L28" s="5">
        <f>'[1]Demand Loss Factor'!$G$54*N28</f>
        <v>11415133.920774492</v>
      </c>
      <c r="N28" s="5">
        <v>10988291.051999999</v>
      </c>
      <c r="O28" s="5"/>
      <c r="P28" s="5">
        <f>'[1]Demand Loss Factor'!$G$54*R28</f>
        <v>12242893.354784923</v>
      </c>
      <c r="R28" s="5">
        <v>11785098.312000001</v>
      </c>
      <c r="S28" s="5"/>
      <c r="T28" s="5">
        <f>'[1]Energy Loss Factor'!$G$54*V28</f>
        <v>5050115118.8455935</v>
      </c>
      <c r="V28" s="45">
        <f>[2]RES!$I$28</f>
        <v>4869095251</v>
      </c>
      <c r="W28" s="48"/>
      <c r="X28" s="49">
        <f t="shared" si="0"/>
        <v>0.91422235443561817</v>
      </c>
      <c r="Y28" s="49"/>
      <c r="Z28" s="47">
        <v>0.56409166357694951</v>
      </c>
    </row>
    <row r="29" spans="1:26" ht="25" customHeight="1">
      <c r="A29" s="36">
        <v>8</v>
      </c>
      <c r="B29" s="36" t="s">
        <v>24</v>
      </c>
      <c r="D29" s="5">
        <f>'[1]Demand Loss Factor'!$G$54*F29</f>
        <v>30160941.542455841</v>
      </c>
      <c r="E29" s="5"/>
      <c r="F29" s="43">
        <v>29033142</v>
      </c>
      <c r="G29" s="5"/>
      <c r="H29" s="5">
        <f>'[1]Demand Loss Factor'!$G$54*J29</f>
        <v>12250472.042507893</v>
      </c>
      <c r="I29" s="5"/>
      <c r="J29" s="43">
        <v>11792393.612</v>
      </c>
      <c r="K29" s="5"/>
      <c r="L29" s="5">
        <f>'[1]Demand Loss Factor'!$G$54*N29</f>
        <v>11658806.940986332</v>
      </c>
      <c r="N29" s="5">
        <v>11222852.476</v>
      </c>
      <c r="O29" s="5"/>
      <c r="P29" s="5">
        <f>'[1]Demand Loss Factor'!$G$54*R29</f>
        <v>11811515.143542029</v>
      </c>
      <c r="R29" s="5">
        <v>11369850.504000001</v>
      </c>
      <c r="S29" s="5"/>
      <c r="T29" s="5">
        <f>'[1]Energy Loss Factor'!$G$54*V29</f>
        <v>5208420080.9217587</v>
      </c>
      <c r="V29" s="45">
        <f>[2]RES!$I$30</f>
        <v>5021725819</v>
      </c>
      <c r="W29" s="48"/>
      <c r="X29" s="49">
        <f t="shared" si="0"/>
        <v>0.95170266913237767</v>
      </c>
      <c r="Y29" s="49"/>
      <c r="Z29" s="47">
        <v>0.59349815788135563</v>
      </c>
    </row>
    <row r="30" spans="1:26" ht="25" customHeight="1">
      <c r="A30" s="36">
        <v>9</v>
      </c>
      <c r="B30" s="36" t="s">
        <v>25</v>
      </c>
      <c r="D30" s="5">
        <f>'[1]Demand Loss Factor'!$G$54*F30</f>
        <v>29463434.87317618</v>
      </c>
      <c r="E30" s="5"/>
      <c r="F30" s="43">
        <v>28361717</v>
      </c>
      <c r="G30" s="5"/>
      <c r="H30" s="5">
        <f>'[1]Demand Loss Factor'!$G$54*J30</f>
        <v>12224284.220706316</v>
      </c>
      <c r="I30" s="5"/>
      <c r="J30" s="43">
        <v>11767185.024</v>
      </c>
      <c r="K30" s="5"/>
      <c r="L30" s="5">
        <f>'[1]Demand Loss Factor'!$G$54*N30</f>
        <v>11864491.422534118</v>
      </c>
      <c r="N30" s="5">
        <v>11420845.856000001</v>
      </c>
      <c r="O30" s="5"/>
      <c r="P30" s="5">
        <f>'[1]Demand Loss Factor'!$G$54*R30</f>
        <v>12050483.167148745</v>
      </c>
      <c r="R30" s="5">
        <v>11599882.864</v>
      </c>
      <c r="S30" s="5"/>
      <c r="T30" s="5">
        <f>'[1]Energy Loss Factor'!$G$54*V30</f>
        <v>5219922129.4140291</v>
      </c>
      <c r="V30" s="45">
        <f>[2]RES!$I$32</f>
        <v>5032815580</v>
      </c>
      <c r="W30" s="48"/>
      <c r="X30" s="49">
        <f t="shared" si="0"/>
        <v>0.97056737297037343</v>
      </c>
      <c r="Y30" s="49"/>
      <c r="Z30" s="47">
        <v>0.50562196956737659</v>
      </c>
    </row>
    <row r="31" spans="1:26" ht="25" customHeight="1">
      <c r="A31" s="36">
        <v>10</v>
      </c>
      <c r="B31" s="36" t="s">
        <v>26</v>
      </c>
      <c r="D31" s="5">
        <f>'[1]Demand Loss Factor'!$G$54*F31</f>
        <v>28826149.02396052</v>
      </c>
      <c r="E31" s="5"/>
      <c r="F31" s="43">
        <v>27748261</v>
      </c>
      <c r="G31" s="5"/>
      <c r="H31" s="5">
        <f>'[1]Demand Loss Factor'!$G$54*J31</f>
        <v>9176456.3360704631</v>
      </c>
      <c r="I31" s="5"/>
      <c r="J31" s="43">
        <v>8833323.7039999999</v>
      </c>
      <c r="K31" s="5"/>
      <c r="L31" s="5">
        <f>'[1]Demand Loss Factor'!$G$54*N31</f>
        <v>8653751.581256777</v>
      </c>
      <c r="N31" s="5">
        <v>8330164.2999999998</v>
      </c>
      <c r="O31" s="5"/>
      <c r="P31" s="5">
        <f>'[1]Demand Loss Factor'!$G$54*R31</f>
        <v>8653751.581256777</v>
      </c>
      <c r="R31" s="5">
        <v>8330164.2999999998</v>
      </c>
      <c r="S31" s="5"/>
      <c r="T31" s="5">
        <f>'[1]Energy Loss Factor'!$G$54*V31</f>
        <v>4019321623.9433413</v>
      </c>
      <c r="V31" s="45">
        <f>[2]RES!$I$34</f>
        <v>3875250241</v>
      </c>
      <c r="W31" s="48"/>
      <c r="X31" s="49">
        <f t="shared" si="0"/>
        <v>0.94303849594324796</v>
      </c>
      <c r="Y31" s="49"/>
      <c r="Z31" s="47">
        <v>0.47222702486156187</v>
      </c>
    </row>
    <row r="32" spans="1:26" ht="25" customHeight="1">
      <c r="A32" s="36">
        <v>11</v>
      </c>
      <c r="B32" s="36" t="s">
        <v>27</v>
      </c>
      <c r="D32" s="5">
        <f>'[1]Demand Loss Factor'!$G$54*F32</f>
        <v>31249333.473593768</v>
      </c>
      <c r="E32" s="5"/>
      <c r="F32" s="43">
        <v>30080836</v>
      </c>
      <c r="G32" s="5"/>
      <c r="H32" s="5">
        <f>'[1]Demand Loss Factor'!$G$54*J32</f>
        <v>6004799.3322623838</v>
      </c>
      <c r="I32" s="5"/>
      <c r="J32" s="5">
        <v>5780263.5719999997</v>
      </c>
      <c r="K32" s="5"/>
      <c r="L32" s="5">
        <f>'[1]Demand Loss Factor'!$G$54*N32</f>
        <v>6003731.2746880902</v>
      </c>
      <c r="N32" s="5">
        <v>5779235.4519999996</v>
      </c>
      <c r="O32" s="5"/>
      <c r="P32" s="5">
        <f>'[1]Demand Loss Factor'!$G$54*R32</f>
        <v>4169789.8962838389</v>
      </c>
      <c r="R32" s="5">
        <v>4013870.1239999998</v>
      </c>
      <c r="S32" s="5"/>
      <c r="T32" s="5">
        <f>'[1]Energy Loss Factor'!$G$54*V32</f>
        <v>2901506472.7673955</v>
      </c>
      <c r="V32" s="45">
        <f>[2]RES!$I$36</f>
        <v>2797502840</v>
      </c>
      <c r="W32" s="48"/>
      <c r="X32" s="49">
        <f t="shared" si="0"/>
        <v>0.99982213267834696</v>
      </c>
      <c r="Y32" s="49"/>
      <c r="Z32" s="47">
        <v>0.62773511997306475</v>
      </c>
    </row>
    <row r="33" spans="1:26" ht="25" customHeight="1" thickBot="1">
      <c r="A33" s="36">
        <v>12</v>
      </c>
      <c r="B33" s="36" t="s">
        <v>28</v>
      </c>
      <c r="D33" s="5">
        <f>'[1]Demand Loss Factor'!$G$54*F33</f>
        <v>32683380.383425403</v>
      </c>
      <c r="E33" s="5"/>
      <c r="F33" s="43">
        <v>31461260</v>
      </c>
      <c r="G33" s="5"/>
      <c r="H33" s="5">
        <f>'[1]Demand Loss Factor'!$G$54*J33</f>
        <v>7361239.2913718335</v>
      </c>
      <c r="I33" s="5"/>
      <c r="J33" s="43">
        <v>7085982.5559999999</v>
      </c>
      <c r="K33" s="5"/>
      <c r="L33" s="5">
        <f>'[1]Demand Loss Factor'!$G$54*N33</f>
        <v>6937832.9375344645</v>
      </c>
      <c r="N33" s="5">
        <v>6678408.5159999998</v>
      </c>
      <c r="O33" s="5"/>
      <c r="P33" s="5">
        <f>'[1]Demand Loss Factor'!$G$54*R33</f>
        <v>5035636.176961638</v>
      </c>
      <c r="R33" s="5">
        <v>4847340.0599999996</v>
      </c>
      <c r="S33" s="5"/>
      <c r="T33" s="38">
        <f>'[1]Energy Loss Factor'!$G$54*V33</f>
        <v>2869219033.1389394</v>
      </c>
      <c r="V33" s="50">
        <f>[2]RES!$I$38</f>
        <v>2766372734</v>
      </c>
      <c r="W33" s="48"/>
      <c r="X33" s="49">
        <f t="shared" si="0"/>
        <v>0.94248164784784993</v>
      </c>
      <c r="Y33" s="49"/>
      <c r="Z33" s="47">
        <v>0.556000843772812</v>
      </c>
    </row>
    <row r="34" spans="1:22" ht="25" customHeight="1" thickTop="1">
      <c r="A34" s="36">
        <v>13</v>
      </c>
      <c r="E34" s="5"/>
      <c r="G34" s="5"/>
      <c r="I34" s="5"/>
      <c r="K34" s="5"/>
      <c r="O34" s="5"/>
      <c r="S34" s="5"/>
      <c r="T34" s="37">
        <f>+SUM(T22:T33)</f>
        <v>46438458457.124245</v>
      </c>
      <c r="U34" s="37"/>
      <c r="V34" s="37">
        <f>+SUM(V22:V33)</f>
        <v>44773885786</v>
      </c>
    </row>
    <row r="35" spans="1:22" ht="25" customHeight="1">
      <c r="A35" s="36"/>
      <c r="E35" s="5"/>
      <c r="G35" s="5"/>
      <c r="I35" s="5"/>
      <c r="K35" s="5"/>
      <c r="O35" s="5"/>
      <c r="S35" s="5"/>
      <c r="T35" s="37"/>
      <c r="U35" s="37"/>
      <c r="V35" s="37"/>
    </row>
    <row r="36" spans="5:22" ht="18.75" customHeight="1">
      <c r="E36" s="5"/>
      <c r="G36" s="5"/>
      <c r="I36" s="5"/>
      <c r="K36" s="5"/>
      <c r="O36" s="5"/>
      <c r="S36" s="5"/>
      <c r="T36" s="37"/>
      <c r="U36" s="37"/>
      <c r="V36" s="37"/>
    </row>
    <row r="37" spans="1:19" ht="15" customHeight="1">
      <c r="A37" s="4" t="s">
        <v>87</v>
      </c>
      <c r="E37" s="5"/>
      <c r="G37" s="5"/>
      <c r="I37" s="5"/>
      <c r="K37" s="5"/>
      <c r="O37" s="5"/>
      <c r="S37" s="5"/>
    </row>
    <row r="38" spans="1:19" ht="15" customHeight="1">
      <c r="A38" s="4" t="s">
        <v>29</v>
      </c>
      <c r="E38" s="5"/>
      <c r="G38" s="5"/>
      <c r="I38" s="5"/>
      <c r="K38" s="5"/>
      <c r="O38" s="5"/>
      <c r="S38" s="5"/>
    </row>
    <row r="39" spans="1:19" ht="15" customHeight="1">
      <c r="A39" s="6" t="s">
        <v>30</v>
      </c>
      <c r="E39" s="5"/>
      <c r="G39" s="5"/>
      <c r="I39" s="5"/>
      <c r="K39" s="5"/>
      <c r="O39" s="5"/>
      <c r="S39" s="5"/>
    </row>
    <row r="40" spans="1:19" ht="15" customHeight="1">
      <c r="A40" s="6"/>
      <c r="E40" s="5"/>
      <c r="G40" s="5"/>
      <c r="I40" s="5"/>
      <c r="K40" s="5"/>
      <c r="O40" s="5"/>
      <c r="S40" s="5"/>
    </row>
    <row r="41" spans="1:19" ht="15" customHeight="1">
      <c r="A41" s="6"/>
      <c r="E41" s="5"/>
      <c r="G41" s="5"/>
      <c r="I41" s="5"/>
      <c r="K41" s="5"/>
      <c r="O41" s="5"/>
      <c r="S41" s="5"/>
    </row>
  </sheetData>
  <pageMargins left="0.5" right="1" top="1.5" bottom="0.5" header="0.5" footer="0.5"/>
  <pageSetup orientation="landscape" scale="50" r:id="rId1"/>
  <headerFooter alignWithMargins="0"/>
  <ignoredErrors>
    <ignoredError sqref="X24:X25" evalError="1" calculatedColumn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Z40"/>
  <sheetViews>
    <sheetView zoomScale="75" zoomScaleNormal="75" workbookViewId="0" topLeftCell="A1">
      <selection pane="topLeft" activeCell="P22" sqref="P22"/>
    </sheetView>
  </sheetViews>
  <sheetFormatPr defaultColWidth="9.18428571428571" defaultRowHeight="18.75" customHeight="1"/>
  <cols>
    <col min="1" max="1" width="4.71428571428571" style="4" customWidth="1"/>
    <col min="2" max="3" width="7.71428571428571" style="4" customWidth="1"/>
    <col min="4" max="4" width="20.5714285714286" style="5" customWidth="1"/>
    <col min="5" max="5" width="2.71428571428571" style="4" customWidth="1"/>
    <col min="6" max="6" width="20.8571428571429" style="5" customWidth="1"/>
    <col min="7" max="7" width="5.71428571428571" style="4" customWidth="1"/>
    <col min="8" max="8" width="13.8571428571429" style="5" customWidth="1"/>
    <col min="9" max="9" width="2.71428571428571" style="4" customWidth="1"/>
    <col min="10" max="10" width="14.8571428571429" style="5" customWidth="1"/>
    <col min="11" max="11" width="5.71428571428571" style="4" customWidth="1"/>
    <col min="12" max="12" width="12.7142857142857" style="5" customWidth="1"/>
    <col min="13" max="13" width="2.71428571428571" style="5" customWidth="1"/>
    <col min="14" max="14" width="13.2857142857143" style="5" customWidth="1"/>
    <col min="15" max="15" width="5.71428571428571" style="4" customWidth="1"/>
    <col min="16" max="16" width="12.7142857142857" style="5" customWidth="1"/>
    <col min="17" max="17" width="2.71428571428571" style="5" customWidth="1"/>
    <col min="18" max="18" width="13.8571428571429" style="5" customWidth="1"/>
    <col min="19" max="19" width="5.71428571428571" style="4" customWidth="1"/>
    <col min="20" max="20" width="18.7142857142857" style="5" customWidth="1"/>
    <col min="21" max="21" width="2.71428571428571" style="5" customWidth="1"/>
    <col min="22" max="22" width="18.8571428571429" style="5" customWidth="1"/>
    <col min="23" max="23" width="3.71428571428571" style="4" customWidth="1"/>
    <col min="24" max="24" width="9.71428571428571" style="4" customWidth="1"/>
    <col min="25" max="25" width="1.71428571428571" style="4" customWidth="1"/>
    <col min="26" max="26" width="9.71428571428571" style="35" customWidth="1"/>
    <col min="27" max="16384" width="9.14285714285714" style="4"/>
  </cols>
  <sheetData>
    <row r="1" spans="1:22" ht="18.75" customHeight="1">
      <c r="A1" s="28"/>
      <c r="V1" s="4" t="s">
        <v>95</v>
      </c>
    </row>
    <row r="2" spans="22:22" ht="18.75" customHeight="1">
      <c r="V2" s="4" t="s">
        <v>90</v>
      </c>
    </row>
    <row r="7" spans="1:26" ht="18.75" customHeight="1">
      <c r="A7" s="29" t="s">
        <v>86</v>
      </c>
      <c r="B7" s="30"/>
      <c r="C7" s="30"/>
      <c r="D7" s="30"/>
      <c r="E7" s="30"/>
      <c r="F7" s="31"/>
      <c r="G7" s="30"/>
      <c r="H7" s="30"/>
      <c r="I7" s="30"/>
      <c r="J7" s="31"/>
      <c r="K7" s="30"/>
      <c r="L7" s="30"/>
      <c r="M7" s="30"/>
      <c r="N7" s="29"/>
      <c r="O7" s="31"/>
      <c r="P7" s="30"/>
      <c r="Q7" s="30"/>
      <c r="R7" s="31"/>
      <c r="S7" s="30"/>
      <c r="T7" s="30"/>
      <c r="U7" s="30"/>
      <c r="V7" s="30"/>
      <c r="W7" s="30"/>
      <c r="X7" s="30"/>
      <c r="Y7" s="30"/>
      <c r="Z7" s="41"/>
    </row>
    <row r="8" spans="1:26" ht="18" customHeight="1">
      <c r="A8" s="29" t="s">
        <v>51</v>
      </c>
      <c r="B8" s="30"/>
      <c r="C8" s="30"/>
      <c r="D8" s="30"/>
      <c r="E8" s="30"/>
      <c r="F8" s="31"/>
      <c r="G8" s="30"/>
      <c r="H8" s="30"/>
      <c r="I8" s="30"/>
      <c r="J8" s="31"/>
      <c r="K8" s="30"/>
      <c r="L8" s="31"/>
      <c r="M8" s="31"/>
      <c r="N8" s="29"/>
      <c r="O8" s="32"/>
      <c r="P8" s="30"/>
      <c r="Q8" s="30"/>
      <c r="R8" s="32"/>
      <c r="S8" s="29"/>
      <c r="T8" s="30"/>
      <c r="U8" s="30"/>
      <c r="V8" s="30"/>
      <c r="W8" s="30"/>
      <c r="X8" s="30"/>
      <c r="Y8" s="30"/>
      <c r="Z8" s="41"/>
    </row>
    <row r="9" spans="1:26" ht="18" customHeight="1">
      <c r="A9" s="29" t="s">
        <v>72</v>
      </c>
      <c r="B9" s="30"/>
      <c r="C9" s="30"/>
      <c r="D9" s="30"/>
      <c r="E9" s="30"/>
      <c r="F9" s="31"/>
      <c r="G9" s="29"/>
      <c r="H9" s="30"/>
      <c r="I9" s="30"/>
      <c r="J9" s="31"/>
      <c r="K9" s="29"/>
      <c r="L9" s="29"/>
      <c r="M9" s="31"/>
      <c r="N9" s="31"/>
      <c r="O9" s="31"/>
      <c r="P9" s="30"/>
      <c r="Q9" s="29"/>
      <c r="R9" s="32"/>
      <c r="S9" s="29"/>
      <c r="T9" s="30"/>
      <c r="U9" s="30"/>
      <c r="V9" s="30"/>
      <c r="W9" s="30"/>
      <c r="X9" s="30"/>
      <c r="Y9" s="30"/>
      <c r="Z9" s="41"/>
    </row>
    <row r="10" spans="1:26" ht="18" customHeight="1">
      <c r="A10" s="29" t="s">
        <v>112</v>
      </c>
      <c r="B10" s="30"/>
      <c r="C10" s="30"/>
      <c r="D10" s="30"/>
      <c r="E10" s="30"/>
      <c r="F10" s="30"/>
      <c r="G10" s="29"/>
      <c r="H10" s="30"/>
      <c r="I10" s="30"/>
      <c r="J10" s="30"/>
      <c r="K10" s="29"/>
      <c r="L10" s="32"/>
      <c r="M10" s="31"/>
      <c r="N10" s="31"/>
      <c r="O10" s="31"/>
      <c r="P10" s="30"/>
      <c r="Q10" s="29"/>
      <c r="R10" s="32"/>
      <c r="S10" s="29"/>
      <c r="T10" s="30"/>
      <c r="U10" s="30"/>
      <c r="V10" s="30"/>
      <c r="W10" s="30"/>
      <c r="X10" s="30"/>
      <c r="Y10" s="30"/>
      <c r="Z10" s="41"/>
    </row>
    <row r="11" spans="1:26" ht="18" customHeight="1">
      <c r="A11" s="30"/>
      <c r="B11" s="30"/>
      <c r="C11" s="30"/>
      <c r="D11" s="30"/>
      <c r="E11" s="30"/>
      <c r="F11" s="31"/>
      <c r="G11" s="30"/>
      <c r="H11" s="30"/>
      <c r="I11" s="30"/>
      <c r="J11" s="31"/>
      <c r="K11" s="30"/>
      <c r="L11" s="31"/>
      <c r="M11" s="31"/>
      <c r="N11" s="31"/>
      <c r="O11" s="31"/>
      <c r="P11" s="30"/>
      <c r="Q11" s="30"/>
      <c r="R11" s="31"/>
      <c r="S11" s="30"/>
      <c r="T11" s="30"/>
      <c r="U11" s="30"/>
      <c r="V11" s="30"/>
      <c r="W11" s="30"/>
      <c r="X11" s="30"/>
      <c r="Y11" s="30"/>
      <c r="Z11" s="41"/>
    </row>
    <row r="12" spans="1:26" ht="18.75" customHeight="1">
      <c r="A12" s="29" t="s">
        <v>58</v>
      </c>
      <c r="B12" s="30"/>
      <c r="C12" s="30"/>
      <c r="D12" s="30"/>
      <c r="E12" s="30"/>
      <c r="F12" s="31"/>
      <c r="G12" s="30"/>
      <c r="H12" s="30"/>
      <c r="I12" s="30"/>
      <c r="J12" s="31"/>
      <c r="K12" s="30"/>
      <c r="L12" s="32"/>
      <c r="M12" s="31"/>
      <c r="N12" s="32"/>
      <c r="O12" s="32"/>
      <c r="P12" s="30"/>
      <c r="Q12" s="30"/>
      <c r="R12" s="31"/>
      <c r="S12" s="30"/>
      <c r="T12" s="30"/>
      <c r="U12" s="30"/>
      <c r="V12" s="30"/>
      <c r="W12" s="30"/>
      <c r="X12" s="30"/>
      <c r="Y12" s="30"/>
      <c r="Z12" s="41"/>
    </row>
    <row r="13" spans="1:26" ht="18.75" customHeight="1">
      <c r="A13" s="30"/>
      <c r="B13" s="30"/>
      <c r="C13" s="30"/>
      <c r="D13" s="30"/>
      <c r="E13" s="30"/>
      <c r="F13" s="31"/>
      <c r="G13" s="30"/>
      <c r="H13" s="30"/>
      <c r="I13" s="30"/>
      <c r="J13" s="31"/>
      <c r="K13" s="30"/>
      <c r="L13" s="30"/>
      <c r="M13" s="31"/>
      <c r="N13" s="30"/>
      <c r="O13" s="32"/>
      <c r="P13" s="30"/>
      <c r="Q13" s="30"/>
      <c r="R13" s="31"/>
      <c r="S13" s="30"/>
      <c r="T13" s="30"/>
      <c r="U13" s="30"/>
      <c r="V13" s="30"/>
      <c r="W13" s="30"/>
      <c r="X13" s="30"/>
      <c r="Y13" s="30"/>
      <c r="Z13" s="41"/>
    </row>
    <row r="14" spans="1:1" ht="18.75" customHeight="1">
      <c r="A14" s="4" t="s">
        <v>32</v>
      </c>
    </row>
    <row r="15" spans="1:1" ht="18.75" customHeight="1">
      <c r="A15" s="4" t="s">
        <v>1</v>
      </c>
    </row>
    <row r="16" ht="15" customHeight="1"/>
    <row r="17" spans="4:26" s="6" customFormat="1" ht="18.75" customHeight="1">
      <c r="D17" s="6" t="s">
        <v>75</v>
      </c>
      <c r="F17" s="6" t="s">
        <v>76</v>
      </c>
      <c r="H17" s="6" t="s">
        <v>42</v>
      </c>
      <c r="J17" s="6" t="s">
        <v>81</v>
      </c>
      <c r="L17" s="6" t="s">
        <v>43</v>
      </c>
      <c r="N17" s="6" t="s">
        <v>44</v>
      </c>
      <c r="P17" s="6" t="s">
        <v>82</v>
      </c>
      <c r="R17" s="6" t="s">
        <v>83</v>
      </c>
      <c r="T17" s="6" t="s">
        <v>84</v>
      </c>
      <c r="V17" s="6" t="s">
        <v>85</v>
      </c>
      <c r="X17" s="6" t="s">
        <v>91</v>
      </c>
      <c r="Z17" s="35" t="s">
        <v>92</v>
      </c>
    </row>
    <row r="18" spans="4:26" s="6" customFormat="1" ht="18.75" customHeight="1">
      <c r="D18" s="6" t="s">
        <v>77</v>
      </c>
      <c r="F18" s="6" t="s">
        <v>77</v>
      </c>
      <c r="Z18" s="35"/>
    </row>
    <row r="19" spans="1:24" ht="18.75" customHeight="1">
      <c r="A19" s="4" t="s">
        <v>2</v>
      </c>
      <c r="D19" s="5" t="s">
        <v>79</v>
      </c>
      <c r="F19" s="5" t="s">
        <v>79</v>
      </c>
      <c r="H19" s="5" t="s">
        <v>6</v>
      </c>
      <c r="I19" s="5"/>
      <c r="J19" s="5" t="s">
        <v>89</v>
      </c>
      <c r="L19" s="5" t="s">
        <v>4</v>
      </c>
      <c r="M19" s="4" t="s">
        <v>5</v>
      </c>
      <c r="N19" s="5" t="s">
        <v>4</v>
      </c>
      <c r="P19" s="5" t="s">
        <v>3</v>
      </c>
      <c r="R19" s="5" t="s">
        <v>3</v>
      </c>
      <c r="T19" s="5" t="s">
        <v>7</v>
      </c>
      <c r="V19" s="5" t="s">
        <v>8</v>
      </c>
      <c r="X19" s="4" t="s">
        <v>94</v>
      </c>
    </row>
    <row r="20" spans="1:26" ht="18.75" customHeight="1">
      <c r="A20" s="33" t="s">
        <v>9</v>
      </c>
      <c r="B20" s="33" t="s">
        <v>10</v>
      </c>
      <c r="D20" s="27" t="s">
        <v>78</v>
      </c>
      <c r="F20" s="27" t="s">
        <v>80</v>
      </c>
      <c r="H20" s="27" t="s">
        <v>11</v>
      </c>
      <c r="I20" s="5"/>
      <c r="J20" s="27" t="s">
        <v>12</v>
      </c>
      <c r="L20" s="27" t="s">
        <v>11</v>
      </c>
      <c r="M20" s="4"/>
      <c r="N20" s="27" t="s">
        <v>12</v>
      </c>
      <c r="P20" s="27" t="s">
        <v>11</v>
      </c>
      <c r="R20" s="27" t="s">
        <v>12</v>
      </c>
      <c r="T20" s="27" t="s">
        <v>13</v>
      </c>
      <c r="V20" s="27" t="s">
        <v>14</v>
      </c>
      <c r="X20" s="34" t="s">
        <v>15</v>
      </c>
      <c r="Z20" s="42" t="s">
        <v>93</v>
      </c>
    </row>
    <row r="21" spans="13:25" ht="18.75" customHeight="1">
      <c r="M21" s="4"/>
      <c r="X21" s="35"/>
      <c r="Y21" s="35"/>
    </row>
    <row r="22" spans="1:26" ht="25" customHeight="1">
      <c r="A22" s="36">
        <v>1</v>
      </c>
      <c r="B22" s="36" t="s">
        <v>17</v>
      </c>
      <c r="D22" s="5">
        <f>'[1]Demand Loss Factor'!$G$54*F22</f>
        <v>848093.10521730734</v>
      </c>
      <c r="E22" s="5"/>
      <c r="F22" s="5">
        <v>816380.59999999998</v>
      </c>
      <c r="G22" s="5"/>
      <c r="H22" s="5">
        <f>'[1]Demand Loss Factor'!$G$54*J22</f>
        <v>290826.21423746698</v>
      </c>
      <c r="I22" s="5"/>
      <c r="J22" s="5">
        <v>279951.43199999997</v>
      </c>
      <c r="K22" s="5"/>
      <c r="L22" s="5">
        <f>'[1]Demand Loss Factor'!$G$54*N22</f>
        <v>273749.15250610409</v>
      </c>
      <c r="N22" s="5">
        <v>263512.92800000001</v>
      </c>
      <c r="O22" s="5"/>
      <c r="P22" s="5">
        <f>'[1]Demand Loss Factor'!$G$54*R22</f>
        <v>286480.15944173414</v>
      </c>
      <c r="R22" s="5">
        <v>275767.88799999998</v>
      </c>
      <c r="S22" s="5"/>
      <c r="T22" s="5">
        <f>'[1]Energy Loss Factor'!$G$54*V22</f>
        <v>164905534.6275205</v>
      </c>
      <c r="V22" s="5">
        <f>'[2]GS SEC SMALL'!$I$16</f>
        <v>158994545</v>
      </c>
      <c r="X22" s="35">
        <f>N22/J22</f>
        <v>0.94128087189066434</v>
      </c>
      <c r="Y22" s="35"/>
      <c r="Z22" s="35">
        <v>0.77742224687837269</v>
      </c>
    </row>
    <row r="23" spans="1:26" ht="25" customHeight="1">
      <c r="A23" s="36">
        <v>2</v>
      </c>
      <c r="B23" s="36" t="s">
        <v>18</v>
      </c>
      <c r="D23" s="5">
        <f>'[1]Demand Loss Factor'!$G$54*F23</f>
        <v>945629.86982392694</v>
      </c>
      <c r="E23" s="5"/>
      <c r="F23" s="5">
        <v>910270.19999999995</v>
      </c>
      <c r="G23" s="5"/>
      <c r="H23" s="5">
        <f>'[1]Demand Loss Factor'!$G$54*J23</f>
        <v>364823.36472202954</v>
      </c>
      <c r="I23" s="5"/>
      <c r="J23" s="5">
        <v>351181.62800000003</v>
      </c>
      <c r="K23" s="5"/>
      <c r="L23" s="5">
        <f>'[1]Demand Loss Factor'!$G$54*N23</f>
        <v>358411.96922662819</v>
      </c>
      <c r="N23" s="5">
        <v>345009.97200000001</v>
      </c>
      <c r="O23" s="5"/>
      <c r="P23" s="5">
        <f>'[1]Demand Loss Factor'!$G$54*R23</f>
        <v>360537.36349227605</v>
      </c>
      <c r="R23" s="5">
        <v>347055.89199999999</v>
      </c>
      <c r="S23" s="5"/>
      <c r="T23" s="5">
        <f>'[1]Energy Loss Factor'!$G$54*V23</f>
        <v>160682275.15325338</v>
      </c>
      <c r="V23" s="5">
        <f>'[2]GS SEC SMALL'!$I$18</f>
        <v>154922667</v>
      </c>
      <c r="X23" s="35">
        <f t="shared" si="0" ref="X23:X33">N23/J23</f>
        <v>0.98242602827731063</v>
      </c>
      <c r="Y23" s="35"/>
      <c r="Z23" s="35">
        <v>0.66507947344028717</v>
      </c>
    </row>
    <row r="24" spans="1:26" ht="25" customHeight="1">
      <c r="A24" s="36">
        <v>3</v>
      </c>
      <c r="B24" s="36" t="s">
        <v>19</v>
      </c>
      <c r="D24" s="5">
        <f>'[1]Demand Loss Factor'!$G$54*F24</f>
        <v>798657.99203512992</v>
      </c>
      <c r="E24" s="5"/>
      <c r="F24" s="5">
        <v>768794</v>
      </c>
      <c r="G24" s="5"/>
      <c r="H24" s="5">
        <f>'[1]Demand Loss Factor'!$G$54*J24</f>
        <v>246171.57184522282</v>
      </c>
      <c r="I24" s="5"/>
      <c r="J24" s="5">
        <v>236966.54800000001</v>
      </c>
      <c r="K24" s="5"/>
      <c r="L24" s="5">
        <f>'[1]Demand Loss Factor'!$G$54*N24</f>
        <v>216349.76548869693</v>
      </c>
      <c r="N24" s="5">
        <v>208259.85999999999</v>
      </c>
      <c r="O24" s="5"/>
      <c r="P24" s="5">
        <f>'[1]Demand Loss Factor'!$G$54*R24</f>
        <v>170360.46043361316</v>
      </c>
      <c r="R24" s="5">
        <v>163990.22</v>
      </c>
      <c r="S24" s="5"/>
      <c r="T24" s="5">
        <f>'[1]Energy Loss Factor'!$G$54*V24</f>
        <v>168345280.28300765</v>
      </c>
      <c r="V24" s="5">
        <f>'[2]GS SEC SMALL'!$I$20</f>
        <v>162310994</v>
      </c>
      <c r="X24" s="35">
        <f t="shared" si="0"/>
        <v>0.87885763521355753</v>
      </c>
      <c r="Y24" s="35"/>
      <c r="Z24" s="35">
        <v>0.77648568868055923</v>
      </c>
    </row>
    <row r="25" spans="1:26" ht="25" customHeight="1">
      <c r="A25" s="36">
        <v>4</v>
      </c>
      <c r="B25" s="36" t="s">
        <v>20</v>
      </c>
      <c r="D25" s="5">
        <f>'[1]Demand Loss Factor'!$G$54*F25</f>
        <v>768579.1628986065</v>
      </c>
      <c r="E25" s="5"/>
      <c r="F25" s="5">
        <v>739839.90000000002</v>
      </c>
      <c r="G25" s="5"/>
      <c r="H25" s="5">
        <f>'[1]Demand Loss Factor'!$G$54*J25</f>
        <v>228003.44003967781</v>
      </c>
      <c r="I25" s="5"/>
      <c r="J25" s="5">
        <v>219477.772</v>
      </c>
      <c r="K25" s="5"/>
      <c r="L25" s="5">
        <f>'[1]Demand Loss Factor'!$G$54*N25</f>
        <v>202360.6795617606</v>
      </c>
      <c r="N25" s="5">
        <v>194793.864</v>
      </c>
      <c r="O25" s="5"/>
      <c r="P25" s="5">
        <f>'[1]Demand Loss Factor'!$G$54*R25</f>
        <v>219561.92900920854</v>
      </c>
      <c r="R25" s="5">
        <v>211351.91200000001</v>
      </c>
      <c r="S25" s="5"/>
      <c r="T25" s="5">
        <f>'[1]Energy Loss Factor'!$G$54*V25</f>
        <v>137680158.14019957</v>
      </c>
      <c r="V25" s="5">
        <f>'[2]GS SEC SMALL'!$I$22</f>
        <v>132745054</v>
      </c>
      <c r="X25" s="35">
        <f t="shared" si="0"/>
        <v>0.88753344917315824</v>
      </c>
      <c r="Y25" s="35"/>
      <c r="Z25" s="35">
        <v>0.82212395695613183</v>
      </c>
    </row>
    <row r="26" spans="1:26" ht="25" customHeight="1">
      <c r="A26" s="36">
        <v>5</v>
      </c>
      <c r="B26" s="36" t="s">
        <v>21</v>
      </c>
      <c r="D26" s="5">
        <f>'[1]Demand Loss Factor'!$G$54*F26</f>
        <v>745617.04700416862</v>
      </c>
      <c r="E26" s="5"/>
      <c r="F26" s="5">
        <v>717736.40000000002</v>
      </c>
      <c r="G26" s="5"/>
      <c r="H26" s="5">
        <f>'[1]Demand Loss Factor'!$G$54*J26</f>
        <v>277945.06092074543</v>
      </c>
      <c r="I26" s="5"/>
      <c r="J26" s="5">
        <v>267551.94</v>
      </c>
      <c r="K26" s="5"/>
      <c r="L26" s="5">
        <f>'[1]Demand Loss Factor'!$G$54*N26</f>
        <v>268232.47286725231</v>
      </c>
      <c r="N26" s="5">
        <v>258202.53200000001</v>
      </c>
      <c r="O26" s="5"/>
      <c r="P26" s="5">
        <f>'[1]Demand Loss Factor'!$G$54*R26</f>
        <v>268232.47286725231</v>
      </c>
      <c r="R26" s="5">
        <v>258202.53200000001</v>
      </c>
      <c r="S26" s="5"/>
      <c r="T26" s="5">
        <f>'[1]Energy Loss Factor'!$G$54*V26</f>
        <v>139266775.9828074</v>
      </c>
      <c r="V26" s="5">
        <f>'[2]GS SEC SMALL'!$I$24</f>
        <v>134274800</v>
      </c>
      <c r="X26" s="35">
        <f t="shared" si="0"/>
        <v>0.96505572712348864</v>
      </c>
      <c r="Y26" s="35"/>
      <c r="Z26" s="35">
        <v>0.69400855319885235</v>
      </c>
    </row>
    <row r="27" spans="1:26" ht="25" customHeight="1">
      <c r="A27" s="36">
        <v>6</v>
      </c>
      <c r="B27" s="36" t="s">
        <v>22</v>
      </c>
      <c r="D27" s="5">
        <f>'[1]Demand Loss Factor'!$G$54*F27</f>
        <v>789385.1554850206</v>
      </c>
      <c r="E27" s="5"/>
      <c r="F27" s="37">
        <v>759867.90000000002</v>
      </c>
      <c r="G27" s="5"/>
      <c r="H27" s="5">
        <f>'[1]Demand Loss Factor'!$G$54*J27</f>
        <v>332241.42965456418</v>
      </c>
      <c r="I27" s="5"/>
      <c r="J27" s="37">
        <v>319818.02000000002</v>
      </c>
      <c r="K27" s="5"/>
      <c r="L27" s="5">
        <f>'[1]Demand Loss Factor'!$G$54*N27</f>
        <v>324196.70764348609</v>
      </c>
      <c r="N27" s="37">
        <v>312074.11200000002</v>
      </c>
      <c r="O27" s="5"/>
      <c r="P27" s="5">
        <f>'[1]Demand Loss Factor'!$G$54*R27</f>
        <v>312995.66627693904</v>
      </c>
      <c r="Q27" s="37"/>
      <c r="R27" s="37">
        <v>301291.908</v>
      </c>
      <c r="S27" s="5"/>
      <c r="T27" s="5">
        <f>'[1]Energy Loss Factor'!$G$54*V27</f>
        <v>148333607.86307746</v>
      </c>
      <c r="V27" s="5">
        <f>'[2]GS SEC SMALL'!$I$26</f>
        <v>143016634</v>
      </c>
      <c r="X27" s="35">
        <f t="shared" si="0"/>
        <v>0.97578651759522494</v>
      </c>
      <c r="Y27" s="35"/>
      <c r="Z27" s="35">
        <v>0.70315510000000003</v>
      </c>
    </row>
    <row r="28" spans="1:26" ht="25" customHeight="1">
      <c r="A28" s="36">
        <v>7</v>
      </c>
      <c r="B28" s="36" t="s">
        <v>23</v>
      </c>
      <c r="D28" s="5">
        <f>'[1]Demand Loss Factor'!$G$54*F28</f>
        <v>790821.67069115653</v>
      </c>
      <c r="E28" s="5"/>
      <c r="F28" s="5">
        <v>761250.69999999995</v>
      </c>
      <c r="G28" s="5"/>
      <c r="H28" s="5">
        <f>'[1]Demand Loss Factor'!$G$54*J28</f>
        <v>348216.95390704658</v>
      </c>
      <c r="I28" s="5"/>
      <c r="J28" s="5">
        <v>335196.17599999998</v>
      </c>
      <c r="K28" s="5"/>
      <c r="L28" s="5">
        <f>'[1]Demand Loss Factor'!$G$54*N28</f>
        <v>347914.28011155996</v>
      </c>
      <c r="N28" s="5">
        <v>334904.82000000001</v>
      </c>
      <c r="O28" s="5"/>
      <c r="P28" s="5">
        <f>'[1]Demand Loss Factor'!$G$54*R28</f>
        <v>330716.18044289778</v>
      </c>
      <c r="R28" s="5">
        <v>318349.804</v>
      </c>
      <c r="S28" s="5"/>
      <c r="T28" s="5">
        <f>'[1]Energy Loss Factor'!$G$54*V28</f>
        <v>179357692.9244715</v>
      </c>
      <c r="V28" s="5">
        <f>'[2]GS SEC SMALL'!$I$28</f>
        <v>172928670</v>
      </c>
      <c r="X28" s="35">
        <f t="shared" si="0"/>
        <v>0.99913078960662138</v>
      </c>
      <c r="Y28" s="35"/>
      <c r="Z28" s="35">
        <v>0.70259611326285532</v>
      </c>
    </row>
    <row r="29" spans="1:26" ht="25" customHeight="1">
      <c r="A29" s="36">
        <v>8</v>
      </c>
      <c r="B29" s="36" t="s">
        <v>24</v>
      </c>
      <c r="D29" s="5">
        <f>'[1]Demand Loss Factor'!$G$54*F29</f>
        <v>792955.14717281819</v>
      </c>
      <c r="E29" s="5"/>
      <c r="F29" s="5">
        <v>763304.40000000002</v>
      </c>
      <c r="G29" s="5"/>
      <c r="H29" s="5">
        <f>'[1]Demand Loss Factor'!$G$54*J29</f>
        <v>341090.40903355327</v>
      </c>
      <c r="I29" s="5"/>
      <c r="J29" s="5">
        <v>328336.11200000002</v>
      </c>
      <c r="K29" s="5"/>
      <c r="L29" s="5">
        <f>'[1]Demand Loss Factor'!$G$54*N29</f>
        <v>335344.72634867846</v>
      </c>
      <c r="N29" s="5">
        <v>322805.27600000001</v>
      </c>
      <c r="O29" s="5"/>
      <c r="P29" s="5">
        <f>'[1]Demand Loss Factor'!$G$54*R29</f>
        <v>326156.04457425518</v>
      </c>
      <c r="R29" s="5">
        <v>313960.18400000001</v>
      </c>
      <c r="S29" s="5"/>
      <c r="T29" s="5">
        <f>'[1]Energy Loss Factor'!$G$54*V29</f>
        <v>179569603.80674374</v>
      </c>
      <c r="V29" s="5">
        <f>'[2]GS SEC SMALL'!$I$30</f>
        <v>173132985</v>
      </c>
      <c r="X29" s="35">
        <f t="shared" si="0"/>
        <v>0.98315495677185816</v>
      </c>
      <c r="Y29" s="35"/>
      <c r="Z29" s="35">
        <v>0.73389036886724845</v>
      </c>
    </row>
    <row r="30" spans="1:26" ht="25" customHeight="1">
      <c r="A30" s="36">
        <v>9</v>
      </c>
      <c r="B30" s="36" t="s">
        <v>25</v>
      </c>
      <c r="D30" s="5">
        <f>'[1]Demand Loss Factor'!$G$54*F30</f>
        <v>785705.46173924778</v>
      </c>
      <c r="E30" s="5"/>
      <c r="F30" s="5">
        <v>756325.80000000005</v>
      </c>
      <c r="G30" s="5"/>
      <c r="H30" s="5">
        <f>'[1]Demand Loss Factor'!$G$54*J30</f>
        <v>349526.48067031452</v>
      </c>
      <c r="I30" s="5"/>
      <c r="J30" s="5">
        <v>336456.73599999998</v>
      </c>
      <c r="K30" s="5"/>
      <c r="L30" s="5">
        <f>'[1]Demand Loss Factor'!$G$54*N30</f>
        <v>343472.85932224651</v>
      </c>
      <c r="N30" s="5">
        <v>330629.47600000002</v>
      </c>
      <c r="O30" s="5"/>
      <c r="P30" s="5">
        <f>'[1]Demand Loss Factor'!$G$54*R30</f>
        <v>335732.02447790239</v>
      </c>
      <c r="R30" s="5">
        <v>323178.092</v>
      </c>
      <c r="S30" s="5"/>
      <c r="T30" s="5">
        <f>'[1]Energy Loss Factor'!$G$54*V30</f>
        <v>180448277.60661954</v>
      </c>
      <c r="V30" s="5">
        <f>'[2]GS SEC SMALL'!$I$32</f>
        <v>173980163</v>
      </c>
      <c r="X30" s="35">
        <f t="shared" si="0"/>
        <v>0.9826805072495266</v>
      </c>
      <c r="Y30" s="35"/>
      <c r="Z30" s="35">
        <v>0.67494702457822187</v>
      </c>
    </row>
    <row r="31" spans="1:26" ht="25" customHeight="1">
      <c r="A31" s="36">
        <v>10</v>
      </c>
      <c r="B31" s="36" t="s">
        <v>26</v>
      </c>
      <c r="D31" s="5">
        <f>'[1]Demand Loss Factor'!$G$54*F31</f>
        <v>761311.9209803791</v>
      </c>
      <c r="E31" s="5"/>
      <c r="F31" s="5">
        <v>732844.40000000002</v>
      </c>
      <c r="G31" s="5"/>
      <c r="H31" s="5">
        <f>'[1]Demand Loss Factor'!$G$54*J31</f>
        <v>283482.5922613744</v>
      </c>
      <c r="I31" s="5"/>
      <c r="J31" s="5">
        <v>272882.408</v>
      </c>
      <c r="K31" s="5"/>
      <c r="L31" s="5">
        <f>'[1]Demand Loss Factor'!$G$54*N31</f>
        <v>278910.45980783121</v>
      </c>
      <c r="N31" s="5">
        <v>268481.23999999999</v>
      </c>
      <c r="O31" s="5"/>
      <c r="P31" s="5">
        <f>'[1]Demand Loss Factor'!$G$54*R31</f>
        <v>278910.45980783121</v>
      </c>
      <c r="R31" s="5">
        <v>268481.23999999999</v>
      </c>
      <c r="S31" s="5"/>
      <c r="T31" s="5">
        <f>'[1]Energy Loss Factor'!$G$54*V31</f>
        <v>161881951.18213698</v>
      </c>
      <c r="V31" s="5">
        <f>'[2]GS SEC SMALL'!$I$34</f>
        <v>156079341</v>
      </c>
      <c r="X31" s="35">
        <f t="shared" si="0"/>
        <v>0.98387155833072237</v>
      </c>
      <c r="Y31" s="35"/>
      <c r="Z31" s="35">
        <v>0.71464465181997872</v>
      </c>
    </row>
    <row r="32" spans="1:26" ht="25" customHeight="1">
      <c r="A32" s="36">
        <v>11</v>
      </c>
      <c r="B32" s="36" t="s">
        <v>27</v>
      </c>
      <c r="D32" s="5">
        <f>'[1]Demand Loss Factor'!$G$54*F32</f>
        <v>789120.76936991955</v>
      </c>
      <c r="E32" s="5"/>
      <c r="F32" s="5">
        <v>759613.40000000002</v>
      </c>
      <c r="G32" s="5"/>
      <c r="H32" s="5">
        <f>'[1]Demand Loss Factor'!$G$54*J32</f>
        <v>231856.21371419221</v>
      </c>
      <c r="I32" s="5"/>
      <c r="J32" s="5">
        <v>223186.48000000001</v>
      </c>
      <c r="K32" s="5"/>
      <c r="L32" s="5">
        <f>'[1]Demand Loss Factor'!$G$54*N32</f>
        <v>199966.91001526715</v>
      </c>
      <c r="N32" s="5">
        <v>192489.60399999999</v>
      </c>
      <c r="O32" s="5"/>
      <c r="P32" s="5">
        <f>'[1]Demand Loss Factor'!$G$54*R32</f>
        <v>214849.39454298117</v>
      </c>
      <c r="R32" s="5">
        <v>206815.592</v>
      </c>
      <c r="S32" s="5"/>
      <c r="T32" s="5">
        <f>'[1]Energy Loss Factor'!$G$54*V32</f>
        <v>140611571.78667453</v>
      </c>
      <c r="V32" s="5">
        <f>'[2]GS SEC SMALL'!$I$36</f>
        <v>135571392</v>
      </c>
      <c r="X32" s="35">
        <f t="shared" si="0"/>
        <v>0.86246086232463537</v>
      </c>
      <c r="Y32" s="35"/>
      <c r="Z32" s="35">
        <v>0.82148285284980416</v>
      </c>
    </row>
    <row r="33" spans="1:26" ht="25" customHeight="1" thickBot="1">
      <c r="A33" s="36">
        <v>12</v>
      </c>
      <c r="B33" s="36" t="s">
        <v>28</v>
      </c>
      <c r="D33" s="5">
        <f>'[1]Demand Loss Factor'!$G$54*F33</f>
        <v>814710.85208310373</v>
      </c>
      <c r="E33" s="5"/>
      <c r="F33" s="5">
        <v>784246.59999999998</v>
      </c>
      <c r="G33" s="5"/>
      <c r="H33" s="5">
        <f>'[1]Demand Loss Factor'!$G$54*J33</f>
        <v>245323.44612026477</v>
      </c>
      <c r="I33" s="5"/>
      <c r="J33" s="5">
        <v>236150.136</v>
      </c>
      <c r="K33" s="5"/>
      <c r="L33" s="5">
        <f>'[1]Demand Loss Factor'!$G$54*N33</f>
        <v>219329.82189359053</v>
      </c>
      <c r="N33" s="5">
        <v>211128.484</v>
      </c>
      <c r="O33" s="5"/>
      <c r="P33" s="5">
        <f>'[1]Demand Loss Factor'!$G$54*R33</f>
        <v>234624.6947409093</v>
      </c>
      <c r="R33" s="5">
        <v>225851.44</v>
      </c>
      <c r="S33" s="5"/>
      <c r="T33" s="38">
        <f>'[1]Energy Loss Factor'!$G$54*V33</f>
        <v>143104439.8994998</v>
      </c>
      <c r="V33" s="38">
        <f>'[2]GS SEC SMALL'!$I$38</f>
        <v>137974904</v>
      </c>
      <c r="X33" s="35">
        <f t="shared" si="0"/>
        <v>0.89404345716743516</v>
      </c>
      <c r="Y33" s="35"/>
      <c r="Z33" s="35">
        <v>0.79498504151062155</v>
      </c>
    </row>
    <row r="34" spans="1:22" ht="25" customHeight="1" thickTop="1">
      <c r="A34" s="36">
        <v>13</v>
      </c>
      <c r="E34" s="5"/>
      <c r="G34" s="5"/>
      <c r="I34" s="5"/>
      <c r="K34" s="5"/>
      <c r="O34" s="5"/>
      <c r="S34" s="5"/>
      <c r="T34" s="37">
        <f>+SUM(T22:T33)</f>
        <v>1904187169.2560122</v>
      </c>
      <c r="U34" s="37"/>
      <c r="V34" s="37">
        <f>+SUM(V22:V33)</f>
        <v>1835932149</v>
      </c>
    </row>
    <row r="35" spans="1:22" ht="25" customHeight="1">
      <c r="A35" s="36"/>
      <c r="E35" s="5"/>
      <c r="G35" s="5"/>
      <c r="I35" s="5"/>
      <c r="K35" s="5"/>
      <c r="O35" s="5"/>
      <c r="S35" s="5"/>
      <c r="T35" s="37"/>
      <c r="U35" s="37"/>
      <c r="V35" s="37"/>
    </row>
    <row r="36" spans="5:22" ht="18.75" customHeight="1">
      <c r="E36" s="5"/>
      <c r="G36" s="5"/>
      <c r="I36" s="5"/>
      <c r="K36" s="5"/>
      <c r="O36" s="5"/>
      <c r="S36" s="5"/>
      <c r="T36" s="37"/>
      <c r="U36" s="37"/>
      <c r="V36" s="37"/>
    </row>
    <row r="37" spans="1:19" ht="15" customHeight="1">
      <c r="A37" s="4" t="s">
        <v>87</v>
      </c>
      <c r="E37" s="5"/>
      <c r="G37" s="5"/>
      <c r="I37" s="5"/>
      <c r="K37" s="5"/>
      <c r="O37" s="5"/>
      <c r="S37" s="5"/>
    </row>
    <row r="38" spans="1:19" ht="15" customHeight="1">
      <c r="A38" s="4" t="s">
        <v>29</v>
      </c>
      <c r="E38" s="5"/>
      <c r="G38" s="5"/>
      <c r="I38" s="5"/>
      <c r="K38" s="5"/>
      <c r="O38" s="5"/>
      <c r="S38" s="5"/>
    </row>
    <row r="39" spans="1:19" ht="15" customHeight="1">
      <c r="A39" s="6" t="s">
        <v>30</v>
      </c>
      <c r="E39" s="5"/>
      <c r="G39" s="5"/>
      <c r="I39" s="5"/>
      <c r="K39" s="5"/>
      <c r="O39" s="5"/>
      <c r="S39" s="5"/>
    </row>
    <row r="40" spans="1:19" ht="15" customHeight="1">
      <c r="A40" s="6"/>
      <c r="E40" s="5"/>
      <c r="G40" s="5"/>
      <c r="I40" s="5"/>
      <c r="K40" s="5"/>
      <c r="O40" s="5"/>
      <c r="S40" s="5"/>
    </row>
  </sheetData>
  <pageMargins left="0.5" right="1" top="1.5" bottom="0.5" header="0.5" footer="0.5"/>
  <pageSetup orientation="landscape" scale="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Z41"/>
  <sheetViews>
    <sheetView zoomScale="75" zoomScaleNormal="75" workbookViewId="0" topLeftCell="A4">
      <selection pane="topLeft" activeCell="D13" sqref="D13"/>
    </sheetView>
  </sheetViews>
  <sheetFormatPr defaultColWidth="9.18428571428571" defaultRowHeight="18.75" customHeight="1"/>
  <cols>
    <col min="1" max="1" width="4.71428571428571" style="4" customWidth="1"/>
    <col min="2" max="3" width="7.71428571428571" style="4" customWidth="1"/>
    <col min="4" max="4" width="20.5714285714286" style="5" customWidth="1"/>
    <col min="5" max="5" width="2.71428571428571" style="4" customWidth="1"/>
    <col min="6" max="6" width="20.8571428571429" style="5" customWidth="1"/>
    <col min="7" max="7" width="4.14285714285714" style="4" customWidth="1"/>
    <col min="8" max="8" width="13.8571428571429" style="5" customWidth="1"/>
    <col min="9" max="9" width="2.71428571428571" style="4" customWidth="1"/>
    <col min="10" max="10" width="14.8571428571429" style="5" customWidth="1"/>
    <col min="11" max="11" width="4.42857142857143" style="4" customWidth="1"/>
    <col min="12" max="12" width="13.7142857142857" style="5" customWidth="1"/>
    <col min="13" max="13" width="2.71428571428571" style="5" customWidth="1"/>
    <col min="14" max="14" width="13.2857142857143" style="5" customWidth="1"/>
    <col min="15" max="15" width="5.71428571428571" style="4" customWidth="1"/>
    <col min="16" max="16" width="14" style="5" customWidth="1"/>
    <col min="17" max="17" width="2.71428571428571" style="5" customWidth="1"/>
    <col min="18" max="18" width="13.8571428571429" style="5" customWidth="1"/>
    <col min="19" max="19" width="5.71428571428571" style="4" customWidth="1"/>
    <col min="20" max="20" width="21.1428571428571" style="5" customWidth="1"/>
    <col min="21" max="21" width="2.71428571428571" style="5" customWidth="1"/>
    <col min="22" max="22" width="20.5714285714286" style="5" customWidth="1"/>
    <col min="23" max="23" width="3.71428571428571" style="4" customWidth="1"/>
    <col min="24" max="24" width="9.85714285714286" style="4" customWidth="1"/>
    <col min="25" max="25" width="1.71428571428571" style="4" customWidth="1"/>
    <col min="26" max="26" width="9.71428571428571" style="4" customWidth="1"/>
    <col min="27" max="16384" width="9.14285714285714" style="4"/>
  </cols>
  <sheetData>
    <row r="1" spans="1:22" ht="18.75" customHeight="1">
      <c r="A1" s="28"/>
      <c r="V1" s="4" t="s">
        <v>95</v>
      </c>
    </row>
    <row r="2" spans="22:22" ht="18.75" customHeight="1">
      <c r="V2" s="4" t="s">
        <v>98</v>
      </c>
    </row>
    <row r="7" spans="1:26" ht="18.75" customHeight="1">
      <c r="A7" s="29" t="s">
        <v>86</v>
      </c>
      <c r="B7" s="30"/>
      <c r="C7" s="30"/>
      <c r="D7" s="30"/>
      <c r="E7" s="30"/>
      <c r="F7" s="31"/>
      <c r="G7" s="30"/>
      <c r="H7" s="30"/>
      <c r="I7" s="30"/>
      <c r="J7" s="31"/>
      <c r="K7" s="30"/>
      <c r="L7" s="30"/>
      <c r="M7" s="30"/>
      <c r="N7" s="29"/>
      <c r="O7" s="31"/>
      <c r="P7" s="30"/>
      <c r="Q7" s="30"/>
      <c r="R7" s="31"/>
      <c r="S7" s="30"/>
      <c r="T7" s="30"/>
      <c r="U7" s="30"/>
      <c r="V7" s="30"/>
      <c r="W7" s="30"/>
      <c r="X7" s="30"/>
      <c r="Y7" s="30"/>
      <c r="Z7" s="30"/>
    </row>
    <row r="8" spans="1:26" ht="18" customHeight="1">
      <c r="A8" s="29" t="s">
        <v>51</v>
      </c>
      <c r="B8" s="30"/>
      <c r="C8" s="30"/>
      <c r="D8" s="30"/>
      <c r="E8" s="30"/>
      <c r="F8" s="31"/>
      <c r="G8" s="30"/>
      <c r="H8" s="30"/>
      <c r="I8" s="30"/>
      <c r="J8" s="31"/>
      <c r="K8" s="30"/>
      <c r="L8" s="31"/>
      <c r="M8" s="31"/>
      <c r="N8" s="29"/>
      <c r="O8" s="32"/>
      <c r="P8" s="30"/>
      <c r="Q8" s="30"/>
      <c r="R8" s="32"/>
      <c r="S8" s="29"/>
      <c r="T8" s="30"/>
      <c r="U8" s="30"/>
      <c r="V8" s="30"/>
      <c r="W8" s="30"/>
      <c r="X8" s="30"/>
      <c r="Y8" s="30"/>
      <c r="Z8" s="30"/>
    </row>
    <row r="9" spans="1:26" ht="18" customHeight="1">
      <c r="A9" s="29" t="s">
        <v>72</v>
      </c>
      <c r="B9" s="30"/>
      <c r="C9" s="30"/>
      <c r="D9" s="30"/>
      <c r="E9" s="30"/>
      <c r="F9" s="31"/>
      <c r="G9" s="29"/>
      <c r="H9" s="30"/>
      <c r="I9" s="30"/>
      <c r="J9" s="31"/>
      <c r="K9" s="29"/>
      <c r="L9" s="29"/>
      <c r="M9" s="31"/>
      <c r="N9" s="31"/>
      <c r="O9" s="31"/>
      <c r="P9" s="30"/>
      <c r="Q9" s="29"/>
      <c r="R9" s="32"/>
      <c r="S9" s="29"/>
      <c r="T9" s="30"/>
      <c r="U9" s="30"/>
      <c r="V9" s="30"/>
      <c r="W9" s="30"/>
      <c r="X9" s="30"/>
      <c r="Y9" s="30"/>
      <c r="Z9" s="30"/>
    </row>
    <row r="10" spans="1:26" ht="18" customHeight="1">
      <c r="A10" s="29" t="s">
        <v>112</v>
      </c>
      <c r="B10" s="30"/>
      <c r="C10" s="30"/>
      <c r="D10" s="30"/>
      <c r="E10" s="30"/>
      <c r="F10" s="30"/>
      <c r="G10" s="29"/>
      <c r="H10" s="30"/>
      <c r="I10" s="30"/>
      <c r="J10" s="30"/>
      <c r="K10" s="29"/>
      <c r="L10" s="32"/>
      <c r="M10" s="31"/>
      <c r="N10" s="31"/>
      <c r="O10" s="31"/>
      <c r="P10" s="30"/>
      <c r="Q10" s="29"/>
      <c r="R10" s="32"/>
      <c r="S10" s="29"/>
      <c r="T10" s="30"/>
      <c r="U10" s="30"/>
      <c r="V10" s="30"/>
      <c r="W10" s="30"/>
      <c r="X10" s="30"/>
      <c r="Y10" s="30"/>
      <c r="Z10" s="30"/>
    </row>
    <row r="11" spans="1:26" ht="18" customHeight="1">
      <c r="A11" s="30"/>
      <c r="B11" s="30"/>
      <c r="C11" s="30"/>
      <c r="D11" s="30"/>
      <c r="E11" s="30"/>
      <c r="F11" s="31"/>
      <c r="G11" s="30"/>
      <c r="H11" s="30"/>
      <c r="I11" s="30"/>
      <c r="J11" s="31"/>
      <c r="K11" s="30"/>
      <c r="L11" s="31"/>
      <c r="M11" s="31"/>
      <c r="N11" s="31"/>
      <c r="O11" s="31"/>
      <c r="P11" s="30"/>
      <c r="Q11" s="30"/>
      <c r="R11" s="31"/>
      <c r="S11" s="30"/>
      <c r="T11" s="30"/>
      <c r="U11" s="30"/>
      <c r="V11" s="30"/>
      <c r="W11" s="30"/>
      <c r="X11" s="30"/>
      <c r="Y11" s="30"/>
      <c r="Z11" s="30"/>
    </row>
    <row r="12" spans="1:26" ht="18.75" customHeight="1">
      <c r="A12" s="29" t="s">
        <v>58</v>
      </c>
      <c r="B12" s="30"/>
      <c r="C12" s="30"/>
      <c r="D12" s="30"/>
      <c r="E12" s="30"/>
      <c r="F12" s="31"/>
      <c r="G12" s="30"/>
      <c r="H12" s="30"/>
      <c r="I12" s="30"/>
      <c r="J12" s="31"/>
      <c r="K12" s="30"/>
      <c r="L12" s="32"/>
      <c r="M12" s="31"/>
      <c r="N12" s="32"/>
      <c r="O12" s="32"/>
      <c r="P12" s="30"/>
      <c r="Q12" s="30"/>
      <c r="R12" s="31"/>
      <c r="S12" s="30"/>
      <c r="T12" s="30"/>
      <c r="U12" s="30"/>
      <c r="V12" s="30"/>
      <c r="W12" s="30"/>
      <c r="X12" s="30"/>
      <c r="Y12" s="30"/>
      <c r="Z12" s="30"/>
    </row>
    <row r="13" spans="1:26" ht="18.75" customHeight="1">
      <c r="A13" s="30"/>
      <c r="B13" s="30"/>
      <c r="C13" s="30"/>
      <c r="D13" s="30"/>
      <c r="E13" s="30"/>
      <c r="F13" s="31"/>
      <c r="G13" s="30"/>
      <c r="H13" s="30"/>
      <c r="I13" s="30"/>
      <c r="J13" s="31"/>
      <c r="K13" s="30"/>
      <c r="L13" s="30"/>
      <c r="M13" s="31"/>
      <c r="N13" s="30"/>
      <c r="O13" s="32"/>
      <c r="P13" s="30"/>
      <c r="Q13" s="30"/>
      <c r="R13" s="31"/>
      <c r="S13" s="30"/>
      <c r="T13" s="30"/>
      <c r="U13" s="30"/>
      <c r="V13" s="30"/>
      <c r="W13" s="30"/>
      <c r="X13" s="30"/>
      <c r="Y13" s="30"/>
      <c r="Z13" s="30"/>
    </row>
    <row r="14" spans="1:1" ht="18.75" customHeight="1">
      <c r="A14" s="4" t="s">
        <v>33</v>
      </c>
    </row>
    <row r="15" spans="1:1" ht="18.75" customHeight="1">
      <c r="A15" s="4" t="s">
        <v>1</v>
      </c>
    </row>
    <row r="16" ht="15" customHeight="1"/>
    <row r="17" spans="4:26" s="6" customFormat="1" ht="18.75" customHeight="1">
      <c r="D17" s="6" t="s">
        <v>75</v>
      </c>
      <c r="F17" s="6" t="s">
        <v>76</v>
      </c>
      <c r="H17" s="6" t="s">
        <v>42</v>
      </c>
      <c r="J17" s="6" t="s">
        <v>81</v>
      </c>
      <c r="L17" s="6" t="s">
        <v>43</v>
      </c>
      <c r="N17" s="6" t="s">
        <v>44</v>
      </c>
      <c r="P17" s="6" t="s">
        <v>82</v>
      </c>
      <c r="R17" s="6" t="s">
        <v>83</v>
      </c>
      <c r="T17" s="6" t="s">
        <v>84</v>
      </c>
      <c r="V17" s="6" t="s">
        <v>85</v>
      </c>
      <c r="X17" s="6" t="s">
        <v>91</v>
      </c>
      <c r="Z17" s="6" t="s">
        <v>92</v>
      </c>
    </row>
    <row r="18" spans="4:6" s="6" customFormat="1" ht="18.75" customHeight="1">
      <c r="D18" s="6" t="s">
        <v>77</v>
      </c>
      <c r="F18" s="6" t="s">
        <v>77</v>
      </c>
    </row>
    <row r="19" spans="1:24" ht="18.75" customHeight="1">
      <c r="A19" s="4" t="s">
        <v>2</v>
      </c>
      <c r="D19" s="5" t="s">
        <v>79</v>
      </c>
      <c r="F19" s="5" t="s">
        <v>79</v>
      </c>
      <c r="H19" s="5" t="s">
        <v>6</v>
      </c>
      <c r="I19" s="5"/>
      <c r="J19" s="5" t="s">
        <v>89</v>
      </c>
      <c r="L19" s="5" t="s">
        <v>4</v>
      </c>
      <c r="M19" s="4" t="s">
        <v>5</v>
      </c>
      <c r="N19" s="5" t="s">
        <v>4</v>
      </c>
      <c r="P19" s="5" t="s">
        <v>3</v>
      </c>
      <c r="R19" s="5" t="s">
        <v>3</v>
      </c>
      <c r="T19" s="5" t="s">
        <v>7</v>
      </c>
      <c r="V19" s="5" t="s">
        <v>8</v>
      </c>
      <c r="X19" s="4" t="s">
        <v>94</v>
      </c>
    </row>
    <row r="20" spans="1:26" ht="18.75" customHeight="1">
      <c r="A20" s="33" t="s">
        <v>9</v>
      </c>
      <c r="B20" s="33" t="s">
        <v>10</v>
      </c>
      <c r="D20" s="27" t="s">
        <v>78</v>
      </c>
      <c r="F20" s="27" t="s">
        <v>80</v>
      </c>
      <c r="H20" s="27" t="s">
        <v>11</v>
      </c>
      <c r="I20" s="5"/>
      <c r="J20" s="27" t="s">
        <v>12</v>
      </c>
      <c r="L20" s="27" t="s">
        <v>11</v>
      </c>
      <c r="M20" s="4"/>
      <c r="N20" s="27" t="s">
        <v>12</v>
      </c>
      <c r="P20" s="27" t="s">
        <v>11</v>
      </c>
      <c r="R20" s="27" t="s">
        <v>12</v>
      </c>
      <c r="T20" s="27" t="s">
        <v>13</v>
      </c>
      <c r="V20" s="27" t="s">
        <v>14</v>
      </c>
      <c r="X20" s="34" t="s">
        <v>15</v>
      </c>
      <c r="Z20" s="34" t="s">
        <v>93</v>
      </c>
    </row>
    <row r="21" spans="13:26" ht="18.75" customHeight="1">
      <c r="M21" s="4"/>
      <c r="X21" s="35"/>
      <c r="Y21" s="35"/>
      <c r="Z21" s="35"/>
    </row>
    <row r="22" spans="1:26" ht="25" customHeight="1">
      <c r="A22" s="36">
        <v>1</v>
      </c>
      <c r="B22" s="36" t="s">
        <v>17</v>
      </c>
      <c r="D22" s="5">
        <f>'[1]Demand Loss Factor'!$G$54*F22</f>
        <v>10668889.461106325</v>
      </c>
      <c r="E22" s="5"/>
      <c r="F22" s="5">
        <v>10269950.699999999</v>
      </c>
      <c r="G22" s="5"/>
      <c r="H22" s="5">
        <f>'[1]Demand Loss Factor'!$G$54*J22</f>
        <v>6472920.0163844489</v>
      </c>
      <c r="I22" s="5"/>
      <c r="J22" s="5">
        <v>6230879.9519999996</v>
      </c>
      <c r="K22" s="5"/>
      <c r="L22" s="5">
        <f>'[1]Demand Loss Factor'!$G$54*N22</f>
        <v>6395339.9177341815</v>
      </c>
      <c r="N22" s="5">
        <v>6156200.784</v>
      </c>
      <c r="O22" s="5"/>
      <c r="P22" s="5">
        <f>'[1]Demand Loss Factor'!$G$54*R22</f>
        <v>6349542.1674316945</v>
      </c>
      <c r="R22" s="5">
        <v>6112115.5360000003</v>
      </c>
      <c r="S22" s="5"/>
      <c r="T22" s="5">
        <f>'[1]Energy Loss Factor'!$G$54*V22</f>
        <v>3475490196.8962111</v>
      </c>
      <c r="V22" s="5">
        <f>'[2]GS SEC LRG NONIDR'!$I$16+'[2]GS SEC LRG IDR '!$I$16</f>
        <v>3350912289</v>
      </c>
      <c r="X22" s="35">
        <f>N22/J22</f>
        <v>0.98801466749876499</v>
      </c>
      <c r="Y22" s="35"/>
      <c r="Z22" s="35">
        <v>0.73971179633780559</v>
      </c>
    </row>
    <row r="23" spans="1:26" ht="25" customHeight="1">
      <c r="A23" s="36">
        <v>2</v>
      </c>
      <c r="B23" s="36" t="s">
        <v>18</v>
      </c>
      <c r="D23" s="5">
        <f>'[1]Demand Loss Factor'!$G$54*F23</f>
        <v>12207908.566508131</v>
      </c>
      <c r="E23" s="5"/>
      <c r="F23" s="5">
        <v>11751421.699999999</v>
      </c>
      <c r="G23" s="5"/>
      <c r="H23" s="5">
        <f>'[1]Demand Loss Factor'!$G$54*J23</f>
        <v>7177470.8376434539</v>
      </c>
      <c r="I23" s="5"/>
      <c r="J23" s="5">
        <v>6909085.7039999999</v>
      </c>
      <c r="K23" s="5"/>
      <c r="L23" s="5">
        <f>'[1]Demand Loss Factor'!$G$54*N23</f>
        <v>6054127.0787106995</v>
      </c>
      <c r="N23" s="5">
        <v>5827746.8200000003</v>
      </c>
      <c r="O23" s="5"/>
      <c r="P23" s="5">
        <f>'[1]Demand Loss Factor'!$G$54*R23</f>
        <v>6062766.5936450511</v>
      </c>
      <c r="R23" s="5">
        <v>5836063.2799999993</v>
      </c>
      <c r="S23" s="5"/>
      <c r="T23" s="5">
        <f>'[1]Energy Loss Factor'!$G$54*V23</f>
        <v>3426704297.9209504</v>
      </c>
      <c r="V23" s="5">
        <f>'[2]GS SEC LRG NONIDR'!$I$18+'[2]GS SEC LRG IDR '!$I$18</f>
        <v>3303875106</v>
      </c>
      <c r="X23" s="35">
        <f t="shared" si="0" ref="X23:X32">N23/J23</f>
        <v>0.84349030677475012</v>
      </c>
      <c r="Y23" s="35"/>
      <c r="Z23" s="35">
        <v>0.69983834379990095</v>
      </c>
    </row>
    <row r="24" spans="1:26" ht="25" customHeight="1">
      <c r="A24" s="36">
        <v>3</v>
      </c>
      <c r="B24" s="36" t="s">
        <v>19</v>
      </c>
      <c r="D24" s="5">
        <f>'[1]Demand Loss Factor'!$G$54*F24</f>
        <v>10633018.861954436</v>
      </c>
      <c r="E24" s="5"/>
      <c r="F24" s="5">
        <v>10235421.4</v>
      </c>
      <c r="G24" s="5"/>
      <c r="H24" s="5">
        <f>'[1]Demand Loss Factor'!$G$54*J24</f>
        <v>6069318.0545672784</v>
      </c>
      <c r="I24" s="5"/>
      <c r="J24" s="5">
        <v>5842369.7640000004</v>
      </c>
      <c r="K24" s="5"/>
      <c r="L24" s="5">
        <f>'[1]Demand Loss Factor'!$G$54*N24</f>
        <v>5471338.5233655749</v>
      </c>
      <c r="N24" s="5">
        <v>5266750.3119999999</v>
      </c>
      <c r="O24" s="5"/>
      <c r="P24" s="5">
        <f>'[1]Demand Loss Factor'!$G$54*R24</f>
        <v>4850135.0664905431</v>
      </c>
      <c r="R24" s="5">
        <v>4668775.3399999999</v>
      </c>
      <c r="S24" s="5"/>
      <c r="T24" s="5">
        <f>'[1]Energy Loss Factor'!$G$54*V24</f>
        <v>3672376950.7742147</v>
      </c>
      <c r="V24" s="5">
        <f>'[2]GS SEC LRG NONIDR'!$I$20+'[2]GS SEC LRG IDR '!$I$20</f>
        <v>3540741696</v>
      </c>
      <c r="X24" s="35">
        <f t="shared" si="0"/>
        <v>0.90147500496341393</v>
      </c>
      <c r="Y24" s="35"/>
      <c r="Z24" s="35">
        <v>0.76356895233467414</v>
      </c>
    </row>
    <row r="25" spans="1:26" ht="25" customHeight="1">
      <c r="A25" s="36">
        <v>4</v>
      </c>
      <c r="B25" s="36" t="s">
        <v>20</v>
      </c>
      <c r="D25" s="5">
        <f>'[1]Demand Loss Factor'!$G$54*F25</f>
        <v>10782152.265046535</v>
      </c>
      <c r="E25" s="5"/>
      <c r="F25" s="5">
        <v>10378978.300000001</v>
      </c>
      <c r="G25" s="5"/>
      <c r="H25" s="5">
        <f>'[1]Demand Loss Factor'!$G$54*J25</f>
        <v>6818672.2185270358</v>
      </c>
      <c r="I25" s="5"/>
      <c r="J25" s="5">
        <v>6563703.54</v>
      </c>
      <c r="K25" s="5"/>
      <c r="L25" s="5">
        <f>'[1]Demand Loss Factor'!$G$54*N25</f>
        <v>5946472.7966398485</v>
      </c>
      <c r="N25" s="5">
        <v>5724118.0240000002</v>
      </c>
      <c r="O25" s="5"/>
      <c r="P25" s="5">
        <f>'[1]Demand Loss Factor'!$G$54*R25</f>
        <v>6338138.975091042</v>
      </c>
      <c r="R25" s="5">
        <v>6101138.7400000002</v>
      </c>
      <c r="S25" s="5"/>
      <c r="T25" s="5">
        <f>'[1]Energy Loss Factor'!$G$54*V25</f>
        <v>3264617904.5703568</v>
      </c>
      <c r="V25" s="5">
        <f>'[2]GS SEC LRG NONIDR'!$I$22+'[2]GS SEC LRG IDR '!$I$22</f>
        <v>3147598651</v>
      </c>
      <c r="X25" s="35">
        <f t="shared" si="0"/>
        <v>0.8720866183423025</v>
      </c>
      <c r="Y25" s="35"/>
      <c r="Z25" s="35">
        <v>0.69361976194235697</v>
      </c>
    </row>
    <row r="26" spans="1:26" ht="25" customHeight="1">
      <c r="A26" s="36">
        <v>5</v>
      </c>
      <c r="B26" s="36" t="s">
        <v>21</v>
      </c>
      <c r="D26" s="5">
        <f>'[1]Demand Loss Factor'!$G$54*F26</f>
        <v>11451491.580442268</v>
      </c>
      <c r="E26" s="5"/>
      <c r="F26" s="5">
        <v>11023289.199999999</v>
      </c>
      <c r="G26" s="5"/>
      <c r="H26" s="5">
        <f>'[1]Demand Loss Factor'!$G$54*J26</f>
        <v>7818203.367616212</v>
      </c>
      <c r="I26" s="5"/>
      <c r="J26" s="5">
        <v>7525859.5039999997</v>
      </c>
      <c r="K26" s="5"/>
      <c r="L26" s="5">
        <f>'[1]Demand Loss Factor'!$G$54*N26</f>
        <v>7416688.4791412549</v>
      </c>
      <c r="N26" s="5">
        <v>7139358.3480000002</v>
      </c>
      <c r="O26" s="5"/>
      <c r="P26" s="5">
        <f>'[1]Demand Loss Factor'!$G$54*R26</f>
        <v>7416688.4791412549</v>
      </c>
      <c r="R26" s="5">
        <v>7139358.3480000002</v>
      </c>
      <c r="S26" s="5"/>
      <c r="T26" s="5">
        <f>'[1]Energy Loss Factor'!$G$54*V26</f>
        <v>3563241334.1994967</v>
      </c>
      <c r="V26" s="5">
        <f>'[2]GS SEC LRG NONIDR'!$I$24+'[2]GS SEC LRG IDR '!$I$24</f>
        <v>3435518013</v>
      </c>
      <c r="X26" s="35">
        <f t="shared" si="0"/>
        <v>0.94864358605225441</v>
      </c>
      <c r="Y26" s="35"/>
      <c r="Z26" s="35">
        <v>0.64391279597879703</v>
      </c>
    </row>
    <row r="27" spans="1:26" ht="25" customHeight="1">
      <c r="A27" s="36">
        <v>6</v>
      </c>
      <c r="B27" s="36" t="s">
        <v>22</v>
      </c>
      <c r="D27" s="5">
        <f>'[1]Demand Loss Factor'!$G$54*F27</f>
        <v>12680541.599617524</v>
      </c>
      <c r="E27" s="5"/>
      <c r="F27" s="37">
        <v>12206381.699999999</v>
      </c>
      <c r="G27" s="5"/>
      <c r="H27" s="5">
        <f>'[1]Demand Loss Factor'!$G$54*J27</f>
        <v>8681555.2935954221</v>
      </c>
      <c r="I27" s="5"/>
      <c r="J27" s="37">
        <v>8356928.3559999997</v>
      </c>
      <c r="K27" s="5"/>
      <c r="L27" s="5">
        <f>'[1]Demand Loss Factor'!$G$54*N27</f>
        <v>8285426.1196168466</v>
      </c>
      <c r="N27" s="37">
        <v>7975611.5279999999</v>
      </c>
      <c r="O27" s="5"/>
      <c r="P27" s="5">
        <f>'[1]Demand Loss Factor'!$G$54*R27</f>
        <v>8138709.1661406504</v>
      </c>
      <c r="Q27" s="37"/>
      <c r="R27" s="37">
        <v>7834380.7199999997</v>
      </c>
      <c r="S27" s="5"/>
      <c r="T27" s="5">
        <f>'[1]Energy Loss Factor'!$G$54*V27</f>
        <v>3882809967.3935924</v>
      </c>
      <c r="V27" s="5">
        <f>'[2]GS SEC LRG NONIDR'!$I$26+'[2]GS SEC LRG IDR '!$I$26</f>
        <v>3743631804</v>
      </c>
      <c r="X27" s="35">
        <f t="shared" si="0"/>
        <v>0.95437117422141993</v>
      </c>
      <c r="Y27" s="35"/>
      <c r="Z27" s="35">
        <v>0.70063926168273205</v>
      </c>
    </row>
    <row r="28" spans="1:26" ht="25" customHeight="1">
      <c r="A28" s="36">
        <v>7</v>
      </c>
      <c r="B28" s="36" t="s">
        <v>23</v>
      </c>
      <c r="D28" s="5">
        <f>'[1]Demand Loss Factor'!$G$54*F28</f>
        <v>12636076.737630196</v>
      </c>
      <c r="E28" s="5"/>
      <c r="F28" s="5">
        <v>12163579.5</v>
      </c>
      <c r="G28" s="5"/>
      <c r="H28" s="5">
        <f>'[1]Demand Loss Factor'!$G$54*J28</f>
        <v>9085662.4583218545</v>
      </c>
      <c r="I28" s="5"/>
      <c r="J28" s="5">
        <v>8745924.8559999987</v>
      </c>
      <c r="K28" s="5"/>
      <c r="L28" s="5">
        <f>'[1]Demand Loss Factor'!$G$54*N28</f>
        <v>9055822.2685598563</v>
      </c>
      <c r="N28" s="5">
        <v>8717200.4719999991</v>
      </c>
      <c r="O28" s="5"/>
      <c r="P28" s="5">
        <f>'[1]Demand Loss Factor'!$G$54*R28</f>
        <v>8479979.7774259523</v>
      </c>
      <c r="R28" s="5">
        <v>8162890.2960000001</v>
      </c>
      <c r="S28" s="5"/>
      <c r="T28" s="5">
        <f>'[1]Energy Loss Factor'!$G$54*V28</f>
        <v>4635430716.3128977</v>
      </c>
      <c r="V28" s="5">
        <f>'[2]GS SEC LRG NONIDR'!$I$28+'[2]GS SEC LRG IDR '!$I$28</f>
        <v>4469275087</v>
      </c>
      <c r="X28" s="35">
        <f t="shared" si="0"/>
        <v>0.99671568365004948</v>
      </c>
      <c r="Y28" s="35"/>
      <c r="Z28" s="35">
        <v>0.69588657007552424</v>
      </c>
    </row>
    <row r="29" spans="1:26" ht="25" customHeight="1">
      <c r="A29" s="36">
        <v>8</v>
      </c>
      <c r="B29" s="36" t="s">
        <v>24</v>
      </c>
      <c r="D29" s="5">
        <f>'[1]Demand Loss Factor'!$G$54*F29</f>
        <v>13236572.505766749</v>
      </c>
      <c r="E29" s="5"/>
      <c r="F29" s="5">
        <v>12741621.1</v>
      </c>
      <c r="G29" s="5"/>
      <c r="H29" s="5">
        <f>'[1]Demand Loss Factor'!$G$54*J29</f>
        <v>9456269.0703728553</v>
      </c>
      <c r="I29" s="5"/>
      <c r="J29" s="5">
        <v>9102673.4800000004</v>
      </c>
      <c r="K29" s="5"/>
      <c r="L29" s="5">
        <f>'[1]Demand Loss Factor'!$G$54*N29</f>
        <v>8895397.5193616692</v>
      </c>
      <c r="N29" s="5">
        <v>8562774.4400000013</v>
      </c>
      <c r="O29" s="5"/>
      <c r="P29" s="5">
        <f>'[1]Demand Loss Factor'!$G$54*R29</f>
        <v>8584121.9107123017</v>
      </c>
      <c r="R29" s="5">
        <v>8263138.2719999999</v>
      </c>
      <c r="S29" s="5"/>
      <c r="T29" s="5">
        <f>'[1]Energy Loss Factor'!$G$54*V29</f>
        <v>4678725379.5847311</v>
      </c>
      <c r="V29" s="5">
        <f>'[2]GS SEC LRG NONIDR'!$I$30+'[2]GS SEC LRG IDR '!$I$30</f>
        <v>4511017866</v>
      </c>
      <c r="X29" s="35">
        <f t="shared" si="0"/>
        <v>0.94068786041966224</v>
      </c>
      <c r="Y29" s="35"/>
      <c r="Z29" s="35">
        <v>0.70193291921822443</v>
      </c>
    </row>
    <row r="30" spans="1:26" ht="25" customHeight="1">
      <c r="A30" s="36">
        <v>9</v>
      </c>
      <c r="B30" s="36" t="s">
        <v>25</v>
      </c>
      <c r="D30" s="5">
        <f>'[1]Demand Loss Factor'!$G$54*F30</f>
        <v>12918164.256299987</v>
      </c>
      <c r="E30" s="5"/>
      <c r="F30" s="5">
        <v>12435119</v>
      </c>
      <c r="G30" s="5"/>
      <c r="H30" s="5">
        <f>'[1]Demand Loss Factor'!$G$54*J30</f>
        <v>9411543.4499180242</v>
      </c>
      <c r="I30" s="5"/>
      <c r="J30" s="5">
        <v>9059620.2719999999</v>
      </c>
      <c r="K30" s="5"/>
      <c r="L30" s="5">
        <f>'[1]Demand Loss Factor'!$G$54*N30</f>
        <v>8981470.7679618914</v>
      </c>
      <c r="N30" s="5">
        <v>8645629.175999999</v>
      </c>
      <c r="O30" s="5"/>
      <c r="P30" s="5">
        <f>'[1]Demand Loss Factor'!$G$54*R30</f>
        <v>8753100.8731840048</v>
      </c>
      <c r="R30" s="5">
        <v>8425798.6519999988</v>
      </c>
      <c r="S30" s="5"/>
      <c r="T30" s="5">
        <f>'[1]Energy Loss Factor'!$G$54*V30</f>
        <v>4722932137.6209297</v>
      </c>
      <c r="V30" s="5">
        <f>'[2]GS SEC LRG NONIDR'!$I$32+'[2]GS SEC LRG IDR '!$I$32</f>
        <v>4553640046</v>
      </c>
      <c r="X30" s="35">
        <f t="shared" si="0"/>
        <v>0.95430370329322778</v>
      </c>
      <c r="Y30" s="35"/>
      <c r="Z30" s="35">
        <v>0.64960088447282982</v>
      </c>
    </row>
    <row r="31" spans="1:26" ht="25" customHeight="1">
      <c r="A31" s="36">
        <v>10</v>
      </c>
      <c r="B31" s="36" t="s">
        <v>26</v>
      </c>
      <c r="D31" s="5">
        <f>'[1]Demand Loss Factor'!$G$54*F31</f>
        <v>12007218.520472521</v>
      </c>
      <c r="E31" s="5"/>
      <c r="F31" s="5">
        <v>11558236</v>
      </c>
      <c r="G31" s="5"/>
      <c r="H31" s="5">
        <f>'[1]Demand Loss Factor'!$G$54*J31</f>
        <v>7847433.4435652494</v>
      </c>
      <c r="I31" s="5"/>
      <c r="J31" s="5">
        <v>7553996.5880000005</v>
      </c>
      <c r="K31" s="5"/>
      <c r="L31" s="5">
        <f>'[1]Demand Loss Factor'!$G$54*N31</f>
        <v>7499398.2294009142</v>
      </c>
      <c r="N31" s="5">
        <v>7218975.3559999997</v>
      </c>
      <c r="O31" s="5"/>
      <c r="P31" s="5">
        <f>'[1]Demand Loss Factor'!$G$54*R31</f>
        <v>7499398.2294009142</v>
      </c>
      <c r="R31" s="5">
        <v>7218975.3559999997</v>
      </c>
      <c r="S31" s="5"/>
      <c r="T31" s="5">
        <f>'[1]Energy Loss Factor'!$G$54*V31</f>
        <v>4154433965.4638767</v>
      </c>
      <c r="V31" s="5">
        <f>'[2]GS SEC LRG NONIDR'!$I$34+'[2]GS SEC LRG IDR '!$I$34</f>
        <v>4005519521</v>
      </c>
      <c r="X31" s="35">
        <f t="shared" si="0"/>
        <v>0.9556498036374278</v>
      </c>
      <c r="Y31" s="35"/>
      <c r="Z31" s="35">
        <v>0.6751641848988692</v>
      </c>
    </row>
    <row r="32" spans="1:26" ht="25" customHeight="1">
      <c r="A32" s="36">
        <v>11</v>
      </c>
      <c r="B32" s="36" t="s">
        <v>27</v>
      </c>
      <c r="D32" s="5">
        <f>'[1]Demand Loss Factor'!$G$54*F32</f>
        <v>11060146.629562654</v>
      </c>
      <c r="E32" s="5"/>
      <c r="F32" s="5">
        <v>10646577.699999999</v>
      </c>
      <c r="G32" s="5"/>
      <c r="H32" s="5">
        <f>'[1]Demand Loss Factor'!$G$54*J32</f>
        <v>6837762.1094085732</v>
      </c>
      <c r="I32" s="5"/>
      <c r="J32" s="5">
        <v>6582079.608</v>
      </c>
      <c r="K32" s="5"/>
      <c r="L32" s="5">
        <f>'[1]Demand Loss Factor'!$G$54*N32</f>
        <v>5305920.9800306987</v>
      </c>
      <c r="N32" s="5">
        <v>5107518.1799999997</v>
      </c>
      <c r="O32" s="5"/>
      <c r="P32" s="5">
        <f>'[1]Demand Loss Factor'!$G$54*R32</f>
        <v>6662309.1132285167</v>
      </c>
      <c r="R32" s="5">
        <v>6413187.2759999996</v>
      </c>
      <c r="S32" s="5"/>
      <c r="T32" s="5">
        <f>'[1]Energy Loss Factor'!$G$54*V32</f>
        <v>3660818935.1570721</v>
      </c>
      <c r="V32" s="5">
        <f>'[2]GS SEC LRG NONIDR'!$I$36+'[2]GS SEC LRG IDR '!$I$36</f>
        <v>3529597974</v>
      </c>
      <c r="X32" s="35">
        <f t="shared" si="0"/>
        <v>0.77597332213852488</v>
      </c>
      <c r="Y32" s="35"/>
      <c r="Z32" s="35">
        <v>0.68357102517737733</v>
      </c>
    </row>
    <row r="33" spans="1:26" ht="25" customHeight="1" thickBot="1">
      <c r="A33" s="36">
        <v>12</v>
      </c>
      <c r="B33" s="36" t="s">
        <v>28</v>
      </c>
      <c r="D33" s="5">
        <f>'[1]Demand Loss Factor'!$G$54*F33</f>
        <v>11121714.728026163</v>
      </c>
      <c r="E33" s="5"/>
      <c r="F33" s="5">
        <v>10705843.6</v>
      </c>
      <c r="G33" s="5"/>
      <c r="H33" s="5">
        <f>'[1]Demand Loss Factor'!$G$54*J33</f>
        <v>6580903.2384139868</v>
      </c>
      <c r="I33" s="5"/>
      <c r="J33" s="5">
        <v>6334825.3880000003</v>
      </c>
      <c r="K33" s="5"/>
      <c r="L33" s="5">
        <f>'[1]Demand Loss Factor'!$G$54*N33</f>
        <v>5747968.8342091553</v>
      </c>
      <c r="N33" s="5">
        <v>5533036.6639999999</v>
      </c>
      <c r="O33" s="5"/>
      <c r="P33" s="5">
        <f>'[1]Demand Loss Factor'!$G$54*R33</f>
        <v>5802105.2041535703</v>
      </c>
      <c r="R33" s="5">
        <v>5585148.7280000001</v>
      </c>
      <c r="S33" s="5"/>
      <c r="T33" s="38">
        <f>'[1]Energy Loss Factor'!$G$54*V33</f>
        <v>3463081348.4297485</v>
      </c>
      <c r="V33" s="38">
        <f>'[2]GS SEC LRG NONIDR'!$I$38+'[2]GS SEC LRG IDR '!$I$38</f>
        <v>3338948232</v>
      </c>
      <c r="X33" s="35">
        <f>R33/J33</f>
        <v>0.88165788098593756</v>
      </c>
      <c r="Y33" s="35"/>
      <c r="Z33" s="35">
        <v>0.71723509200831903</v>
      </c>
    </row>
    <row r="34" spans="1:22" ht="25" customHeight="1" thickTop="1">
      <c r="A34" s="36">
        <v>13</v>
      </c>
      <c r="E34" s="5"/>
      <c r="G34" s="5"/>
      <c r="I34" s="5"/>
      <c r="K34" s="5"/>
      <c r="O34" s="5"/>
      <c r="S34" s="5"/>
      <c r="T34" s="37">
        <f>+SUM(T22:T33)</f>
        <v>46600663134.324074</v>
      </c>
      <c r="U34" s="37"/>
      <c r="V34" s="37">
        <f>+SUM(V22:V33)</f>
        <v>44930276285</v>
      </c>
    </row>
    <row r="35" spans="1:22" ht="25" customHeight="1">
      <c r="A35" s="36"/>
      <c r="E35" s="5"/>
      <c r="G35" s="5"/>
      <c r="I35" s="5"/>
      <c r="K35" s="5"/>
      <c r="O35" s="5"/>
      <c r="S35" s="5"/>
      <c r="T35" s="37"/>
      <c r="U35" s="37"/>
      <c r="V35" s="37"/>
    </row>
    <row r="36" spans="5:22" ht="18.75" customHeight="1">
      <c r="E36" s="5"/>
      <c r="G36" s="5"/>
      <c r="I36" s="5"/>
      <c r="K36" s="5"/>
      <c r="O36" s="5"/>
      <c r="S36" s="5"/>
      <c r="T36" s="37"/>
      <c r="U36" s="37"/>
      <c r="V36" s="37"/>
    </row>
    <row r="37" spans="1:19" ht="15" customHeight="1">
      <c r="A37" s="4" t="s">
        <v>87</v>
      </c>
      <c r="E37" s="5"/>
      <c r="G37" s="5"/>
      <c r="I37" s="5"/>
      <c r="K37" s="5"/>
      <c r="O37" s="5"/>
      <c r="S37" s="5"/>
    </row>
    <row r="38" spans="1:19" ht="15" customHeight="1">
      <c r="A38" s="4" t="s">
        <v>29</v>
      </c>
      <c r="E38" s="5"/>
      <c r="G38" s="5"/>
      <c r="I38" s="5"/>
      <c r="K38" s="5"/>
      <c r="O38" s="5"/>
      <c r="S38" s="5"/>
    </row>
    <row r="39" spans="1:19" ht="15" customHeight="1">
      <c r="A39" s="6" t="s">
        <v>30</v>
      </c>
      <c r="E39" s="5"/>
      <c r="G39" s="5"/>
      <c r="I39" s="5"/>
      <c r="K39" s="5"/>
      <c r="O39" s="5"/>
      <c r="S39" s="5"/>
    </row>
    <row r="40" spans="1:19" ht="15" customHeight="1">
      <c r="A40" s="6"/>
      <c r="E40" s="5"/>
      <c r="G40" s="5"/>
      <c r="I40" s="5"/>
      <c r="K40" s="5"/>
      <c r="O40" s="5"/>
      <c r="S40" s="5"/>
    </row>
    <row r="41" spans="1:19" ht="15" customHeight="1">
      <c r="A41" s="6"/>
      <c r="E41" s="5"/>
      <c r="G41" s="5"/>
      <c r="I41" s="5"/>
      <c r="K41" s="5"/>
      <c r="O41" s="5"/>
      <c r="S41" s="5"/>
    </row>
  </sheetData>
  <pageMargins left="0.5" right="1" top="1.5" bottom="0.5" header="0.5" footer="0.5"/>
  <pageSetup orientation="landscape" scale="5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Z41"/>
  <sheetViews>
    <sheetView zoomScale="75" zoomScaleNormal="75" workbookViewId="0" topLeftCell="D1">
      <selection pane="topLeft" activeCell="F7" sqref="F7"/>
    </sheetView>
  </sheetViews>
  <sheetFormatPr defaultColWidth="9.18428571428571" defaultRowHeight="18.75" customHeight="1"/>
  <cols>
    <col min="1" max="1" width="4.71428571428571" style="4" customWidth="1"/>
    <col min="2" max="3" width="7.71428571428571" style="4" customWidth="1"/>
    <col min="4" max="4" width="20.5714285714286" style="5" customWidth="1"/>
    <col min="5" max="5" width="2.71428571428571" style="4" customWidth="1"/>
    <col min="6" max="6" width="20.8571428571429" style="5" customWidth="1"/>
    <col min="7" max="7" width="5.71428571428571" style="4" customWidth="1"/>
    <col min="8" max="8" width="13.8571428571429" style="5" customWidth="1"/>
    <col min="9" max="9" width="2.71428571428571" style="4" customWidth="1"/>
    <col min="10" max="10" width="14.8571428571429" style="5" customWidth="1"/>
    <col min="11" max="11" width="5.71428571428571" style="4" customWidth="1"/>
    <col min="12" max="12" width="12.7142857142857" style="5" customWidth="1"/>
    <col min="13" max="13" width="2.71428571428571" style="5" customWidth="1"/>
    <col min="14" max="14" width="13.2857142857143" style="5" customWidth="1"/>
    <col min="15" max="15" width="5.71428571428571" style="4" customWidth="1"/>
    <col min="16" max="16" width="12.7142857142857" style="5" customWidth="1"/>
    <col min="17" max="17" width="2.71428571428571" style="5" customWidth="1"/>
    <col min="18" max="18" width="13.8571428571429" style="5" customWidth="1"/>
    <col min="19" max="19" width="5.71428571428571" style="4" customWidth="1"/>
    <col min="20" max="20" width="17.7142857142857" style="5" customWidth="1"/>
    <col min="21" max="21" width="2.71428571428571" style="5" customWidth="1"/>
    <col min="22" max="22" width="17.7142857142857" style="5" customWidth="1"/>
    <col min="23" max="23" width="3.71428571428571" style="4" customWidth="1"/>
    <col min="24" max="24" width="10.2857142857143" style="4" customWidth="1"/>
    <col min="25" max="25" width="1.71428571428571" style="4" customWidth="1"/>
    <col min="26" max="26" width="9.71428571428571" style="4" customWidth="1"/>
    <col min="27" max="16384" width="9.14285714285714" style="4"/>
  </cols>
  <sheetData>
    <row r="1" spans="1:22" ht="18.75" customHeight="1">
      <c r="A1" s="28"/>
      <c r="V1" s="4" t="s">
        <v>95</v>
      </c>
    </row>
    <row r="2" spans="22:22" ht="18.75" customHeight="1">
      <c r="V2" s="4" t="s">
        <v>99</v>
      </c>
    </row>
    <row r="7" spans="1:26" ht="18.75" customHeight="1">
      <c r="A7" s="29" t="s">
        <v>86</v>
      </c>
      <c r="B7" s="30"/>
      <c r="C7" s="30"/>
      <c r="D7" s="30"/>
      <c r="E7" s="30"/>
      <c r="F7" s="31"/>
      <c r="G7" s="30"/>
      <c r="H7" s="30"/>
      <c r="I7" s="30"/>
      <c r="J7" s="31"/>
      <c r="K7" s="30"/>
      <c r="L7" s="30"/>
      <c r="M7" s="30"/>
      <c r="N7" s="29"/>
      <c r="O7" s="31"/>
      <c r="P7" s="30"/>
      <c r="Q7" s="30"/>
      <c r="R7" s="31"/>
      <c r="S7" s="30"/>
      <c r="T7" s="30"/>
      <c r="U7" s="30"/>
      <c r="V7" s="30"/>
      <c r="W7" s="30"/>
      <c r="X7" s="30"/>
      <c r="Y7" s="30"/>
      <c r="Z7" s="30"/>
    </row>
    <row r="8" spans="1:26" ht="18" customHeight="1">
      <c r="A8" s="29" t="s">
        <v>51</v>
      </c>
      <c r="B8" s="30"/>
      <c r="C8" s="30"/>
      <c r="D8" s="30"/>
      <c r="E8" s="30"/>
      <c r="F8" s="31"/>
      <c r="G8" s="30"/>
      <c r="H8" s="30"/>
      <c r="I8" s="30"/>
      <c r="J8" s="31"/>
      <c r="K8" s="30"/>
      <c r="L8" s="31"/>
      <c r="M8" s="31"/>
      <c r="N8" s="29"/>
      <c r="O8" s="32"/>
      <c r="P8" s="30"/>
      <c r="Q8" s="30"/>
      <c r="R8" s="32"/>
      <c r="S8" s="29"/>
      <c r="T8" s="30"/>
      <c r="U8" s="30"/>
      <c r="V8" s="30"/>
      <c r="W8" s="30"/>
      <c r="X8" s="30"/>
      <c r="Y8" s="30"/>
      <c r="Z8" s="30"/>
    </row>
    <row r="9" spans="1:26" ht="18" customHeight="1">
      <c r="A9" s="29" t="s">
        <v>72</v>
      </c>
      <c r="B9" s="30"/>
      <c r="C9" s="30"/>
      <c r="D9" s="30"/>
      <c r="E9" s="30"/>
      <c r="F9" s="31"/>
      <c r="G9" s="29"/>
      <c r="H9" s="30"/>
      <c r="I9" s="30"/>
      <c r="J9" s="31"/>
      <c r="K9" s="29"/>
      <c r="L9" s="29"/>
      <c r="M9" s="31"/>
      <c r="N9" s="31"/>
      <c r="O9" s="31"/>
      <c r="P9" s="30"/>
      <c r="Q9" s="29"/>
      <c r="R9" s="32"/>
      <c r="S9" s="29"/>
      <c r="T9" s="30"/>
      <c r="U9" s="30"/>
      <c r="V9" s="30"/>
      <c r="W9" s="30"/>
      <c r="X9" s="30"/>
      <c r="Y9" s="30"/>
      <c r="Z9" s="30"/>
    </row>
    <row r="10" spans="1:26" ht="18" customHeight="1">
      <c r="A10" s="29" t="s">
        <v>112</v>
      </c>
      <c r="B10" s="30"/>
      <c r="C10" s="30"/>
      <c r="D10" s="30"/>
      <c r="E10" s="30"/>
      <c r="F10" s="30"/>
      <c r="G10" s="29"/>
      <c r="H10" s="30"/>
      <c r="I10" s="30"/>
      <c r="J10" s="30"/>
      <c r="K10" s="29"/>
      <c r="L10" s="32"/>
      <c r="M10" s="31"/>
      <c r="N10" s="31"/>
      <c r="O10" s="31"/>
      <c r="P10" s="30"/>
      <c r="Q10" s="29"/>
      <c r="R10" s="32"/>
      <c r="S10" s="29"/>
      <c r="T10" s="30"/>
      <c r="U10" s="30"/>
      <c r="V10" s="30"/>
      <c r="W10" s="30"/>
      <c r="X10" s="30"/>
      <c r="Y10" s="30"/>
      <c r="Z10" s="30"/>
    </row>
    <row r="11" spans="1:26" ht="18" customHeight="1">
      <c r="A11" s="30"/>
      <c r="B11" s="30"/>
      <c r="C11" s="30"/>
      <c r="D11" s="30"/>
      <c r="E11" s="30"/>
      <c r="F11" s="31"/>
      <c r="G11" s="30"/>
      <c r="H11" s="30"/>
      <c r="I11" s="30"/>
      <c r="J11" s="31"/>
      <c r="K11" s="30"/>
      <c r="L11" s="31"/>
      <c r="M11" s="31"/>
      <c r="N11" s="31"/>
      <c r="O11" s="31"/>
      <c r="P11" s="30"/>
      <c r="Q11" s="30"/>
      <c r="R11" s="31"/>
      <c r="S11" s="30"/>
      <c r="T11" s="30"/>
      <c r="U11" s="30"/>
      <c r="V11" s="30"/>
      <c r="W11" s="30"/>
      <c r="X11" s="30"/>
      <c r="Y11" s="30"/>
      <c r="Z11" s="30"/>
    </row>
    <row r="12" spans="1:26" ht="18.75" customHeight="1">
      <c r="A12" s="29" t="s">
        <v>58</v>
      </c>
      <c r="B12" s="30"/>
      <c r="C12" s="30"/>
      <c r="D12" s="30"/>
      <c r="E12" s="30"/>
      <c r="F12" s="31"/>
      <c r="G12" s="30"/>
      <c r="H12" s="30"/>
      <c r="I12" s="30"/>
      <c r="J12" s="31"/>
      <c r="K12" s="30"/>
      <c r="L12" s="32"/>
      <c r="M12" s="31"/>
      <c r="N12" s="32"/>
      <c r="O12" s="32"/>
      <c r="P12" s="30"/>
      <c r="Q12" s="30"/>
      <c r="R12" s="31"/>
      <c r="S12" s="30"/>
      <c r="T12" s="30"/>
      <c r="U12" s="30"/>
      <c r="V12" s="30"/>
      <c r="W12" s="30"/>
      <c r="X12" s="30"/>
      <c r="Y12" s="30"/>
      <c r="Z12" s="30"/>
    </row>
    <row r="13" spans="1:26" ht="18.75" customHeight="1">
      <c r="A13" s="30"/>
      <c r="B13" s="30"/>
      <c r="C13" s="30"/>
      <c r="D13" s="30"/>
      <c r="E13" s="30"/>
      <c r="F13" s="31"/>
      <c r="G13" s="30"/>
      <c r="H13" s="30"/>
      <c r="I13" s="30"/>
      <c r="J13" s="31"/>
      <c r="K13" s="30"/>
      <c r="L13" s="30"/>
      <c r="M13" s="31"/>
      <c r="N13" s="30"/>
      <c r="O13" s="32"/>
      <c r="P13" s="30"/>
      <c r="Q13" s="30"/>
      <c r="R13" s="31"/>
      <c r="S13" s="30"/>
      <c r="T13" s="30"/>
      <c r="U13" s="30"/>
      <c r="V13" s="30"/>
      <c r="W13" s="30"/>
      <c r="X13" s="30"/>
      <c r="Y13" s="30"/>
      <c r="Z13" s="30"/>
    </row>
    <row r="14" spans="1:1" ht="18.75" customHeight="1">
      <c r="A14" s="4" t="s">
        <v>34</v>
      </c>
    </row>
    <row r="15" spans="1:1" ht="18.75" customHeight="1">
      <c r="A15" s="4" t="s">
        <v>35</v>
      </c>
    </row>
    <row r="16" ht="15" customHeight="1"/>
    <row r="17" spans="4:26" s="6" customFormat="1" ht="18.75" customHeight="1">
      <c r="D17" s="6" t="s">
        <v>75</v>
      </c>
      <c r="F17" s="6" t="s">
        <v>76</v>
      </c>
      <c r="H17" s="6" t="s">
        <v>42</v>
      </c>
      <c r="J17" s="6" t="s">
        <v>81</v>
      </c>
      <c r="L17" s="6" t="s">
        <v>43</v>
      </c>
      <c r="N17" s="6" t="s">
        <v>44</v>
      </c>
      <c r="P17" s="6" t="s">
        <v>82</v>
      </c>
      <c r="R17" s="6" t="s">
        <v>83</v>
      </c>
      <c r="T17" s="6" t="s">
        <v>84</v>
      </c>
      <c r="V17" s="6" t="s">
        <v>85</v>
      </c>
      <c r="X17" s="6" t="s">
        <v>91</v>
      </c>
      <c r="Z17" s="6" t="s">
        <v>92</v>
      </c>
    </row>
    <row r="18" spans="4:6" s="6" customFormat="1" ht="18.75" customHeight="1">
      <c r="D18" s="6" t="s">
        <v>77</v>
      </c>
      <c r="F18" s="6" t="s">
        <v>77</v>
      </c>
    </row>
    <row r="19" spans="1:24" ht="18.75" customHeight="1">
      <c r="A19" s="4" t="s">
        <v>2</v>
      </c>
      <c r="D19" s="5" t="s">
        <v>79</v>
      </c>
      <c r="F19" s="5" t="s">
        <v>79</v>
      </c>
      <c r="H19" s="5" t="s">
        <v>6</v>
      </c>
      <c r="I19" s="5"/>
      <c r="J19" s="5" t="s">
        <v>89</v>
      </c>
      <c r="L19" s="5" t="s">
        <v>4</v>
      </c>
      <c r="M19" s="4" t="s">
        <v>5</v>
      </c>
      <c r="N19" s="5" t="s">
        <v>4</v>
      </c>
      <c r="P19" s="5" t="s">
        <v>3</v>
      </c>
      <c r="R19" s="5" t="s">
        <v>3</v>
      </c>
      <c r="T19" s="5" t="s">
        <v>7</v>
      </c>
      <c r="V19" s="5" t="s">
        <v>8</v>
      </c>
      <c r="X19" s="4" t="s">
        <v>94</v>
      </c>
    </row>
    <row r="20" spans="1:26" ht="18.75" customHeight="1">
      <c r="A20" s="33" t="s">
        <v>9</v>
      </c>
      <c r="B20" s="33" t="s">
        <v>10</v>
      </c>
      <c r="D20" s="27" t="s">
        <v>78</v>
      </c>
      <c r="F20" s="27" t="s">
        <v>80</v>
      </c>
      <c r="H20" s="27" t="s">
        <v>11</v>
      </c>
      <c r="I20" s="5"/>
      <c r="J20" s="27" t="s">
        <v>12</v>
      </c>
      <c r="L20" s="27" t="s">
        <v>11</v>
      </c>
      <c r="M20" s="4"/>
      <c r="N20" s="27" t="s">
        <v>12</v>
      </c>
      <c r="P20" s="27" t="s">
        <v>11</v>
      </c>
      <c r="R20" s="27" t="s">
        <v>12</v>
      </c>
      <c r="T20" s="27" t="s">
        <v>13</v>
      </c>
      <c r="V20" s="27" t="s">
        <v>14</v>
      </c>
      <c r="X20" s="34" t="s">
        <v>15</v>
      </c>
      <c r="Z20" s="34" t="s">
        <v>93</v>
      </c>
    </row>
    <row r="21" spans="13:26" ht="18.75" customHeight="1">
      <c r="M21" s="4"/>
      <c r="X21" s="35"/>
      <c r="Y21" s="35"/>
      <c r="Z21" s="35"/>
    </row>
    <row r="22" spans="1:26" ht="25" customHeight="1">
      <c r="A22" s="36">
        <v>1</v>
      </c>
      <c r="B22" s="36" t="s">
        <v>17</v>
      </c>
      <c r="D22" s="5">
        <f>'[1]Demand Loss Factor'!$G$53*F22</f>
        <v>7592.1059326148406</v>
      </c>
      <c r="E22" s="5"/>
      <c r="F22" s="37">
        <v>7441.8000000000002</v>
      </c>
      <c r="G22" s="5"/>
      <c r="H22" s="5">
        <f>'[1]Demand Loss Factor'!$G$53*J22</f>
        <v>3417.9432792465686</v>
      </c>
      <c r="I22" s="5"/>
      <c r="J22" s="5">
        <v>3350.2759999999998</v>
      </c>
      <c r="K22" s="5"/>
      <c r="L22" s="5">
        <f>'[1]Demand Loss Factor'!$G$53*N22</f>
        <v>2896.8018993489582</v>
      </c>
      <c r="N22" s="5">
        <v>2839.4520000000002</v>
      </c>
      <c r="O22" s="5"/>
      <c r="P22" s="5">
        <f>'[1]Demand Loss Factor'!$G$53*R22</f>
        <v>2893.1577537939443</v>
      </c>
      <c r="R22" s="45">
        <v>2835.8800000000001</v>
      </c>
      <c r="S22" s="5"/>
      <c r="T22" s="5">
        <f>'[1]Energy Loss Factor'!$G$53*V22</f>
        <v>2260081.8843377209</v>
      </c>
      <c r="V22" s="5">
        <f>'[2]GS PRI SMALL'!$I$16</f>
        <v>2226543</v>
      </c>
      <c r="X22" s="35">
        <f>(N22/J22)</f>
        <v>0.84752778577048593</v>
      </c>
      <c r="Y22" s="35"/>
      <c r="Z22" s="35">
        <v>0.97707159411036726</v>
      </c>
    </row>
    <row r="23" spans="1:26" ht="25" customHeight="1">
      <c r="A23" s="36">
        <v>2</v>
      </c>
      <c r="B23" s="36" t="s">
        <v>18</v>
      </c>
      <c r="D23" s="5">
        <f>'[1]Demand Loss Factor'!$G$53*F23</f>
        <v>8061.6008330676004</v>
      </c>
      <c r="E23" s="5"/>
      <c r="F23" s="37">
        <v>7902</v>
      </c>
      <c r="G23" s="5"/>
      <c r="H23" s="5">
        <f>'[1]Demand Loss Factor'!$G$53*J23</f>
        <v>3596.6737238361384</v>
      </c>
      <c r="I23" s="5"/>
      <c r="J23" s="5">
        <v>3525.4679999999998</v>
      </c>
      <c r="K23" s="5"/>
      <c r="L23" s="5">
        <f>'[1]Demand Loss Factor'!$G$53*N23</f>
        <v>1115.7818701998697</v>
      </c>
      <c r="N23" s="5">
        <v>1093.692</v>
      </c>
      <c r="O23" s="5"/>
      <c r="P23" s="5">
        <f>'[1]Demand Loss Factor'!$G$53*R23</f>
        <v>1145.9470705835881</v>
      </c>
      <c r="R23" s="45">
        <v>1123.26</v>
      </c>
      <c r="S23" s="5"/>
      <c r="T23" s="5">
        <f>'[1]Energy Loss Factor'!$G$53*V23</f>
        <v>2083356.3343219117</v>
      </c>
      <c r="V23" s="5">
        <f>'[2]GS PRI SMALL'!$I$18</f>
        <v>2052440</v>
      </c>
      <c r="X23" s="35">
        <f t="shared" si="0" ref="X23:X33">(N23/J23)</f>
        <v>0.31022604658445346</v>
      </c>
      <c r="Y23" s="35"/>
      <c r="Z23" s="35">
        <v>0.65704004117494519</v>
      </c>
    </row>
    <row r="24" spans="1:26" ht="25" customHeight="1">
      <c r="A24" s="36">
        <v>3</v>
      </c>
      <c r="B24" s="36" t="s">
        <v>19</v>
      </c>
      <c r="D24" s="5">
        <f>'[1]Demand Loss Factor'!$G$53*F24</f>
        <v>7756.9698524609203</v>
      </c>
      <c r="E24" s="5"/>
      <c r="F24" s="37">
        <v>7603.3999999999996</v>
      </c>
      <c r="G24" s="5"/>
      <c r="H24" s="5">
        <f>'[1]Demand Loss Factor'!$G$53*J24</f>
        <v>3451.2221224729251</v>
      </c>
      <c r="I24" s="5"/>
      <c r="J24" s="5">
        <v>3382.8960000000002</v>
      </c>
      <c r="K24" s="5"/>
      <c r="L24" s="5">
        <f>'[1]Demand Loss Factor'!$G$53*N24</f>
        <v>3218.5721983554777</v>
      </c>
      <c r="N24" s="5">
        <v>3154.8519999999999</v>
      </c>
      <c r="O24" s="5"/>
      <c r="P24" s="5">
        <f>'[1]Demand Loss Factor'!$G$53*R24</f>
        <v>2998.4543806203897</v>
      </c>
      <c r="R24" s="45">
        <v>2939.0920000000001</v>
      </c>
      <c r="S24" s="5"/>
      <c r="T24" s="5">
        <f>'[1]Energy Loss Factor'!$G$53*V24</f>
        <v>1864431.561485087</v>
      </c>
      <c r="V24" s="5">
        <f>'[2]GS PRI SMALL'!$I$20</f>
        <v>1836764</v>
      </c>
      <c r="X24" s="35">
        <f t="shared" si="0"/>
        <v>0.93258911890876917</v>
      </c>
      <c r="Y24" s="35"/>
      <c r="Z24" s="35">
        <v>0.88421514868816831</v>
      </c>
    </row>
    <row r="25" spans="1:26" ht="25" customHeight="1">
      <c r="A25" s="36">
        <v>4</v>
      </c>
      <c r="B25" s="36" t="s">
        <v>20</v>
      </c>
      <c r="D25" s="5">
        <f>'[1]Demand Loss Factor'!$G$53*F25</f>
        <v>7724.2215119469411</v>
      </c>
      <c r="E25" s="5"/>
      <c r="F25" s="37">
        <v>7571.3000000000002</v>
      </c>
      <c r="G25" s="5"/>
      <c r="H25" s="5">
        <f>'[1]Demand Loss Factor'!$G$53*J25</f>
        <v>5417.1794779463817</v>
      </c>
      <c r="I25" s="5"/>
      <c r="J25" s="5">
        <v>5309.9319999999998</v>
      </c>
      <c r="K25" s="5"/>
      <c r="L25" s="5">
        <f>'[1]Demand Loss Factor'!$G$53*N25</f>
        <v>4788.1338463514921</v>
      </c>
      <c r="N25" s="5">
        <v>4693.3400000000001</v>
      </c>
      <c r="O25" s="5"/>
      <c r="P25" s="5">
        <f>'[1]Demand Loss Factor'!$G$53*R25</f>
        <v>3805.1931199626492</v>
      </c>
      <c r="R25" s="45">
        <v>3729.8591999999999</v>
      </c>
      <c r="T25" s="5">
        <f>'[1]Energy Loss Factor'!$G$53*V25</f>
        <v>2737890.4083283576</v>
      </c>
      <c r="V25" s="5">
        <f>'[2]GS PRI SMALL'!$I$22</f>
        <v>2697261</v>
      </c>
      <c r="X25" s="35">
        <f t="shared" si="0"/>
        <v>0.88387949224208529</v>
      </c>
      <c r="Y25" s="35"/>
      <c r="Z25" s="35">
        <v>0.69251066784952375</v>
      </c>
    </row>
    <row r="26" spans="1:26" ht="25" customHeight="1">
      <c r="A26" s="36">
        <v>5</v>
      </c>
      <c r="B26" s="36" t="s">
        <v>21</v>
      </c>
      <c r="D26" s="5">
        <f>'[1]Demand Loss Factor'!$G$53*F26</f>
        <v>7552.5222686914003</v>
      </c>
      <c r="E26" s="5"/>
      <c r="F26" s="37">
        <v>7403</v>
      </c>
      <c r="G26" s="5"/>
      <c r="H26" s="5">
        <f>'[1]Demand Loss Factor'!$G$53*J26</f>
        <v>3383.946216963458</v>
      </c>
      <c r="I26" s="5"/>
      <c r="J26" s="5">
        <v>3316.9520000000002</v>
      </c>
      <c r="K26" s="5"/>
      <c r="L26" s="5">
        <f>'[1]Demand Loss Factor'!$G$53*N26</f>
        <v>3092.2676641189423</v>
      </c>
      <c r="N26" s="5">
        <v>3031.0479999999998</v>
      </c>
      <c r="O26" s="5"/>
      <c r="P26" s="5">
        <f>'[1]Demand Loss Factor'!$G$53*R26</f>
        <v>3092.2676641189423</v>
      </c>
      <c r="R26" s="45">
        <v>3031.0479999999998</v>
      </c>
      <c r="S26" s="5"/>
      <c r="T26" s="5">
        <f>'[1]Energy Loss Factor'!$G$53*V26</f>
        <v>2384579.3870196911</v>
      </c>
      <c r="V26" s="5">
        <f>'[2]GS PRI SMALL'!$I$24</f>
        <v>2349193</v>
      </c>
      <c r="X26" s="35">
        <f t="shared" si="0"/>
        <v>0.9138052042959921</v>
      </c>
      <c r="Y26" s="35"/>
      <c r="Z26" s="35">
        <v>0.87752772547990521</v>
      </c>
    </row>
    <row r="27" spans="1:26" ht="25" customHeight="1">
      <c r="A27" s="36">
        <v>6</v>
      </c>
      <c r="B27" s="36" t="s">
        <v>22</v>
      </c>
      <c r="D27" s="5">
        <f>'[1]Demand Loss Factor'!$G$53*F27</f>
        <v>7743.2992056420007</v>
      </c>
      <c r="E27" s="5"/>
      <c r="F27" s="37">
        <v>7590</v>
      </c>
      <c r="G27" s="5"/>
      <c r="H27" s="5">
        <f>'[1]Demand Loss Factor'!$G$53*J27</f>
        <v>3534.3600590824344</v>
      </c>
      <c r="I27" s="5"/>
      <c r="J27" s="37">
        <v>3464.3879999999999</v>
      </c>
      <c r="K27" s="5"/>
      <c r="L27" s="5">
        <f>'[1]Demand Loss Factor'!$G$53*N27</f>
        <v>3263.3099001691558</v>
      </c>
      <c r="N27" s="37">
        <v>3198.7040000000002</v>
      </c>
      <c r="O27" s="5"/>
      <c r="P27" s="5">
        <f>'[1]Demand Loss Factor'!$G$53*R27</f>
        <v>3368.7779201795993</v>
      </c>
      <c r="Q27" s="37"/>
      <c r="R27" s="45">
        <v>3302.0839999999998</v>
      </c>
      <c r="S27" s="5"/>
      <c r="T27" s="5">
        <f>'[1]Energy Loss Factor'!$G$53*V27</f>
        <v>2424995.1437810878</v>
      </c>
      <c r="V27" s="5">
        <f>'[2]GS PRI SMALL'!$I$26</f>
        <v>2389009</v>
      </c>
      <c r="X27" s="35">
        <f t="shared" si="0"/>
        <v>0.92330997567247097</v>
      </c>
      <c r="Y27" s="35"/>
      <c r="Z27" s="35">
        <v>0.8567684545662263</v>
      </c>
    </row>
    <row r="28" spans="1:26" ht="25" customHeight="1">
      <c r="A28" s="36">
        <v>7</v>
      </c>
      <c r="B28" s="36" t="s">
        <v>23</v>
      </c>
      <c r="D28" s="5">
        <f>'[1]Demand Loss Factor'!$G$53*F28</f>
        <v>7586.5968659863202</v>
      </c>
      <c r="E28" s="5"/>
      <c r="F28" s="37">
        <v>7436.3999999999996</v>
      </c>
      <c r="G28" s="5"/>
      <c r="H28" s="5">
        <f>'[1]Demand Loss Factor'!$G$53*J28</f>
        <v>3424.9703997905035</v>
      </c>
      <c r="I28" s="5"/>
      <c r="J28" s="5">
        <v>3357.1640000000002</v>
      </c>
      <c r="K28" s="5"/>
      <c r="L28" s="5">
        <f>'[1]Demand Loss Factor'!$G$53*N28</f>
        <v>3355.5806450117229</v>
      </c>
      <c r="N28" s="5">
        <v>3289.1480000000001</v>
      </c>
      <c r="O28" s="5"/>
      <c r="P28" s="5">
        <f>'[1]Demand Loss Factor'!$G$53*R28</f>
        <v>3219.1149434381396</v>
      </c>
      <c r="R28" s="45">
        <v>3155.384</v>
      </c>
      <c r="S28" s="5"/>
      <c r="T28" s="5">
        <f>'[1]Energy Loss Factor'!$G$53*V28</f>
        <v>2262868.2328486219</v>
      </c>
      <c r="V28" s="5">
        <f>'[2]GS PRI SMALL'!$I$28</f>
        <v>2229288</v>
      </c>
      <c r="X28" s="35">
        <f t="shared" si="0"/>
        <v>0.97974004248824298</v>
      </c>
      <c r="Y28" s="35"/>
      <c r="Z28" s="35">
        <v>0.8840301188901577</v>
      </c>
    </row>
    <row r="29" spans="1:26" ht="25" customHeight="1">
      <c r="A29" s="36">
        <v>8</v>
      </c>
      <c r="B29" s="36" t="s">
        <v>24</v>
      </c>
      <c r="D29" s="5">
        <f>'[1]Demand Loss Factor'!$G$53*F29</f>
        <v>8482.9424103970014</v>
      </c>
      <c r="E29" s="5"/>
      <c r="F29" s="37">
        <v>8315</v>
      </c>
      <c r="G29" s="5"/>
      <c r="H29" s="5">
        <f>'[1]Demand Loss Factor'!$G$53*J29</f>
        <v>4034.4853699897658</v>
      </c>
      <c r="I29" s="5"/>
      <c r="J29" s="5">
        <v>3954.6120000000001</v>
      </c>
      <c r="K29" s="5"/>
      <c r="L29" s="5">
        <f>'[1]Demand Loss Factor'!$G$53*N29</f>
        <v>3271.0389166094642</v>
      </c>
      <c r="N29" s="5">
        <v>3206.2800000000002</v>
      </c>
      <c r="O29" s="5"/>
      <c r="P29" s="5">
        <f>'[1]Demand Loss Factor'!$G$53*R29</f>
        <v>3248.1824112862491</v>
      </c>
      <c r="R29" s="45">
        <v>3183.8760000000002</v>
      </c>
      <c r="S29" s="5"/>
      <c r="T29" s="5">
        <f>'[1]Energy Loss Factor'!$G$53*V29</f>
        <v>2323482.7324218289</v>
      </c>
      <c r="V29" s="5">
        <f>'[2]GS PRI SMALL'!$I$30</f>
        <v>2289003</v>
      </c>
      <c r="X29" s="35">
        <f t="shared" si="0"/>
        <v>0.81076980497707485</v>
      </c>
      <c r="Y29" s="35"/>
      <c r="Z29" s="35">
        <v>0.79124568651183846</v>
      </c>
    </row>
    <row r="30" spans="1:26" ht="25" customHeight="1">
      <c r="A30" s="36">
        <v>9</v>
      </c>
      <c r="B30" s="36" t="s">
        <v>25</v>
      </c>
      <c r="D30" s="5">
        <f>'[1]Demand Loss Factor'!$G$53*F30</f>
        <v>7467.8458742160001</v>
      </c>
      <c r="E30" s="5"/>
      <c r="F30" s="37">
        <v>7320</v>
      </c>
      <c r="G30" s="5"/>
      <c r="H30" s="5">
        <f>'[1]Demand Loss Factor'!$G$53*J30</f>
        <v>4329.8488762902462</v>
      </c>
      <c r="I30" s="5"/>
      <c r="J30" s="5">
        <v>4244.1279999999997</v>
      </c>
      <c r="K30" s="5"/>
      <c r="L30" s="5">
        <f>'[1]Demand Loss Factor'!$G$53*N30</f>
        <v>3630.3810500224904</v>
      </c>
      <c r="N30" s="5">
        <v>3558.5079999999998</v>
      </c>
      <c r="O30" s="5"/>
      <c r="P30" s="5">
        <f>'[1]Demand Loss Factor'!$G$53*R30</f>
        <v>3667.7937336152841</v>
      </c>
      <c r="R30" s="45">
        <v>3595.1799999999998</v>
      </c>
      <c r="S30" s="5"/>
      <c r="T30" s="5">
        <f>'[1]Energy Loss Factor'!$G$53*V30</f>
        <v>2476656.785843859</v>
      </c>
      <c r="V30" s="5">
        <f>'[2]GS PRI SMALL'!$I$32</f>
        <v>2439904</v>
      </c>
      <c r="X30" s="35">
        <f t="shared" si="0"/>
        <v>0.8384544481222056</v>
      </c>
      <c r="Y30" s="35"/>
      <c r="Z30" s="35">
        <v>0.79026801167008265</v>
      </c>
    </row>
    <row r="31" spans="1:26" ht="25" customHeight="1">
      <c r="A31" s="36">
        <v>10</v>
      </c>
      <c r="B31" s="36" t="s">
        <v>26</v>
      </c>
      <c r="D31" s="5">
        <f>'[1]Demand Loss Factor'!$G$53*F31</f>
        <v>7681.9853344616204</v>
      </c>
      <c r="E31" s="5"/>
      <c r="F31" s="37">
        <v>7529.8999999999996</v>
      </c>
      <c r="G31" s="5"/>
      <c r="H31" s="5">
        <f>'[1]Demand Loss Factor'!$G$53*J31</f>
        <v>3606.4635392745231</v>
      </c>
      <c r="I31" s="5"/>
      <c r="J31" s="5">
        <v>3535.0639999999999</v>
      </c>
      <c r="K31" s="5"/>
      <c r="L31" s="5">
        <f>'[1]Demand Loss Factor'!$G$53*N31</f>
        <v>3079.4050137388722</v>
      </c>
      <c r="N31" s="5">
        <v>3018.4400000000001</v>
      </c>
      <c r="O31" s="5"/>
      <c r="P31" s="5">
        <f>'[1]Demand Loss Factor'!$G$53*R31</f>
        <v>3079.4050137388722</v>
      </c>
      <c r="R31" s="45">
        <v>3018.4400000000001</v>
      </c>
      <c r="S31" s="5"/>
      <c r="T31" s="5">
        <f>'[1]Energy Loss Factor'!$G$53*V31</f>
        <v>2302007.0400920906</v>
      </c>
      <c r="V31" s="5">
        <f>'[2]GS PRI SMALL'!$I$34</f>
        <v>2267846</v>
      </c>
      <c r="X31" s="35">
        <f t="shared" si="0"/>
        <v>0.85385724275430375</v>
      </c>
      <c r="Y31" s="35"/>
      <c r="Z31" s="35">
        <v>0.88471304333916023</v>
      </c>
    </row>
    <row r="32" spans="1:26" ht="25" customHeight="1">
      <c r="A32" s="36">
        <v>11</v>
      </c>
      <c r="B32" s="36" t="s">
        <v>27</v>
      </c>
      <c r="D32" s="5">
        <f>'[1]Demand Loss Factor'!$G$53*F32</f>
        <v>7632.9138335668404</v>
      </c>
      <c r="E32" s="5"/>
      <c r="F32" s="37">
        <v>7481.8000000000002</v>
      </c>
      <c r="G32" s="5"/>
      <c r="H32" s="5">
        <f>'[1]Demand Loss Factor'!$G$53*J32</f>
        <v>3617.2694714466129</v>
      </c>
      <c r="I32" s="5"/>
      <c r="J32" s="5">
        <v>3545.6559999999999</v>
      </c>
      <c r="K32" s="5"/>
      <c r="L32" s="5">
        <f>'[1]Demand Loss Factor'!$G$53*N32</f>
        <v>3199.5189894009891</v>
      </c>
      <c r="N32" s="5">
        <v>3136.1759999999999</v>
      </c>
      <c r="O32" s="5"/>
      <c r="P32" s="5">
        <f>'[1]Demand Loss Factor'!$G$53*R32</f>
        <v>3297.3477703532189</v>
      </c>
      <c r="R32" s="45">
        <v>3232.0680000000002</v>
      </c>
      <c r="S32" s="5"/>
      <c r="T32" s="5">
        <f>'[1]Energy Loss Factor'!$G$53*V32</f>
        <v>2299807.398116454</v>
      </c>
      <c r="V32" s="5">
        <f>'[2]GS PRI SMALL'!$I$36</f>
        <v>2265679</v>
      </c>
      <c r="X32" s="35">
        <f t="shared" si="0"/>
        <v>0.88451220310148526</v>
      </c>
      <c r="Y32" s="35"/>
      <c r="Z32" s="35">
        <v>0.90481161500798279</v>
      </c>
    </row>
    <row r="33" spans="1:26" ht="25" customHeight="1" thickBot="1">
      <c r="A33" s="36">
        <v>12</v>
      </c>
      <c r="B33" s="36" t="s">
        <v>28</v>
      </c>
      <c r="D33" s="5">
        <f>'[1]Demand Loss Factor'!$G$53*F33</f>
        <v>8672.0870313095202</v>
      </c>
      <c r="E33" s="5"/>
      <c r="F33" s="37">
        <v>8500.3999999999996</v>
      </c>
      <c r="G33" s="5"/>
      <c r="H33" s="5">
        <f>'[1]Demand Loss Factor'!$G$53*J33</f>
        <v>4234.4808117654229</v>
      </c>
      <c r="I33" s="5"/>
      <c r="J33" s="5">
        <v>4150.6480000000001</v>
      </c>
      <c r="K33" s="5"/>
      <c r="L33" s="5">
        <f>'[1]Demand Loss Factor'!$G$53*N33</f>
        <v>3404.7745696093584</v>
      </c>
      <c r="N33" s="5">
        <v>3337.3679999999999</v>
      </c>
      <c r="O33" s="5"/>
      <c r="P33" s="5">
        <f>'[1]Demand Loss Factor'!$G$53*R33</f>
        <v>3078.7561681137354</v>
      </c>
      <c r="R33" s="45">
        <v>3017.8040000000001</v>
      </c>
      <c r="S33" s="5"/>
      <c r="T33" s="38">
        <f>'[1]Energy Loss Factor'!$G$53*V33</f>
        <v>2455051.1654232657</v>
      </c>
      <c r="V33" s="38">
        <f>'[2]GS PRI SMALL'!$I$38</f>
        <v>2418619</v>
      </c>
      <c r="X33" s="35">
        <f t="shared" si="0"/>
        <v>0.80405951070772563</v>
      </c>
      <c r="Y33" s="35"/>
      <c r="Z33" s="35">
        <v>0.77293589789104733</v>
      </c>
    </row>
    <row r="34" spans="1:22" ht="25" customHeight="1" thickTop="1">
      <c r="A34" s="36">
        <v>13</v>
      </c>
      <c r="E34" s="5"/>
      <c r="G34" s="5"/>
      <c r="I34" s="5"/>
      <c r="K34" s="5"/>
      <c r="O34" s="5"/>
      <c r="S34" s="5"/>
      <c r="T34" s="37">
        <f>+SUM(T22:T33)</f>
        <v>27875208.074019983</v>
      </c>
      <c r="U34" s="37"/>
      <c r="V34" s="37">
        <f>+SUM(V22:V33)</f>
        <v>27461549</v>
      </c>
    </row>
    <row r="35" spans="1:22" ht="25" customHeight="1">
      <c r="A35" s="36"/>
      <c r="E35" s="5"/>
      <c r="G35" s="5"/>
      <c r="I35" s="5"/>
      <c r="K35" s="5"/>
      <c r="O35" s="5"/>
      <c r="S35" s="5"/>
      <c r="T35" s="37"/>
      <c r="U35" s="37"/>
      <c r="V35" s="37"/>
    </row>
    <row r="36" spans="5:22" ht="18.75" customHeight="1">
      <c r="E36" s="5"/>
      <c r="G36" s="5"/>
      <c r="I36" s="5"/>
      <c r="K36" s="5"/>
      <c r="O36" s="5"/>
      <c r="S36" s="5"/>
      <c r="T36" s="37"/>
      <c r="U36" s="37"/>
      <c r="V36" s="37"/>
    </row>
    <row r="37" spans="1:19" ht="15" customHeight="1">
      <c r="A37" s="4" t="s">
        <v>87</v>
      </c>
      <c r="E37" s="5"/>
      <c r="G37" s="5"/>
      <c r="I37" s="5"/>
      <c r="K37" s="5"/>
      <c r="O37" s="5"/>
      <c r="S37" s="5"/>
    </row>
    <row r="38" spans="1:19" ht="15" customHeight="1">
      <c r="A38" s="4" t="s">
        <v>29</v>
      </c>
      <c r="E38" s="5"/>
      <c r="G38" s="5"/>
      <c r="I38" s="5"/>
      <c r="K38" s="5"/>
      <c r="O38" s="5"/>
      <c r="S38" s="5"/>
    </row>
    <row r="39" spans="1:19" ht="15" customHeight="1">
      <c r="A39" s="6" t="s">
        <v>30</v>
      </c>
      <c r="E39" s="5"/>
      <c r="G39" s="5"/>
      <c r="I39" s="5"/>
      <c r="K39" s="5"/>
      <c r="O39" s="5"/>
      <c r="S39" s="5"/>
    </row>
    <row r="40" spans="1:19" ht="15" customHeight="1">
      <c r="A40" s="6"/>
      <c r="E40" s="5"/>
      <c r="G40" s="5"/>
      <c r="I40" s="5"/>
      <c r="K40" s="5"/>
      <c r="O40" s="5"/>
      <c r="S40" s="5"/>
    </row>
    <row r="41" spans="1:19" ht="15" customHeight="1">
      <c r="A41" s="6"/>
      <c r="E41" s="5"/>
      <c r="G41" s="5"/>
      <c r="I41" s="5"/>
      <c r="K41" s="5"/>
      <c r="O41" s="5"/>
      <c r="S41" s="5"/>
    </row>
  </sheetData>
  <pageMargins left="0.5" right="1" top="1.5" bottom="0.5" header="0.5" footer="0.5"/>
  <pageSetup orientation="landscape" scale="5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Z40"/>
  <sheetViews>
    <sheetView zoomScale="75" zoomScaleNormal="75" workbookViewId="0" topLeftCell="A1">
      <selection pane="topLeft" activeCell="J15" sqref="J15"/>
    </sheetView>
  </sheetViews>
  <sheetFormatPr defaultColWidth="9.18428571428571" defaultRowHeight="18.75" customHeight="1"/>
  <cols>
    <col min="1" max="1" width="4.71428571428571" style="4" customWidth="1"/>
    <col min="2" max="3" width="7.71428571428571" style="4" customWidth="1"/>
    <col min="4" max="4" width="20.5714285714286" style="5" customWidth="1"/>
    <col min="5" max="5" width="2.71428571428571" style="4" customWidth="1"/>
    <col min="6" max="6" width="20.8571428571429" style="5" customWidth="1"/>
    <col min="7" max="7" width="5.71428571428571" style="4" customWidth="1"/>
    <col min="8" max="8" width="13.8571428571429" style="5" customWidth="1"/>
    <col min="9" max="9" width="2.71428571428571" style="4" customWidth="1"/>
    <col min="10" max="10" width="14.8571428571429" style="5" customWidth="1"/>
    <col min="11" max="11" width="5.71428571428571" style="4" customWidth="1"/>
    <col min="12" max="12" width="14.4285714285714" style="5" customWidth="1"/>
    <col min="13" max="13" width="2.71428571428571" style="5" customWidth="1"/>
    <col min="14" max="14" width="13.2857142857143" style="5" customWidth="1"/>
    <col min="15" max="15" width="5.71428571428571" style="4" customWidth="1"/>
    <col min="16" max="16" width="13.1428571428571" style="5" customWidth="1"/>
    <col min="17" max="17" width="2.71428571428571" style="5" customWidth="1"/>
    <col min="18" max="18" width="13.8571428571429" style="5" customWidth="1"/>
    <col min="19" max="19" width="5.71428571428571" style="4" customWidth="1"/>
    <col min="20" max="20" width="20.5714285714286" style="5" customWidth="1"/>
    <col min="21" max="21" width="2.71428571428571" style="5" customWidth="1"/>
    <col min="22" max="22" width="20.1428571428571" style="5" customWidth="1"/>
    <col min="23" max="23" width="3.71428571428571" style="4" customWidth="1"/>
    <col min="24" max="24" width="9.28571428571429" style="4" customWidth="1"/>
    <col min="25" max="25" width="1.71428571428571" style="4" customWidth="1"/>
    <col min="26" max="26" width="9.71428571428571" style="4" customWidth="1"/>
    <col min="27" max="16384" width="9.14285714285714" style="4"/>
  </cols>
  <sheetData>
    <row r="1" spans="1:22" ht="18.75" customHeight="1">
      <c r="A1" s="28"/>
      <c r="V1" s="4" t="s">
        <v>95</v>
      </c>
    </row>
    <row r="2" spans="22:22" ht="18.75" customHeight="1">
      <c r="V2" s="4" t="s">
        <v>100</v>
      </c>
    </row>
    <row r="7" spans="1:26" ht="18.75" customHeight="1">
      <c r="A7" s="29" t="s">
        <v>86</v>
      </c>
      <c r="B7" s="30"/>
      <c r="C7" s="30"/>
      <c r="D7" s="30"/>
      <c r="E7" s="30"/>
      <c r="F7" s="31"/>
      <c r="G7" s="30"/>
      <c r="H7" s="30"/>
      <c r="I7" s="30"/>
      <c r="J7" s="31"/>
      <c r="K7" s="30"/>
      <c r="L7" s="30"/>
      <c r="M7" s="30"/>
      <c r="N7" s="29"/>
      <c r="O7" s="31"/>
      <c r="P7" s="30"/>
      <c r="Q7" s="30"/>
      <c r="R7" s="31"/>
      <c r="S7" s="30"/>
      <c r="T7" s="30"/>
      <c r="U7" s="30"/>
      <c r="V7" s="30"/>
      <c r="W7" s="30"/>
      <c r="X7" s="30"/>
      <c r="Y7" s="30"/>
      <c r="Z7" s="30"/>
    </row>
    <row r="8" spans="1:26" ht="18" customHeight="1">
      <c r="A8" s="29" t="s">
        <v>51</v>
      </c>
      <c r="B8" s="30"/>
      <c r="C8" s="30"/>
      <c r="D8" s="30"/>
      <c r="E8" s="30"/>
      <c r="F8" s="31"/>
      <c r="G8" s="30"/>
      <c r="H8" s="30"/>
      <c r="I8" s="30"/>
      <c r="J8" s="31"/>
      <c r="K8" s="30"/>
      <c r="L8" s="31"/>
      <c r="M8" s="31"/>
      <c r="N8" s="29"/>
      <c r="O8" s="32"/>
      <c r="P8" s="30"/>
      <c r="Q8" s="30"/>
      <c r="R8" s="32"/>
      <c r="S8" s="29"/>
      <c r="T8" s="30"/>
      <c r="U8" s="30"/>
      <c r="V8" s="30"/>
      <c r="W8" s="30"/>
      <c r="X8" s="30"/>
      <c r="Y8" s="30"/>
      <c r="Z8" s="30"/>
    </row>
    <row r="9" spans="1:26" ht="18" customHeight="1">
      <c r="A9" s="29" t="s">
        <v>72</v>
      </c>
      <c r="B9" s="30"/>
      <c r="C9" s="30"/>
      <c r="D9" s="30"/>
      <c r="E9" s="30"/>
      <c r="F9" s="31"/>
      <c r="G9" s="29"/>
      <c r="H9" s="30"/>
      <c r="I9" s="30"/>
      <c r="J9" s="31"/>
      <c r="K9" s="29"/>
      <c r="L9" s="29"/>
      <c r="M9" s="31"/>
      <c r="N9" s="31"/>
      <c r="O9" s="31"/>
      <c r="P9" s="30"/>
      <c r="Q9" s="29"/>
      <c r="R9" s="32"/>
      <c r="S9" s="29"/>
      <c r="T9" s="30"/>
      <c r="U9" s="30"/>
      <c r="V9" s="30"/>
      <c r="W9" s="30"/>
      <c r="X9" s="30"/>
      <c r="Y9" s="30"/>
      <c r="Z9" s="30"/>
    </row>
    <row r="10" spans="1:26" ht="18" customHeight="1">
      <c r="A10" s="29" t="s">
        <v>112</v>
      </c>
      <c r="B10" s="30"/>
      <c r="C10" s="30"/>
      <c r="D10" s="30"/>
      <c r="E10" s="30"/>
      <c r="F10" s="30"/>
      <c r="G10" s="29"/>
      <c r="H10" s="30"/>
      <c r="I10" s="30"/>
      <c r="J10" s="30"/>
      <c r="K10" s="29"/>
      <c r="L10" s="32"/>
      <c r="M10" s="31"/>
      <c r="N10" s="31"/>
      <c r="O10" s="31"/>
      <c r="P10" s="30"/>
      <c r="Q10" s="29"/>
      <c r="R10" s="32"/>
      <c r="S10" s="29"/>
      <c r="T10" s="30"/>
      <c r="U10" s="30"/>
      <c r="V10" s="30"/>
      <c r="W10" s="30"/>
      <c r="X10" s="30"/>
      <c r="Y10" s="30"/>
      <c r="Z10" s="30"/>
    </row>
    <row r="11" spans="1:26" ht="18" customHeight="1">
      <c r="A11" s="30"/>
      <c r="B11" s="30"/>
      <c r="C11" s="30"/>
      <c r="D11" s="30"/>
      <c r="E11" s="30"/>
      <c r="F11" s="31"/>
      <c r="G11" s="30"/>
      <c r="H11" s="30"/>
      <c r="I11" s="30"/>
      <c r="J11" s="31"/>
      <c r="K11" s="30"/>
      <c r="L11" s="31"/>
      <c r="M11" s="31"/>
      <c r="N11" s="31"/>
      <c r="O11" s="31"/>
      <c r="P11" s="30"/>
      <c r="Q11" s="30"/>
      <c r="R11" s="31"/>
      <c r="S11" s="30"/>
      <c r="T11" s="30"/>
      <c r="U11" s="30"/>
      <c r="V11" s="30"/>
      <c r="W11" s="30"/>
      <c r="X11" s="30"/>
      <c r="Y11" s="30"/>
      <c r="Z11" s="30"/>
    </row>
    <row r="12" spans="1:26" ht="18.75" customHeight="1">
      <c r="A12" s="29" t="s">
        <v>58</v>
      </c>
      <c r="B12" s="30"/>
      <c r="C12" s="30"/>
      <c r="D12" s="30"/>
      <c r="E12" s="30"/>
      <c r="F12" s="31"/>
      <c r="G12" s="30"/>
      <c r="H12" s="30"/>
      <c r="I12" s="30"/>
      <c r="J12" s="31"/>
      <c r="K12" s="30"/>
      <c r="L12" s="32"/>
      <c r="M12" s="31"/>
      <c r="N12" s="32"/>
      <c r="O12" s="32"/>
      <c r="P12" s="30"/>
      <c r="Q12" s="30"/>
      <c r="R12" s="31"/>
      <c r="S12" s="30"/>
      <c r="T12" s="30"/>
      <c r="U12" s="30"/>
      <c r="V12" s="30"/>
      <c r="W12" s="30"/>
      <c r="X12" s="30"/>
      <c r="Y12" s="30"/>
      <c r="Z12" s="30"/>
    </row>
    <row r="13" spans="1:26" ht="18.75" customHeight="1">
      <c r="A13" s="30"/>
      <c r="B13" s="30"/>
      <c r="C13" s="30"/>
      <c r="D13" s="30"/>
      <c r="E13" s="30"/>
      <c r="F13" s="31"/>
      <c r="G13" s="30"/>
      <c r="H13" s="30"/>
      <c r="I13" s="30"/>
      <c r="J13" s="31"/>
      <c r="K13" s="30"/>
      <c r="L13" s="30"/>
      <c r="M13" s="31"/>
      <c r="N13" s="30"/>
      <c r="O13" s="32"/>
      <c r="P13" s="30"/>
      <c r="Q13" s="30"/>
      <c r="R13" s="31"/>
      <c r="S13" s="30"/>
      <c r="T13" s="30"/>
      <c r="U13" s="30"/>
      <c r="V13" s="30"/>
      <c r="W13" s="30"/>
      <c r="X13" s="30"/>
      <c r="Y13" s="30"/>
      <c r="Z13" s="30"/>
    </row>
    <row r="14" spans="1:1" ht="18.75" customHeight="1">
      <c r="A14" s="4" t="s">
        <v>54</v>
      </c>
    </row>
    <row r="15" spans="1:1" ht="18.75" customHeight="1">
      <c r="A15" s="4" t="s">
        <v>35</v>
      </c>
    </row>
    <row r="16" ht="15" customHeight="1"/>
    <row r="17" spans="4:26" s="6" customFormat="1" ht="18.75" customHeight="1">
      <c r="D17" s="6" t="s">
        <v>75</v>
      </c>
      <c r="F17" s="6" t="s">
        <v>76</v>
      </c>
      <c r="H17" s="6" t="s">
        <v>42</v>
      </c>
      <c r="J17" s="6" t="s">
        <v>81</v>
      </c>
      <c r="L17" s="6" t="s">
        <v>43</v>
      </c>
      <c r="N17" s="6" t="s">
        <v>44</v>
      </c>
      <c r="P17" s="6" t="s">
        <v>82</v>
      </c>
      <c r="R17" s="6" t="s">
        <v>83</v>
      </c>
      <c r="T17" s="6" t="s">
        <v>84</v>
      </c>
      <c r="V17" s="6" t="s">
        <v>85</v>
      </c>
      <c r="X17" s="6" t="s">
        <v>91</v>
      </c>
      <c r="Z17" s="6" t="s">
        <v>92</v>
      </c>
    </row>
    <row r="18" spans="4:6" s="6" customFormat="1" ht="18.75" customHeight="1">
      <c r="D18" s="6" t="s">
        <v>77</v>
      </c>
      <c r="F18" s="6" t="s">
        <v>77</v>
      </c>
    </row>
    <row r="19" spans="1:24" ht="18.75" customHeight="1">
      <c r="A19" s="4" t="s">
        <v>2</v>
      </c>
      <c r="D19" s="5" t="s">
        <v>79</v>
      </c>
      <c r="F19" s="5" t="s">
        <v>79</v>
      </c>
      <c r="H19" s="5" t="s">
        <v>6</v>
      </c>
      <c r="I19" s="5"/>
      <c r="J19" s="5" t="s">
        <v>89</v>
      </c>
      <c r="L19" s="5" t="s">
        <v>4</v>
      </c>
      <c r="M19" s="4" t="s">
        <v>5</v>
      </c>
      <c r="N19" s="5" t="s">
        <v>4</v>
      </c>
      <c r="P19" s="5" t="s">
        <v>3</v>
      </c>
      <c r="R19" s="5" t="s">
        <v>3</v>
      </c>
      <c r="T19" s="5" t="s">
        <v>7</v>
      </c>
      <c r="V19" s="5" t="s">
        <v>8</v>
      </c>
      <c r="X19" s="4" t="s">
        <v>94</v>
      </c>
    </row>
    <row r="20" spans="1:26" ht="18.75" customHeight="1">
      <c r="A20" s="33" t="s">
        <v>9</v>
      </c>
      <c r="B20" s="33" t="s">
        <v>10</v>
      </c>
      <c r="D20" s="27" t="s">
        <v>78</v>
      </c>
      <c r="F20" s="27" t="s">
        <v>80</v>
      </c>
      <c r="H20" s="27" t="s">
        <v>11</v>
      </c>
      <c r="I20" s="5"/>
      <c r="J20" s="27" t="s">
        <v>12</v>
      </c>
      <c r="L20" s="27" t="s">
        <v>11</v>
      </c>
      <c r="M20" s="4"/>
      <c r="N20" s="27" t="s">
        <v>12</v>
      </c>
      <c r="P20" s="27" t="s">
        <v>11</v>
      </c>
      <c r="R20" s="27" t="s">
        <v>12</v>
      </c>
      <c r="T20" s="27" t="s">
        <v>13</v>
      </c>
      <c r="V20" s="27" t="s">
        <v>14</v>
      </c>
      <c r="X20" s="34" t="s">
        <v>15</v>
      </c>
      <c r="Z20" s="34" t="s">
        <v>93</v>
      </c>
    </row>
    <row r="21" spans="13:26" ht="18.75" customHeight="1">
      <c r="M21" s="4"/>
      <c r="X21" s="35"/>
      <c r="Y21" s="35"/>
      <c r="Z21" s="35"/>
    </row>
    <row r="22" spans="1:26" ht="25" customHeight="1">
      <c r="A22" s="36">
        <v>1</v>
      </c>
      <c r="B22" s="36" t="s">
        <v>17</v>
      </c>
      <c r="D22" s="5">
        <f>'[1]Demand Loss Factor'!$G$53*F22</f>
        <v>2743978.4526985181</v>
      </c>
      <c r="E22" s="5"/>
      <c r="F22" s="45">
        <v>2689654.1000000001</v>
      </c>
      <c r="G22" s="5"/>
      <c r="H22" s="5">
        <f>'[1]Demand Loss Factor'!$G$53*J22</f>
        <v>1957514.751673151</v>
      </c>
      <c r="I22" s="5"/>
      <c r="J22" s="5">
        <v>1918760.54</v>
      </c>
      <c r="K22" s="5"/>
      <c r="L22" s="5">
        <f>'[1]Demand Loss Factor'!$G$53*N22</f>
        <v>1864495.0145357207</v>
      </c>
      <c r="N22" s="5">
        <v>1827582.3759999999</v>
      </c>
      <c r="O22" s="5"/>
      <c r="P22" s="5">
        <f>'[1]Demand Loss Factor'!$G$53*R22</f>
        <v>1862369.677842289</v>
      </c>
      <c r="R22" s="5">
        <v>1825499.1159999999</v>
      </c>
      <c r="S22" s="5"/>
      <c r="T22" s="5">
        <f>'[1]Energy Loss Factor'!$G$53*V22</f>
        <v>1358653743.2115142</v>
      </c>
      <c r="V22" s="5">
        <f>'[2]GS PRI LRG NONIDR'!$I$16+'[2]GS PRI LRG IDR '!$I$16</f>
        <v>1338491761</v>
      </c>
      <c r="X22" s="35">
        <f>(N22/J22)</f>
        <v>0.95248069673144309</v>
      </c>
      <c r="Y22" s="35"/>
      <c r="Z22" s="35">
        <v>0.93189981276475398</v>
      </c>
    </row>
    <row r="23" spans="1:26" ht="25" customHeight="1">
      <c r="A23" s="36">
        <v>2</v>
      </c>
      <c r="B23" s="36" t="s">
        <v>18</v>
      </c>
      <c r="D23" s="5">
        <f>'[1]Demand Loss Factor'!$G$53*F23</f>
        <v>2843165.9327129442</v>
      </c>
      <c r="E23" s="5"/>
      <c r="F23" s="45">
        <v>2786877.8999999999</v>
      </c>
      <c r="G23" s="5"/>
      <c r="H23" s="5">
        <f>'[1]Demand Loss Factor'!$G$53*J23</f>
        <v>1985093.5024058407</v>
      </c>
      <c r="I23" s="5"/>
      <c r="J23" s="5">
        <v>1945793.2960000001</v>
      </c>
      <c r="K23" s="5"/>
      <c r="L23" s="5">
        <f>'[1]Demand Loss Factor'!$G$53*N23</f>
        <v>1114461.3346866432</v>
      </c>
      <c r="N23" s="5">
        <v>1092397.608</v>
      </c>
      <c r="O23" s="5"/>
      <c r="P23" s="5">
        <f>'[1]Demand Loss Factor'!$G$53*R23</f>
        <v>1108551.9874384753</v>
      </c>
      <c r="R23" s="5">
        <v>1086605.2520000001</v>
      </c>
      <c r="S23" s="5"/>
      <c r="T23" s="5">
        <f>'[1]Energy Loss Factor'!$G$53*V23</f>
        <v>1306312026.0542519</v>
      </c>
      <c r="V23" s="5">
        <f>'[2]GS PRI LRG NONIDR'!$I$18+'[2]GS PRI LRG IDR '!$I$18</f>
        <v>1286926778</v>
      </c>
      <c r="X23" s="35">
        <f t="shared" si="0" ref="X23:X33">(N23/J23)</f>
        <v>0.56141503326466391</v>
      </c>
      <c r="Y23" s="35"/>
      <c r="Z23" s="35">
        <v>0.77315625221551199</v>
      </c>
    </row>
    <row r="24" spans="1:26" ht="25" customHeight="1">
      <c r="A24" s="36">
        <v>3</v>
      </c>
      <c r="B24" s="36" t="s">
        <v>19</v>
      </c>
      <c r="D24" s="5">
        <f>'[1]Demand Loss Factor'!$G$53*F24</f>
        <v>2794521.9966003885</v>
      </c>
      <c r="E24" s="5"/>
      <c r="F24" s="45">
        <v>2739197</v>
      </c>
      <c r="G24" s="5"/>
      <c r="H24" s="5">
        <f>'[1]Demand Loss Factor'!$G$53*J24</f>
        <v>1988672.0859871849</v>
      </c>
      <c r="I24" s="5"/>
      <c r="J24" s="5">
        <v>1949301.0320000001</v>
      </c>
      <c r="K24" s="5"/>
      <c r="L24" s="5">
        <f>'[1]Demand Loss Factor'!$G$53*N24</f>
        <v>1848963.2499396631</v>
      </c>
      <c r="N24" s="5">
        <v>1812358.1040000001</v>
      </c>
      <c r="O24" s="5"/>
      <c r="P24" s="5">
        <f>'[1]Demand Loss Factor'!$G$53*R24</f>
        <v>1883298.4138437419</v>
      </c>
      <c r="R24" s="5">
        <v>1846013.5120000001</v>
      </c>
      <c r="S24" s="5"/>
      <c r="T24" s="5">
        <f>'[1]Energy Loss Factor'!$G$53*V24</f>
        <v>1156810421.5871811</v>
      </c>
      <c r="V24" s="5">
        <f>'[2]GS PRI LRG NONIDR'!$I$20+'[2]GS PRI LRG IDR '!$I$20</f>
        <v>1139643729</v>
      </c>
      <c r="X24" s="35">
        <f t="shared" si="0"/>
        <v>0.92974767583255447</v>
      </c>
      <c r="Y24" s="35"/>
      <c r="Z24" s="35">
        <v>0.92802583578096542</v>
      </c>
    </row>
    <row r="25" spans="1:26" ht="25" customHeight="1">
      <c r="A25" s="36">
        <v>4</v>
      </c>
      <c r="B25" s="36" t="s">
        <v>20</v>
      </c>
      <c r="D25" s="5">
        <f>'[1]Demand Loss Factor'!$G$53*F25</f>
        <v>2848587.7724531791</v>
      </c>
      <c r="E25" s="5"/>
      <c r="F25" s="45">
        <v>2792192.3999999999</v>
      </c>
      <c r="G25" s="5"/>
      <c r="H25" s="5">
        <f>'[1]Demand Loss Factor'!$G$53*J25</f>
        <v>2078449.5945860776</v>
      </c>
      <c r="I25" s="5"/>
      <c r="J25" s="5">
        <v>2037301.156</v>
      </c>
      <c r="K25" s="5"/>
      <c r="L25" s="5">
        <f>'[1]Demand Loss Factor'!$G$53*N25</f>
        <v>1967374.2914911024</v>
      </c>
      <c r="N25" s="5">
        <v>1928424.8840000001</v>
      </c>
      <c r="O25" s="5"/>
      <c r="P25" s="5">
        <f>'[1]Demand Loss Factor'!$G$53*R25</f>
        <v>2030853.3441994034</v>
      </c>
      <c r="R25" s="5">
        <v>1990647.2</v>
      </c>
      <c r="S25" s="5"/>
      <c r="T25" s="5">
        <f>'[1]Energy Loss Factor'!$G$53*V25</f>
        <v>1347628676.7909265</v>
      </c>
      <c r="V25" s="5">
        <f>'[2]GS PRI LRG NONIDR'!$I$22+'[2]GS PRI LRG IDR '!$I$22</f>
        <v>1327630303</v>
      </c>
      <c r="X25" s="35">
        <f t="shared" si="0"/>
        <v>0.94655857742025451</v>
      </c>
      <c r="Y25" s="35"/>
      <c r="Z25" s="35">
        <v>0.9108216394894455</v>
      </c>
    </row>
    <row r="26" spans="1:26" ht="25" customHeight="1">
      <c r="A26" s="36">
        <v>5</v>
      </c>
      <c r="B26" s="36" t="s">
        <v>21</v>
      </c>
      <c r="D26" s="5">
        <f>'[1]Demand Loss Factor'!$G$53*F26</f>
        <v>3025605.9175188029</v>
      </c>
      <c r="E26" s="5"/>
      <c r="F26" s="45">
        <v>2965706</v>
      </c>
      <c r="G26" s="5"/>
      <c r="H26" s="5">
        <f>'[1]Demand Loss Factor'!$G$53*J26</f>
        <v>2144420.0675864606</v>
      </c>
      <c r="I26" s="5"/>
      <c r="J26" s="5">
        <v>2101965.568</v>
      </c>
      <c r="K26" s="5"/>
      <c r="L26" s="5">
        <f>'[1]Demand Loss Factor'!$G$53*N26</f>
        <v>2124742.6609790102</v>
      </c>
      <c r="N26" s="5">
        <v>2082677.7280000001</v>
      </c>
      <c r="O26" s="5"/>
      <c r="P26" s="5">
        <f>'[1]Demand Loss Factor'!$G$53*R26</f>
        <v>2124742.6609790102</v>
      </c>
      <c r="R26" s="5">
        <v>2082677.7280000001</v>
      </c>
      <c r="S26" s="5"/>
      <c r="T26" s="5">
        <f>'[1]Energy Loss Factor'!$G$53*V26</f>
        <v>1436448914.3958445</v>
      </c>
      <c r="V26" s="5">
        <f>'[2]GS PRI LRG NONIDR'!$I$24+'[2]GS PRI LRG IDR '!$I$24</f>
        <v>1415132477</v>
      </c>
      <c r="X26" s="35">
        <f t="shared" si="0"/>
        <v>0.99082390297270562</v>
      </c>
      <c r="Y26" s="35"/>
      <c r="Z26" s="35">
        <v>0.90713650311013982</v>
      </c>
    </row>
    <row r="27" spans="1:26" ht="25" customHeight="1">
      <c r="A27" s="36">
        <v>6</v>
      </c>
      <c r="B27" s="36" t="s">
        <v>22</v>
      </c>
      <c r="D27" s="5">
        <f>'[1]Demand Loss Factor'!$G$53*F27</f>
        <v>3255962.0295237382</v>
      </c>
      <c r="E27" s="5"/>
      <c r="F27" s="45">
        <v>3191501.6000000001</v>
      </c>
      <c r="G27" s="5"/>
      <c r="H27" s="5">
        <f>'[1]Demand Loss Factor'!$G$53*J27</f>
        <v>2213060.5444150716</v>
      </c>
      <c r="I27" s="5"/>
      <c r="J27" s="37">
        <v>2169247.1239999998</v>
      </c>
      <c r="K27" s="5"/>
      <c r="L27" s="5">
        <f>'[1]Demand Loss Factor'!$G$53*N27</f>
        <v>2130620.320892089</v>
      </c>
      <c r="N27" s="37">
        <v>2088439.024</v>
      </c>
      <c r="O27" s="5"/>
      <c r="P27" s="5">
        <f>'[1]Demand Loss Factor'!$G$53*R27</f>
        <v>2108470.4655857091</v>
      </c>
      <c r="Q27" s="37"/>
      <c r="R27" s="37">
        <v>2066727.6839999999</v>
      </c>
      <c r="S27" s="5"/>
      <c r="T27" s="5">
        <f>'[1]Energy Loss Factor'!$G$53*V27</f>
        <v>1482426205.5289252</v>
      </c>
      <c r="V27" s="5">
        <f>'[2]GS PRI LRG NONIDR'!$I$26+'[2]GS PRI LRG IDR '!$I$26</f>
        <v>1460427480</v>
      </c>
      <c r="X27" s="35">
        <f t="shared" si="0"/>
        <v>0.96274831986362475</v>
      </c>
      <c r="Y27" s="35"/>
      <c r="Z27" s="35">
        <v>0.90729046855000928</v>
      </c>
    </row>
    <row r="28" spans="1:26" ht="25" customHeight="1">
      <c r="A28" s="36">
        <v>7</v>
      </c>
      <c r="B28" s="36" t="s">
        <v>23</v>
      </c>
      <c r="D28" s="5">
        <f>'[1]Demand Loss Factor'!$G$53*F28</f>
        <v>3190126.2348388676</v>
      </c>
      <c r="E28" s="5"/>
      <c r="F28" s="45">
        <v>3126969.2000000002</v>
      </c>
      <c r="G28" s="5"/>
      <c r="H28" s="5">
        <f>'[1]Demand Loss Factor'!$G$53*J28</f>
        <v>2229632.9961819975</v>
      </c>
      <c r="I28" s="5"/>
      <c r="J28" s="5">
        <v>2185491.48</v>
      </c>
      <c r="K28" s="5"/>
      <c r="L28" s="5">
        <f>'[1]Demand Loss Factor'!$G$53*N28</f>
        <v>2169314.2052623811</v>
      </c>
      <c r="N28" s="5">
        <v>2126366.8599999999</v>
      </c>
      <c r="O28" s="5"/>
      <c r="P28" s="5">
        <f>'[1]Demand Loss Factor'!$G$53*R28</f>
        <v>2111173.8747616564</v>
      </c>
      <c r="R28" s="5">
        <v>2069377.5720000002</v>
      </c>
      <c r="S28" s="5"/>
      <c r="T28" s="5">
        <f>'[1]Energy Loss Factor'!$G$53*V28</f>
        <v>1548128901.2882013</v>
      </c>
      <c r="V28" s="5">
        <f>'[2]GS PRI LRG NONIDR'!$I$28+'[2]GS PRI LRG IDR '!$I$28</f>
        <v>1525155169</v>
      </c>
      <c r="X28" s="35">
        <f t="shared" si="0"/>
        <v>0.97294676252867385</v>
      </c>
      <c r="Y28" s="35"/>
      <c r="Z28" s="35">
        <v>0.92249984892537118</v>
      </c>
    </row>
    <row r="29" spans="1:26" ht="25" customHeight="1">
      <c r="A29" s="36">
        <v>8</v>
      </c>
      <c r="B29" s="36" t="s">
        <v>24</v>
      </c>
      <c r="D29" s="5">
        <f>'[1]Demand Loss Factor'!$G$53*F29</f>
        <v>3222855.3956393995</v>
      </c>
      <c r="E29" s="5"/>
      <c r="F29" s="45">
        <v>3159050.3999999999</v>
      </c>
      <c r="G29" s="5"/>
      <c r="H29" s="5">
        <f>'[1]Demand Loss Factor'!$G$53*J29</f>
        <v>2263132.2306390246</v>
      </c>
      <c r="I29" s="5"/>
      <c r="J29" s="5">
        <v>2218327.5079999999</v>
      </c>
      <c r="K29" s="5"/>
      <c r="L29" s="5">
        <f>'[1]Demand Loss Factor'!$G$53*N29</f>
        <v>2195859.0755820819</v>
      </c>
      <c r="N29" s="5">
        <v>2152386.2039999999</v>
      </c>
      <c r="O29" s="5"/>
      <c r="P29" s="5">
        <f>'[1]Demand Loss Factor'!$G$53*R29</f>
        <v>2152715.1916327258</v>
      </c>
      <c r="R29" s="5">
        <v>2110096.4679999999</v>
      </c>
      <c r="S29" s="5"/>
      <c r="T29" s="5">
        <f>'[1]Energy Loss Factor'!$G$53*V29</f>
        <v>1386394795.4564111</v>
      </c>
      <c r="V29" s="5">
        <f>'[2]GS PRI LRG NONIDR'!$I$30+'[2]GS PRI LRG IDR '!$I$30</f>
        <v>1365821145</v>
      </c>
      <c r="X29" s="35">
        <f t="shared" si="0"/>
        <v>0.97027431532891584</v>
      </c>
      <c r="Y29" s="35"/>
      <c r="Z29" s="35">
        <v>0.92547168760919396</v>
      </c>
    </row>
    <row r="30" spans="1:26" ht="25" customHeight="1">
      <c r="A30" s="36">
        <v>9</v>
      </c>
      <c r="B30" s="36" t="s">
        <v>25</v>
      </c>
      <c r="D30" s="5">
        <f>'[1]Demand Loss Factor'!$G$53*F30</f>
        <v>3206700.2617907696</v>
      </c>
      <c r="E30" s="5"/>
      <c r="F30" s="45">
        <v>3143215.1000000001</v>
      </c>
      <c r="G30" s="5"/>
      <c r="H30" s="5">
        <f>'[1]Demand Loss Factor'!$G$53*J30</f>
        <v>2278267.0731056826</v>
      </c>
      <c r="I30" s="5"/>
      <c r="J30" s="5">
        <v>2233162.716</v>
      </c>
      <c r="K30" s="5"/>
      <c r="L30" s="5">
        <f>'[1]Demand Loss Factor'!$G$53*N30</f>
        <v>2170300.3485928369</v>
      </c>
      <c r="N30" s="5">
        <v>2127333.48</v>
      </c>
      <c r="O30" s="5"/>
      <c r="P30" s="5">
        <f>'[1]Demand Loss Factor'!$G$53*R30</f>
        <v>2164466.4429111588</v>
      </c>
      <c r="R30" s="5">
        <v>2121615.0720000002</v>
      </c>
      <c r="S30" s="5"/>
      <c r="T30" s="5">
        <f>'[1]Energy Loss Factor'!$G$53*V30</f>
        <v>1499929318.0590205</v>
      </c>
      <c r="V30" s="5">
        <f>'[2]GS PRI LRG NONIDR'!$I$32+'[2]GS PRI LRG IDR '!$I$32</f>
        <v>1477670852</v>
      </c>
      <c r="X30" s="35">
        <f t="shared" si="0"/>
        <v>0.95261015453922704</v>
      </c>
      <c r="Y30" s="35"/>
      <c r="Z30" s="35">
        <v>0.91431850979594942</v>
      </c>
    </row>
    <row r="31" spans="1:26" ht="25" customHeight="1">
      <c r="A31" s="36">
        <v>10</v>
      </c>
      <c r="B31" s="36" t="s">
        <v>26</v>
      </c>
      <c r="D31" s="5">
        <f>'[1]Demand Loss Factor'!$G$53*F31</f>
        <v>3347610.4538767878</v>
      </c>
      <c r="E31" s="5"/>
      <c r="F31" s="45">
        <v>3281335.6000000001</v>
      </c>
      <c r="G31" s="5"/>
      <c r="H31" s="5">
        <f>'[1]Demand Loss Factor'!$G$53*J31</f>
        <v>2239691.6377486936</v>
      </c>
      <c r="I31" s="5"/>
      <c r="J31" s="5">
        <v>2195350.9840000002</v>
      </c>
      <c r="K31" s="5"/>
      <c r="L31" s="5">
        <f>'[1]Demand Loss Factor'!$G$53*N31</f>
        <v>2172589.0148290391</v>
      </c>
      <c r="N31" s="5">
        <v>2129576.8360000001</v>
      </c>
      <c r="O31" s="5"/>
      <c r="P31" s="5">
        <f>'[1]Demand Loss Factor'!$G$53*R31</f>
        <v>2172589.0148290391</v>
      </c>
      <c r="R31" s="5">
        <v>2129576.8360000001</v>
      </c>
      <c r="S31" s="5"/>
      <c r="T31" s="5">
        <f>'[1]Energy Loss Factor'!$G$53*V31</f>
        <v>1539247183.4677608</v>
      </c>
      <c r="V31" s="5">
        <f>'[2]GS PRI LRG NONIDR'!$I$34+'[2]GS PRI LRG IDR '!$I$34</f>
        <v>1516405253</v>
      </c>
      <c r="X31" s="35">
        <f t="shared" si="0"/>
        <v>0.97003934747592957</v>
      </c>
      <c r="Y31" s="35"/>
      <c r="Z31" s="35">
        <v>0.90912711858879436</v>
      </c>
    </row>
    <row r="32" spans="1:26" ht="25" customHeight="1">
      <c r="A32" s="36">
        <v>11</v>
      </c>
      <c r="B32" s="36" t="s">
        <v>27</v>
      </c>
      <c r="D32" s="5">
        <f>'[1]Demand Loss Factor'!$G$53*F32</f>
        <v>3190695.1989978901</v>
      </c>
      <c r="E32" s="5"/>
      <c r="F32" s="45">
        <v>3127526.8999999999</v>
      </c>
      <c r="G32" s="5"/>
      <c r="H32" s="5">
        <f>'[1]Demand Loss Factor'!$G$53*J32</f>
        <v>2178081.1012899727</v>
      </c>
      <c r="I32" s="5"/>
      <c r="J32" s="5">
        <v>2134960.1919999998</v>
      </c>
      <c r="K32" s="5"/>
      <c r="L32" s="5">
        <f>'[1]Demand Loss Factor'!$G$53*N32</f>
        <v>2002202.8433216412</v>
      </c>
      <c r="N32" s="5">
        <v>1962563.912</v>
      </c>
      <c r="O32" s="5"/>
      <c r="P32" s="5">
        <f>'[1]Demand Loss Factor'!$G$53*R32</f>
        <v>2144254.5711441501</v>
      </c>
      <c r="R32" s="5">
        <v>2101803.3480000002</v>
      </c>
      <c r="S32" s="5"/>
      <c r="T32" s="5">
        <f>'[1]Energy Loss Factor'!$G$53*V32</f>
        <v>1435794510.249929</v>
      </c>
      <c r="V32" s="5">
        <f>'[2]GS PRI LRG NONIDR'!$I$36+'[2]GS PRI LRG IDR '!$I$36</f>
        <v>1414487784</v>
      </c>
      <c r="X32" s="35">
        <f t="shared" si="0"/>
        <v>0.91925082226544863</v>
      </c>
      <c r="Y32" s="35"/>
      <c r="Z32" s="35">
        <v>0.91925646341660094</v>
      </c>
    </row>
    <row r="33" spans="1:26" ht="25" customHeight="1" thickBot="1">
      <c r="A33" s="36">
        <v>12</v>
      </c>
      <c r="B33" s="36" t="s">
        <v>28</v>
      </c>
      <c r="D33" s="5">
        <f>'[1]Demand Loss Factor'!$G$53*F33</f>
        <v>3310686.0368188848</v>
      </c>
      <c r="E33" s="5"/>
      <c r="F33" s="45">
        <v>3245142.2000000002</v>
      </c>
      <c r="G33" s="5"/>
      <c r="H33" s="5">
        <f>'[1]Demand Loss Factor'!$G$53*J33</f>
        <v>2169957.2969734836</v>
      </c>
      <c r="I33" s="5"/>
      <c r="J33" s="5">
        <v>2126997.2199999997</v>
      </c>
      <c r="K33" s="5"/>
      <c r="L33" s="5">
        <f>'[1]Demand Loss Factor'!$G$53*N33</f>
        <v>2054840.7221545905</v>
      </c>
      <c r="N33" s="5">
        <v>2014159.6839999999</v>
      </c>
      <c r="O33" s="5"/>
      <c r="P33" s="5">
        <f>'[1]Demand Loss Factor'!$G$53*R33</f>
        <v>2097075.5856255</v>
      </c>
      <c r="R33" s="5">
        <v>2055558.396</v>
      </c>
      <c r="S33" s="5"/>
      <c r="T33" s="38">
        <f>'[1]Energy Loss Factor'!$G$53*V33</f>
        <v>1527672206.5532639</v>
      </c>
      <c r="V33" s="38">
        <f>'[2]GS PRI LRG NONIDR'!$I$38+'[2]GS PRI LRG IDR '!$I$38</f>
        <v>1505002045</v>
      </c>
      <c r="X33" s="35">
        <f t="shared" si="0"/>
        <v>0.94694984321606224</v>
      </c>
      <c r="Y33" s="35"/>
      <c r="Z33" s="35">
        <v>0.92399967605884536</v>
      </c>
    </row>
    <row r="34" spans="1:22" ht="25" customHeight="1" thickTop="1">
      <c r="A34" s="36">
        <v>13</v>
      </c>
      <c r="E34" s="5"/>
      <c r="G34" s="5"/>
      <c r="I34" s="5"/>
      <c r="K34" s="5"/>
      <c r="O34" s="5"/>
      <c r="S34" s="5"/>
      <c r="T34" s="37">
        <f>+SUM(T22:T33)</f>
        <v>17025446902.64323</v>
      </c>
      <c r="U34" s="37"/>
      <c r="V34" s="37">
        <f>+SUM(V22:V33)</f>
        <v>16772794776</v>
      </c>
    </row>
    <row r="35" spans="1:22" ht="25" customHeight="1">
      <c r="A35" s="36"/>
      <c r="E35" s="5"/>
      <c r="G35" s="5"/>
      <c r="I35" s="5"/>
      <c r="K35" s="5"/>
      <c r="O35" s="5"/>
      <c r="S35" s="5"/>
      <c r="T35" s="37"/>
      <c r="U35" s="37"/>
      <c r="V35" s="37"/>
    </row>
    <row r="36" spans="5:22" ht="18.75" customHeight="1">
      <c r="E36" s="5"/>
      <c r="G36" s="5"/>
      <c r="I36" s="5"/>
      <c r="K36" s="5"/>
      <c r="O36" s="5"/>
      <c r="S36" s="5"/>
      <c r="T36" s="37"/>
      <c r="U36" s="37"/>
      <c r="V36" s="37"/>
    </row>
    <row r="37" spans="1:19" ht="15" customHeight="1">
      <c r="A37" s="4" t="s">
        <v>87</v>
      </c>
      <c r="E37" s="5"/>
      <c r="G37" s="5"/>
      <c r="I37" s="5"/>
      <c r="K37" s="5"/>
      <c r="O37" s="5"/>
      <c r="S37" s="5"/>
    </row>
    <row r="38" spans="1:19" ht="15" customHeight="1">
      <c r="A38" s="4" t="s">
        <v>29</v>
      </c>
      <c r="E38" s="5"/>
      <c r="G38" s="5"/>
      <c r="I38" s="5"/>
      <c r="K38" s="5"/>
      <c r="O38" s="5"/>
      <c r="S38" s="5"/>
    </row>
    <row r="39" spans="1:19" ht="15" customHeight="1">
      <c r="A39" s="6" t="s">
        <v>30</v>
      </c>
      <c r="E39" s="5"/>
      <c r="G39" s="5"/>
      <c r="I39" s="5"/>
      <c r="K39" s="5"/>
      <c r="O39" s="5"/>
      <c r="S39" s="5"/>
    </row>
    <row r="40" spans="1:19" ht="15" customHeight="1">
      <c r="A40" s="6"/>
      <c r="E40" s="5"/>
      <c r="G40" s="5"/>
      <c r="I40" s="5"/>
      <c r="K40" s="5"/>
      <c r="O40" s="5"/>
      <c r="S40" s="5"/>
    </row>
  </sheetData>
  <pageMargins left="0.5" right="1" top="1.5" bottom="0.5" header="0.5" footer="0.5"/>
  <pageSetup orientation="landscape" scale="5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Z41"/>
  <sheetViews>
    <sheetView zoomScale="75" zoomScaleNormal="75" workbookViewId="0" topLeftCell="A1">
      <selection pane="topLeft" activeCell="Q36" sqref="Q36"/>
    </sheetView>
  </sheetViews>
  <sheetFormatPr defaultColWidth="9.18428571428571" defaultRowHeight="18.75" customHeight="1"/>
  <cols>
    <col min="1" max="1" width="4.71428571428571" style="4" customWidth="1"/>
    <col min="2" max="3" width="7.71428571428571" style="4" customWidth="1"/>
    <col min="4" max="4" width="20.5714285714286" style="5" customWidth="1"/>
    <col min="5" max="5" width="2.71428571428571" style="4" customWidth="1"/>
    <col min="6" max="6" width="20.8571428571429" style="5" customWidth="1"/>
    <col min="7" max="7" width="5.71428571428571" style="4" customWidth="1"/>
    <col min="8" max="8" width="13.8571428571429" style="5" customWidth="1"/>
    <col min="9" max="9" width="2.71428571428571" style="4" customWidth="1"/>
    <col min="10" max="10" width="14.8571428571429" style="5" customWidth="1"/>
    <col min="11" max="11" width="5.71428571428571" style="4" customWidth="1"/>
    <col min="12" max="12" width="12.7142857142857" style="5" customWidth="1"/>
    <col min="13" max="13" width="2.71428571428571" style="5" customWidth="1"/>
    <col min="14" max="14" width="13.2857142857143" style="5" customWidth="1"/>
    <col min="15" max="15" width="5.71428571428571" style="4" customWidth="1"/>
    <col min="16" max="16" width="12.7142857142857" style="5" customWidth="1"/>
    <col min="17" max="17" width="2.71428571428571" style="5" customWidth="1"/>
    <col min="18" max="18" width="13.8571428571429" style="5" customWidth="1"/>
    <col min="19" max="19" width="5.71428571428571" style="4" customWidth="1"/>
    <col min="20" max="20" width="19" style="5" customWidth="1"/>
    <col min="21" max="21" width="2.71428571428571" style="5" customWidth="1"/>
    <col min="22" max="22" width="18.8571428571429" style="5" customWidth="1"/>
    <col min="23" max="23" width="3.71428571428571" style="4" customWidth="1"/>
    <col min="24" max="24" width="9.85714285714286" style="4" customWidth="1"/>
    <col min="25" max="25" width="1.71428571428571" style="4" customWidth="1"/>
    <col min="26" max="26" width="9.71428571428571" style="4" customWidth="1"/>
    <col min="27" max="16384" width="9.14285714285714" style="4"/>
  </cols>
  <sheetData>
    <row r="1" spans="1:22" ht="18.75" customHeight="1">
      <c r="A1" s="28"/>
      <c r="V1" s="4" t="s">
        <v>95</v>
      </c>
    </row>
    <row r="2" spans="22:22" ht="18.75" customHeight="1">
      <c r="V2" s="4" t="s">
        <v>101</v>
      </c>
    </row>
    <row r="7" spans="1:26" ht="18.75" customHeight="1">
      <c r="A7" s="29" t="s">
        <v>86</v>
      </c>
      <c r="B7" s="30"/>
      <c r="C7" s="30"/>
      <c r="D7" s="30"/>
      <c r="E7" s="30"/>
      <c r="F7" s="31"/>
      <c r="G7" s="30"/>
      <c r="H7" s="30"/>
      <c r="I7" s="30"/>
      <c r="J7" s="31"/>
      <c r="K7" s="30"/>
      <c r="L7" s="30"/>
      <c r="M7" s="30"/>
      <c r="N7" s="29"/>
      <c r="O7" s="31"/>
      <c r="P7" s="30"/>
      <c r="Q7" s="30"/>
      <c r="R7" s="31"/>
      <c r="S7" s="30"/>
      <c r="T7" s="30"/>
      <c r="U7" s="30"/>
      <c r="V7" s="30"/>
      <c r="W7" s="30"/>
      <c r="X7" s="30"/>
      <c r="Y7" s="30"/>
      <c r="Z7" s="30"/>
    </row>
    <row r="8" spans="1:26" ht="18" customHeight="1">
      <c r="A8" s="29" t="s">
        <v>51</v>
      </c>
      <c r="B8" s="30"/>
      <c r="C8" s="30"/>
      <c r="D8" s="30"/>
      <c r="E8" s="30"/>
      <c r="F8" s="31"/>
      <c r="G8" s="30"/>
      <c r="H8" s="30"/>
      <c r="I8" s="30"/>
      <c r="J8" s="31"/>
      <c r="K8" s="30"/>
      <c r="L8" s="31"/>
      <c r="M8" s="31"/>
      <c r="N8" s="29"/>
      <c r="O8" s="32"/>
      <c r="P8" s="30"/>
      <c r="Q8" s="30"/>
      <c r="R8" s="32"/>
      <c r="S8" s="29"/>
      <c r="T8" s="30"/>
      <c r="U8" s="30"/>
      <c r="V8" s="30"/>
      <c r="W8" s="30"/>
      <c r="X8" s="30"/>
      <c r="Y8" s="30"/>
      <c r="Z8" s="30"/>
    </row>
    <row r="9" spans="1:26" ht="18" customHeight="1">
      <c r="A9" s="29" t="s">
        <v>72</v>
      </c>
      <c r="B9" s="30"/>
      <c r="C9" s="30"/>
      <c r="D9" s="30"/>
      <c r="E9" s="30"/>
      <c r="F9" s="31"/>
      <c r="G9" s="29"/>
      <c r="H9" s="30"/>
      <c r="I9" s="30"/>
      <c r="J9" s="31"/>
      <c r="K9" s="29"/>
      <c r="L9" s="29"/>
      <c r="M9" s="31"/>
      <c r="N9" s="31"/>
      <c r="O9" s="31"/>
      <c r="P9" s="30"/>
      <c r="Q9" s="29"/>
      <c r="R9" s="32"/>
      <c r="S9" s="29"/>
      <c r="T9" s="30"/>
      <c r="U9" s="30"/>
      <c r="V9" s="30"/>
      <c r="W9" s="30"/>
      <c r="X9" s="30"/>
      <c r="Y9" s="30"/>
      <c r="Z9" s="30"/>
    </row>
    <row r="10" spans="1:26" ht="18" customHeight="1">
      <c r="A10" s="29" t="s">
        <v>112</v>
      </c>
      <c r="B10" s="30"/>
      <c r="C10" s="30"/>
      <c r="D10" s="30"/>
      <c r="E10" s="30"/>
      <c r="F10" s="30"/>
      <c r="G10" s="29"/>
      <c r="H10" s="30"/>
      <c r="I10" s="30"/>
      <c r="J10" s="30"/>
      <c r="K10" s="29"/>
      <c r="L10" s="32"/>
      <c r="M10" s="31"/>
      <c r="N10" s="31"/>
      <c r="O10" s="31"/>
      <c r="P10" s="30"/>
      <c r="Q10" s="29"/>
      <c r="R10" s="32"/>
      <c r="S10" s="29"/>
      <c r="T10" s="30"/>
      <c r="U10" s="30"/>
      <c r="V10" s="30"/>
      <c r="W10" s="30"/>
      <c r="X10" s="30"/>
      <c r="Y10" s="30"/>
      <c r="Z10" s="30"/>
    </row>
    <row r="11" spans="1:26" ht="18" customHeight="1">
      <c r="A11" s="30"/>
      <c r="B11" s="30"/>
      <c r="C11" s="30"/>
      <c r="D11" s="30"/>
      <c r="E11" s="30"/>
      <c r="F11" s="31"/>
      <c r="G11" s="30"/>
      <c r="H11" s="30"/>
      <c r="I11" s="30"/>
      <c r="J11" s="31"/>
      <c r="K11" s="30"/>
      <c r="L11" s="31"/>
      <c r="M11" s="31"/>
      <c r="N11" s="31"/>
      <c r="O11" s="31"/>
      <c r="P11" s="30"/>
      <c r="Q11" s="30"/>
      <c r="R11" s="31"/>
      <c r="S11" s="30"/>
      <c r="T11" s="30"/>
      <c r="U11" s="30"/>
      <c r="V11" s="30"/>
      <c r="W11" s="30"/>
      <c r="X11" s="30"/>
      <c r="Y11" s="30"/>
      <c r="Z11" s="30"/>
    </row>
    <row r="12" spans="1:26" ht="18.75" customHeight="1">
      <c r="A12" s="29" t="s">
        <v>58</v>
      </c>
      <c r="B12" s="30"/>
      <c r="C12" s="30"/>
      <c r="D12" s="30"/>
      <c r="E12" s="30"/>
      <c r="F12" s="31"/>
      <c r="G12" s="30"/>
      <c r="H12" s="30"/>
      <c r="I12" s="30"/>
      <c r="J12" s="31"/>
      <c r="K12" s="30"/>
      <c r="L12" s="32"/>
      <c r="M12" s="31"/>
      <c r="N12" s="32"/>
      <c r="O12" s="32"/>
      <c r="P12" s="30"/>
      <c r="Q12" s="30"/>
      <c r="R12" s="31"/>
      <c r="S12" s="30"/>
      <c r="T12" s="30"/>
      <c r="U12" s="30"/>
      <c r="V12" s="30"/>
      <c r="W12" s="30"/>
      <c r="X12" s="30"/>
      <c r="Y12" s="30"/>
      <c r="Z12" s="30"/>
    </row>
    <row r="13" spans="1:26" ht="18.75" customHeight="1">
      <c r="A13" s="30"/>
      <c r="B13" s="30"/>
      <c r="C13" s="30"/>
      <c r="D13" s="30"/>
      <c r="E13" s="30"/>
      <c r="F13" s="31"/>
      <c r="G13" s="30"/>
      <c r="H13" s="30"/>
      <c r="I13" s="30"/>
      <c r="J13" s="31"/>
      <c r="K13" s="30"/>
      <c r="L13" s="30"/>
      <c r="M13" s="31"/>
      <c r="N13" s="30"/>
      <c r="O13" s="32"/>
      <c r="P13" s="30"/>
      <c r="Q13" s="30"/>
      <c r="R13" s="31"/>
      <c r="S13" s="30"/>
      <c r="T13" s="30"/>
      <c r="U13" s="30"/>
      <c r="V13" s="30"/>
      <c r="W13" s="30"/>
      <c r="X13" s="30"/>
      <c r="Y13" s="30"/>
      <c r="Z13" s="30"/>
    </row>
    <row r="14" spans="1:1" ht="18.75" customHeight="1">
      <c r="A14" s="4" t="s">
        <v>53</v>
      </c>
    </row>
    <row r="15" spans="1:1" ht="18.75" customHeight="1">
      <c r="A15" s="4" t="s">
        <v>35</v>
      </c>
    </row>
    <row r="16" ht="15" customHeight="1"/>
    <row r="17" spans="4:26" s="6" customFormat="1" ht="18.75" customHeight="1">
      <c r="D17" s="6" t="s">
        <v>75</v>
      </c>
      <c r="F17" s="6" t="s">
        <v>76</v>
      </c>
      <c r="H17" s="6" t="s">
        <v>42</v>
      </c>
      <c r="J17" s="6" t="s">
        <v>81</v>
      </c>
      <c r="L17" s="6" t="s">
        <v>43</v>
      </c>
      <c r="N17" s="6" t="s">
        <v>44</v>
      </c>
      <c r="P17" s="6" t="s">
        <v>82</v>
      </c>
      <c r="R17" s="6" t="s">
        <v>83</v>
      </c>
      <c r="T17" s="6" t="s">
        <v>84</v>
      </c>
      <c r="V17" s="6" t="s">
        <v>85</v>
      </c>
      <c r="X17" s="6" t="s">
        <v>91</v>
      </c>
      <c r="Z17" s="6" t="s">
        <v>92</v>
      </c>
    </row>
    <row r="18" spans="4:6" s="6" customFormat="1" ht="18.75" customHeight="1">
      <c r="D18" s="6" t="s">
        <v>77</v>
      </c>
      <c r="F18" s="6" t="s">
        <v>77</v>
      </c>
    </row>
    <row r="19" spans="1:24" ht="18.75" customHeight="1">
      <c r="A19" s="4" t="s">
        <v>2</v>
      </c>
      <c r="D19" s="5" t="s">
        <v>79</v>
      </c>
      <c r="F19" s="5" t="s">
        <v>79</v>
      </c>
      <c r="H19" s="5" t="s">
        <v>6</v>
      </c>
      <c r="I19" s="5"/>
      <c r="J19" s="5" t="s">
        <v>89</v>
      </c>
      <c r="L19" s="5" t="s">
        <v>4</v>
      </c>
      <c r="M19" s="4" t="s">
        <v>5</v>
      </c>
      <c r="N19" s="5" t="s">
        <v>4</v>
      </c>
      <c r="P19" s="5" t="s">
        <v>3</v>
      </c>
      <c r="R19" s="5" t="s">
        <v>3</v>
      </c>
      <c r="T19" s="5" t="s">
        <v>7</v>
      </c>
      <c r="V19" s="5" t="s">
        <v>8</v>
      </c>
      <c r="X19" s="4" t="s">
        <v>94</v>
      </c>
    </row>
    <row r="20" spans="1:26" ht="18.75" customHeight="1">
      <c r="A20" s="33" t="s">
        <v>9</v>
      </c>
      <c r="B20" s="33" t="s">
        <v>10</v>
      </c>
      <c r="D20" s="27" t="s">
        <v>78</v>
      </c>
      <c r="F20" s="27" t="s">
        <v>80</v>
      </c>
      <c r="H20" s="27" t="s">
        <v>11</v>
      </c>
      <c r="I20" s="5"/>
      <c r="J20" s="27" t="s">
        <v>12</v>
      </c>
      <c r="L20" s="27" t="s">
        <v>11</v>
      </c>
      <c r="M20" s="4"/>
      <c r="N20" s="27" t="s">
        <v>12</v>
      </c>
      <c r="P20" s="27" t="s">
        <v>11</v>
      </c>
      <c r="R20" s="27" t="s">
        <v>12</v>
      </c>
      <c r="T20" s="27" t="s">
        <v>13</v>
      </c>
      <c r="V20" s="27" t="s">
        <v>14</v>
      </c>
      <c r="X20" s="34" t="s">
        <v>15</v>
      </c>
      <c r="Z20" s="34" t="s">
        <v>93</v>
      </c>
    </row>
    <row r="21" spans="13:26" ht="18.75" customHeight="1">
      <c r="M21" s="4"/>
      <c r="R21" s="5" t="s">
        <v>5</v>
      </c>
      <c r="X21" s="35"/>
      <c r="Y21" s="35"/>
      <c r="Z21" s="35"/>
    </row>
    <row r="22" spans="1:26" ht="25" customHeight="1">
      <c r="A22" s="36">
        <v>1</v>
      </c>
      <c r="B22" s="36" t="s">
        <v>17</v>
      </c>
      <c r="D22" s="5">
        <f>'[1]Demand Loss Factor'!$G$52*F22</f>
        <v>839866.59674870002</v>
      </c>
      <c r="E22" s="5"/>
      <c r="F22" s="5">
        <v>834550.51000000001</v>
      </c>
      <c r="G22" s="5"/>
      <c r="H22" s="5">
        <f>'[1]Demand Loss Factor'!$G$52*J22</f>
        <v>661191.3496214</v>
      </c>
      <c r="I22" s="5"/>
      <c r="J22" s="5">
        <v>657006.21999999997</v>
      </c>
      <c r="K22" s="5"/>
      <c r="L22" s="5">
        <f>'[1]Demand Loss Factor'!$G$52*N22</f>
        <v>607915.30933800002</v>
      </c>
      <c r="N22" s="5">
        <v>604067.40000000002</v>
      </c>
      <c r="O22" s="5"/>
      <c r="P22" s="5">
        <f>'[1]Demand Loss Factor'!$G$52*R22</f>
        <v>610925.91551149997</v>
      </c>
      <c r="R22" s="5">
        <v>607058.94999999995</v>
      </c>
      <c r="S22" s="5"/>
      <c r="T22" s="5">
        <f>'[1]Energy Loss Factor'!$G$52*V22</f>
        <v>457994976.45086002</v>
      </c>
      <c r="V22" s="5">
        <f>'[2]GS PRI LRG SUB'!$I$16</f>
        <v>455381089</v>
      </c>
      <c r="X22" s="35">
        <f>(N22/J22)</f>
        <v>0.91942417227039352</v>
      </c>
      <c r="Y22" s="35"/>
      <c r="Z22" s="35">
        <v>0.93545769999999995</v>
      </c>
    </row>
    <row r="23" spans="1:26" ht="25" customHeight="1">
      <c r="A23" s="36">
        <v>2</v>
      </c>
      <c r="B23" s="36" t="s">
        <v>18</v>
      </c>
      <c r="D23" s="5">
        <f>'[1]Demand Loss Factor'!$G$52*F23</f>
        <v>874702.60754740005</v>
      </c>
      <c r="E23" s="5"/>
      <c r="F23" s="5">
        <v>869166.02000000002</v>
      </c>
      <c r="G23" s="5"/>
      <c r="H23" s="5">
        <f>'[1]Demand Loss Factor'!$G$52*J23</f>
        <v>698083.243502</v>
      </c>
      <c r="I23" s="5"/>
      <c r="J23" s="5">
        <v>693664.59999999998</v>
      </c>
      <c r="K23" s="5"/>
      <c r="L23" s="5">
        <f>'[1]Demand Loss Factor'!$G$52*N23</f>
        <v>314342.79931069998</v>
      </c>
      <c r="N23" s="5">
        <v>312353.10999999999</v>
      </c>
      <c r="O23" s="5"/>
      <c r="P23" s="5">
        <f>'[1]Demand Loss Factor'!$G$52*R23</f>
        <v>316109.40133610001</v>
      </c>
      <c r="R23" s="5">
        <v>314108.53000000003</v>
      </c>
      <c r="S23" s="5"/>
      <c r="T23" s="5">
        <f>'[1]Energy Loss Factor'!$G$52*V23</f>
        <v>443013245.10788006</v>
      </c>
      <c r="V23" s="5">
        <f>'[2]GS PRI LRG SUB'!$I$18</f>
        <v>440484862</v>
      </c>
      <c r="X23" s="35">
        <f t="shared" si="0" ref="X23:X33">(N23/J23)</f>
        <v>0.45029414792105577</v>
      </c>
      <c r="Y23" s="35"/>
      <c r="Z23" s="35">
        <v>0.74115600000000004</v>
      </c>
    </row>
    <row r="24" spans="1:26" ht="25" customHeight="1">
      <c r="A24" s="36">
        <v>3</v>
      </c>
      <c r="B24" s="36" t="s">
        <v>19</v>
      </c>
      <c r="D24" s="5">
        <f>'[1]Demand Loss Factor'!$G$52*F24</f>
        <v>880178.50824620004</v>
      </c>
      <c r="E24" s="5"/>
      <c r="F24" s="5">
        <v>874607.26000000001</v>
      </c>
      <c r="G24" s="5"/>
      <c r="H24" s="5">
        <f>'[1]Demand Loss Factor'!$G$52*J24</f>
        <v>722980.8674931</v>
      </c>
      <c r="I24" s="5"/>
      <c r="J24" s="5">
        <v>718404.63</v>
      </c>
      <c r="K24" s="5"/>
      <c r="L24" s="5">
        <f>'[1]Demand Loss Factor'!$G$52*N24</f>
        <v>653027.70637250005</v>
      </c>
      <c r="N24" s="5">
        <v>648894.25</v>
      </c>
      <c r="O24" s="5"/>
      <c r="P24" s="5">
        <f>'[1]Demand Loss Factor'!$G$52*R24</f>
        <v>666862.43578170007</v>
      </c>
      <c r="R24" s="5">
        <v>662641.41000000003</v>
      </c>
      <c r="S24" s="5"/>
      <c r="T24" s="5">
        <f>'[1]Energy Loss Factor'!$G$52*V24</f>
        <v>372827778.77614003</v>
      </c>
      <c r="V24" s="5">
        <f>'[2]GS PRI LRG SUB'!$I$20</f>
        <v>370699961</v>
      </c>
      <c r="X24" s="35">
        <f t="shared" si="0"/>
        <v>0.90324341311664436</v>
      </c>
      <c r="Y24" s="35"/>
      <c r="Z24" s="35">
        <v>0.92964800000000003</v>
      </c>
    </row>
    <row r="25" spans="1:26" ht="25" customHeight="1">
      <c r="A25" s="36">
        <v>4</v>
      </c>
      <c r="B25" s="36" t="s">
        <v>20</v>
      </c>
      <c r="D25" s="5">
        <f>'[1]Demand Loss Factor'!$G$52*F25</f>
        <v>897082.62590059999</v>
      </c>
      <c r="E25" s="5"/>
      <c r="F25" s="5">
        <v>891404.38</v>
      </c>
      <c r="G25" s="5"/>
      <c r="H25" s="5">
        <f>'[1]Demand Loss Factor'!$G$52*J25</f>
        <v>715608.52291149995</v>
      </c>
      <c r="I25" s="5"/>
      <c r="J25" s="5">
        <v>711078.94999999995</v>
      </c>
      <c r="K25" s="5"/>
      <c r="L25" s="5">
        <f>'[1]Demand Loss Factor'!$G$52*N25</f>
        <v>691859.68033910007</v>
      </c>
      <c r="N25" s="5">
        <v>687480.43000000005</v>
      </c>
      <c r="O25" s="5"/>
      <c r="P25" s="5">
        <f>'[1]Demand Loss Factor'!$G$52*R25</f>
        <v>690674.52870859997</v>
      </c>
      <c r="R25" s="5">
        <v>686302.78000000003</v>
      </c>
      <c r="S25" s="5"/>
      <c r="T25" s="5">
        <f>'[1]Energy Loss Factor'!$G$52*V25</f>
        <v>478731839.71548003</v>
      </c>
      <c r="V25" s="5">
        <f>'[2]GS PRI LRG SUB'!$I$22</f>
        <v>475999602</v>
      </c>
      <c r="X25" s="35">
        <f t="shared" si="0"/>
        <v>0.96681308031970303</v>
      </c>
      <c r="Y25" s="35"/>
      <c r="Z25" s="35">
        <v>0.93526209999999999</v>
      </c>
    </row>
    <row r="26" spans="1:26" ht="25" customHeight="1">
      <c r="A26" s="36">
        <v>5</v>
      </c>
      <c r="B26" s="36" t="s">
        <v>21</v>
      </c>
      <c r="D26" s="5">
        <f>'[1]Demand Loss Factor'!$G$52*F26</f>
        <v>925150.45628350007</v>
      </c>
      <c r="E26" s="5"/>
      <c r="F26" s="5">
        <v>919294.55000000005</v>
      </c>
      <c r="G26" s="5"/>
      <c r="H26" s="5">
        <f>'[1]Demand Loss Factor'!$G$52*J26</f>
        <v>747628.2978385</v>
      </c>
      <c r="I26" s="5"/>
      <c r="J26" s="5">
        <v>742896.05000000005</v>
      </c>
      <c r="K26" s="5"/>
      <c r="L26" s="5">
        <f>'[1]Demand Loss Factor'!$G$52*N26</f>
        <v>745367.98075480002</v>
      </c>
      <c r="N26" s="5">
        <v>740650.04000000004</v>
      </c>
      <c r="O26" s="5"/>
      <c r="P26" s="5">
        <f>'[1]Demand Loss Factor'!$G$52*R26</f>
        <v>745367.98075480002</v>
      </c>
      <c r="R26" s="5">
        <v>740650.04000000004</v>
      </c>
      <c r="S26" s="5"/>
      <c r="T26" s="5">
        <f>'[1]Energy Loss Factor'!$G$52*V26</f>
        <v>504582089.30532002</v>
      </c>
      <c r="V26" s="5">
        <f>'[2]GS PRI LRG SUB'!$I$24</f>
        <v>501702318</v>
      </c>
      <c r="X26" s="35">
        <f t="shared" si="0"/>
        <v>0.9969766833462097</v>
      </c>
      <c r="Y26" s="35"/>
      <c r="Z26" s="35">
        <v>0.92417559999999999</v>
      </c>
    </row>
    <row r="27" spans="1:26" ht="25" customHeight="1">
      <c r="A27" s="36">
        <v>6</v>
      </c>
      <c r="B27" s="36" t="s">
        <v>22</v>
      </c>
      <c r="D27" s="5">
        <f>'[1]Demand Loss Factor'!$G$52*F27</f>
        <v>945693.20530989999</v>
      </c>
      <c r="E27" s="5"/>
      <c r="F27" s="37">
        <v>939707.27000000002</v>
      </c>
      <c r="G27" s="5"/>
      <c r="H27" s="5">
        <f>'[1]Demand Loss Factor'!$G$52*J27</f>
        <v>785064.57750689995</v>
      </c>
      <c r="I27" s="5"/>
      <c r="J27" s="37">
        <v>780095.37</v>
      </c>
      <c r="K27" s="5"/>
      <c r="L27" s="5">
        <f>'[1]Demand Loss Factor'!$G$52*N27</f>
        <v>693189.04479059996</v>
      </c>
      <c r="N27" s="37">
        <v>688801.38</v>
      </c>
      <c r="O27" s="5"/>
      <c r="P27" s="5">
        <f>'[1]Demand Loss Factor'!$G$52*R27</f>
        <v>706629.61932559998</v>
      </c>
      <c r="Q27" s="37"/>
      <c r="R27" s="37">
        <v>702156.88</v>
      </c>
      <c r="S27" s="5"/>
      <c r="T27" s="5">
        <f>'[1]Energy Loss Factor'!$G$52*V27</f>
        <v>497199024.37860006</v>
      </c>
      <c r="V27" s="5">
        <f>'[2]GS PRI LRG SUB'!$I$26</f>
        <v>494361390</v>
      </c>
      <c r="X27" s="35">
        <f t="shared" si="0"/>
        <v>0.88297073215547994</v>
      </c>
      <c r="Y27" s="35">
        <v>0.92559100000000005</v>
      </c>
      <c r="Z27" s="35">
        <v>0.92559100000000005</v>
      </c>
    </row>
    <row r="28" spans="1:26" ht="25" customHeight="1">
      <c r="A28" s="36">
        <v>7</v>
      </c>
      <c r="B28" s="36" t="s">
        <v>23</v>
      </c>
      <c r="D28" s="5">
        <f>'[1]Demand Loss Factor'!$G$52*F28</f>
        <v>949806.61185680004</v>
      </c>
      <c r="E28" s="5"/>
      <c r="F28" s="5">
        <v>943794.64000000001</v>
      </c>
      <c r="G28" s="5"/>
      <c r="H28" s="5">
        <f>'[1]Demand Loss Factor'!$G$52*J28</f>
        <v>781619.5214044</v>
      </c>
      <c r="I28" s="5"/>
      <c r="J28" s="5">
        <v>776672.12</v>
      </c>
      <c r="K28" s="5"/>
      <c r="L28" s="5">
        <f>'[1]Demand Loss Factor'!$G$52*N28</f>
        <v>753586.74288859998</v>
      </c>
      <c r="N28" s="5">
        <v>748816.78000000003</v>
      </c>
      <c r="O28" s="5"/>
      <c r="P28" s="5">
        <f>'[1]Demand Loss Factor'!$G$52*R28</f>
        <v>660050.79024560004</v>
      </c>
      <c r="R28" s="5">
        <v>655872.88</v>
      </c>
      <c r="S28" s="5"/>
      <c r="T28" s="5">
        <f>'[1]Energy Loss Factor'!$G$52*V28</f>
        <v>531422667.94114006</v>
      </c>
      <c r="V28" s="5">
        <f>'[2]GS PRI LRG SUB'!$I$28</f>
        <v>528389711</v>
      </c>
      <c r="X28" s="35">
        <f t="shared" si="0"/>
        <v>0.9641350071893916</v>
      </c>
      <c r="Y28" s="35"/>
      <c r="Z28" s="35">
        <v>0.93745699999999998</v>
      </c>
    </row>
    <row r="29" spans="1:26" ht="25" customHeight="1">
      <c r="A29" s="36">
        <v>8</v>
      </c>
      <c r="B29" s="36" t="s">
        <v>24</v>
      </c>
      <c r="D29" s="5">
        <f>'[1]Demand Loss Factor'!$G$52*F29</f>
        <v>999540.26999499998</v>
      </c>
      <c r="E29" s="5"/>
      <c r="F29" s="5">
        <v>993213.5</v>
      </c>
      <c r="G29" s="5"/>
      <c r="H29" s="5">
        <f>'[1]Demand Loss Factor'!$G$52*J29</f>
        <v>830247.12859410001</v>
      </c>
      <c r="I29" s="5"/>
      <c r="J29" s="5">
        <v>824991.93000000005</v>
      </c>
      <c r="K29" s="5"/>
      <c r="L29" s="5">
        <f>'[1]Demand Loss Factor'!$G$52*N29</f>
        <v>719872.07986239996</v>
      </c>
      <c r="N29" s="5">
        <v>715315.52000000002</v>
      </c>
      <c r="O29" s="5"/>
      <c r="P29" s="5">
        <f>'[1]Demand Loss Factor'!$G$52*R29</f>
        <v>698350.24352670007</v>
      </c>
      <c r="R29" s="5">
        <v>693929.91000000003</v>
      </c>
      <c r="S29" s="5"/>
      <c r="T29" s="5">
        <f>'[1]Energy Loss Factor'!$G$52*V29</f>
        <v>631760094.76112008</v>
      </c>
      <c r="V29" s="5">
        <f>'[2]GS PRI LRG SUB'!$I$30</f>
        <v>628154488</v>
      </c>
      <c r="X29" s="35">
        <f t="shared" si="0"/>
        <v>0.86705759655127779</v>
      </c>
      <c r="Y29" s="35"/>
      <c r="Z29" s="35">
        <v>0.91883700000000001</v>
      </c>
    </row>
    <row r="30" spans="1:26" ht="25" customHeight="1">
      <c r="A30" s="36">
        <v>9</v>
      </c>
      <c r="B30" s="36" t="s">
        <v>25</v>
      </c>
      <c r="D30" s="5">
        <f>'[1]Demand Loss Factor'!$G$52*F30</f>
        <v>983011.27675810002</v>
      </c>
      <c r="E30" s="5"/>
      <c r="F30" s="5">
        <v>976789.13</v>
      </c>
      <c r="G30" s="5"/>
      <c r="H30" s="5">
        <f>'[1]Demand Loss Factor'!$G$52*J30</f>
        <v>822809.21900699998</v>
      </c>
      <c r="I30" s="5"/>
      <c r="J30" s="5">
        <v>817601.09999999998</v>
      </c>
      <c r="K30" s="5"/>
      <c r="L30" s="5">
        <f>'[1]Demand Loss Factor'!$G$52*N30</f>
        <v>736033.59709379997</v>
      </c>
      <c r="N30" s="5">
        <v>731374.73999999999</v>
      </c>
      <c r="O30" s="5"/>
      <c r="P30" s="5">
        <f>'[1]Demand Loss Factor'!$G$52*R30</f>
        <v>730931.2408116</v>
      </c>
      <c r="R30" s="5">
        <v>726304.68000000005</v>
      </c>
      <c r="S30" s="5"/>
      <c r="T30" s="5">
        <f>'[1]Energy Loss Factor'!$G$52*V30</f>
        <v>564507431.64248002</v>
      </c>
      <c r="V30" s="5">
        <f>'[2]GS PRI LRG SUB'!$I$32</f>
        <v>561285652</v>
      </c>
      <c r="X30" s="35">
        <f t="shared" si="0"/>
        <v>0.89453737280930767</v>
      </c>
      <c r="Y30" s="35"/>
      <c r="Z30" s="35">
        <v>0.92612000000000005</v>
      </c>
    </row>
    <row r="31" spans="1:26" ht="25" customHeight="1">
      <c r="A31" s="36">
        <v>10</v>
      </c>
      <c r="B31" s="36" t="s">
        <v>26</v>
      </c>
      <c r="D31" s="5">
        <f>'[1]Demand Loss Factor'!$G$52*F31</f>
        <v>981478.03180829994</v>
      </c>
      <c r="E31" s="5"/>
      <c r="F31" s="5">
        <v>975265.58999999997</v>
      </c>
      <c r="G31" s="5"/>
      <c r="H31" s="5">
        <f>'[1]Demand Loss Factor'!$G$52*J31</f>
        <v>809485.86644959997</v>
      </c>
      <c r="I31" s="5"/>
      <c r="J31" s="5">
        <v>804362.07999999996</v>
      </c>
      <c r="K31" s="5"/>
      <c r="L31" s="5">
        <f>'[1]Demand Loss Factor'!$G$52*N31</f>
        <v>747829.62215700001</v>
      </c>
      <c r="N31" s="5">
        <v>743096.09999999998</v>
      </c>
      <c r="O31" s="5"/>
      <c r="P31" s="5">
        <f>'[1]Demand Loss Factor'!$G$52*R31</f>
        <v>747829.62215700001</v>
      </c>
      <c r="R31" s="5">
        <v>743096.09999999998</v>
      </c>
      <c r="S31" s="5"/>
      <c r="T31" s="5">
        <f>'[1]Energy Loss Factor'!$G$52*V31</f>
        <v>545535110.04140007</v>
      </c>
      <c r="V31" s="5">
        <f>'[2]GS PRI LRG SUB'!$I$34</f>
        <v>542421610</v>
      </c>
      <c r="X31" s="35">
        <f t="shared" si="0"/>
        <v>0.9238328340888472</v>
      </c>
      <c r="Y31" s="35"/>
      <c r="Z31" s="35">
        <v>0.92133620000000005</v>
      </c>
    </row>
    <row r="32" spans="1:26" ht="25" customHeight="1">
      <c r="A32" s="36">
        <v>11</v>
      </c>
      <c r="B32" s="36" t="s">
        <v>27</v>
      </c>
      <c r="D32" s="5">
        <f>'[1]Demand Loss Factor'!$G$52*F32</f>
        <v>947359.10995309998</v>
      </c>
      <c r="E32" s="5"/>
      <c r="F32" s="5">
        <v>941362.63</v>
      </c>
      <c r="G32" s="5"/>
      <c r="H32" s="5">
        <f>'[1]Demand Loss Factor'!$G$52*J32</f>
        <v>783750.63064380002</v>
      </c>
      <c r="I32" s="5"/>
      <c r="J32" s="5">
        <v>778789.73999999999</v>
      </c>
      <c r="K32" s="5"/>
      <c r="L32" s="5">
        <f>'[1]Demand Loss Factor'!$G$52*N32</f>
        <v>732261.97392629995</v>
      </c>
      <c r="N32" s="5">
        <v>727626.98999999999</v>
      </c>
      <c r="O32" s="5"/>
      <c r="P32" s="5">
        <f>'[1]Demand Loss Factor'!$G$52*R32</f>
        <v>756692.48121819994</v>
      </c>
      <c r="R32" s="5">
        <v>751902.85999999999</v>
      </c>
      <c r="S32" s="5"/>
      <c r="T32" s="5">
        <f>'[1]Energy Loss Factor'!$G$52*V32</f>
        <v>545935708.35228002</v>
      </c>
      <c r="V32" s="5">
        <f>'[2]GS PRI LRG SUB'!$I$36</f>
        <v>542819922</v>
      </c>
      <c r="X32" s="35">
        <f t="shared" si="0"/>
        <v>0.93430479708168723</v>
      </c>
      <c r="Y32" s="35"/>
      <c r="Z32" s="35">
        <v>0.94183779999999995</v>
      </c>
    </row>
    <row r="33" spans="1:26" ht="25" customHeight="1" thickBot="1">
      <c r="A33" s="36">
        <v>12</v>
      </c>
      <c r="B33" s="36" t="s">
        <v>28</v>
      </c>
      <c r="D33" s="5">
        <f>'[1]Demand Loss Factor'!$G$52*F33</f>
        <v>967740.10512940004</v>
      </c>
      <c r="E33" s="5"/>
      <c r="F33" s="5">
        <v>961614.62</v>
      </c>
      <c r="G33" s="5"/>
      <c r="H33" s="5">
        <f>'[1]Demand Loss Factor'!$G$52*J33</f>
        <v>805858.6674408</v>
      </c>
      <c r="I33" s="5"/>
      <c r="J33" s="5">
        <v>800757.83999999997</v>
      </c>
      <c r="K33" s="5"/>
      <c r="L33" s="5">
        <f>'[1]Demand Loss Factor'!$G$52*N33</f>
        <v>737940.50722459995</v>
      </c>
      <c r="N33" s="5">
        <v>733269.57999999996</v>
      </c>
      <c r="O33" s="5"/>
      <c r="P33" s="5">
        <f>'[1]Demand Loss Factor'!$G$52*R33</f>
        <v>790196.25941089995</v>
      </c>
      <c r="R33" s="5">
        <v>785194.56999999995</v>
      </c>
      <c r="S33" s="5"/>
      <c r="T33" s="38">
        <f>'[1]Energy Loss Factor'!$G$52*V33</f>
        <v>553304663.75253999</v>
      </c>
      <c r="V33" s="38">
        <f>'[2]GS PRI LRG SUB'!$I$38</f>
        <v>550146821</v>
      </c>
      <c r="X33" s="35">
        <f t="shared" si="0"/>
        <v>0.91571951390447826</v>
      </c>
      <c r="Y33" s="35"/>
      <c r="Z33" s="35">
        <v>0.92057800000000001</v>
      </c>
    </row>
    <row r="34" spans="1:22" ht="25" customHeight="1" thickTop="1">
      <c r="A34" s="36">
        <v>13</v>
      </c>
      <c r="E34" s="5"/>
      <c r="G34" s="5"/>
      <c r="I34" s="5"/>
      <c r="K34" s="5"/>
      <c r="O34" s="5"/>
      <c r="S34" s="5"/>
      <c r="T34" s="37">
        <f>+SUM(T22:T33)</f>
        <v>6126814630.2252398</v>
      </c>
      <c r="U34" s="37"/>
      <c r="V34" s="37">
        <f>+SUM(V22:V33)</f>
        <v>6091847426</v>
      </c>
    </row>
    <row r="35" spans="1:22" ht="25" customHeight="1">
      <c r="A35" s="36"/>
      <c r="E35" s="5"/>
      <c r="G35" s="5"/>
      <c r="I35" s="5"/>
      <c r="K35" s="5"/>
      <c r="O35" s="5"/>
      <c r="S35" s="5"/>
      <c r="T35" s="37"/>
      <c r="U35" s="37"/>
      <c r="V35" s="37"/>
    </row>
    <row r="36" spans="5:22" ht="18.75" customHeight="1">
      <c r="E36" s="5"/>
      <c r="G36" s="5"/>
      <c r="I36" s="5"/>
      <c r="K36" s="5"/>
      <c r="O36" s="5"/>
      <c r="S36" s="5"/>
      <c r="T36" s="37"/>
      <c r="U36" s="37"/>
      <c r="V36" s="37"/>
    </row>
    <row r="37" spans="1:19" ht="15" customHeight="1">
      <c r="A37" s="4" t="s">
        <v>87</v>
      </c>
      <c r="E37" s="5"/>
      <c r="G37" s="5"/>
      <c r="I37" s="5"/>
      <c r="K37" s="5"/>
      <c r="O37" s="5"/>
      <c r="S37" s="5"/>
    </row>
    <row r="38" spans="1:19" ht="15" customHeight="1">
      <c r="A38" s="4" t="s">
        <v>29</v>
      </c>
      <c r="E38" s="5"/>
      <c r="G38" s="5"/>
      <c r="I38" s="5"/>
      <c r="K38" s="5"/>
      <c r="O38" s="5"/>
      <c r="S38" s="5"/>
    </row>
    <row r="39" spans="1:19" ht="15" customHeight="1">
      <c r="A39" s="6" t="s">
        <v>30</v>
      </c>
      <c r="E39" s="5"/>
      <c r="G39" s="5"/>
      <c r="I39" s="5"/>
      <c r="K39" s="5"/>
      <c r="O39" s="5"/>
      <c r="S39" s="5"/>
    </row>
    <row r="40" spans="1:19" ht="15" customHeight="1">
      <c r="A40" s="6"/>
      <c r="E40" s="5"/>
      <c r="G40" s="5"/>
      <c r="I40" s="5"/>
      <c r="K40" s="5"/>
      <c r="O40" s="5"/>
      <c r="S40" s="5"/>
    </row>
    <row r="41" spans="1:19" ht="15" customHeight="1">
      <c r="A41" s="6"/>
      <c r="E41" s="5"/>
      <c r="G41" s="5"/>
      <c r="I41" s="5"/>
      <c r="K41" s="5"/>
      <c r="O41" s="5"/>
      <c r="S41" s="5"/>
    </row>
  </sheetData>
  <pageMargins left="0.5" right="1" top="1.5" bottom="0.5" header="0.5" footer="0.5"/>
  <pageSetup orientation="landscape" scale="5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Z41"/>
  <sheetViews>
    <sheetView zoomScale="75" zoomScaleNormal="75" workbookViewId="0" topLeftCell="A1">
      <selection pane="topLeft" activeCell="AA39" sqref="AA39"/>
    </sheetView>
  </sheetViews>
  <sheetFormatPr defaultColWidth="9.18428571428571" defaultRowHeight="18.75" customHeight="1"/>
  <cols>
    <col min="1" max="1" width="4.71428571428571" style="4" customWidth="1"/>
    <col min="2" max="3" width="7.71428571428571" style="4" customWidth="1"/>
    <col min="4" max="4" width="20.5714285714286" style="5" customWidth="1"/>
    <col min="5" max="5" width="2.71428571428571" style="4" customWidth="1"/>
    <col min="6" max="6" width="20.8571428571429" style="5" customWidth="1"/>
    <col min="7" max="7" width="4.57142857142857" style="4" customWidth="1"/>
    <col min="8" max="8" width="13.8571428571429" style="5" customWidth="1"/>
    <col min="9" max="9" width="2.71428571428571" style="4" customWidth="1"/>
    <col min="10" max="10" width="14.8571428571429" style="5" customWidth="1"/>
    <col min="11" max="11" width="5.71428571428571" style="4" customWidth="1"/>
    <col min="12" max="12" width="14.2857142857143" style="5" customWidth="1"/>
    <col min="13" max="13" width="2.71428571428571" style="5" customWidth="1"/>
    <col min="14" max="14" width="13.2857142857143" style="5" customWidth="1"/>
    <col min="15" max="15" width="4.14285714285714" style="4" customWidth="1"/>
    <col min="16" max="16" width="13.7142857142857" style="5" customWidth="1"/>
    <col min="17" max="17" width="2.71428571428571" style="5" customWidth="1"/>
    <col min="18" max="18" width="13.8571428571429" style="5" customWidth="1"/>
    <col min="19" max="19" width="5.71428571428571" style="4" customWidth="1"/>
    <col min="20" max="20" width="20.5714285714286" style="5" customWidth="1"/>
    <col min="21" max="21" width="2.71428571428571" style="5" customWidth="1"/>
    <col min="22" max="22" width="20.5714285714286" style="5" customWidth="1"/>
    <col min="23" max="23" width="3.71428571428571" style="4" customWidth="1"/>
    <col min="24" max="24" width="9.85714285714286" style="4" customWidth="1"/>
    <col min="25" max="25" width="1.71428571428571" style="4" customWidth="1"/>
    <col min="26" max="26" width="9.71428571428571" style="35" customWidth="1"/>
    <col min="27" max="16384" width="9.14285714285714" style="4"/>
  </cols>
  <sheetData>
    <row r="1" spans="1:22" ht="18.75" customHeight="1">
      <c r="A1" s="28"/>
      <c r="V1" s="4" t="s">
        <v>95</v>
      </c>
    </row>
    <row r="2" spans="22:22" ht="18.75" customHeight="1">
      <c r="V2" s="4" t="s">
        <v>102</v>
      </c>
    </row>
    <row r="7" spans="1:26" ht="18.75" customHeight="1">
      <c r="A7" s="29" t="s">
        <v>86</v>
      </c>
      <c r="B7" s="30"/>
      <c r="C7" s="30"/>
      <c r="D7" s="30"/>
      <c r="E7" s="30"/>
      <c r="F7" s="31"/>
      <c r="G7" s="30"/>
      <c r="H7" s="30"/>
      <c r="I7" s="30"/>
      <c r="J7" s="31"/>
      <c r="K7" s="30"/>
      <c r="L7" s="30"/>
      <c r="M7" s="30"/>
      <c r="N7" s="29"/>
      <c r="O7" s="31"/>
      <c r="P7" s="30"/>
      <c r="Q7" s="30"/>
      <c r="R7" s="31"/>
      <c r="S7" s="30"/>
      <c r="T7" s="30"/>
      <c r="U7" s="30"/>
      <c r="V7" s="30"/>
      <c r="W7" s="30"/>
      <c r="X7" s="30"/>
      <c r="Y7" s="30"/>
      <c r="Z7" s="41"/>
    </row>
    <row r="8" spans="1:26" ht="18" customHeight="1">
      <c r="A8" s="29" t="s">
        <v>51</v>
      </c>
      <c r="B8" s="30"/>
      <c r="C8" s="30"/>
      <c r="D8" s="30"/>
      <c r="E8" s="30"/>
      <c r="F8" s="31"/>
      <c r="G8" s="30"/>
      <c r="H8" s="30"/>
      <c r="I8" s="30"/>
      <c r="J8" s="31"/>
      <c r="K8" s="30"/>
      <c r="L8" s="31"/>
      <c r="M8" s="31"/>
      <c r="N8" s="29"/>
      <c r="O8" s="32"/>
      <c r="P8" s="30"/>
      <c r="Q8" s="30"/>
      <c r="R8" s="32"/>
      <c r="S8" s="29"/>
      <c r="T8" s="30"/>
      <c r="U8" s="30"/>
      <c r="V8" s="30"/>
      <c r="W8" s="30"/>
      <c r="X8" s="30"/>
      <c r="Y8" s="30"/>
      <c r="Z8" s="41"/>
    </row>
    <row r="9" spans="1:26" ht="18" customHeight="1">
      <c r="A9" s="29" t="s">
        <v>72</v>
      </c>
      <c r="B9" s="30"/>
      <c r="C9" s="30"/>
      <c r="D9" s="30"/>
      <c r="E9" s="30"/>
      <c r="F9" s="31"/>
      <c r="G9" s="29"/>
      <c r="H9" s="30"/>
      <c r="I9" s="30"/>
      <c r="J9" s="31"/>
      <c r="K9" s="29"/>
      <c r="L9" s="29"/>
      <c r="M9" s="31"/>
      <c r="N9" s="31"/>
      <c r="O9" s="31"/>
      <c r="P9" s="30"/>
      <c r="Q9" s="29"/>
      <c r="R9" s="32"/>
      <c r="S9" s="29"/>
      <c r="T9" s="30"/>
      <c r="U9" s="30"/>
      <c r="V9" s="30"/>
      <c r="W9" s="30"/>
      <c r="X9" s="30"/>
      <c r="Y9" s="30"/>
      <c r="Z9" s="41"/>
    </row>
    <row r="10" spans="1:26" ht="18" customHeight="1">
      <c r="A10" s="29" t="s">
        <v>112</v>
      </c>
      <c r="B10" s="30"/>
      <c r="C10" s="30"/>
      <c r="D10" s="30"/>
      <c r="E10" s="30"/>
      <c r="F10" s="30"/>
      <c r="G10" s="29"/>
      <c r="H10" s="30"/>
      <c r="I10" s="30"/>
      <c r="J10" s="30"/>
      <c r="K10" s="29"/>
      <c r="L10" s="32"/>
      <c r="M10" s="31"/>
      <c r="N10" s="31"/>
      <c r="O10" s="31"/>
      <c r="P10" s="30"/>
      <c r="Q10" s="29"/>
      <c r="R10" s="32"/>
      <c r="S10" s="29"/>
      <c r="T10" s="30"/>
      <c r="U10" s="30"/>
      <c r="V10" s="30"/>
      <c r="W10" s="30"/>
      <c r="X10" s="30"/>
      <c r="Y10" s="30"/>
      <c r="Z10" s="41"/>
    </row>
    <row r="11" spans="1:26" ht="18" customHeight="1">
      <c r="A11" s="30"/>
      <c r="B11" s="30"/>
      <c r="C11" s="30"/>
      <c r="D11" s="30"/>
      <c r="E11" s="30"/>
      <c r="F11" s="31"/>
      <c r="G11" s="30"/>
      <c r="H11" s="30"/>
      <c r="I11" s="30"/>
      <c r="J11" s="31"/>
      <c r="K11" s="30"/>
      <c r="L11" s="31"/>
      <c r="M11" s="31"/>
      <c r="N11" s="31"/>
      <c r="O11" s="31"/>
      <c r="P11" s="30"/>
      <c r="Q11" s="30"/>
      <c r="R11" s="31"/>
      <c r="S11" s="30"/>
      <c r="T11" s="30"/>
      <c r="U11" s="30"/>
      <c r="V11" s="30"/>
      <c r="W11" s="30"/>
      <c r="X11" s="30"/>
      <c r="Y11" s="30"/>
      <c r="Z11" s="41"/>
    </row>
    <row r="12" spans="1:26" ht="18.75" customHeight="1">
      <c r="A12" s="29" t="s">
        <v>58</v>
      </c>
      <c r="B12" s="30"/>
      <c r="C12" s="30"/>
      <c r="D12" s="30"/>
      <c r="E12" s="30"/>
      <c r="F12" s="31"/>
      <c r="G12" s="30"/>
      <c r="H12" s="30"/>
      <c r="I12" s="30"/>
      <c r="J12" s="31"/>
      <c r="K12" s="30"/>
      <c r="L12" s="32"/>
      <c r="M12" s="31"/>
      <c r="N12" s="32"/>
      <c r="O12" s="32"/>
      <c r="P12" s="30"/>
      <c r="Q12" s="30"/>
      <c r="R12" s="31"/>
      <c r="S12" s="30"/>
      <c r="T12" s="30"/>
      <c r="U12" s="30"/>
      <c r="V12" s="30"/>
      <c r="W12" s="30"/>
      <c r="X12" s="30"/>
      <c r="Y12" s="30"/>
      <c r="Z12" s="41"/>
    </row>
    <row r="13" spans="1:26" ht="18.75" customHeight="1">
      <c r="A13" s="30"/>
      <c r="B13" s="30"/>
      <c r="C13" s="30"/>
      <c r="D13" s="30"/>
      <c r="E13" s="30"/>
      <c r="F13" s="31"/>
      <c r="G13" s="30"/>
      <c r="H13" s="30"/>
      <c r="I13" s="30"/>
      <c r="J13" s="31"/>
      <c r="K13" s="30"/>
      <c r="L13" s="30"/>
      <c r="M13" s="31"/>
      <c r="N13" s="30"/>
      <c r="O13" s="32"/>
      <c r="P13" s="30"/>
      <c r="Q13" s="30"/>
      <c r="R13" s="31"/>
      <c r="S13" s="30"/>
      <c r="T13" s="30"/>
      <c r="U13" s="30"/>
      <c r="V13" s="30"/>
      <c r="W13" s="30"/>
      <c r="X13" s="30"/>
      <c r="Y13" s="30"/>
      <c r="Z13" s="41"/>
    </row>
    <row r="14" spans="1:1" ht="18.75" customHeight="1">
      <c r="A14" s="4" t="s">
        <v>37</v>
      </c>
    </row>
    <row r="15" spans="1:1" ht="18.75" customHeight="1">
      <c r="A15" s="4" t="s">
        <v>38</v>
      </c>
    </row>
    <row r="16" ht="15" customHeight="1"/>
    <row r="17" spans="4:26" s="6" customFormat="1" ht="18.75" customHeight="1">
      <c r="D17" s="6" t="s">
        <v>75</v>
      </c>
      <c r="F17" s="6" t="s">
        <v>76</v>
      </c>
      <c r="H17" s="6" t="s">
        <v>42</v>
      </c>
      <c r="J17" s="6" t="s">
        <v>81</v>
      </c>
      <c r="L17" s="6" t="s">
        <v>43</v>
      </c>
      <c r="N17" s="6" t="s">
        <v>44</v>
      </c>
      <c r="P17" s="6" t="s">
        <v>82</v>
      </c>
      <c r="R17" s="6" t="s">
        <v>83</v>
      </c>
      <c r="T17" s="6" t="s">
        <v>84</v>
      </c>
      <c r="V17" s="6" t="s">
        <v>85</v>
      </c>
      <c r="X17" s="6" t="s">
        <v>91</v>
      </c>
      <c r="Z17" s="35" t="s">
        <v>92</v>
      </c>
    </row>
    <row r="18" spans="4:26" s="6" customFormat="1" ht="18.75" customHeight="1">
      <c r="D18" s="6" t="s">
        <v>77</v>
      </c>
      <c r="F18" s="6" t="s">
        <v>77</v>
      </c>
      <c r="Z18" s="35"/>
    </row>
    <row r="19" spans="1:24" ht="18.75" customHeight="1">
      <c r="A19" s="4" t="s">
        <v>2</v>
      </c>
      <c r="D19" s="5" t="s">
        <v>79</v>
      </c>
      <c r="F19" s="5" t="s">
        <v>79</v>
      </c>
      <c r="H19" s="5" t="s">
        <v>6</v>
      </c>
      <c r="I19" s="5"/>
      <c r="J19" s="5" t="s">
        <v>89</v>
      </c>
      <c r="L19" s="5" t="s">
        <v>4</v>
      </c>
      <c r="M19" s="4" t="s">
        <v>5</v>
      </c>
      <c r="N19" s="5" t="s">
        <v>4</v>
      </c>
      <c r="P19" s="5" t="s">
        <v>3</v>
      </c>
      <c r="R19" s="5" t="s">
        <v>3</v>
      </c>
      <c r="T19" s="5" t="s">
        <v>7</v>
      </c>
      <c r="V19" s="5" t="s">
        <v>8</v>
      </c>
      <c r="X19" s="4" t="s">
        <v>94</v>
      </c>
    </row>
    <row r="20" spans="1:26" ht="18.75" customHeight="1">
      <c r="A20" s="33" t="s">
        <v>9</v>
      </c>
      <c r="B20" s="33" t="s">
        <v>10</v>
      </c>
      <c r="D20" s="27" t="s">
        <v>78</v>
      </c>
      <c r="F20" s="27" t="s">
        <v>80</v>
      </c>
      <c r="H20" s="27" t="s">
        <v>11</v>
      </c>
      <c r="I20" s="5"/>
      <c r="J20" s="27" t="s">
        <v>12</v>
      </c>
      <c r="L20" s="27" t="s">
        <v>11</v>
      </c>
      <c r="M20" s="4"/>
      <c r="N20" s="27" t="s">
        <v>12</v>
      </c>
      <c r="P20" s="27" t="s">
        <v>11</v>
      </c>
      <c r="R20" s="27" t="s">
        <v>12</v>
      </c>
      <c r="T20" s="27" t="s">
        <v>13</v>
      </c>
      <c r="V20" s="27" t="s">
        <v>14</v>
      </c>
      <c r="X20" s="34" t="s">
        <v>15</v>
      </c>
      <c r="Z20" s="42" t="s">
        <v>93</v>
      </c>
    </row>
    <row r="21" spans="13:25" ht="18.75" customHeight="1">
      <c r="M21" s="4"/>
      <c r="X21" s="35"/>
      <c r="Y21" s="35"/>
    </row>
    <row r="22" spans="1:26" ht="25" customHeight="1">
      <c r="A22" s="36">
        <v>1</v>
      </c>
      <c r="B22" s="36" t="s">
        <v>17</v>
      </c>
      <c r="D22" s="5">
        <f>F22*1</f>
        <v>3053462.6699999999</v>
      </c>
      <c r="E22" s="5"/>
      <c r="F22" s="5">
        <v>3053462.6699999999</v>
      </c>
      <c r="H22" s="5">
        <f>J22*1</f>
        <v>2407195.7999999998</v>
      </c>
      <c r="J22" s="45">
        <v>2407195.7999999998</v>
      </c>
      <c r="L22" s="5">
        <f>N22*1</f>
        <v>2198613.5899999999</v>
      </c>
      <c r="N22" s="5">
        <v>2198613.5899999999</v>
      </c>
      <c r="P22" s="5">
        <f>R22*1</f>
        <v>2198613.5899999999</v>
      </c>
      <c r="R22" s="5">
        <v>2198613.5899999999</v>
      </c>
      <c r="S22" s="5"/>
      <c r="T22" s="5">
        <f>V22*1</f>
        <v>1633074126</v>
      </c>
      <c r="V22" s="5">
        <f>[2]TRANSMISSION!$I$16</f>
        <v>1633074126</v>
      </c>
      <c r="X22" s="35">
        <f>(N22/J22)</f>
        <v>0.91335054256907566</v>
      </c>
      <c r="Y22" s="35"/>
      <c r="Z22" s="35">
        <v>0.92186869999999999</v>
      </c>
    </row>
    <row r="23" spans="1:26" ht="25" customHeight="1">
      <c r="A23" s="36">
        <v>2</v>
      </c>
      <c r="B23" s="36" t="s">
        <v>18</v>
      </c>
      <c r="D23" s="5">
        <f t="shared" si="0" ref="D23:D33">F23*1</f>
        <v>3247032.9300000002</v>
      </c>
      <c r="E23" s="5"/>
      <c r="F23" s="5">
        <v>3247032.9300000002</v>
      </c>
      <c r="G23" s="5"/>
      <c r="H23" s="5">
        <f t="shared" si="1" ref="H23:H33">J23*1</f>
        <v>2429519.5800000001</v>
      </c>
      <c r="I23" s="5"/>
      <c r="J23" s="45">
        <v>2429519.5800000001</v>
      </c>
      <c r="K23" s="5"/>
      <c r="L23" s="5">
        <f t="shared" si="2" ref="L23:L33">N23*1</f>
        <v>1331294.73</v>
      </c>
      <c r="N23" s="5">
        <v>1331294.73</v>
      </c>
      <c r="O23" s="5"/>
      <c r="P23" s="5">
        <f t="shared" si="3" ref="P23:P33">R23*1</f>
        <v>1338019.49</v>
      </c>
      <c r="R23" s="5">
        <v>1338019.49</v>
      </c>
      <c r="S23" s="5"/>
      <c r="T23" s="5">
        <f t="shared" si="4" ref="T23:T33">V23*1</f>
        <v>1535968217</v>
      </c>
      <c r="V23" s="5">
        <f>[2]TRANSMISSION!$I$18</f>
        <v>1535968217</v>
      </c>
      <c r="X23" s="35">
        <f t="shared" si="5" ref="X23:X33">(N23/J23)</f>
        <v>0.54796624853708731</v>
      </c>
      <c r="Y23" s="35"/>
      <c r="Z23" s="35">
        <v>0.78219399999999994</v>
      </c>
    </row>
    <row r="24" spans="1:26" ht="25" customHeight="1">
      <c r="A24" s="36">
        <v>3</v>
      </c>
      <c r="B24" s="36" t="s">
        <v>19</v>
      </c>
      <c r="D24" s="5">
        <f t="shared" si="0"/>
        <v>3211836.1400000001</v>
      </c>
      <c r="E24" s="5"/>
      <c r="F24" s="5">
        <v>3211836.1400000001</v>
      </c>
      <c r="G24" s="5"/>
      <c r="H24" s="5">
        <f t="shared" si="1"/>
        <v>2469315.3599999999</v>
      </c>
      <c r="I24" s="5"/>
      <c r="J24" s="45">
        <v>2469315.3599999999</v>
      </c>
      <c r="K24" s="5"/>
      <c r="L24" s="5">
        <f t="shared" si="2"/>
        <v>2190808.9700000002</v>
      </c>
      <c r="N24" s="5">
        <v>2190808.9700000002</v>
      </c>
      <c r="O24" s="5"/>
      <c r="P24" s="5">
        <f t="shared" si="3"/>
        <v>2412347.1899999999</v>
      </c>
      <c r="R24" s="5">
        <v>2412347.1899999999</v>
      </c>
      <c r="S24" s="5"/>
      <c r="T24" s="5">
        <f t="shared" si="4"/>
        <v>1422348554</v>
      </c>
      <c r="V24" s="5">
        <f>[2]TRANSMISSION!$I$20</f>
        <v>1422348554</v>
      </c>
      <c r="X24" s="35">
        <f t="shared" si="5"/>
        <v>0.88721311400257941</v>
      </c>
      <c r="Y24" s="35"/>
      <c r="Z24" s="35">
        <v>0.91778300000000002</v>
      </c>
    </row>
    <row r="25" spans="1:26" ht="25" customHeight="1">
      <c r="A25" s="36">
        <v>4</v>
      </c>
      <c r="B25" s="36" t="s">
        <v>20</v>
      </c>
      <c r="D25" s="5">
        <f t="shared" si="0"/>
        <v>3197233.96</v>
      </c>
      <c r="E25" s="5"/>
      <c r="F25" s="5">
        <v>3197233.96</v>
      </c>
      <c r="G25" s="5"/>
      <c r="H25" s="5">
        <f t="shared" si="1"/>
        <v>2577329.3500000001</v>
      </c>
      <c r="I25" s="5"/>
      <c r="J25" s="45">
        <v>2577329.3500000001</v>
      </c>
      <c r="K25" s="5"/>
      <c r="L25" s="5">
        <f t="shared" si="2"/>
        <v>2425072.0099999998</v>
      </c>
      <c r="N25" s="5">
        <v>2425072.0099999998</v>
      </c>
      <c r="O25" s="5"/>
      <c r="P25" s="5">
        <f t="shared" si="3"/>
        <v>2337975.23</v>
      </c>
      <c r="R25" s="5">
        <v>2337975.23</v>
      </c>
      <c r="S25" s="5"/>
      <c r="T25" s="5">
        <f t="shared" si="4"/>
        <v>1650233866</v>
      </c>
      <c r="V25" s="5">
        <f>[2]TRANSMISSION!$I$22</f>
        <v>1650233866</v>
      </c>
      <c r="X25" s="35">
        <f t="shared" si="5"/>
        <v>0.94092437584664901</v>
      </c>
      <c r="Y25" s="35"/>
      <c r="Z25" s="35">
        <v>0.90986</v>
      </c>
    </row>
    <row r="26" spans="1:26" ht="25" customHeight="1">
      <c r="A26" s="36">
        <v>5</v>
      </c>
      <c r="B26" s="36" t="s">
        <v>21</v>
      </c>
      <c r="D26" s="5">
        <f t="shared" si="0"/>
        <v>3277538.1600000001</v>
      </c>
      <c r="E26" s="5"/>
      <c r="F26" s="5">
        <v>3277538.1600000001</v>
      </c>
      <c r="G26" s="5"/>
      <c r="H26" s="5">
        <f t="shared" si="1"/>
        <v>2595567.6899999999</v>
      </c>
      <c r="I26" s="5"/>
      <c r="J26" s="45">
        <v>2595567.6899999999</v>
      </c>
      <c r="K26" s="5"/>
      <c r="L26" s="5">
        <f t="shared" si="2"/>
        <v>2486143.0099999998</v>
      </c>
      <c r="N26" s="5">
        <v>2486143.0099999998</v>
      </c>
      <c r="O26" s="5"/>
      <c r="P26" s="5">
        <f t="shared" si="3"/>
        <v>2486143.0099999998</v>
      </c>
      <c r="R26" s="5">
        <v>2486143.0099999998</v>
      </c>
      <c r="S26" s="5"/>
      <c r="T26" s="5">
        <f t="shared" si="4"/>
        <v>1740191984</v>
      </c>
      <c r="V26" s="5">
        <f>[2]TRANSMISSION!$I$24</f>
        <v>1740191984</v>
      </c>
      <c r="X26" s="35">
        <f t="shared" si="5"/>
        <v>0.95784171592920386</v>
      </c>
      <c r="Y26" s="35"/>
      <c r="Z26" s="35">
        <v>0.91623500000000002</v>
      </c>
    </row>
    <row r="27" spans="1:26" ht="25" customHeight="1">
      <c r="A27" s="36">
        <v>6</v>
      </c>
      <c r="B27" s="36" t="s">
        <v>22</v>
      </c>
      <c r="D27" s="5">
        <f t="shared" si="0"/>
        <v>3445068.0899999999</v>
      </c>
      <c r="E27" s="5"/>
      <c r="F27" s="37">
        <v>3445068.0899999999</v>
      </c>
      <c r="G27" s="5"/>
      <c r="H27" s="5">
        <f t="shared" si="1"/>
        <v>2652489.3799999999</v>
      </c>
      <c r="I27" s="5"/>
      <c r="J27" s="45">
        <v>2652489.3799999999</v>
      </c>
      <c r="K27" s="5"/>
      <c r="L27" s="5">
        <f t="shared" si="2"/>
        <v>2245802.0600000001</v>
      </c>
      <c r="N27" s="37">
        <v>2245802.0600000001</v>
      </c>
      <c r="O27" s="5"/>
      <c r="P27" s="5">
        <f t="shared" si="3"/>
        <v>2151578.7200000002</v>
      </c>
      <c r="Q27" s="37"/>
      <c r="R27" s="37">
        <v>2151578.7200000002</v>
      </c>
      <c r="S27" s="5"/>
      <c r="T27" s="5">
        <f t="shared" si="4"/>
        <v>1739215540</v>
      </c>
      <c r="V27" s="5">
        <f>[2]TRANSMISSION!$I$26</f>
        <v>1739215540</v>
      </c>
      <c r="X27" s="35">
        <f t="shared" si="5"/>
        <v>0.84667711657341305</v>
      </c>
      <c r="Y27" s="35"/>
      <c r="Z27" s="35">
        <v>0.91022099999999995</v>
      </c>
    </row>
    <row r="28" spans="1:26" ht="25" customHeight="1">
      <c r="A28" s="36">
        <v>7</v>
      </c>
      <c r="B28" s="36" t="s">
        <v>23</v>
      </c>
      <c r="D28" s="5">
        <f t="shared" si="0"/>
        <v>3396310.6000000001</v>
      </c>
      <c r="E28" s="5"/>
      <c r="F28" s="5">
        <v>3396310.6000000001</v>
      </c>
      <c r="G28" s="5"/>
      <c r="H28" s="5">
        <f t="shared" si="1"/>
        <v>2640897.7400000002</v>
      </c>
      <c r="I28" s="5"/>
      <c r="J28" s="45">
        <v>2640897.7400000002</v>
      </c>
      <c r="K28" s="5"/>
      <c r="L28" s="5">
        <f t="shared" si="2"/>
        <v>2524645.71</v>
      </c>
      <c r="N28" s="5">
        <v>2524645.71</v>
      </c>
      <c r="O28" s="5"/>
      <c r="P28" s="5">
        <f t="shared" si="3"/>
        <v>2069336.1599999999</v>
      </c>
      <c r="R28" s="5">
        <v>2069336.1599999999</v>
      </c>
      <c r="S28" s="5"/>
      <c r="T28" s="5">
        <f t="shared" si="4"/>
        <v>1777198436</v>
      </c>
      <c r="V28" s="5">
        <f>[2]TRANSMISSION!$I$28</f>
        <v>1777198436</v>
      </c>
      <c r="X28" s="35">
        <f t="shared" si="5"/>
        <v>0.95598010924875865</v>
      </c>
      <c r="Y28" s="35"/>
      <c r="Z28" s="35">
        <v>0.91840177999999995</v>
      </c>
    </row>
    <row r="29" spans="1:26" ht="25" customHeight="1">
      <c r="A29" s="36">
        <v>8</v>
      </c>
      <c r="B29" s="36" t="s">
        <v>24</v>
      </c>
      <c r="D29" s="5">
        <f t="shared" si="0"/>
        <v>3451261.4399999999</v>
      </c>
      <c r="E29" s="5"/>
      <c r="F29" s="5">
        <v>3451261.4399999999</v>
      </c>
      <c r="G29" s="5"/>
      <c r="H29" s="5">
        <f t="shared" si="1"/>
        <v>2717435.7799999998</v>
      </c>
      <c r="I29" s="5"/>
      <c r="J29" s="45">
        <v>2717435.7799999998</v>
      </c>
      <c r="K29" s="5"/>
      <c r="L29" s="5">
        <f t="shared" si="2"/>
        <v>2296644.8999999999</v>
      </c>
      <c r="N29" s="5">
        <v>2296644.8999999999</v>
      </c>
      <c r="O29" s="5"/>
      <c r="P29" s="5">
        <f t="shared" si="3"/>
        <v>2123270</v>
      </c>
      <c r="R29" s="5">
        <v>2123270</v>
      </c>
      <c r="S29" s="5"/>
      <c r="T29" s="5">
        <f t="shared" si="4"/>
        <v>1793854071</v>
      </c>
      <c r="V29" s="5">
        <f>[2]TRANSMISSION!$I$30</f>
        <v>1793854071</v>
      </c>
      <c r="X29" s="35">
        <f t="shared" si="5"/>
        <v>0.84515149057174777</v>
      </c>
      <c r="Y29" s="35"/>
      <c r="Z29" s="35">
        <v>0.90168400000000004</v>
      </c>
    </row>
    <row r="30" spans="1:26" ht="25" customHeight="1">
      <c r="A30" s="36">
        <v>9</v>
      </c>
      <c r="B30" s="36" t="s">
        <v>25</v>
      </c>
      <c r="D30" s="5">
        <f t="shared" si="0"/>
        <v>3498327.0600000001</v>
      </c>
      <c r="E30" s="5"/>
      <c r="F30" s="5">
        <v>3498327.0600000001</v>
      </c>
      <c r="G30" s="5"/>
      <c r="H30" s="5">
        <f t="shared" si="1"/>
        <v>2754518.9300000002</v>
      </c>
      <c r="I30" s="5"/>
      <c r="J30" s="45">
        <v>2754518.9300000002</v>
      </c>
      <c r="K30" s="5"/>
      <c r="L30" s="5">
        <f t="shared" si="2"/>
        <v>2146634.3399999999</v>
      </c>
      <c r="N30" s="5">
        <v>2146634.3399999999</v>
      </c>
      <c r="O30" s="5"/>
      <c r="P30" s="5">
        <f t="shared" si="3"/>
        <v>2144658.5899999999</v>
      </c>
      <c r="R30" s="5">
        <v>2144658.5899999999</v>
      </c>
      <c r="S30" s="5"/>
      <c r="T30" s="5">
        <f t="shared" si="4"/>
        <v>1815185444</v>
      </c>
      <c r="V30" s="5">
        <f>[2]TRANSMISSION!$I$32</f>
        <v>1815185444</v>
      </c>
      <c r="X30" s="35">
        <f t="shared" si="5"/>
        <v>0.77931370034185954</v>
      </c>
      <c r="Y30" s="35"/>
      <c r="Z30" s="35">
        <v>0.92431549999999996</v>
      </c>
    </row>
    <row r="31" spans="1:26" ht="25" customHeight="1">
      <c r="A31" s="36">
        <v>10</v>
      </c>
      <c r="B31" s="36" t="s">
        <v>26</v>
      </c>
      <c r="D31" s="5">
        <f t="shared" si="0"/>
        <v>3523826.9399999999</v>
      </c>
      <c r="E31" s="5"/>
      <c r="F31" s="5">
        <v>3523826.9399999999</v>
      </c>
      <c r="G31" s="5"/>
      <c r="H31" s="5">
        <f t="shared" si="1"/>
        <v>2790485.8700000001</v>
      </c>
      <c r="I31" s="5"/>
      <c r="J31" s="45">
        <v>2790485.8700000001</v>
      </c>
      <c r="K31" s="5"/>
      <c r="L31" s="5">
        <f t="shared" si="2"/>
        <v>2707700.736</v>
      </c>
      <c r="N31" s="5">
        <v>2707700.736</v>
      </c>
      <c r="O31" s="5"/>
      <c r="P31" s="5">
        <f t="shared" si="3"/>
        <v>2707700.73</v>
      </c>
      <c r="R31" s="5">
        <v>2707700.73</v>
      </c>
      <c r="S31" s="5"/>
      <c r="T31" s="5">
        <f t="shared" si="4"/>
        <v>1846716296</v>
      </c>
      <c r="V31" s="5">
        <f>[2]TRANSMISSION!$I$34</f>
        <v>1846716296</v>
      </c>
      <c r="X31" s="35">
        <f t="shared" si="5"/>
        <v>0.97033307536511548</v>
      </c>
      <c r="Y31" s="35"/>
      <c r="Z31" s="35">
        <v>0.93083000000000005</v>
      </c>
    </row>
    <row r="32" spans="1:26" ht="25" customHeight="1">
      <c r="A32" s="36">
        <v>11</v>
      </c>
      <c r="B32" s="36" t="s">
        <v>27</v>
      </c>
      <c r="D32" s="5">
        <f t="shared" si="0"/>
        <v>3436296.2599999998</v>
      </c>
      <c r="E32" s="5"/>
      <c r="F32" s="5">
        <v>3436296.2599999998</v>
      </c>
      <c r="G32" s="5"/>
      <c r="H32" s="5">
        <f t="shared" si="1"/>
        <v>2757659.2599999998</v>
      </c>
      <c r="I32" s="5"/>
      <c r="J32" s="45">
        <v>2757659.2599999998</v>
      </c>
      <c r="K32" s="5"/>
      <c r="L32" s="5">
        <f t="shared" si="2"/>
        <v>2684351.71</v>
      </c>
      <c r="N32" s="5">
        <v>2684351.71</v>
      </c>
      <c r="O32" s="5"/>
      <c r="P32" s="5">
        <f t="shared" si="3"/>
        <v>2644715.6099999999</v>
      </c>
      <c r="R32" s="5">
        <v>2644715.6099999999</v>
      </c>
      <c r="S32" s="5"/>
      <c r="T32" s="5">
        <f t="shared" si="4"/>
        <v>1877484630</v>
      </c>
      <c r="V32" s="5">
        <f>[2]TRANSMISSION!$I$36</f>
        <v>1877484630</v>
      </c>
      <c r="X32" s="35">
        <f t="shared" si="5"/>
        <v>0.97341674837666503</v>
      </c>
      <c r="Y32" s="35"/>
      <c r="Z32" s="35">
        <v>0.92119649999999997</v>
      </c>
    </row>
    <row r="33" spans="1:26" ht="25" customHeight="1" thickBot="1">
      <c r="A33" s="36">
        <v>12</v>
      </c>
      <c r="B33" s="36" t="s">
        <v>28</v>
      </c>
      <c r="D33" s="5">
        <f t="shared" si="0"/>
        <v>3441027.0899999999</v>
      </c>
      <c r="E33" s="5"/>
      <c r="F33" s="5">
        <v>3441027.0899999999</v>
      </c>
      <c r="G33" s="5"/>
      <c r="H33" s="5">
        <f t="shared" si="1"/>
        <v>2789934.5499999998</v>
      </c>
      <c r="I33" s="5"/>
      <c r="J33" s="45">
        <v>2789934.5499999998</v>
      </c>
      <c r="K33" s="5"/>
      <c r="L33" s="5">
        <f t="shared" si="2"/>
        <v>2583642.02</v>
      </c>
      <c r="N33" s="5">
        <v>2583642.02</v>
      </c>
      <c r="O33" s="5"/>
      <c r="P33" s="5">
        <f t="shared" si="3"/>
        <v>2522047.27</v>
      </c>
      <c r="R33" s="5">
        <v>2522047.27</v>
      </c>
      <c r="S33" s="5"/>
      <c r="T33" s="38">
        <f t="shared" si="4"/>
        <v>1875813062</v>
      </c>
      <c r="V33" s="38">
        <f>[2]TRANSMISSION!$I$38</f>
        <v>1875813062</v>
      </c>
      <c r="X33" s="35">
        <f t="shared" si="5"/>
        <v>0.92605829050720923</v>
      </c>
      <c r="Y33" s="35"/>
      <c r="Z33" s="35">
        <v>0.9239598</v>
      </c>
    </row>
    <row r="34" spans="1:22" ht="25" customHeight="1" thickTop="1">
      <c r="A34" s="36">
        <v>13</v>
      </c>
      <c r="E34" s="5"/>
      <c r="G34" s="5"/>
      <c r="I34" s="5"/>
      <c r="K34" s="5"/>
      <c r="O34" s="5"/>
      <c r="S34" s="5"/>
      <c r="T34" s="37">
        <f>+SUM(T22:T33)</f>
        <v>20707284226</v>
      </c>
      <c r="U34" s="37"/>
      <c r="V34" s="37">
        <f>+SUM(V22:V33)</f>
        <v>20707284226</v>
      </c>
    </row>
    <row r="35" spans="1:22" ht="25" customHeight="1">
      <c r="A35" s="36"/>
      <c r="E35" s="5"/>
      <c r="G35" s="5"/>
      <c r="I35" s="5"/>
      <c r="K35" s="5"/>
      <c r="O35" s="5"/>
      <c r="S35" s="5"/>
      <c r="T35" s="37"/>
      <c r="U35" s="37"/>
      <c r="V35" s="37"/>
    </row>
    <row r="36" spans="5:22" ht="18.75" customHeight="1">
      <c r="E36" s="5"/>
      <c r="G36" s="5"/>
      <c r="I36" s="5"/>
      <c r="K36" s="5"/>
      <c r="O36" s="5"/>
      <c r="S36" s="5"/>
      <c r="T36" s="37"/>
      <c r="U36" s="37"/>
      <c r="V36" s="37"/>
    </row>
    <row r="37" spans="1:19" ht="15" customHeight="1">
      <c r="A37" s="4" t="s">
        <v>87</v>
      </c>
      <c r="E37" s="5"/>
      <c r="G37" s="5"/>
      <c r="I37" s="5"/>
      <c r="K37" s="5"/>
      <c r="O37" s="5"/>
      <c r="S37" s="5"/>
    </row>
    <row r="38" spans="1:19" ht="15" customHeight="1">
      <c r="A38" s="4" t="s">
        <v>29</v>
      </c>
      <c r="E38" s="5"/>
      <c r="G38" s="5"/>
      <c r="I38" s="5"/>
      <c r="K38" s="5"/>
      <c r="O38" s="5"/>
      <c r="S38" s="5"/>
    </row>
    <row r="39" spans="1:19" ht="15" customHeight="1">
      <c r="A39" s="6" t="s">
        <v>30</v>
      </c>
      <c r="E39" s="5"/>
      <c r="G39" s="5"/>
      <c r="I39" s="5"/>
      <c r="K39" s="5"/>
      <c r="O39" s="5"/>
      <c r="S39" s="5"/>
    </row>
    <row r="40" spans="1:19" ht="15" customHeight="1">
      <c r="A40" s="6"/>
      <c r="E40" s="5"/>
      <c r="G40" s="5"/>
      <c r="I40" s="5"/>
      <c r="K40" s="5"/>
      <c r="O40" s="5"/>
      <c r="S40" s="5"/>
    </row>
    <row r="41" spans="1:19" ht="15" customHeight="1">
      <c r="A41" s="6"/>
      <c r="E41" s="5"/>
      <c r="G41" s="5"/>
      <c r="I41" s="5"/>
      <c r="K41" s="5"/>
      <c r="O41" s="5"/>
      <c r="S41" s="5"/>
    </row>
  </sheetData>
  <pageMargins left="0.5" right="1" top="1.5" bottom="0.5" header="0.5" footer="0.5"/>
  <pageSetup orientation="landscape" scale="5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Z40"/>
  <sheetViews>
    <sheetView zoomScale="75" zoomScaleNormal="75" workbookViewId="0" topLeftCell="A1">
      <selection pane="topLeft" activeCell="AG27" sqref="AG27"/>
    </sheetView>
  </sheetViews>
  <sheetFormatPr defaultColWidth="9.18428571428571" defaultRowHeight="18.75" customHeight="1"/>
  <cols>
    <col min="1" max="1" width="4.71428571428571" style="4" customWidth="1"/>
    <col min="2" max="3" width="7.71428571428571" style="4" customWidth="1"/>
    <col min="4" max="4" width="20.5714285714286" style="5" customWidth="1"/>
    <col min="5" max="5" width="2.71428571428571" style="4" customWidth="1"/>
    <col min="6" max="6" width="20.8571428571429" style="5" customWidth="1"/>
    <col min="7" max="7" width="5.71428571428571" style="4" customWidth="1"/>
    <col min="8" max="8" width="13.8571428571429" style="5" customWidth="1"/>
    <col min="9" max="9" width="2.71428571428571" style="4" customWidth="1"/>
    <col min="10" max="10" width="14.8571428571429" style="5" customWidth="1"/>
    <col min="11" max="11" width="5.71428571428571" style="4" customWidth="1"/>
    <col min="12" max="12" width="12.7142857142857" style="5" customWidth="1"/>
    <col min="13" max="13" width="2.71428571428571" style="5" customWidth="1"/>
    <col min="14" max="14" width="13.2857142857143" style="5" customWidth="1"/>
    <col min="15" max="15" width="5.71428571428571" style="4" customWidth="1"/>
    <col min="16" max="16" width="12.7142857142857" style="5" customWidth="1"/>
    <col min="17" max="17" width="2.71428571428571" style="5" customWidth="1"/>
    <col min="18" max="18" width="13.8571428571429" style="5" customWidth="1"/>
    <col min="19" max="19" width="5.71428571428571" style="4" customWidth="1"/>
    <col min="20" max="20" width="17.7142857142857" style="5" customWidth="1"/>
    <col min="21" max="21" width="2.71428571428571" style="5" customWidth="1"/>
    <col min="22" max="22" width="17.7142857142857" style="5" customWidth="1"/>
    <col min="23" max="23" width="3.71428571428571" style="4" customWidth="1"/>
    <col min="24" max="24" width="9.85714285714286" style="4" customWidth="1"/>
    <col min="25" max="25" width="1.71428571428571" style="4" customWidth="1"/>
    <col min="26" max="26" width="10.2857142857143" style="4" customWidth="1"/>
    <col min="27" max="16384" width="9.14285714285714" style="4"/>
  </cols>
  <sheetData>
    <row r="1" spans="1:22" ht="18.75" customHeight="1">
      <c r="A1" s="28"/>
      <c r="V1" s="4" t="s">
        <v>95</v>
      </c>
    </row>
    <row r="2" spans="22:22" ht="18.75" customHeight="1">
      <c r="V2" s="4" t="s">
        <v>103</v>
      </c>
    </row>
    <row r="3" spans="4:4" ht="18.75" customHeight="1">
      <c r="D3" s="40"/>
    </row>
    <row r="7" spans="1:26" ht="18.75" customHeight="1">
      <c r="A7" s="29" t="s">
        <v>86</v>
      </c>
      <c r="B7" s="30"/>
      <c r="C7" s="30"/>
      <c r="D7" s="30"/>
      <c r="E7" s="30"/>
      <c r="F7" s="31"/>
      <c r="G7" s="30"/>
      <c r="H7" s="30"/>
      <c r="I7" s="30"/>
      <c r="J7" s="31"/>
      <c r="K7" s="30"/>
      <c r="L7" s="30"/>
      <c r="M7" s="30"/>
      <c r="N7" s="29"/>
      <c r="O7" s="31"/>
      <c r="P7" s="30"/>
      <c r="Q7" s="30"/>
      <c r="R7" s="31"/>
      <c r="S7" s="30"/>
      <c r="T7" s="30"/>
      <c r="U7" s="30"/>
      <c r="V7" s="30"/>
      <c r="W7" s="30"/>
      <c r="X7" s="30"/>
      <c r="Y7" s="30"/>
      <c r="Z7" s="30"/>
    </row>
    <row r="8" spans="1:26" ht="18" customHeight="1">
      <c r="A8" s="29" t="s">
        <v>51</v>
      </c>
      <c r="B8" s="30"/>
      <c r="C8" s="30"/>
      <c r="D8" s="30"/>
      <c r="E8" s="30"/>
      <c r="F8" s="31"/>
      <c r="G8" s="30"/>
      <c r="H8" s="30"/>
      <c r="I8" s="30"/>
      <c r="J8" s="31"/>
      <c r="K8" s="30"/>
      <c r="L8" s="31"/>
      <c r="M8" s="31"/>
      <c r="N8" s="29"/>
      <c r="O8" s="32"/>
      <c r="P8" s="30"/>
      <c r="Q8" s="30"/>
      <c r="R8" s="32"/>
      <c r="S8" s="29"/>
      <c r="T8" s="30"/>
      <c r="U8" s="30"/>
      <c r="V8" s="30"/>
      <c r="W8" s="30"/>
      <c r="X8" s="30"/>
      <c r="Y8" s="30"/>
      <c r="Z8" s="30"/>
    </row>
    <row r="9" spans="1:26" ht="18" customHeight="1">
      <c r="A9" s="29" t="s">
        <v>72</v>
      </c>
      <c r="B9" s="30"/>
      <c r="C9" s="30"/>
      <c r="D9" s="30"/>
      <c r="E9" s="30"/>
      <c r="F9" s="31"/>
      <c r="G9" s="29"/>
      <c r="H9" s="30"/>
      <c r="I9" s="30"/>
      <c r="J9" s="31"/>
      <c r="K9" s="29"/>
      <c r="L9" s="29"/>
      <c r="M9" s="31"/>
      <c r="N9" s="31"/>
      <c r="O9" s="31"/>
      <c r="P9" s="30"/>
      <c r="Q9" s="29"/>
      <c r="R9" s="32"/>
      <c r="S9" s="29"/>
      <c r="T9" s="30"/>
      <c r="U9" s="30"/>
      <c r="V9" s="30"/>
      <c r="W9" s="30"/>
      <c r="X9" s="30"/>
      <c r="Y9" s="30"/>
      <c r="Z9" s="30"/>
    </row>
    <row r="10" spans="1:26" ht="18" customHeight="1">
      <c r="A10" s="29" t="s">
        <v>112</v>
      </c>
      <c r="B10" s="30"/>
      <c r="C10" s="30"/>
      <c r="D10" s="30"/>
      <c r="E10" s="30"/>
      <c r="F10" s="30"/>
      <c r="G10" s="29"/>
      <c r="H10" s="30"/>
      <c r="I10" s="30"/>
      <c r="J10" s="30"/>
      <c r="K10" s="29"/>
      <c r="L10" s="32"/>
      <c r="M10" s="31"/>
      <c r="N10" s="31"/>
      <c r="O10" s="31"/>
      <c r="P10" s="30"/>
      <c r="Q10" s="29"/>
      <c r="R10" s="32"/>
      <c r="S10" s="29"/>
      <c r="T10" s="30"/>
      <c r="U10" s="30"/>
      <c r="V10" s="30"/>
      <c r="W10" s="30"/>
      <c r="X10" s="30"/>
      <c r="Y10" s="30"/>
      <c r="Z10" s="30"/>
    </row>
    <row r="11" spans="1:26" ht="18" customHeight="1">
      <c r="A11" s="30"/>
      <c r="B11" s="30"/>
      <c r="C11" s="30"/>
      <c r="D11" s="30"/>
      <c r="E11" s="30"/>
      <c r="F11" s="31"/>
      <c r="G11" s="30"/>
      <c r="H11" s="30"/>
      <c r="I11" s="30"/>
      <c r="J11" s="31"/>
      <c r="K11" s="30"/>
      <c r="L11" s="31"/>
      <c r="M11" s="31"/>
      <c r="N11" s="31"/>
      <c r="O11" s="31"/>
      <c r="P11" s="30"/>
      <c r="Q11" s="30"/>
      <c r="R11" s="31"/>
      <c r="S11" s="30"/>
      <c r="T11" s="30"/>
      <c r="U11" s="30"/>
      <c r="V11" s="30"/>
      <c r="W11" s="30"/>
      <c r="X11" s="30"/>
      <c r="Y11" s="30"/>
      <c r="Z11" s="30"/>
    </row>
    <row r="12" spans="1:26" ht="18.75" customHeight="1">
      <c r="A12" s="29" t="s">
        <v>58</v>
      </c>
      <c r="B12" s="30"/>
      <c r="C12" s="30"/>
      <c r="D12" s="30"/>
      <c r="E12" s="30"/>
      <c r="F12" s="31"/>
      <c r="G12" s="30"/>
      <c r="H12" s="30"/>
      <c r="I12" s="30"/>
      <c r="J12" s="31"/>
      <c r="K12" s="30"/>
      <c r="L12" s="32"/>
      <c r="M12" s="31"/>
      <c r="N12" s="32"/>
      <c r="O12" s="32"/>
      <c r="P12" s="30"/>
      <c r="Q12" s="30"/>
      <c r="R12" s="31"/>
      <c r="S12" s="30"/>
      <c r="T12" s="30"/>
      <c r="U12" s="30"/>
      <c r="V12" s="30"/>
      <c r="W12" s="30"/>
      <c r="X12" s="30"/>
      <c r="Y12" s="30"/>
      <c r="Z12" s="30"/>
    </row>
    <row r="13" spans="1:26" ht="18.75" customHeight="1">
      <c r="A13" s="30"/>
      <c r="B13" s="30"/>
      <c r="C13" s="30"/>
      <c r="D13" s="30"/>
      <c r="E13" s="30"/>
      <c r="F13" s="31"/>
      <c r="G13" s="30"/>
      <c r="H13" s="30"/>
      <c r="I13" s="30"/>
      <c r="J13" s="31"/>
      <c r="K13" s="30"/>
      <c r="L13" s="30"/>
      <c r="M13" s="31"/>
      <c r="N13" s="30"/>
      <c r="O13" s="32"/>
      <c r="P13" s="30"/>
      <c r="Q13" s="30"/>
      <c r="R13" s="31"/>
      <c r="S13" s="30"/>
      <c r="T13" s="30"/>
      <c r="U13" s="30"/>
      <c r="V13" s="30"/>
      <c r="W13" s="30"/>
      <c r="X13" s="30"/>
      <c r="Y13" s="30"/>
      <c r="Z13" s="30"/>
    </row>
    <row r="14" spans="1:20" ht="18.75" customHeight="1">
      <c r="A14" s="4" t="s">
        <v>39</v>
      </c>
      <c r="T14" s="52"/>
    </row>
    <row r="15" spans="1:20" ht="18.75" customHeight="1">
      <c r="A15" s="4" t="s">
        <v>40</v>
      </c>
      <c r="T15" s="52"/>
    </row>
    <row r="16" ht="15" customHeight="1"/>
    <row r="17" spans="4:26" s="6" customFormat="1" ht="18.75" customHeight="1">
      <c r="D17" s="6" t="s">
        <v>75</v>
      </c>
      <c r="F17" s="6" t="s">
        <v>76</v>
      </c>
      <c r="H17" s="6" t="s">
        <v>42</v>
      </c>
      <c r="J17" s="6" t="s">
        <v>81</v>
      </c>
      <c r="L17" s="6" t="s">
        <v>43</v>
      </c>
      <c r="N17" s="6" t="s">
        <v>44</v>
      </c>
      <c r="P17" s="6" t="s">
        <v>82</v>
      </c>
      <c r="R17" s="6" t="s">
        <v>83</v>
      </c>
      <c r="T17" s="6" t="s">
        <v>84</v>
      </c>
      <c r="V17" s="6" t="s">
        <v>85</v>
      </c>
      <c r="X17" s="6" t="s">
        <v>91</v>
      </c>
      <c r="Z17" s="6" t="s">
        <v>92</v>
      </c>
    </row>
    <row r="18" spans="4:6" s="6" customFormat="1" ht="18.75" customHeight="1">
      <c r="D18" s="6" t="s">
        <v>77</v>
      </c>
      <c r="F18" s="6" t="s">
        <v>77</v>
      </c>
    </row>
    <row r="19" spans="1:24" ht="18.75" customHeight="1">
      <c r="A19" s="4" t="s">
        <v>2</v>
      </c>
      <c r="D19" s="5" t="s">
        <v>79</v>
      </c>
      <c r="F19" s="5" t="s">
        <v>79</v>
      </c>
      <c r="H19" s="5" t="s">
        <v>6</v>
      </c>
      <c r="I19" s="5"/>
      <c r="J19" s="5" t="s">
        <v>89</v>
      </c>
      <c r="L19" s="5" t="s">
        <v>4</v>
      </c>
      <c r="M19" s="4" t="s">
        <v>5</v>
      </c>
      <c r="N19" s="5" t="s">
        <v>4</v>
      </c>
      <c r="P19" s="5" t="s">
        <v>3</v>
      </c>
      <c r="R19" s="5" t="s">
        <v>3</v>
      </c>
      <c r="T19" s="5" t="s">
        <v>7</v>
      </c>
      <c r="V19" s="5" t="s">
        <v>8</v>
      </c>
      <c r="X19" s="4" t="s">
        <v>94</v>
      </c>
    </row>
    <row r="20" spans="1:26" ht="18.75" customHeight="1">
      <c r="A20" s="33" t="s">
        <v>9</v>
      </c>
      <c r="B20" s="33" t="s">
        <v>10</v>
      </c>
      <c r="D20" s="27" t="s">
        <v>78</v>
      </c>
      <c r="F20" s="27" t="s">
        <v>80</v>
      </c>
      <c r="H20" s="27" t="s">
        <v>11</v>
      </c>
      <c r="I20" s="5"/>
      <c r="J20" s="27" t="s">
        <v>12</v>
      </c>
      <c r="L20" s="27" t="s">
        <v>11</v>
      </c>
      <c r="M20" s="4"/>
      <c r="N20" s="27" t="s">
        <v>12</v>
      </c>
      <c r="P20" s="27" t="s">
        <v>11</v>
      </c>
      <c r="R20" s="27" t="s">
        <v>12</v>
      </c>
      <c r="T20" s="27" t="s">
        <v>13</v>
      </c>
      <c r="V20" s="27" t="s">
        <v>14</v>
      </c>
      <c r="X20" s="34" t="s">
        <v>15</v>
      </c>
      <c r="Z20" s="34" t="s">
        <v>93</v>
      </c>
    </row>
    <row r="21" spans="13:26" ht="18.75" customHeight="1">
      <c r="M21" s="4"/>
      <c r="X21" s="35"/>
      <c r="Y21" s="35"/>
      <c r="Z21" s="35"/>
    </row>
    <row r="22" spans="1:26" ht="25" customHeight="1">
      <c r="A22" s="36">
        <v>1</v>
      </c>
      <c r="B22" s="36" t="s">
        <v>17</v>
      </c>
      <c r="D22" s="5">
        <f>'[1]Demand Loss Factor'!$G$54*F22</f>
        <v>99544.557296109851</v>
      </c>
      <c r="E22" s="5"/>
      <c r="F22" s="5">
        <f>($V$34/Z22)/8760</f>
        <v>95822.315866262885</v>
      </c>
      <c r="G22" s="5"/>
      <c r="H22" s="5">
        <f>'[1]Demand Loss Factor'!$G$54*J22</f>
        <v>99544.557296109851</v>
      </c>
      <c r="I22" s="5"/>
      <c r="J22" s="5">
        <f>($V$34/Z22)/8760</f>
        <v>95822.315866262885</v>
      </c>
      <c r="K22" s="5"/>
      <c r="L22" s="5">
        <v>0</v>
      </c>
      <c r="N22" s="5">
        <v>0</v>
      </c>
      <c r="O22" s="5"/>
      <c r="P22" s="5">
        <f>'[1]Demand Loss Factor'!$G$54*R22</f>
        <v>99544.557296109851</v>
      </c>
      <c r="R22" s="5">
        <f>($V$34/Z22)/8760</f>
        <v>95822.315866262885</v>
      </c>
      <c r="S22" s="5"/>
      <c r="T22" s="5">
        <f>'[1]Energy Loss Factor'!$G$54*V22</f>
        <v>33922030.033224232</v>
      </c>
      <c r="V22" s="5">
        <f>'[2]SL - UNMETERED'!$I$16+'[2]SL - METERED NON CO'!$I$16+'[2]SL - METERED CO OWNED'!$I$16+'[2]OUTDOOR LIGHTING'!$I$16</f>
        <v>32706105</v>
      </c>
      <c r="X22" s="35">
        <f t="shared" si="0" ref="X22:X33">(N22/J22)</f>
        <v>0</v>
      </c>
      <c r="Y22" s="35"/>
      <c r="Z22" s="35">
        <v>0.45616440000000003</v>
      </c>
    </row>
    <row r="23" spans="1:26" ht="25" customHeight="1">
      <c r="A23" s="36">
        <v>2</v>
      </c>
      <c r="B23" s="36" t="s">
        <v>18</v>
      </c>
      <c r="D23" s="5">
        <f>'[1]Demand Loss Factor'!$G$54*F23</f>
        <v>99544.557296109851</v>
      </c>
      <c r="E23" s="5"/>
      <c r="F23" s="5">
        <f t="shared" si="1" ref="F23:F33">($V$34/Z23)/8760</f>
        <v>95822.315866262885</v>
      </c>
      <c r="G23" s="5"/>
      <c r="H23" s="5">
        <f>'[1]Demand Loss Factor'!$G$54*J23</f>
        <v>99544.557296109851</v>
      </c>
      <c r="I23" s="5"/>
      <c r="J23" s="5">
        <f t="shared" si="2" ref="J23:J33">($V$34/Z23)/8760</f>
        <v>95822.315866262885</v>
      </c>
      <c r="K23" s="5"/>
      <c r="L23" s="5">
        <f>'[1]Demand Loss Factor'!$G$54*N23</f>
        <v>99544.557296109851</v>
      </c>
      <c r="N23" s="5">
        <f>($V$34/Z23)/8760</f>
        <v>95822.315866262885</v>
      </c>
      <c r="O23" s="5"/>
      <c r="P23" s="5">
        <f>'[1]Demand Loss Factor'!$G$54*R23</f>
        <v>99544.557296109851</v>
      </c>
      <c r="R23" s="5">
        <f>($V$34/Z23)/8760</f>
        <v>95822.315866262885</v>
      </c>
      <c r="S23" s="5"/>
      <c r="T23" s="5">
        <f>'[1]Energy Loss Factor'!$G$54*V23</f>
        <v>33751282.644066162</v>
      </c>
      <c r="V23" s="5">
        <f>'[2]SL - UNMETERED'!$I$18+'[2]SL - METERED NON CO'!$I$18+'[2]SL - METERED CO OWNED'!$I$18+'[2]OUTDOOR LIGHTING'!$I$18</f>
        <v>32541478</v>
      </c>
      <c r="X23" s="35">
        <f t="shared" si="0"/>
        <v>1</v>
      </c>
      <c r="Y23" s="35"/>
      <c r="Z23" s="35">
        <v>0.45616440000000003</v>
      </c>
    </row>
    <row r="24" spans="1:26" ht="25" customHeight="1">
      <c r="A24" s="36">
        <v>3</v>
      </c>
      <c r="B24" s="36" t="s">
        <v>19</v>
      </c>
      <c r="D24" s="5">
        <f>'[1]Demand Loss Factor'!$G$54*F24</f>
        <v>99544.557296109851</v>
      </c>
      <c r="E24" s="5"/>
      <c r="F24" s="5">
        <f t="shared" si="1"/>
        <v>95822.315866262885</v>
      </c>
      <c r="G24" s="5"/>
      <c r="H24" s="5">
        <f>'[1]Demand Loss Factor'!$G$54*J24</f>
        <v>99544.557296109851</v>
      </c>
      <c r="I24" s="5"/>
      <c r="J24" s="5">
        <f t="shared" si="2"/>
        <v>95822.315866262885</v>
      </c>
      <c r="K24" s="5"/>
      <c r="L24" s="5">
        <v>0</v>
      </c>
      <c r="N24" s="5">
        <v>0</v>
      </c>
      <c r="O24" s="5"/>
      <c r="P24" s="5">
        <v>0</v>
      </c>
      <c r="R24" s="5">
        <v>0</v>
      </c>
      <c r="S24" s="5"/>
      <c r="T24" s="5">
        <f>'[1]Energy Loss Factor'!$G$54*V24</f>
        <v>33636286.646899775</v>
      </c>
      <c r="V24" s="5">
        <f>'[2]SL - UNMETERED'!$I$20+'[2]SL - METERED NON CO'!$I$20+'[2]SL - METERED CO OWNED'!$I$20+'[2]OUTDOOR LIGHTING'!$I$20</f>
        <v>32430604</v>
      </c>
      <c r="X24" s="35">
        <f t="shared" si="0"/>
        <v>0</v>
      </c>
      <c r="Y24" s="35"/>
      <c r="Z24" s="35">
        <v>0.45616440000000003</v>
      </c>
    </row>
    <row r="25" spans="1:26" ht="25" customHeight="1">
      <c r="A25" s="36">
        <v>4</v>
      </c>
      <c r="B25" s="36" t="s">
        <v>20</v>
      </c>
      <c r="D25" s="5">
        <f>'[1]Demand Loss Factor'!$G$54*F25</f>
        <v>99544.557296109851</v>
      </c>
      <c r="E25" s="5"/>
      <c r="F25" s="5">
        <f t="shared" si="1"/>
        <v>95822.315866262885</v>
      </c>
      <c r="G25" s="5"/>
      <c r="H25" s="5">
        <f>'[1]Demand Loss Factor'!$G$54*J25</f>
        <v>99544.557296109851</v>
      </c>
      <c r="I25" s="5"/>
      <c r="J25" s="5">
        <f t="shared" si="2"/>
        <v>95822.315866262885</v>
      </c>
      <c r="K25" s="5"/>
      <c r="L25" s="5">
        <v>0</v>
      </c>
      <c r="N25" s="5">
        <v>0</v>
      </c>
      <c r="O25" s="5"/>
      <c r="P25" s="5">
        <v>0</v>
      </c>
      <c r="R25" s="5">
        <v>0</v>
      </c>
      <c r="S25" s="5"/>
      <c r="T25" s="5">
        <f>'[1]Energy Loss Factor'!$G$54*V25</f>
        <v>33500142.604364559</v>
      </c>
      <c r="V25" s="5">
        <f>'[2]SL - UNMETERED'!$I$22+'[2]SL - METERED NON CO'!$I$22+'[2]SL - METERED CO OWNED'!$I$22+'[2]OUTDOOR LIGHTING'!$I$22</f>
        <v>32299340</v>
      </c>
      <c r="X25" s="35">
        <f t="shared" si="0"/>
        <v>0</v>
      </c>
      <c r="Y25" s="35"/>
      <c r="Z25" s="35">
        <v>0.45616440000000003</v>
      </c>
    </row>
    <row r="26" spans="1:26" ht="25" customHeight="1">
      <c r="A26" s="36">
        <v>5</v>
      </c>
      <c r="B26" s="36" t="s">
        <v>21</v>
      </c>
      <c r="D26" s="5">
        <f>'[1]Demand Loss Factor'!$G$54*F26</f>
        <v>99544.557296109851</v>
      </c>
      <c r="E26" s="5"/>
      <c r="F26" s="5">
        <f t="shared" si="1"/>
        <v>95822.315866262885</v>
      </c>
      <c r="G26" s="5"/>
      <c r="H26" s="5">
        <f>'[1]Demand Loss Factor'!$G$54*J26</f>
        <v>99544.557296109851</v>
      </c>
      <c r="I26" s="5"/>
      <c r="J26" s="5">
        <f t="shared" si="2"/>
        <v>95822.315866262885</v>
      </c>
      <c r="K26" s="5"/>
      <c r="L26" s="37">
        <v>0</v>
      </c>
      <c r="N26" s="37">
        <v>0</v>
      </c>
      <c r="O26" s="5"/>
      <c r="P26" s="5">
        <v>0</v>
      </c>
      <c r="R26" s="5">
        <v>0</v>
      </c>
      <c r="S26" s="5"/>
      <c r="T26" s="5">
        <f>'[1]Energy Loss Factor'!$G$54*V26</f>
        <v>33332059.72371814</v>
      </c>
      <c r="V26" s="5">
        <f>'[2]SL - UNMETERED'!$I$24+'[2]SL - METERED NON CO'!$I$24+'[2]SL - METERED CO OWNED'!$I$24+'[2]OUTDOOR LIGHTING'!$I$24</f>
        <v>32137282</v>
      </c>
      <c r="X26" s="35">
        <f t="shared" si="0"/>
        <v>0</v>
      </c>
      <c r="Y26" s="35"/>
      <c r="Z26" s="35">
        <v>0.45616440000000003</v>
      </c>
    </row>
    <row r="27" spans="1:26" ht="25" customHeight="1">
      <c r="A27" s="36">
        <v>6</v>
      </c>
      <c r="B27" s="36" t="s">
        <v>22</v>
      </c>
      <c r="D27" s="5">
        <f>'[1]Demand Loss Factor'!$G$54*F27</f>
        <v>99544.557296109851</v>
      </c>
      <c r="E27" s="5"/>
      <c r="F27" s="5">
        <f t="shared" si="1"/>
        <v>95822.315866262885</v>
      </c>
      <c r="G27" s="5"/>
      <c r="H27" s="5">
        <f>'[1]Demand Loss Factor'!$G$54*J27</f>
        <v>99544.557296109851</v>
      </c>
      <c r="I27" s="5"/>
      <c r="J27" s="5">
        <f t="shared" si="2"/>
        <v>95822.315866262885</v>
      </c>
      <c r="K27" s="5"/>
      <c r="L27" s="5">
        <v>0</v>
      </c>
      <c r="N27" s="5">
        <v>0</v>
      </c>
      <c r="O27" s="5"/>
      <c r="P27" s="37">
        <v>0</v>
      </c>
      <c r="Q27" s="37"/>
      <c r="R27" s="37">
        <v>0</v>
      </c>
      <c r="S27" s="5"/>
      <c r="T27" s="5">
        <f>'[1]Energy Loss Factor'!$G$54*V27</f>
        <v>32834985.237238232</v>
      </c>
      <c r="V27" s="5">
        <f>'[2]SL - UNMETERED'!$I$26+'[2]SL - METERED NON CO'!$I$26+'[2]SL - METERED CO OWNED'!$I$26+'[2]OUTDOOR LIGHTING'!$I$26</f>
        <v>31658025</v>
      </c>
      <c r="X27" s="35">
        <f t="shared" si="0"/>
        <v>0</v>
      </c>
      <c r="Y27" s="35"/>
      <c r="Z27" s="35">
        <v>0.45616440000000003</v>
      </c>
    </row>
    <row r="28" spans="1:26" ht="25" customHeight="1">
      <c r="A28" s="36">
        <v>7</v>
      </c>
      <c r="B28" s="36" t="s">
        <v>23</v>
      </c>
      <c r="D28" s="5">
        <f>'[1]Demand Loss Factor'!$G$54*F28</f>
        <v>99544.557296109851</v>
      </c>
      <c r="E28" s="5"/>
      <c r="F28" s="5">
        <f t="shared" si="1"/>
        <v>95822.315866262885</v>
      </c>
      <c r="G28" s="5"/>
      <c r="H28" s="5">
        <f>'[1]Demand Loss Factor'!$G$54*J28</f>
        <v>99544.557296109851</v>
      </c>
      <c r="I28" s="5"/>
      <c r="J28" s="5">
        <f t="shared" si="2"/>
        <v>95822.315866262885</v>
      </c>
      <c r="K28" s="5"/>
      <c r="L28" s="5">
        <v>0</v>
      </c>
      <c r="N28" s="5">
        <v>0</v>
      </c>
      <c r="O28" s="5"/>
      <c r="P28" s="5">
        <v>0</v>
      </c>
      <c r="R28" s="5">
        <v>0</v>
      </c>
      <c r="S28" s="5"/>
      <c r="T28" s="5">
        <f>'[1]Energy Loss Factor'!$G$54*V28</f>
        <v>32557374.358208373</v>
      </c>
      <c r="V28" s="5">
        <f>'[2]SL - UNMETERED'!$I$28+'[2]SL - METERED NON CO'!$I$28+'[2]SL - METERED CO OWNED'!$I$28+'[2]OUTDOOR LIGHTING'!$I$28</f>
        <v>31390365</v>
      </c>
      <c r="X28" s="35">
        <f t="shared" si="0"/>
        <v>0</v>
      </c>
      <c r="Y28" s="35"/>
      <c r="Z28" s="35">
        <v>0.45616440000000003</v>
      </c>
    </row>
    <row r="29" spans="1:26" ht="25" customHeight="1">
      <c r="A29" s="36">
        <v>8</v>
      </c>
      <c r="B29" s="36" t="s">
        <v>24</v>
      </c>
      <c r="D29" s="5">
        <f>'[1]Demand Loss Factor'!$G$54*F29</f>
        <v>99544.557296109851</v>
      </c>
      <c r="E29" s="5"/>
      <c r="F29" s="5">
        <f t="shared" si="1"/>
        <v>95822.315866262885</v>
      </c>
      <c r="G29" s="5"/>
      <c r="H29" s="5">
        <f>'[1]Demand Loss Factor'!$G$54*J29</f>
        <v>99544.557296109851</v>
      </c>
      <c r="I29" s="5"/>
      <c r="J29" s="5">
        <f t="shared" si="2"/>
        <v>95822.315866262885</v>
      </c>
      <c r="K29" s="5"/>
      <c r="L29" s="5">
        <v>0</v>
      </c>
      <c r="N29" s="5">
        <v>0</v>
      </c>
      <c r="O29" s="5"/>
      <c r="P29" s="5">
        <v>0</v>
      </c>
      <c r="R29" s="5">
        <v>0</v>
      </c>
      <c r="S29" s="5"/>
      <c r="T29" s="5">
        <f>'[1]Energy Loss Factor'!$G$54*V29</f>
        <v>32442497.636432733</v>
      </c>
      <c r="V29" s="5">
        <f>'[2]SL - UNMETERED'!$I$30+'[2]SL - METERED NON CO'!$I$30+'[2]SL - METERED CO OWNED'!$I$30+'[2]OUTDOOR LIGHTING'!$I$30</f>
        <v>31279606</v>
      </c>
      <c r="X29" s="35">
        <f t="shared" si="0"/>
        <v>0</v>
      </c>
      <c r="Y29" s="35"/>
      <c r="Z29" s="35">
        <v>0.45616440000000003</v>
      </c>
    </row>
    <row r="30" spans="1:26" ht="25" customHeight="1">
      <c r="A30" s="36">
        <v>9</v>
      </c>
      <c r="B30" s="36" t="s">
        <v>25</v>
      </c>
      <c r="D30" s="5">
        <f>'[1]Demand Loss Factor'!$G$54*F30</f>
        <v>99544.557296109851</v>
      </c>
      <c r="E30" s="5"/>
      <c r="F30" s="5">
        <f t="shared" si="1"/>
        <v>95822.315866262885</v>
      </c>
      <c r="G30" s="5"/>
      <c r="H30" s="5">
        <f>'[1]Demand Loss Factor'!$G$54*J30</f>
        <v>99544.557296109851</v>
      </c>
      <c r="I30" s="5"/>
      <c r="J30" s="5">
        <f t="shared" si="2"/>
        <v>95822.315866262885</v>
      </c>
      <c r="K30" s="5"/>
      <c r="L30" s="5">
        <v>0</v>
      </c>
      <c r="N30" s="5">
        <v>0</v>
      </c>
      <c r="O30" s="5"/>
      <c r="P30" s="5">
        <v>0</v>
      </c>
      <c r="R30" s="5">
        <v>0</v>
      </c>
      <c r="S30" s="5"/>
      <c r="T30" s="5">
        <f>'[1]Energy Loss Factor'!$G$54*V30</f>
        <v>32520841.861787286</v>
      </c>
      <c r="V30" s="5">
        <f>'[2]SL - UNMETERED'!$I$32+'[2]SL - METERED NON CO'!$I$32+'[2]SL - METERED CO OWNED'!$I$32+'[2]OUTDOOR LIGHTING'!$I$32</f>
        <v>31355142</v>
      </c>
      <c r="X30" s="35">
        <f t="shared" si="0"/>
        <v>0</v>
      </c>
      <c r="Y30" s="35"/>
      <c r="Z30" s="35">
        <v>0.45616440000000003</v>
      </c>
    </row>
    <row r="31" spans="1:26" ht="25" customHeight="1">
      <c r="A31" s="36">
        <v>10</v>
      </c>
      <c r="B31" s="36" t="s">
        <v>26</v>
      </c>
      <c r="D31" s="5">
        <f>'[1]Demand Loss Factor'!$G$54*F31</f>
        <v>99544.557296109851</v>
      </c>
      <c r="E31" s="5"/>
      <c r="F31" s="5">
        <f t="shared" si="1"/>
        <v>95822.315866262885</v>
      </c>
      <c r="G31" s="5"/>
      <c r="H31" s="5">
        <f>'[1]Demand Loss Factor'!$G$54*J31</f>
        <v>99544.557296109851</v>
      </c>
      <c r="I31" s="5"/>
      <c r="J31" s="5">
        <f t="shared" si="2"/>
        <v>95822.315866262885</v>
      </c>
      <c r="K31" s="5"/>
      <c r="L31" s="5">
        <v>0</v>
      </c>
      <c r="N31" s="5">
        <v>0</v>
      </c>
      <c r="O31" s="5"/>
      <c r="P31" s="5">
        <v>0</v>
      </c>
      <c r="R31" s="5">
        <v>0</v>
      </c>
      <c r="S31" s="5"/>
      <c r="T31" s="5">
        <f>'[1]Energy Loss Factor'!$G$54*V31</f>
        <v>32838551.052833032</v>
      </c>
      <c r="V31" s="5">
        <f>'[2]SL - UNMETERED'!$I$34+'[2]SL - METERED NON CO'!$I$34+'[2]SL - METERED CO OWNED'!$I$34+'[2]OUTDOOR LIGHTING'!$I$34</f>
        <v>31661463</v>
      </c>
      <c r="X31" s="35">
        <f t="shared" si="0"/>
        <v>0</v>
      </c>
      <c r="Y31" s="35"/>
      <c r="Z31" s="35">
        <v>0.45616440000000003</v>
      </c>
    </row>
    <row r="32" spans="1:26" ht="25" customHeight="1">
      <c r="A32" s="36">
        <v>11</v>
      </c>
      <c r="B32" s="36" t="s">
        <v>27</v>
      </c>
      <c r="D32" s="5">
        <f>'[1]Demand Loss Factor'!$G$54*F32</f>
        <v>99544.557296109851</v>
      </c>
      <c r="E32" s="5"/>
      <c r="F32" s="5">
        <f t="shared" si="1"/>
        <v>95822.315866262885</v>
      </c>
      <c r="G32" s="5"/>
      <c r="H32" s="5">
        <f>'[1]Demand Loss Factor'!$G$54*J32</f>
        <v>99544.557296109851</v>
      </c>
      <c r="I32" s="5"/>
      <c r="J32" s="5">
        <f t="shared" si="2"/>
        <v>95822.315866262885</v>
      </c>
      <c r="K32" s="5"/>
      <c r="L32" s="5">
        <f>'[1]Demand Loss Factor'!$G$54*N32</f>
        <v>99544.557296109851</v>
      </c>
      <c r="N32" s="5">
        <f>($V$34/Z32)/8760</f>
        <v>95822.315866262885</v>
      </c>
      <c r="O32" s="5"/>
      <c r="P32" s="5">
        <v>0</v>
      </c>
      <c r="R32" s="5">
        <v>0</v>
      </c>
      <c r="S32" s="5"/>
      <c r="T32" s="5">
        <f>'[1]Energy Loss Factor'!$G$54*V32</f>
        <v>32865166.059807498</v>
      </c>
      <c r="V32" s="5">
        <f>'[2]SL - UNMETERED'!$I$36+'[2]SL - METERED NON CO'!$I$36+'[2]SL - METERED CO OWNED'!$I$36+'[2]OUTDOOR LIGHTING'!$I$36</f>
        <v>31687124</v>
      </c>
      <c r="X32" s="35">
        <f t="shared" si="0"/>
        <v>1</v>
      </c>
      <c r="Y32" s="35"/>
      <c r="Z32" s="35">
        <v>0.45616440000000003</v>
      </c>
    </row>
    <row r="33" spans="1:26" ht="25" customHeight="1" thickBot="1">
      <c r="A33" s="36">
        <v>12</v>
      </c>
      <c r="B33" s="36" t="s">
        <v>28</v>
      </c>
      <c r="D33" s="5">
        <f>'[1]Demand Loss Factor'!$G$54*F33</f>
        <v>99544.557296109851</v>
      </c>
      <c r="E33" s="5"/>
      <c r="F33" s="5">
        <f t="shared" si="1"/>
        <v>95822.315866262885</v>
      </c>
      <c r="G33" s="5"/>
      <c r="H33" s="5">
        <f>'[1]Demand Loss Factor'!$G$54*J33</f>
        <v>99544.557296109851</v>
      </c>
      <c r="I33" s="5"/>
      <c r="J33" s="5">
        <f t="shared" si="2"/>
        <v>95822.315866262885</v>
      </c>
      <c r="K33" s="5"/>
      <c r="L33" s="5">
        <v>0</v>
      </c>
      <c r="N33" s="5">
        <v>0</v>
      </c>
      <c r="O33" s="5"/>
      <c r="P33" s="5">
        <f>'[1]Demand Loss Factor'!$G$54*R33</f>
        <v>99544.557296109851</v>
      </c>
      <c r="R33" s="5">
        <f>($V$34/Z33)/8760</f>
        <v>95822.315866262885</v>
      </c>
      <c r="S33" s="5"/>
      <c r="T33" s="38">
        <f>'[1]Energy Loss Factor'!$G$54*V33</f>
        <v>32940185.094703373</v>
      </c>
      <c r="V33" s="38">
        <f>'[2]SL - UNMETERED'!$I$38+'[2]SL - METERED NON CO'!$I$38+'[2]SL - METERED CO OWNED'!$I$38+'[2]OUTDOOR LIGHTING'!$I$38</f>
        <v>31759454</v>
      </c>
      <c r="X33" s="35">
        <f t="shared" si="0"/>
        <v>0</v>
      </c>
      <c r="Y33" s="35"/>
      <c r="Z33" s="35">
        <v>0.45616440000000003</v>
      </c>
    </row>
    <row r="34" spans="1:22" ht="25" customHeight="1" thickTop="1">
      <c r="A34" s="36">
        <v>13</v>
      </c>
      <c r="E34" s="5"/>
      <c r="G34" s="5"/>
      <c r="I34" s="5"/>
      <c r="K34" s="5"/>
      <c r="O34" s="5"/>
      <c r="S34" s="5"/>
      <c r="T34" s="37">
        <f>+SUM(T22:T33)</f>
        <v>397141402.95328337</v>
      </c>
      <c r="U34" s="37"/>
      <c r="V34" s="37">
        <f>+SUM(V22:V33)</f>
        <v>382905988</v>
      </c>
    </row>
    <row r="35" spans="1:22" ht="25" customHeight="1">
      <c r="A35" s="36"/>
      <c r="E35" s="5"/>
      <c r="G35" s="5"/>
      <c r="I35" s="5"/>
      <c r="K35" s="5"/>
      <c r="O35" s="5"/>
      <c r="S35" s="5"/>
      <c r="T35" s="37"/>
      <c r="U35" s="37"/>
      <c r="V35" s="37"/>
    </row>
    <row r="36" spans="5:22" ht="18.75" customHeight="1">
      <c r="E36" s="5"/>
      <c r="G36" s="5"/>
      <c r="I36" s="5"/>
      <c r="K36" s="5"/>
      <c r="O36" s="5"/>
      <c r="S36" s="5"/>
      <c r="T36" s="37"/>
      <c r="U36" s="37"/>
      <c r="V36" s="37"/>
    </row>
    <row r="37" spans="1:19" ht="15" customHeight="1">
      <c r="A37" s="4" t="s">
        <v>87</v>
      </c>
      <c r="E37" s="5"/>
      <c r="G37" s="5"/>
      <c r="I37" s="5"/>
      <c r="K37" s="5"/>
      <c r="O37" s="5"/>
      <c r="S37" s="5"/>
    </row>
    <row r="38" spans="1:19" ht="15" customHeight="1">
      <c r="A38" s="4" t="s">
        <v>29</v>
      </c>
      <c r="E38" s="5"/>
      <c r="G38" s="5"/>
      <c r="I38" s="5"/>
      <c r="K38" s="5"/>
      <c r="O38" s="5"/>
      <c r="S38" s="5"/>
    </row>
    <row r="39" spans="1:19" ht="15" customHeight="1">
      <c r="A39" s="6" t="s">
        <v>30</v>
      </c>
      <c r="E39" s="5"/>
      <c r="G39" s="5"/>
      <c r="I39" s="5"/>
      <c r="K39" s="5"/>
      <c r="O39" s="5"/>
      <c r="S39" s="5"/>
    </row>
    <row r="40" spans="1:19" ht="15" customHeight="1">
      <c r="A40" s="6"/>
      <c r="E40" s="5"/>
      <c r="G40" s="5"/>
      <c r="I40" s="5"/>
      <c r="K40" s="5"/>
      <c r="O40" s="5"/>
      <c r="S40" s="5"/>
    </row>
  </sheetData>
  <pageMargins left="0.5" right="1" top="1.5" bottom="0.5" header="0.5" footer="0.5"/>
  <pageSetup orientation="landscape" scale="5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Z41"/>
  <sheetViews>
    <sheetView zoomScale="75" zoomScaleNormal="75" workbookViewId="0" topLeftCell="A1">
      <selection pane="topLeft" activeCell="P22" sqref="P22"/>
    </sheetView>
  </sheetViews>
  <sheetFormatPr defaultColWidth="9.18428571428571" defaultRowHeight="18.75" customHeight="1"/>
  <cols>
    <col min="1" max="1" width="4.71428571428571" style="4" customWidth="1"/>
    <col min="2" max="3" width="7.71428571428571" style="4" customWidth="1"/>
    <col min="4" max="4" width="20.5714285714286" style="5" customWidth="1"/>
    <col min="5" max="5" width="2.71428571428571" style="4" customWidth="1"/>
    <col min="6" max="6" width="20.8571428571429" style="5" customWidth="1"/>
    <col min="7" max="7" width="5.71428571428571" style="4" customWidth="1"/>
    <col min="8" max="8" width="13.8571428571429" style="5" customWidth="1"/>
    <col min="9" max="9" width="2.71428571428571" style="4" customWidth="1"/>
    <col min="10" max="10" width="14.8571428571429" style="5" customWidth="1"/>
    <col min="11" max="11" width="5.71428571428571" style="4" customWidth="1"/>
    <col min="12" max="12" width="12.7142857142857" style="5" customWidth="1"/>
    <col min="13" max="13" width="2.71428571428571" style="5" customWidth="1"/>
    <col min="14" max="14" width="13.2857142857143" style="5" customWidth="1"/>
    <col min="15" max="15" width="5.71428571428571" style="4" customWidth="1"/>
    <col min="16" max="16" width="12.7142857142857" style="5" customWidth="1"/>
    <col min="17" max="17" width="2.71428571428571" style="5" customWidth="1"/>
    <col min="18" max="18" width="13.8571428571429" style="5" customWidth="1"/>
    <col min="19" max="19" width="5.71428571428571" style="4" customWidth="1"/>
    <col min="20" max="20" width="17.7142857142857" style="5" customWidth="1"/>
    <col min="21" max="21" width="2.71428571428571" style="5" customWidth="1"/>
    <col min="22" max="22" width="17.7142857142857" style="5" customWidth="1"/>
    <col min="23" max="23" width="3.71428571428571" style="4" customWidth="1"/>
    <col min="24" max="24" width="9.71428571428571" style="4" customWidth="1"/>
    <col min="25" max="25" width="1.71428571428571" style="4" customWidth="1"/>
    <col min="26" max="26" width="9.71428571428571" style="4" customWidth="1"/>
    <col min="27" max="16384" width="9.14285714285714" style="4"/>
  </cols>
  <sheetData>
    <row r="1" spans="1:22" ht="18.75" customHeight="1">
      <c r="A1" s="28"/>
      <c r="V1" s="4" t="s">
        <v>95</v>
      </c>
    </row>
    <row r="2" spans="22:22" ht="18.75" customHeight="1">
      <c r="V2" s="4" t="s">
        <v>104</v>
      </c>
    </row>
    <row r="7" spans="1:26" ht="18.75" customHeight="1">
      <c r="A7" s="29" t="s">
        <v>86</v>
      </c>
      <c r="B7" s="30"/>
      <c r="C7" s="30"/>
      <c r="D7" s="30"/>
      <c r="E7" s="30"/>
      <c r="F7" s="31"/>
      <c r="G7" s="30"/>
      <c r="H7" s="30"/>
      <c r="I7" s="30"/>
      <c r="J7" s="31"/>
      <c r="K7" s="30"/>
      <c r="L7" s="30"/>
      <c r="M7" s="30"/>
      <c r="N7" s="29"/>
      <c r="O7" s="31"/>
      <c r="P7" s="30"/>
      <c r="Q7" s="30"/>
      <c r="R7" s="31"/>
      <c r="S7" s="30"/>
      <c r="T7" s="30"/>
      <c r="U7" s="30"/>
      <c r="V7" s="30"/>
      <c r="W7" s="30"/>
      <c r="X7" s="30"/>
      <c r="Y7" s="30"/>
      <c r="Z7" s="30"/>
    </row>
    <row r="8" spans="1:26" ht="18" customHeight="1">
      <c r="A8" s="29" t="s">
        <v>51</v>
      </c>
      <c r="B8" s="30"/>
      <c r="C8" s="30"/>
      <c r="D8" s="30"/>
      <c r="E8" s="30"/>
      <c r="F8" s="31"/>
      <c r="G8" s="30"/>
      <c r="H8" s="30"/>
      <c r="I8" s="30"/>
      <c r="J8" s="31"/>
      <c r="K8" s="30"/>
      <c r="L8" s="31"/>
      <c r="M8" s="31"/>
      <c r="N8" s="29"/>
      <c r="O8" s="32"/>
      <c r="P8" s="30"/>
      <c r="Q8" s="30"/>
      <c r="R8" s="32"/>
      <c r="S8" s="29"/>
      <c r="T8" s="30"/>
      <c r="U8" s="30"/>
      <c r="V8" s="30"/>
      <c r="W8" s="30"/>
      <c r="X8" s="30"/>
      <c r="Y8" s="30"/>
      <c r="Z8" s="30"/>
    </row>
    <row r="9" spans="1:26" ht="18" customHeight="1">
      <c r="A9" s="29" t="s">
        <v>72</v>
      </c>
      <c r="B9" s="30"/>
      <c r="C9" s="30"/>
      <c r="D9" s="30"/>
      <c r="E9" s="30"/>
      <c r="F9" s="31"/>
      <c r="G9" s="29"/>
      <c r="H9" s="30"/>
      <c r="I9" s="30"/>
      <c r="J9" s="31"/>
      <c r="K9" s="29"/>
      <c r="L9" s="29"/>
      <c r="M9" s="31"/>
      <c r="N9" s="31"/>
      <c r="O9" s="31"/>
      <c r="P9" s="30"/>
      <c r="Q9" s="29"/>
      <c r="R9" s="32"/>
      <c r="S9" s="29"/>
      <c r="T9" s="30"/>
      <c r="U9" s="30"/>
      <c r="V9" s="30"/>
      <c r="W9" s="30"/>
      <c r="X9" s="30"/>
      <c r="Y9" s="30"/>
      <c r="Z9" s="30"/>
    </row>
    <row r="10" spans="1:26" ht="18" customHeight="1">
      <c r="A10" s="29" t="s">
        <v>112</v>
      </c>
      <c r="B10" s="30"/>
      <c r="C10" s="30"/>
      <c r="D10" s="30"/>
      <c r="E10" s="30"/>
      <c r="F10" s="30"/>
      <c r="G10" s="29"/>
      <c r="H10" s="30"/>
      <c r="I10" s="30"/>
      <c r="J10" s="30"/>
      <c r="K10" s="29"/>
      <c r="L10" s="32"/>
      <c r="M10" s="31"/>
      <c r="N10" s="31"/>
      <c r="O10" s="31"/>
      <c r="P10" s="30"/>
      <c r="Q10" s="29"/>
      <c r="R10" s="32"/>
      <c r="S10" s="29"/>
      <c r="T10" s="30"/>
      <c r="U10" s="30"/>
      <c r="V10" s="30"/>
      <c r="W10" s="30"/>
      <c r="X10" s="30"/>
      <c r="Y10" s="30"/>
      <c r="Z10" s="30"/>
    </row>
    <row r="11" spans="1:26" ht="18" customHeight="1">
      <c r="A11" s="30"/>
      <c r="B11" s="30"/>
      <c r="C11" s="30"/>
      <c r="D11" s="30"/>
      <c r="E11" s="30"/>
      <c r="F11" s="31"/>
      <c r="G11" s="30"/>
      <c r="H11" s="30"/>
      <c r="I11" s="30"/>
      <c r="J11" s="31"/>
      <c r="K11" s="30"/>
      <c r="L11" s="31"/>
      <c r="M11" s="31"/>
      <c r="N11" s="31"/>
      <c r="O11" s="31"/>
      <c r="P11" s="30"/>
      <c r="Q11" s="30"/>
      <c r="R11" s="31"/>
      <c r="S11" s="30"/>
      <c r="T11" s="30"/>
      <c r="U11" s="30"/>
      <c r="V11" s="30"/>
      <c r="W11" s="30"/>
      <c r="X11" s="30"/>
      <c r="Y11" s="30"/>
      <c r="Z11" s="30"/>
    </row>
    <row r="12" spans="1:26" ht="18.75" customHeight="1">
      <c r="A12" s="29" t="s">
        <v>58</v>
      </c>
      <c r="B12" s="30"/>
      <c r="C12" s="30"/>
      <c r="D12" s="30"/>
      <c r="E12" s="30"/>
      <c r="F12" s="31"/>
      <c r="G12" s="30"/>
      <c r="H12" s="30"/>
      <c r="I12" s="30"/>
      <c r="J12" s="31"/>
      <c r="K12" s="30"/>
      <c r="L12" s="32"/>
      <c r="M12" s="31"/>
      <c r="N12" s="32"/>
      <c r="O12" s="32"/>
      <c r="P12" s="30"/>
      <c r="Q12" s="30"/>
      <c r="R12" s="31"/>
      <c r="S12" s="30"/>
      <c r="T12" s="30"/>
      <c r="U12" s="30"/>
      <c r="V12" s="30"/>
      <c r="W12" s="30"/>
      <c r="X12" s="30"/>
      <c r="Y12" s="30"/>
      <c r="Z12" s="30"/>
    </row>
    <row r="13" spans="1:26" ht="18.75" customHeight="1">
      <c r="A13" s="30"/>
      <c r="B13" s="30"/>
      <c r="C13" s="30"/>
      <c r="D13" s="30"/>
      <c r="E13" s="30"/>
      <c r="F13" s="31"/>
      <c r="G13" s="30"/>
      <c r="H13" s="30"/>
      <c r="I13" s="30"/>
      <c r="J13" s="31"/>
      <c r="K13" s="30"/>
      <c r="L13" s="30"/>
      <c r="M13" s="31"/>
      <c r="N13" s="30"/>
      <c r="O13" s="32"/>
      <c r="P13" s="30"/>
      <c r="Q13" s="30"/>
      <c r="R13" s="31"/>
      <c r="S13" s="30"/>
      <c r="T13" s="30"/>
      <c r="U13" s="30"/>
      <c r="V13" s="30"/>
      <c r="W13" s="30"/>
      <c r="X13" s="30"/>
      <c r="Y13" s="30"/>
      <c r="Z13" s="30"/>
    </row>
    <row r="14" spans="1:1" ht="18.75" customHeight="1">
      <c r="A14" s="4" t="s">
        <v>74</v>
      </c>
    </row>
    <row r="15" spans="1:1" ht="18.75" customHeight="1">
      <c r="A15" s="4" t="s">
        <v>50</v>
      </c>
    </row>
    <row r="16" ht="15" customHeight="1"/>
    <row r="17" spans="4:26" s="6" customFormat="1" ht="18.75" customHeight="1">
      <c r="D17" s="6" t="s">
        <v>75</v>
      </c>
      <c r="F17" s="6" t="s">
        <v>76</v>
      </c>
      <c r="H17" s="6" t="s">
        <v>42</v>
      </c>
      <c r="J17" s="6" t="s">
        <v>81</v>
      </c>
      <c r="L17" s="6" t="s">
        <v>43</v>
      </c>
      <c r="N17" s="6" t="s">
        <v>44</v>
      </c>
      <c r="P17" s="6" t="s">
        <v>82</v>
      </c>
      <c r="R17" s="6" t="s">
        <v>83</v>
      </c>
      <c r="T17" s="6" t="s">
        <v>84</v>
      </c>
      <c r="V17" s="6" t="s">
        <v>85</v>
      </c>
      <c r="X17" s="6" t="s">
        <v>91</v>
      </c>
      <c r="Z17" s="6" t="s">
        <v>92</v>
      </c>
    </row>
    <row r="18" spans="4:6" s="6" customFormat="1" ht="18.75" customHeight="1">
      <c r="D18" s="6" t="s">
        <v>77</v>
      </c>
      <c r="F18" s="6" t="s">
        <v>77</v>
      </c>
    </row>
    <row r="19" spans="1:24" ht="18.75" customHeight="1">
      <c r="A19" s="4" t="s">
        <v>2</v>
      </c>
      <c r="D19" s="5" t="s">
        <v>79</v>
      </c>
      <c r="F19" s="5" t="s">
        <v>79</v>
      </c>
      <c r="H19" s="5" t="s">
        <v>6</v>
      </c>
      <c r="I19" s="5"/>
      <c r="J19" s="5" t="s">
        <v>89</v>
      </c>
      <c r="L19" s="5" t="s">
        <v>4</v>
      </c>
      <c r="M19" s="4" t="s">
        <v>5</v>
      </c>
      <c r="N19" s="5" t="s">
        <v>4</v>
      </c>
      <c r="P19" s="5" t="s">
        <v>3</v>
      </c>
      <c r="R19" s="5" t="s">
        <v>3</v>
      </c>
      <c r="T19" s="5" t="s">
        <v>7</v>
      </c>
      <c r="V19" s="5" t="s">
        <v>8</v>
      </c>
      <c r="X19" s="4" t="s">
        <v>94</v>
      </c>
    </row>
    <row r="20" spans="1:26" ht="18.75" customHeight="1">
      <c r="A20" s="33" t="s">
        <v>9</v>
      </c>
      <c r="B20" s="33" t="s">
        <v>10</v>
      </c>
      <c r="D20" s="27" t="s">
        <v>78</v>
      </c>
      <c r="F20" s="27" t="s">
        <v>80</v>
      </c>
      <c r="H20" s="27" t="s">
        <v>11</v>
      </c>
      <c r="I20" s="5"/>
      <c r="J20" s="27" t="s">
        <v>12</v>
      </c>
      <c r="L20" s="27" t="s">
        <v>11</v>
      </c>
      <c r="M20" s="4"/>
      <c r="N20" s="27" t="s">
        <v>12</v>
      </c>
      <c r="P20" s="27" t="s">
        <v>11</v>
      </c>
      <c r="R20" s="27" t="s">
        <v>12</v>
      </c>
      <c r="T20" s="27" t="s">
        <v>13</v>
      </c>
      <c r="V20" s="27" t="s">
        <v>14</v>
      </c>
      <c r="X20" s="34" t="s">
        <v>15</v>
      </c>
      <c r="Z20" s="34" t="s">
        <v>93</v>
      </c>
    </row>
    <row r="21" spans="13:26" ht="18.75" customHeight="1">
      <c r="M21" s="4"/>
      <c r="X21" s="35"/>
      <c r="Y21" s="35"/>
      <c r="Z21" s="35"/>
    </row>
    <row r="22" spans="1:26" ht="25" customHeight="1">
      <c r="A22" s="36">
        <v>1</v>
      </c>
      <c r="B22" s="36" t="s">
        <v>17</v>
      </c>
      <c r="D22" s="5">
        <f>'[1]Demand Loss Factor'!$G$52*F22</f>
        <v>72706.830969399991</v>
      </c>
      <c r="E22" s="5"/>
      <c r="F22" s="5">
        <v>72246.619999999995</v>
      </c>
      <c r="G22" s="5"/>
      <c r="H22" s="5">
        <f>'[1]Demand Loss Factor'!$G$52*J22</f>
        <v>69658.224264699995</v>
      </c>
      <c r="I22" s="5"/>
      <c r="J22" s="5">
        <v>69217.309999999998</v>
      </c>
      <c r="K22" s="5"/>
      <c r="L22" s="5">
        <f>'[1]Demand Loss Factor'!$G$52*N22</f>
        <v>69201.131010700003</v>
      </c>
      <c r="N22" s="5">
        <v>68763.110000000001</v>
      </c>
      <c r="O22" s="5"/>
      <c r="P22" s="5">
        <f>'[1]Demand Loss Factor'!$G$52*R22</f>
        <v>69658.224264699995</v>
      </c>
      <c r="R22" s="5">
        <v>69217.309999999998</v>
      </c>
      <c r="S22" s="5"/>
      <c r="T22" s="5">
        <f>'[1]Energy Loss Factor'!$G$52*V22</f>
        <v>30720742.563486524</v>
      </c>
      <c r="V22" s="5">
        <f>'[2]WHOLESALE-SUB'!$I$16</f>
        <v>30545411.899185199</v>
      </c>
      <c r="X22" s="35">
        <f>(N22/J22)</f>
        <v>0.99343805761882398</v>
      </c>
      <c r="Y22" s="35"/>
      <c r="Z22" s="35">
        <v>0.59314160000000005</v>
      </c>
    </row>
    <row r="23" spans="1:26" ht="25" customHeight="1">
      <c r="A23" s="36">
        <v>2</v>
      </c>
      <c r="B23" s="36" t="s">
        <v>18</v>
      </c>
      <c r="D23" s="5">
        <f>'[1]Demand Loss Factor'!$G$52*F23</f>
        <v>112532.64562950001</v>
      </c>
      <c r="E23" s="5"/>
      <c r="F23" s="5">
        <v>111820.35000000001</v>
      </c>
      <c r="G23" s="5"/>
      <c r="H23" s="5">
        <f>'[1]Demand Loss Factor'!$G$52*J23</f>
        <v>101327.00752679999</v>
      </c>
      <c r="I23" s="5"/>
      <c r="J23" s="5">
        <v>100685.64</v>
      </c>
      <c r="K23" s="5"/>
      <c r="L23" s="5">
        <f>'[1]Demand Loss Factor'!$G$52*N23</f>
        <v>101327.00752679999</v>
      </c>
      <c r="N23" s="5">
        <v>100685.64</v>
      </c>
      <c r="O23" s="5"/>
      <c r="P23" s="5">
        <f>'[1]Demand Loss Factor'!$G$52*R23</f>
        <v>101012.6678573</v>
      </c>
      <c r="R23" s="5">
        <v>100373.28999999999</v>
      </c>
      <c r="S23" s="5"/>
      <c r="T23" s="5">
        <f>'[1]Energy Loss Factor'!$G$52*V23</f>
        <v>32811181.766621958</v>
      </c>
      <c r="V23" s="5">
        <f>'[2]WHOLESALE-SUB'!$I$18</f>
        <v>32623920.463163398</v>
      </c>
      <c r="X23" s="35">
        <f t="shared" si="0" ref="X23:X33">(N23/J23)</f>
        <v>1</v>
      </c>
      <c r="Y23" s="35"/>
      <c r="Z23" s="35">
        <v>0.48216910000000002</v>
      </c>
    </row>
    <row r="24" spans="1:26" ht="25" customHeight="1">
      <c r="A24" s="36">
        <v>3</v>
      </c>
      <c r="B24" s="36" t="s">
        <v>19</v>
      </c>
      <c r="D24" s="5">
        <f>'[1]Demand Loss Factor'!$G$52*F24</f>
        <v>52915.196256200004</v>
      </c>
      <c r="E24" s="5"/>
      <c r="F24" s="5">
        <v>52580.260000000002</v>
      </c>
      <c r="G24" s="5"/>
      <c r="H24" s="5">
        <f>'[1]Demand Loss Factor'!$G$52*J24</f>
        <v>49548.667204800004</v>
      </c>
      <c r="I24" s="5"/>
      <c r="J24" s="5">
        <v>49235.040000000001</v>
      </c>
      <c r="K24" s="5"/>
      <c r="L24" s="5">
        <f>'[1]Demand Loss Factor'!$G$52*N24</f>
        <v>49548.667204800004</v>
      </c>
      <c r="N24" s="5">
        <v>49235.040000000001</v>
      </c>
      <c r="O24" s="5"/>
      <c r="P24" s="5">
        <f>'[1]Demand Loss Factor'!$G$52*R24</f>
        <v>31887.648609700002</v>
      </c>
      <c r="R24" s="5">
        <v>31685.810000000001</v>
      </c>
      <c r="S24" s="5"/>
      <c r="T24" s="5">
        <f>'[1]Energy Loss Factor'!$G$52*V24</f>
        <v>21083006.53910483</v>
      </c>
      <c r="V24" s="5">
        <f>'[2]WHOLESALE-SUB'!$I$20</f>
        <v>20962680.751590699</v>
      </c>
      <c r="X24" s="35">
        <f t="shared" si="0"/>
        <v>1</v>
      </c>
      <c r="Y24" s="35"/>
      <c r="Z24" s="35">
        <v>0.57303800000000005</v>
      </c>
    </row>
    <row r="25" spans="1:26" ht="25" customHeight="1">
      <c r="A25" s="36">
        <v>4</v>
      </c>
      <c r="B25" s="36" t="s">
        <v>20</v>
      </c>
      <c r="D25" s="5">
        <f>'[1]Demand Loss Factor'!$G$52*F25</f>
        <v>49707.271116800002</v>
      </c>
      <c r="E25" s="5"/>
      <c r="F25" s="5">
        <v>49392.639999999999</v>
      </c>
      <c r="G25" s="5"/>
      <c r="H25" s="5">
        <f>'[1]Demand Loss Factor'!$G$52*J25</f>
        <v>44372.705020799993</v>
      </c>
      <c r="I25" s="5"/>
      <c r="J25" s="5">
        <v>44091.839999999997</v>
      </c>
      <c r="K25" s="5"/>
      <c r="L25" s="5">
        <f>'[1]Demand Loss Factor'!$G$52*N25</f>
        <v>39723.2655571</v>
      </c>
      <c r="N25" s="5">
        <v>39471.830000000002</v>
      </c>
      <c r="O25" s="5"/>
      <c r="P25" s="5">
        <f>'[1]Demand Loss Factor'!$G$52*R25</f>
        <v>35516.125708400003</v>
      </c>
      <c r="R25" s="5">
        <v>35291.32</v>
      </c>
      <c r="S25" s="5"/>
      <c r="T25" s="5">
        <f>'[1]Energy Loss Factor'!$G$52*V25</f>
        <v>19605233.752018023</v>
      </c>
      <c r="V25" s="5">
        <f>'[2]WHOLESALE-SUB'!$I$22</f>
        <v>19493341.969115298</v>
      </c>
      <c r="X25" s="35">
        <f t="shared" si="0"/>
        <v>0.89521848033559059</v>
      </c>
      <c r="Y25" s="35"/>
      <c r="Z25" s="35">
        <v>0.61403850000000004</v>
      </c>
    </row>
    <row r="26" spans="1:26" ht="25" customHeight="1">
      <c r="A26" s="36">
        <v>5</v>
      </c>
      <c r="B26" s="36" t="s">
        <v>21</v>
      </c>
      <c r="D26" s="5">
        <f>'[1]Demand Loss Factor'!$G$52*F26</f>
        <v>56535.491566799996</v>
      </c>
      <c r="E26" s="5"/>
      <c r="F26" s="5">
        <v>56177.639999999999</v>
      </c>
      <c r="G26" s="5"/>
      <c r="H26" s="5">
        <f>'[1]Demand Loss Factor'!$G$52*J26</f>
        <v>54535.975268599999</v>
      </c>
      <c r="I26" s="5"/>
      <c r="J26" s="5">
        <v>54190.779999999999</v>
      </c>
      <c r="K26" s="5"/>
      <c r="L26" s="5">
        <f>'[1]Demand Loss Factor'!$G$52*N26</f>
        <v>53351.598543</v>
      </c>
      <c r="N26" s="5">
        <v>53013.900000000001</v>
      </c>
      <c r="O26" s="5"/>
      <c r="P26" s="5">
        <f>'[1]Demand Loss Factor'!$G$52*R26</f>
        <v>53351.598543</v>
      </c>
      <c r="R26" s="5">
        <v>53013.900000000001</v>
      </c>
      <c r="S26" s="5"/>
      <c r="T26" s="5">
        <f>'[1]Energy Loss Factor'!$G$52*V26</f>
        <v>21439972.054655626</v>
      </c>
      <c r="V26" s="5">
        <f>'[2]WHOLESALE-SUB'!$I$24</f>
        <v>21317608.979115501</v>
      </c>
      <c r="X26" s="35">
        <f t="shared" si="0"/>
        <v>0.97828265251026103</v>
      </c>
      <c r="Y26" s="35"/>
      <c r="Z26" s="35">
        <v>0.52873800000000004</v>
      </c>
    </row>
    <row r="27" spans="1:26" ht="25" customHeight="1">
      <c r="A27" s="36">
        <v>6</v>
      </c>
      <c r="B27" s="36" t="s">
        <v>22</v>
      </c>
      <c r="D27" s="5">
        <f>'[1]Demand Loss Factor'!$G$52*F27</f>
        <v>76215.348764099996</v>
      </c>
      <c r="E27" s="5"/>
      <c r="F27" s="5">
        <v>75732.929999999993</v>
      </c>
      <c r="G27" s="5"/>
      <c r="H27" s="5">
        <f>'[1]Demand Loss Factor'!$G$52*J27</f>
        <v>71184.958000600003</v>
      </c>
      <c r="I27" s="5"/>
      <c r="J27" s="37">
        <v>70734.380000000005</v>
      </c>
      <c r="K27" s="5"/>
      <c r="L27" s="5">
        <f>'[1]Demand Loss Factor'!$G$52*N27</f>
        <v>69497.013854399993</v>
      </c>
      <c r="N27" s="37">
        <v>69057.119999999995</v>
      </c>
      <c r="O27" s="5"/>
      <c r="P27" s="5">
        <f>'[1]Demand Loss Factor'!$G$52*R27</f>
        <v>67397.212785700001</v>
      </c>
      <c r="Q27" s="37"/>
      <c r="R27" s="37">
        <v>66970.610000000001</v>
      </c>
      <c r="S27" s="5"/>
      <c r="T27" s="5">
        <f>'[1]Energy Loss Factor'!$G$52*V27</f>
        <v>29962084.624652177</v>
      </c>
      <c r="V27" s="5">
        <f>'[2]WHOLESALE-SUB'!$I$26</f>
        <v>29791083.8036194</v>
      </c>
      <c r="X27" s="35">
        <f t="shared" si="0"/>
        <v>0.97628790978305025</v>
      </c>
      <c r="Y27" s="35"/>
      <c r="Z27" s="35">
        <v>0.58495600000000003</v>
      </c>
    </row>
    <row r="28" spans="1:26" ht="25" customHeight="1">
      <c r="A28" s="36">
        <v>7</v>
      </c>
      <c r="B28" s="36" t="s">
        <v>23</v>
      </c>
      <c r="D28" s="5">
        <f>'[1]Demand Loss Factor'!$G$52*F28</f>
        <v>78287.696059199996</v>
      </c>
      <c r="E28" s="5"/>
      <c r="F28" s="5">
        <v>77792.160000000003</v>
      </c>
      <c r="G28" s="5"/>
      <c r="H28" s="5">
        <f>'[1]Demand Loss Factor'!$G$52*J28</f>
        <v>76121.73823943999</v>
      </c>
      <c r="I28" s="5"/>
      <c r="J28" s="5">
        <v>75639.911999999997</v>
      </c>
      <c r="K28" s="5"/>
      <c r="L28" s="5">
        <f>'[1]Demand Loss Factor'!$G$52*N28</f>
        <v>71436.218398500001</v>
      </c>
      <c r="N28" s="5">
        <v>70984.050000000003</v>
      </c>
      <c r="O28" s="5"/>
      <c r="P28" s="5">
        <f>'[1]Demand Loss Factor'!$G$52*R28</f>
        <v>75139.619743699994</v>
      </c>
      <c r="R28" s="5">
        <v>74664.009999999995</v>
      </c>
      <c r="S28" s="5"/>
      <c r="T28" s="5">
        <f>'[1]Energy Loss Factor'!$G$52*V28</f>
        <v>33597268.384470791</v>
      </c>
      <c r="V28" s="5">
        <f>'[2]WHOLESALE-SUB'!$I$28</f>
        <v>33405520.695677601</v>
      </c>
      <c r="X28" s="35">
        <f t="shared" si="0"/>
        <v>0.9384470198749042</v>
      </c>
      <c r="Y28" s="35"/>
      <c r="Z28" s="35">
        <v>0.59360049999999998</v>
      </c>
    </row>
    <row r="29" spans="1:26" ht="25" customHeight="1">
      <c r="A29" s="36">
        <v>8</v>
      </c>
      <c r="B29" s="36" t="s">
        <v>24</v>
      </c>
      <c r="D29" s="5">
        <f>'[1]Demand Loss Factor'!$G$52*F29</f>
        <v>95626.092559700002</v>
      </c>
      <c r="E29" s="5"/>
      <c r="F29" s="5">
        <v>95020.809999999998</v>
      </c>
      <c r="G29" s="5"/>
      <c r="H29" s="5">
        <f>'[1]Demand Loss Factor'!$G$52*J29</f>
        <v>82588.569209699999</v>
      </c>
      <c r="I29" s="5"/>
      <c r="J29" s="5">
        <v>82065.809999999998</v>
      </c>
      <c r="K29" s="5"/>
      <c r="L29" s="5">
        <f>'[1]Demand Loss Factor'!$G$52*N29</f>
        <v>74715.193259899999</v>
      </c>
      <c r="N29" s="5">
        <v>74242.270000000004</v>
      </c>
      <c r="O29" s="5"/>
      <c r="P29" s="5">
        <f>'[1]Demand Loss Factor'!$G$52*R29</f>
        <v>73315.886093400011</v>
      </c>
      <c r="R29" s="5">
        <v>72851.820000000007</v>
      </c>
      <c r="S29" s="5"/>
      <c r="T29" s="5">
        <f>'[1]Energy Loss Factor'!$G$52*V29</f>
        <v>35581342.799634434</v>
      </c>
      <c r="V29" s="5">
        <f>'[2]WHOLESALE-SUB'!$I$30</f>
        <v>35378271.5211033</v>
      </c>
      <c r="X29" s="35">
        <f t="shared" si="0"/>
        <v>0.90466748576538758</v>
      </c>
      <c r="Y29" s="35"/>
      <c r="Z29" s="35">
        <v>0.57943100000000003</v>
      </c>
    </row>
    <row r="30" spans="1:26" ht="25" customHeight="1">
      <c r="A30" s="36">
        <v>9</v>
      </c>
      <c r="B30" s="36" t="s">
        <v>25</v>
      </c>
      <c r="D30" s="5">
        <f>'[1]Demand Loss Factor'!$G$52*F30</f>
        <v>87682.200263999999</v>
      </c>
      <c r="E30" s="5"/>
      <c r="F30" s="5">
        <v>87127.199999999997</v>
      </c>
      <c r="G30" s="5"/>
      <c r="H30" s="5">
        <f>'[1]Demand Loss Factor'!$G$52*J30</f>
        <v>79395.316944899998</v>
      </c>
      <c r="I30" s="5"/>
      <c r="J30" s="5">
        <v>78892.770000000004</v>
      </c>
      <c r="K30" s="5"/>
      <c r="L30" s="5">
        <f>'[1]Demand Loss Factor'!$G$52*N30</f>
        <v>75928.110638699989</v>
      </c>
      <c r="N30" s="5">
        <v>75447.509999999995</v>
      </c>
      <c r="O30" s="5"/>
      <c r="P30" s="5">
        <f>'[1]Demand Loss Factor'!$G$52*R30</f>
        <v>76401.064283900007</v>
      </c>
      <c r="R30" s="5">
        <v>75917.470000000001</v>
      </c>
      <c r="S30" s="5"/>
      <c r="T30" s="5">
        <f>'[1]Energy Loss Factor'!$G$52*V30</f>
        <v>29444621.19421855</v>
      </c>
      <c r="V30" s="5">
        <f>'[2]WHOLESALE-SUB'!$I$32</f>
        <v>29276573.661402099</v>
      </c>
      <c r="X30" s="35">
        <f t="shared" si="0"/>
        <v>0.95632983858977183</v>
      </c>
      <c r="Y30" s="35"/>
      <c r="Z30" s="35">
        <v>0.51540699999999995</v>
      </c>
    </row>
    <row r="31" spans="1:26" ht="25" customHeight="1">
      <c r="A31" s="36">
        <v>10</v>
      </c>
      <c r="B31" s="36" t="s">
        <v>26</v>
      </c>
      <c r="D31" s="5">
        <f>'[1]Demand Loss Factor'!$G$52*F31</f>
        <v>67667.775360200001</v>
      </c>
      <c r="E31" s="5"/>
      <c r="F31" s="5">
        <v>67239.460000000006</v>
      </c>
      <c r="G31" s="5"/>
      <c r="H31" s="5">
        <f>'[1]Demand Loss Factor'!$G$52*J31</f>
        <v>56011.867192099999</v>
      </c>
      <c r="I31" s="5"/>
      <c r="J31" s="5">
        <v>55657.330000000002</v>
      </c>
      <c r="K31" s="5"/>
      <c r="L31" s="5">
        <f>'[1]Demand Loss Factor'!$G$52*N31</f>
        <v>55605.394349100003</v>
      </c>
      <c r="N31" s="5">
        <v>55253.43</v>
      </c>
      <c r="O31" s="5"/>
      <c r="P31" s="5">
        <f>'[1]Demand Loss Factor'!$G$52*R31</f>
        <v>55605.394349100003</v>
      </c>
      <c r="R31" s="5">
        <v>55253.43</v>
      </c>
      <c r="S31" s="5"/>
      <c r="T31" s="5">
        <f>'[1]Energy Loss Factor'!$G$52*V31</f>
        <v>22928738.125412967</v>
      </c>
      <c r="V31" s="5">
        <f>'[2]WHOLESALE-SUB'!$I$34</f>
        <v>22797878.303948302</v>
      </c>
      <c r="X31" s="35">
        <f t="shared" si="0"/>
        <v>0.99274309421598195</v>
      </c>
      <c r="Y31" s="35"/>
      <c r="Z31" s="35">
        <v>0.55055299999999996</v>
      </c>
    </row>
    <row r="32" spans="1:26" ht="25" customHeight="1">
      <c r="A32" s="36">
        <v>11</v>
      </c>
      <c r="B32" s="36" t="s">
        <v>27</v>
      </c>
      <c r="D32" s="5">
        <f>'[1]Demand Loss Factor'!$G$52*F32</f>
        <v>59101.0104804</v>
      </c>
      <c r="E32" s="5"/>
      <c r="F32" s="5">
        <v>58726.919999999998</v>
      </c>
      <c r="G32" s="5"/>
      <c r="H32" s="5">
        <f>'[1]Demand Loss Factor'!$G$52*J32</f>
        <v>46784.7726368</v>
      </c>
      <c r="I32" s="5"/>
      <c r="J32" s="5">
        <v>46488.639999999999</v>
      </c>
      <c r="K32" s="5"/>
      <c r="L32" s="5">
        <f>'[1]Demand Loss Factor'!$G$52*N32</f>
        <v>46423.526061600001</v>
      </c>
      <c r="N32" s="5">
        <v>46129.68</v>
      </c>
      <c r="O32" s="5"/>
      <c r="P32" s="5">
        <f>'[1]Demand Loss Factor'!$G$52*R32</f>
        <v>32355.922634399998</v>
      </c>
      <c r="R32" s="5">
        <v>32151.119999999999</v>
      </c>
      <c r="S32" s="5"/>
      <c r="T32" s="5">
        <f>'[1]Energy Loss Factor'!$G$52*V32</f>
        <v>21705358.332998369</v>
      </c>
      <c r="V32" s="5">
        <f>'[2]WHOLESALE-SUB'!$I$36</f>
        <v>21581480.634158298</v>
      </c>
      <c r="X32" s="35">
        <f t="shared" si="0"/>
        <v>0.99227854374746172</v>
      </c>
      <c r="Y32" s="35"/>
      <c r="Z32" s="35">
        <v>0.64387000000000005</v>
      </c>
    </row>
    <row r="33" spans="1:26" ht="25" customHeight="1" thickBot="1">
      <c r="A33" s="36">
        <v>12</v>
      </c>
      <c r="B33" s="36" t="s">
        <v>28</v>
      </c>
      <c r="D33" s="5">
        <f>'[1]Demand Loss Factor'!$G$52*F33</f>
        <v>69396.578128400011</v>
      </c>
      <c r="E33" s="5"/>
      <c r="F33" s="5">
        <v>68957.320000000007</v>
      </c>
      <c r="G33" s="5"/>
      <c r="H33" s="5">
        <f>'[1]Demand Loss Factor'!$G$52*J33</f>
        <v>57640.1939795</v>
      </c>
      <c r="I33" s="5"/>
      <c r="J33" s="5">
        <v>57275.349999999999</v>
      </c>
      <c r="K33" s="5"/>
      <c r="L33" s="5">
        <f>'[1]Demand Loss Factor'!$G$52*N33</f>
        <v>54485.4353672</v>
      </c>
      <c r="N33" s="5">
        <v>54140.559999999998</v>
      </c>
      <c r="O33" s="5"/>
      <c r="P33" s="5">
        <f>'[1]Demand Loss Factor'!$G$52*R33</f>
        <v>36685.225737399996</v>
      </c>
      <c r="R33" s="5">
        <v>36453.019999999997</v>
      </c>
      <c r="S33" s="5"/>
      <c r="T33" s="38">
        <f>'[1]Energy Loss Factor'!$G$52*V33</f>
        <v>23306432.031512652</v>
      </c>
      <c r="V33" s="38">
        <f>'[2]WHOLESALE-SUB'!$I$38</f>
        <v>23173416.620113201</v>
      </c>
      <c r="X33" s="35">
        <f t="shared" si="0"/>
        <v>0.94526807780310373</v>
      </c>
      <c r="Y33" s="35"/>
      <c r="Z33" s="35">
        <v>0.54381299999999999</v>
      </c>
    </row>
    <row r="34" spans="1:22" ht="25" customHeight="1" thickTop="1">
      <c r="A34" s="36">
        <v>13</v>
      </c>
      <c r="E34" s="5"/>
      <c r="G34" s="5"/>
      <c r="I34" s="5"/>
      <c r="K34" s="5"/>
      <c r="O34" s="5"/>
      <c r="S34" s="5"/>
      <c r="T34" s="37">
        <f>+SUM(T22:T33)</f>
        <v>322185982.16878694</v>
      </c>
      <c r="U34" s="37"/>
      <c r="V34" s="37">
        <f>+SUM(V22:V33)</f>
        <v>320347189.30219233</v>
      </c>
    </row>
    <row r="35" spans="1:22" ht="25" customHeight="1">
      <c r="A35" s="36"/>
      <c r="E35" s="5"/>
      <c r="G35" s="5"/>
      <c r="I35" s="5"/>
      <c r="K35" s="5"/>
      <c r="O35" s="5"/>
      <c r="S35" s="5"/>
      <c r="T35" s="37"/>
      <c r="U35" s="37"/>
      <c r="V35" s="37"/>
    </row>
    <row r="36" spans="5:22" ht="18.75" customHeight="1">
      <c r="E36" s="5"/>
      <c r="G36" s="5"/>
      <c r="I36" s="5"/>
      <c r="K36" s="5"/>
      <c r="O36" s="5"/>
      <c r="S36" s="5"/>
      <c r="T36" s="37"/>
      <c r="U36" s="37"/>
      <c r="V36" s="37"/>
    </row>
    <row r="37" spans="1:19" ht="15" customHeight="1">
      <c r="A37" s="4" t="s">
        <v>87</v>
      </c>
      <c r="E37" s="5"/>
      <c r="G37" s="5"/>
      <c r="I37" s="5"/>
      <c r="K37" s="5"/>
      <c r="O37" s="5"/>
      <c r="S37" s="5"/>
    </row>
    <row r="38" spans="1:19" ht="15" customHeight="1">
      <c r="A38" s="4" t="s">
        <v>29</v>
      </c>
      <c r="E38" s="5"/>
      <c r="G38" s="5"/>
      <c r="I38" s="5"/>
      <c r="K38" s="5"/>
      <c r="O38" s="5"/>
      <c r="S38" s="5"/>
    </row>
    <row r="39" spans="1:19" ht="15" customHeight="1">
      <c r="A39" s="6" t="s">
        <v>30</v>
      </c>
      <c r="E39" s="5"/>
      <c r="G39" s="5"/>
      <c r="I39" s="5"/>
      <c r="K39" s="5"/>
      <c r="O39" s="5"/>
      <c r="S39" s="5"/>
    </row>
    <row r="40" spans="1:19" ht="15" customHeight="1">
      <c r="A40" s="6"/>
      <c r="E40" s="5"/>
      <c r="G40" s="5"/>
      <c r="I40" s="5"/>
      <c r="K40" s="5"/>
      <c r="O40" s="5"/>
      <c r="S40" s="5"/>
    </row>
    <row r="41" spans="1:19" ht="15" customHeight="1">
      <c r="A41" s="6"/>
      <c r="E41" s="5"/>
      <c r="G41" s="5"/>
      <c r="I41" s="5"/>
      <c r="K41" s="5"/>
      <c r="O41" s="5"/>
      <c r="S41" s="5"/>
    </row>
  </sheetData>
  <pageMargins left="0.5" right="1" top="1.5" bottom="0.5" header="0.5" footer="0.5"/>
  <pageSetup orientation="landscape" scale="5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Z40"/>
  <sheetViews>
    <sheetView zoomScale="75" zoomScaleNormal="75" workbookViewId="0" topLeftCell="A1">
      <selection pane="topLeft" activeCell="T28" sqref="T28"/>
    </sheetView>
  </sheetViews>
  <sheetFormatPr defaultColWidth="9.18428571428571" defaultRowHeight="18.75" customHeight="1"/>
  <cols>
    <col min="1" max="1" width="4.71428571428571" style="4" customWidth="1"/>
    <col min="2" max="3" width="7.71428571428571" style="4" customWidth="1"/>
    <col min="4" max="4" width="20.5714285714286" style="5" customWidth="1"/>
    <col min="5" max="5" width="2.71428571428571" style="4" customWidth="1"/>
    <col min="6" max="6" width="20.8571428571429" style="5" customWidth="1"/>
    <col min="7" max="7" width="5.71428571428571" style="4" customWidth="1"/>
    <col min="8" max="8" width="13.8571428571429" style="5" customWidth="1"/>
    <col min="9" max="9" width="2.71428571428571" style="4" customWidth="1"/>
    <col min="10" max="10" width="14.8571428571429" style="5" customWidth="1"/>
    <col min="11" max="11" width="5.71428571428571" style="4" customWidth="1"/>
    <col min="12" max="12" width="12.7142857142857" style="5" customWidth="1"/>
    <col min="13" max="13" width="2.71428571428571" style="5" customWidth="1"/>
    <col min="14" max="14" width="13.2857142857143" style="5" customWidth="1"/>
    <col min="15" max="15" width="5.71428571428571" style="4" customWidth="1"/>
    <col min="16" max="16" width="12.7142857142857" style="5" customWidth="1"/>
    <col min="17" max="17" width="2.71428571428571" style="5" customWidth="1"/>
    <col min="18" max="18" width="13.8571428571429" style="5" customWidth="1"/>
    <col min="19" max="19" width="5.71428571428571" style="4" customWidth="1"/>
    <col min="20" max="20" width="17.7142857142857" style="5" customWidth="1"/>
    <col min="21" max="21" width="2.71428571428571" style="5" customWidth="1"/>
    <col min="22" max="22" width="17.7142857142857" style="5" customWidth="1"/>
    <col min="23" max="23" width="3.71428571428571" style="4" customWidth="1"/>
    <col min="24" max="24" width="10.2857142857143" style="4" customWidth="1"/>
    <col min="25" max="25" width="1.71428571428571" style="4" customWidth="1"/>
    <col min="26" max="26" width="11.8571428571429" style="4" customWidth="1"/>
    <col min="27" max="16384" width="9.14285714285714" style="4"/>
  </cols>
  <sheetData>
    <row r="1" spans="1:22" ht="18.75" customHeight="1">
      <c r="A1" s="28"/>
      <c r="V1" s="4" t="s">
        <v>95</v>
      </c>
    </row>
    <row r="2" spans="22:22" ht="18.75" customHeight="1">
      <c r="V2" s="4" t="s">
        <v>105</v>
      </c>
    </row>
    <row r="7" spans="1:26" ht="18.75" customHeight="1">
      <c r="A7" s="29" t="s">
        <v>86</v>
      </c>
      <c r="B7" s="30"/>
      <c r="C7" s="30"/>
      <c r="D7" s="30"/>
      <c r="E7" s="30"/>
      <c r="F7" s="31"/>
      <c r="G7" s="30"/>
      <c r="H7" s="30"/>
      <c r="I7" s="30"/>
      <c r="J7" s="31"/>
      <c r="K7" s="30"/>
      <c r="L7" s="30"/>
      <c r="M7" s="30"/>
      <c r="N7" s="29"/>
      <c r="O7" s="31"/>
      <c r="P7" s="30"/>
      <c r="Q7" s="30"/>
      <c r="R7" s="31"/>
      <c r="S7" s="30"/>
      <c r="T7" s="30"/>
      <c r="U7" s="30"/>
      <c r="V7" s="30"/>
      <c r="W7" s="30"/>
      <c r="X7" s="30"/>
      <c r="Y7" s="30"/>
      <c r="Z7" s="30"/>
    </row>
    <row r="8" spans="1:26" ht="18" customHeight="1">
      <c r="A8" s="29" t="s">
        <v>51</v>
      </c>
      <c r="B8" s="30"/>
      <c r="C8" s="30"/>
      <c r="D8" s="30"/>
      <c r="E8" s="30"/>
      <c r="F8" s="31"/>
      <c r="G8" s="30"/>
      <c r="H8" s="30"/>
      <c r="I8" s="30"/>
      <c r="J8" s="31"/>
      <c r="K8" s="30"/>
      <c r="L8" s="31"/>
      <c r="M8" s="31"/>
      <c r="N8" s="29"/>
      <c r="O8" s="32"/>
      <c r="P8" s="30"/>
      <c r="Q8" s="30"/>
      <c r="R8" s="32"/>
      <c r="S8" s="29"/>
      <c r="T8" s="30"/>
      <c r="U8" s="30"/>
      <c r="V8" s="30"/>
      <c r="W8" s="30"/>
      <c r="X8" s="30"/>
      <c r="Y8" s="30"/>
      <c r="Z8" s="30"/>
    </row>
    <row r="9" spans="1:26" ht="18" customHeight="1">
      <c r="A9" s="29" t="s">
        <v>72</v>
      </c>
      <c r="B9" s="30"/>
      <c r="C9" s="30"/>
      <c r="D9" s="30"/>
      <c r="E9" s="30"/>
      <c r="F9" s="31"/>
      <c r="G9" s="29"/>
      <c r="H9" s="30"/>
      <c r="I9" s="30"/>
      <c r="J9" s="31"/>
      <c r="K9" s="29"/>
      <c r="L9" s="29"/>
      <c r="M9" s="31"/>
      <c r="N9" s="31"/>
      <c r="O9" s="31"/>
      <c r="P9" s="30"/>
      <c r="Q9" s="29"/>
      <c r="R9" s="32"/>
      <c r="S9" s="29"/>
      <c r="T9" s="30"/>
      <c r="U9" s="30"/>
      <c r="V9" s="30"/>
      <c r="W9" s="30"/>
      <c r="X9" s="30"/>
      <c r="Y9" s="30"/>
      <c r="Z9" s="30"/>
    </row>
    <row r="10" spans="1:26" ht="18" customHeight="1">
      <c r="A10" s="29" t="s">
        <v>112</v>
      </c>
      <c r="B10" s="30"/>
      <c r="C10" s="30"/>
      <c r="D10" s="30"/>
      <c r="E10" s="30"/>
      <c r="F10" s="30"/>
      <c r="G10" s="29"/>
      <c r="H10" s="30"/>
      <c r="I10" s="30"/>
      <c r="J10" s="30"/>
      <c r="K10" s="29"/>
      <c r="L10" s="32"/>
      <c r="M10" s="31"/>
      <c r="N10" s="31"/>
      <c r="O10" s="31"/>
      <c r="P10" s="30"/>
      <c r="Q10" s="29"/>
      <c r="R10" s="32"/>
      <c r="S10" s="29"/>
      <c r="T10" s="30"/>
      <c r="U10" s="30"/>
      <c r="V10" s="30"/>
      <c r="W10" s="30"/>
      <c r="X10" s="30"/>
      <c r="Y10" s="30"/>
      <c r="Z10" s="30"/>
    </row>
    <row r="11" spans="1:26" ht="18" customHeight="1">
      <c r="A11" s="30"/>
      <c r="B11" s="30"/>
      <c r="C11" s="30"/>
      <c r="D11" s="30"/>
      <c r="E11" s="30"/>
      <c r="F11" s="31"/>
      <c r="G11" s="30"/>
      <c r="H11" s="30"/>
      <c r="I11" s="30"/>
      <c r="J11" s="31"/>
      <c r="K11" s="30"/>
      <c r="L11" s="31"/>
      <c r="M11" s="31"/>
      <c r="N11" s="31"/>
      <c r="O11" s="31"/>
      <c r="P11" s="30"/>
      <c r="Q11" s="30"/>
      <c r="R11" s="31"/>
      <c r="S11" s="30"/>
      <c r="T11" s="30"/>
      <c r="U11" s="30"/>
      <c r="V11" s="30"/>
      <c r="W11" s="30"/>
      <c r="X11" s="30"/>
      <c r="Y11" s="30"/>
      <c r="Z11" s="30"/>
    </row>
    <row r="12" spans="1:26" ht="18.75" customHeight="1">
      <c r="A12" s="29" t="s">
        <v>58</v>
      </c>
      <c r="B12" s="30"/>
      <c r="C12" s="30"/>
      <c r="D12" s="30"/>
      <c r="E12" s="30"/>
      <c r="F12" s="31"/>
      <c r="G12" s="30"/>
      <c r="H12" s="30"/>
      <c r="I12" s="30"/>
      <c r="J12" s="31"/>
      <c r="K12" s="30"/>
      <c r="L12" s="32"/>
      <c r="M12" s="31"/>
      <c r="N12" s="32"/>
      <c r="O12" s="32"/>
      <c r="P12" s="30"/>
      <c r="Q12" s="30"/>
      <c r="R12" s="31"/>
      <c r="S12" s="30"/>
      <c r="T12" s="30"/>
      <c r="U12" s="30"/>
      <c r="V12" s="30"/>
      <c r="W12" s="30"/>
      <c r="X12" s="30"/>
      <c r="Y12" s="30"/>
      <c r="Z12" s="30"/>
    </row>
    <row r="13" spans="1:26" ht="18.75" customHeight="1">
      <c r="A13" s="30"/>
      <c r="B13" s="30"/>
      <c r="C13" s="30"/>
      <c r="D13" s="30"/>
      <c r="E13" s="30"/>
      <c r="F13" s="31"/>
      <c r="G13" s="30"/>
      <c r="H13" s="30"/>
      <c r="I13" s="30"/>
      <c r="J13" s="31"/>
      <c r="K13" s="30"/>
      <c r="L13" s="30"/>
      <c r="M13" s="31"/>
      <c r="N13" s="30"/>
      <c r="O13" s="32"/>
      <c r="P13" s="30"/>
      <c r="Q13" s="30"/>
      <c r="R13" s="31"/>
      <c r="S13" s="30"/>
      <c r="T13" s="30"/>
      <c r="U13" s="30"/>
      <c r="V13" s="30"/>
      <c r="W13" s="30"/>
      <c r="X13" s="30"/>
      <c r="Y13" s="30"/>
      <c r="Z13" s="30"/>
    </row>
    <row r="14" spans="1:1" ht="18.75" customHeight="1">
      <c r="A14" s="4" t="s">
        <v>73</v>
      </c>
    </row>
    <row r="15" spans="1:1" ht="18.75" customHeight="1">
      <c r="A15" s="4" t="s">
        <v>50</v>
      </c>
    </row>
    <row r="16" ht="15" customHeight="1"/>
    <row r="17" spans="4:26" s="6" customFormat="1" ht="18.75" customHeight="1">
      <c r="D17" s="6" t="s">
        <v>75</v>
      </c>
      <c r="F17" s="6" t="s">
        <v>76</v>
      </c>
      <c r="H17" s="6" t="s">
        <v>42</v>
      </c>
      <c r="J17" s="6" t="s">
        <v>81</v>
      </c>
      <c r="L17" s="6" t="s">
        <v>43</v>
      </c>
      <c r="N17" s="6" t="s">
        <v>44</v>
      </c>
      <c r="P17" s="6" t="s">
        <v>82</v>
      </c>
      <c r="R17" s="6" t="s">
        <v>83</v>
      </c>
      <c r="T17" s="6" t="s">
        <v>84</v>
      </c>
      <c r="V17" s="6" t="s">
        <v>85</v>
      </c>
      <c r="X17" s="6" t="s">
        <v>91</v>
      </c>
      <c r="Z17" s="6" t="s">
        <v>92</v>
      </c>
    </row>
    <row r="18" spans="4:6" s="6" customFormat="1" ht="18.75" customHeight="1">
      <c r="D18" s="6" t="s">
        <v>77</v>
      </c>
      <c r="F18" s="6" t="s">
        <v>77</v>
      </c>
    </row>
    <row r="19" spans="1:24" ht="18.75" customHeight="1">
      <c r="A19" s="4" t="s">
        <v>2</v>
      </c>
      <c r="D19" s="5" t="s">
        <v>79</v>
      </c>
      <c r="F19" s="5" t="s">
        <v>79</v>
      </c>
      <c r="H19" s="5" t="s">
        <v>6</v>
      </c>
      <c r="I19" s="5"/>
      <c r="J19" s="5" t="s">
        <v>89</v>
      </c>
      <c r="L19" s="5" t="s">
        <v>4</v>
      </c>
      <c r="M19" s="4" t="s">
        <v>5</v>
      </c>
      <c r="N19" s="5" t="s">
        <v>4</v>
      </c>
      <c r="P19" s="5" t="s">
        <v>3</v>
      </c>
      <c r="R19" s="5" t="s">
        <v>3</v>
      </c>
      <c r="T19" s="5" t="s">
        <v>7</v>
      </c>
      <c r="V19" s="5" t="s">
        <v>8</v>
      </c>
      <c r="X19" s="4" t="s">
        <v>94</v>
      </c>
    </row>
    <row r="20" spans="1:26" ht="18.75" customHeight="1">
      <c r="A20" s="33" t="s">
        <v>9</v>
      </c>
      <c r="B20" s="33" t="s">
        <v>10</v>
      </c>
      <c r="D20" s="27" t="s">
        <v>78</v>
      </c>
      <c r="F20" s="27" t="s">
        <v>80</v>
      </c>
      <c r="H20" s="27" t="s">
        <v>11</v>
      </c>
      <c r="I20" s="5"/>
      <c r="J20" s="27" t="s">
        <v>12</v>
      </c>
      <c r="L20" s="27" t="s">
        <v>11</v>
      </c>
      <c r="M20" s="4"/>
      <c r="N20" s="27" t="s">
        <v>12</v>
      </c>
      <c r="P20" s="27" t="s">
        <v>11</v>
      </c>
      <c r="R20" s="27" t="s">
        <v>12</v>
      </c>
      <c r="T20" s="27" t="s">
        <v>13</v>
      </c>
      <c r="V20" s="27" t="s">
        <v>14</v>
      </c>
      <c r="X20" s="34" t="s">
        <v>15</v>
      </c>
      <c r="Z20" s="34" t="s">
        <v>93</v>
      </c>
    </row>
    <row r="21" spans="13:26" ht="18.75" customHeight="1">
      <c r="M21" s="4"/>
      <c r="X21" s="35"/>
      <c r="Y21" s="35"/>
      <c r="Z21" s="35"/>
    </row>
    <row r="22" spans="1:26" ht="25" customHeight="1">
      <c r="A22" s="36">
        <v>1</v>
      </c>
      <c r="B22" s="36" t="s">
        <v>17</v>
      </c>
      <c r="D22" s="5">
        <f>'[1]Demand Loss Factor'!$G$53*F22</f>
        <v>108207.66864283176</v>
      </c>
      <c r="E22" s="5"/>
      <c r="F22" s="5">
        <v>106065.41</v>
      </c>
      <c r="G22" s="5"/>
      <c r="H22" s="5">
        <f>'[1]Demand Loss Factor'!$G$53*J22</f>
        <v>85911.925090548481</v>
      </c>
      <c r="I22" s="5"/>
      <c r="J22" s="46">
        <v>84211.070000000007</v>
      </c>
      <c r="K22" s="5"/>
      <c r="L22" s="5">
        <f>'[1]Demand Loss Factor'!$G$53*N22</f>
        <v>82315.667607302035</v>
      </c>
      <c r="N22" s="5">
        <v>80686.009999999995</v>
      </c>
      <c r="O22" s="5"/>
      <c r="P22" s="5">
        <f>'[1]Demand Loss Factor'!$G$53*R22</f>
        <v>82704.597509300322</v>
      </c>
      <c r="R22" s="5">
        <v>81067.240000000005</v>
      </c>
      <c r="S22" s="5"/>
      <c r="T22" s="5">
        <f>'[1]Energy Loss Factor'!$G$53*V22</f>
        <v>39284118.090326481</v>
      </c>
      <c r="V22" s="5">
        <f>'[2]WHOLESALE-DLS'!$I$16</f>
        <v>38701154.4808788</v>
      </c>
      <c r="X22" s="35">
        <f>(N22/J22)</f>
        <v>0.95814018275744495</v>
      </c>
      <c r="Y22" s="35"/>
      <c r="Z22" s="47">
        <v>0.61770999999999998</v>
      </c>
    </row>
    <row r="23" spans="1:26" ht="25" customHeight="1">
      <c r="A23" s="36">
        <v>2</v>
      </c>
      <c r="B23" s="36" t="s">
        <v>18</v>
      </c>
      <c r="D23" s="5">
        <f>'[1]Demand Loss Factor'!$G$53*F23</f>
        <v>184215.27132492411</v>
      </c>
      <c r="E23" s="5"/>
      <c r="F23" s="5">
        <v>180568.23999999999</v>
      </c>
      <c r="G23" s="5"/>
      <c r="H23" s="5">
        <f>'[1]Demand Loss Factor'!$G$53*J23</f>
        <v>128284.74783220624</v>
      </c>
      <c r="I23" s="5"/>
      <c r="J23" s="46">
        <v>125745.01</v>
      </c>
      <c r="K23" s="5"/>
      <c r="L23" s="5">
        <f>'[1]Demand Loss Factor'!$G$53*N23</f>
        <v>122453.1253525864</v>
      </c>
      <c r="N23" s="5">
        <v>120028.84</v>
      </c>
      <c r="O23" s="5"/>
      <c r="P23" s="5">
        <f>'[1]Demand Loss Factor'!$G$53*R23</f>
        <v>122916.52967382208</v>
      </c>
      <c r="R23" s="5">
        <v>120483.07000000001</v>
      </c>
      <c r="S23" s="5"/>
      <c r="T23" s="5">
        <f>'[1]Energy Loss Factor'!$G$53*V23</f>
        <v>42605997.336900987</v>
      </c>
      <c r="V23" s="5">
        <f>'[2]WHOLESALE-DLS'!$I$18</f>
        <v>41973738.113605499</v>
      </c>
      <c r="X23" s="35">
        <f t="shared" si="0" ref="X23:X33">(N23/J23)</f>
        <v>0.95454157584463994</v>
      </c>
      <c r="Y23" s="35"/>
      <c r="Z23" s="47">
        <v>0.49672670000000002</v>
      </c>
    </row>
    <row r="24" spans="1:26" ht="25" customHeight="1">
      <c r="A24" s="36">
        <v>3</v>
      </c>
      <c r="B24" s="36" t="s">
        <v>19</v>
      </c>
      <c r="D24" s="5">
        <f>'[1]Demand Loss Factor'!$G$53*F24</f>
        <v>85031.576243310963</v>
      </c>
      <c r="E24" s="5"/>
      <c r="F24" s="5">
        <v>83348.149999999994</v>
      </c>
      <c r="G24" s="5"/>
      <c r="H24" s="5">
        <f>'[1]Demand Loss Factor'!$G$53*J24</f>
        <v>68484.696747516879</v>
      </c>
      <c r="I24" s="5"/>
      <c r="J24" s="46">
        <v>67128.860000000001</v>
      </c>
      <c r="K24" s="5"/>
      <c r="L24" s="5">
        <f>'[1]Demand Loss Factor'!$G$53*N24</f>
        <v>68211.2940131137</v>
      </c>
      <c r="N24" s="5">
        <v>66860.869999999995</v>
      </c>
      <c r="O24" s="5"/>
      <c r="P24" s="5">
        <f>'[1]Demand Loss Factor'!$G$53*R24</f>
        <v>41902.368855532644</v>
      </c>
      <c r="R24" s="5">
        <v>41072.800000000003</v>
      </c>
      <c r="S24" s="5"/>
      <c r="T24" s="5">
        <f>'[1]Energy Loss Factor'!$G$53*V24</f>
        <v>28162530.141776994</v>
      </c>
      <c r="V24" s="5">
        <f>'[2]WHOLESALE-DLS'!$I$20</f>
        <v>27744607.301180702</v>
      </c>
      <c r="X24" s="35">
        <f t="shared" si="0"/>
        <v>0.99600782733387694</v>
      </c>
      <c r="Y24" s="35"/>
      <c r="Z24" s="47">
        <v>0.55625999999999998</v>
      </c>
    </row>
    <row r="25" spans="1:26" ht="25" customHeight="1">
      <c r="A25" s="36">
        <v>4</v>
      </c>
      <c r="B25" s="36" t="s">
        <v>20</v>
      </c>
      <c r="D25" s="5">
        <f>'[1]Demand Loss Factor'!$G$53*F25</f>
        <v>81936.021502770353</v>
      </c>
      <c r="E25" s="5"/>
      <c r="F25" s="5">
        <v>80313.880000000005</v>
      </c>
      <c r="G25" s="5"/>
      <c r="H25" s="5">
        <f>'[1]Demand Loss Factor'!$G$53*J25</f>
        <v>58324.457790215529</v>
      </c>
      <c r="I25" s="5"/>
      <c r="J25" s="46">
        <v>57169.769999999997</v>
      </c>
      <c r="K25" s="5"/>
      <c r="L25" s="5">
        <f>'[1]Demand Loss Factor'!$G$53*N25</f>
        <v>49456.3296027326</v>
      </c>
      <c r="N25" s="5">
        <v>48477.209999999999</v>
      </c>
      <c r="O25" s="5"/>
      <c r="P25" s="5">
        <f>'[1]Demand Loss Factor'!$G$53*R25</f>
        <v>43656.690315483887</v>
      </c>
      <c r="R25" s="5">
        <v>42792.389999999999</v>
      </c>
      <c r="S25" s="5"/>
      <c r="T25" s="5">
        <f>'[1]Energy Loss Factor'!$G$53*V25</f>
        <v>26091408.968720976</v>
      </c>
      <c r="V25" s="5">
        <f>'[2]WHOLESALE-DLS'!$I$22</f>
        <v>25704220.896609802</v>
      </c>
      <c r="X25" s="35">
        <f t="shared" si="0"/>
        <v>0.84795181089586336</v>
      </c>
      <c r="Y25" s="35"/>
      <c r="Z25" s="47">
        <v>0.62446000000000002</v>
      </c>
    </row>
    <row r="26" spans="1:26" ht="25" customHeight="1">
      <c r="A26" s="36">
        <v>5</v>
      </c>
      <c r="B26" s="36" t="s">
        <v>21</v>
      </c>
      <c r="D26" s="5">
        <f>'[1]Demand Loss Factor'!$G$53*F26</f>
        <v>82041.428310929361</v>
      </c>
      <c r="E26" s="5"/>
      <c r="F26" s="5">
        <v>80417.199999999997</v>
      </c>
      <c r="G26" s="5"/>
      <c r="H26" s="5">
        <f>'[1]Demand Loss Factor'!$G$53*J26</f>
        <v>69696.456760360801</v>
      </c>
      <c r="I26" s="5"/>
      <c r="J26" s="46">
        <v>68316.630000000005</v>
      </c>
      <c r="K26" s="5"/>
      <c r="L26" s="5">
        <f>'[1]Demand Loss Factor'!$G$53*N26</f>
        <v>64150.163124197337</v>
      </c>
      <c r="N26" s="5">
        <v>62880.139999999999</v>
      </c>
      <c r="O26" s="5"/>
      <c r="P26" s="5">
        <f>'[1]Demand Loss Factor'!$G$53*R26</f>
        <v>64150.163124197337</v>
      </c>
      <c r="R26" s="5">
        <v>62880.139999999999</v>
      </c>
      <c r="S26" s="5"/>
      <c r="T26" s="5">
        <f>'[1]Energy Loss Factor'!$G$53*V26</f>
        <v>28009358.227115173</v>
      </c>
      <c r="V26" s="5">
        <f>'[2]WHOLESALE-DLS'!$I$24</f>
        <v>27593708.408202399</v>
      </c>
      <c r="X26" s="35">
        <f t="shared" si="0"/>
        <v>0.92042215782599335</v>
      </c>
      <c r="Y26" s="35"/>
      <c r="Z26" s="47">
        <v>0.54288899999999995</v>
      </c>
    </row>
    <row r="27" spans="1:26" ht="25" customHeight="1">
      <c r="A27" s="36">
        <v>6</v>
      </c>
      <c r="B27" s="36" t="s">
        <v>22</v>
      </c>
      <c r="D27" s="5">
        <f>'[1]Demand Loss Factor'!$G$53*F27</f>
        <v>97852.50054465796</v>
      </c>
      <c r="E27" s="5"/>
      <c r="F27" s="37">
        <v>95915.25</v>
      </c>
      <c r="G27" s="5"/>
      <c r="H27" s="5">
        <f>'[1]Demand Loss Factor'!$G$53*J27</f>
        <v>84448.890427592603</v>
      </c>
      <c r="I27" s="5"/>
      <c r="J27" s="46">
        <v>82777</v>
      </c>
      <c r="K27" s="5"/>
      <c r="L27" s="5">
        <f>'[1]Demand Loss Factor'!$G$53*N27</f>
        <v>78058.526168137963</v>
      </c>
      <c r="N27" s="37">
        <v>76513.149999999994</v>
      </c>
      <c r="O27" s="5"/>
      <c r="P27" s="5">
        <f>'[1]Demand Loss Factor'!$G$53*R27</f>
        <v>75711.021059948456</v>
      </c>
      <c r="Q27" s="37"/>
      <c r="R27" s="37">
        <v>74212.119999999995</v>
      </c>
      <c r="S27" s="5"/>
      <c r="T27" s="5">
        <f>'[1]Energy Loss Factor'!$G$53*V27</f>
        <v>36578957.939488642</v>
      </c>
      <c r="V27" s="5">
        <f>'[2]WHOLESALE-DLS'!$I$26</f>
        <v>36036138.031931899</v>
      </c>
      <c r="X27" s="35">
        <f t="shared" si="0"/>
        <v>0.92432861785278508</v>
      </c>
      <c r="Y27" s="35"/>
      <c r="Z27" s="47">
        <v>0.60463900000000004</v>
      </c>
    </row>
    <row r="28" spans="1:26" ht="25" customHeight="1">
      <c r="A28" s="36">
        <v>7</v>
      </c>
      <c r="B28" s="36" t="s">
        <v>23</v>
      </c>
      <c r="D28" s="5">
        <f>'[1]Demand Loss Factor'!$G$53*F28</f>
        <v>119753.53987695827</v>
      </c>
      <c r="E28" s="5"/>
      <c r="F28" s="5">
        <v>117382.7</v>
      </c>
      <c r="G28" s="5"/>
      <c r="H28" s="5">
        <f>'[1]Demand Loss Factor'!$G$53*J28</f>
        <v>92044.760889070269</v>
      </c>
      <c r="I28" s="5"/>
      <c r="J28" s="46">
        <v>90222.490000000005</v>
      </c>
      <c r="K28" s="5"/>
      <c r="L28" s="5">
        <f>'[1]Demand Loss Factor'!$G$53*N28</f>
        <v>83756.553782016214</v>
      </c>
      <c r="N28" s="5">
        <v>82098.369999999995</v>
      </c>
      <c r="O28" s="5"/>
      <c r="P28" s="5">
        <f>'[1]Demand Loss Factor'!$G$53*R28</f>
        <v>87837.976399680978</v>
      </c>
      <c r="R28" s="5">
        <v>86098.990000000005</v>
      </c>
      <c r="S28" s="5"/>
      <c r="T28" s="5">
        <f>'[1]Energy Loss Factor'!$G$53*V28</f>
        <v>40977245.164359234</v>
      </c>
      <c r="V28" s="5">
        <f>'[2]WHOLESALE-DLS'!$I$28</f>
        <v>40369156.096626803</v>
      </c>
      <c r="X28" s="35">
        <f t="shared" si="0"/>
        <v>0.90995460222833568</v>
      </c>
      <c r="Y28" s="35"/>
      <c r="Z28" s="47">
        <v>0.60139699999999996</v>
      </c>
    </row>
    <row r="29" spans="1:26" ht="25" customHeight="1">
      <c r="A29" s="36">
        <v>8</v>
      </c>
      <c r="B29" s="36" t="s">
        <v>24</v>
      </c>
      <c r="D29" s="5">
        <f>'[1]Demand Loss Factor'!$G$53*F29</f>
        <v>128360.5281042741</v>
      </c>
      <c r="E29" s="5"/>
      <c r="F29" s="5">
        <v>125819.28999999999</v>
      </c>
      <c r="G29" s="5"/>
      <c r="H29" s="5">
        <f>'[1]Demand Loss Factor'!$G$53*J29</f>
        <v>93752.092051075291</v>
      </c>
      <c r="I29" s="5"/>
      <c r="J29" s="46">
        <v>91896.020000000004</v>
      </c>
      <c r="K29" s="5"/>
      <c r="L29" s="5">
        <f>'[1]Demand Loss Factor'!$G$53*N29</f>
        <v>87714.777346706876</v>
      </c>
      <c r="N29" s="5">
        <v>85978.229999999996</v>
      </c>
      <c r="O29" s="5"/>
      <c r="P29" s="5">
        <f>'[1]Demand Loss Factor'!$G$53*R29</f>
        <v>86326.788413601738</v>
      </c>
      <c r="R29" s="5">
        <v>84617.720000000001</v>
      </c>
      <c r="S29" s="5"/>
      <c r="T29" s="5">
        <f>'[1]Energy Loss Factor'!$G$53*V29</f>
        <v>43473102.390116915</v>
      </c>
      <c r="V29" s="5">
        <f>'[2]WHOLESALE-DLS'!$I$30</f>
        <v>42827975.608221002</v>
      </c>
      <c r="X29" s="35">
        <f t="shared" si="0"/>
        <v>0.93560341351018239</v>
      </c>
      <c r="Y29" s="35"/>
      <c r="Z29" s="47">
        <v>0.62640899999999999</v>
      </c>
    </row>
    <row r="30" spans="1:26" ht="25" customHeight="1">
      <c r="A30" s="36">
        <v>9</v>
      </c>
      <c r="B30" s="36" t="s">
        <v>25</v>
      </c>
      <c r="D30" s="5">
        <f>'[1]Demand Loss Factor'!$G$53*F30</f>
        <v>122036.81334904934</v>
      </c>
      <c r="E30" s="5"/>
      <c r="F30" s="5">
        <v>119620.77</v>
      </c>
      <c r="G30" s="5"/>
      <c r="H30" s="5">
        <f>'[1]Demand Loss Factor'!$G$53*J30</f>
        <v>96152.525006799537</v>
      </c>
      <c r="I30" s="5"/>
      <c r="J30" s="46">
        <v>94248.929999999993</v>
      </c>
      <c r="K30" s="5"/>
      <c r="L30" s="5">
        <f>'[1]Demand Loss Factor'!$G$53*N30</f>
        <v>91072.869718022193</v>
      </c>
      <c r="N30" s="5">
        <v>89269.839999999997</v>
      </c>
      <c r="O30" s="5"/>
      <c r="P30" s="5">
        <f>'[1]Demand Loss Factor'!$G$53*R30</f>
        <v>93379.699550937803</v>
      </c>
      <c r="R30" s="5">
        <v>91531</v>
      </c>
      <c r="S30" s="5"/>
      <c r="T30" s="5">
        <f>'[1]Energy Loss Factor'!$G$53*V30</f>
        <v>37179855.163884416</v>
      </c>
      <c r="V30" s="5">
        <f>'[2]WHOLESALE-DLS'!$I$32</f>
        <v>36628118.135825299</v>
      </c>
      <c r="X30" s="35">
        <f t="shared" si="0"/>
        <v>0.94717085912805588</v>
      </c>
      <c r="Y30" s="35"/>
      <c r="Z30" s="47">
        <v>0.53976599999999997</v>
      </c>
    </row>
    <row r="31" spans="1:26" ht="25" customHeight="1">
      <c r="A31" s="36">
        <v>10</v>
      </c>
      <c r="B31" s="36" t="s">
        <v>26</v>
      </c>
      <c r="D31" s="5">
        <f>'[1]Demand Loss Factor'!$G$53*F31</f>
        <v>103290.81647490241</v>
      </c>
      <c r="E31" s="5"/>
      <c r="F31" s="5">
        <v>101245.89999999999</v>
      </c>
      <c r="G31" s="5"/>
      <c r="H31" s="5">
        <f>'[1]Demand Loss Factor'!$G$53*J31</f>
        <v>79809.174917003533</v>
      </c>
      <c r="I31" s="5"/>
      <c r="J31" s="46">
        <v>78229.139999999999</v>
      </c>
      <c r="K31" s="5"/>
      <c r="L31" s="5">
        <f>'[1]Demand Loss Factor'!$G$53*N31</f>
        <v>74371.440499347635</v>
      </c>
      <c r="N31" s="5">
        <v>72899.059999999998</v>
      </c>
      <c r="O31" s="5"/>
      <c r="P31" s="5">
        <f>'[1]Demand Loss Factor'!$G$53*R31</f>
        <v>74371.440499347635</v>
      </c>
      <c r="R31" s="5">
        <v>72899.059999999998</v>
      </c>
      <c r="S31" s="5"/>
      <c r="T31" s="5">
        <f>'[1]Energy Loss Factor'!$G$53*V31</f>
        <v>31570926.257200401</v>
      </c>
      <c r="V31" s="5">
        <f>'[2]WHOLESALE-DLS'!$I$34</f>
        <v>31102423.920398898</v>
      </c>
      <c r="X31" s="35">
        <f t="shared" si="0"/>
        <v>0.93186579834573147</v>
      </c>
      <c r="Y31" s="35"/>
      <c r="Z31" s="47">
        <v>0.53437999999999997</v>
      </c>
    </row>
    <row r="32" spans="1:26" ht="25" customHeight="1">
      <c r="A32" s="36">
        <v>11</v>
      </c>
      <c r="B32" s="36" t="s">
        <v>27</v>
      </c>
      <c r="D32" s="5">
        <f>'[1]Demand Loss Factor'!$G$53*F32</f>
        <v>99986.457907165663</v>
      </c>
      <c r="E32" s="5"/>
      <c r="F32" s="5">
        <v>98006.960000000006</v>
      </c>
      <c r="G32" s="5"/>
      <c r="H32" s="5">
        <f>'[1]Demand Loss Factor'!$G$53*J32</f>
        <v>67759.050652788414</v>
      </c>
      <c r="I32" s="5"/>
      <c r="J32" s="46">
        <v>66417.580000000002</v>
      </c>
      <c r="K32" s="5"/>
      <c r="L32" s="5">
        <f>'[1]Demand Loss Factor'!$G$53*N32</f>
        <v>67361.428667887361</v>
      </c>
      <c r="N32" s="5">
        <v>66027.830000000002</v>
      </c>
      <c r="O32" s="5"/>
      <c r="P32" s="5">
        <f>'[1]Demand Loss Factor'!$G$53*R32</f>
        <v>44230.031121884247</v>
      </c>
      <c r="R32" s="5">
        <v>43354.379999999997</v>
      </c>
      <c r="S32" s="5"/>
      <c r="T32" s="5">
        <f>'[1]Energy Loss Factor'!$G$53*V32</f>
        <v>30991569.929321423</v>
      </c>
      <c r="V32" s="5">
        <f>'[2]WHOLESALE-DLS'!$I$36</f>
        <v>30531665.053083502</v>
      </c>
      <c r="X32" s="35">
        <f t="shared" si="0"/>
        <v>0.99413182473676398</v>
      </c>
      <c r="Y32" s="35"/>
      <c r="Z32" s="47">
        <v>0.63757600000000003</v>
      </c>
    </row>
    <row r="33" spans="1:26" ht="25" customHeight="1" thickBot="1">
      <c r="A33" s="36">
        <v>12</v>
      </c>
      <c r="B33" s="36" t="s">
        <v>28</v>
      </c>
      <c r="D33" s="5">
        <f>'[1]Demand Loss Factor'!$G$53*F33</f>
        <v>99701.04744790736</v>
      </c>
      <c r="E33" s="5"/>
      <c r="F33" s="5">
        <v>97727.199999999997</v>
      </c>
      <c r="G33" s="5"/>
      <c r="H33" s="5">
        <f>'[1]Demand Loss Factor'!$G$53*J33</f>
        <v>76314.569915028536</v>
      </c>
      <c r="I33" s="5"/>
      <c r="J33" s="46">
        <v>74803.720000000001</v>
      </c>
      <c r="K33" s="5"/>
      <c r="L33" s="5">
        <f>'[1]Demand Loss Factor'!$G$53*N33</f>
        <v>72808.028602025093</v>
      </c>
      <c r="N33" s="5">
        <v>71366.600000000006</v>
      </c>
      <c r="O33" s="5"/>
      <c r="P33" s="5">
        <f>'[1]Demand Loss Factor'!$G$53*R33</f>
        <v>46706.325965478274</v>
      </c>
      <c r="R33" s="5">
        <v>45781.650000000001</v>
      </c>
      <c r="S33" s="5"/>
      <c r="T33" s="38">
        <f>'[1]Energy Loss Factor'!$G$53*V33</f>
        <v>30634958.404960416</v>
      </c>
      <c r="V33" s="38">
        <f>'[2]WHOLESALE-DLS'!$I$38</f>
        <v>30180345.528429199</v>
      </c>
      <c r="X33" s="35">
        <f t="shared" si="0"/>
        <v>0.95405148300111287</v>
      </c>
      <c r="Y33" s="35"/>
      <c r="Z33" s="47">
        <v>0.54228500000000002</v>
      </c>
    </row>
    <row r="34" spans="1:22" ht="25" customHeight="1" thickTop="1">
      <c r="A34" s="36">
        <v>13</v>
      </c>
      <c r="E34" s="5"/>
      <c r="G34" s="5"/>
      <c r="I34" s="5"/>
      <c r="J34" s="37"/>
      <c r="K34" s="5"/>
      <c r="O34" s="5"/>
      <c r="S34" s="5"/>
      <c r="T34" s="37">
        <f>+SUM(T22:T33)</f>
        <v>415560028.01417208</v>
      </c>
      <c r="U34" s="37"/>
      <c r="V34" s="37">
        <f>+SUM(V22:V33)</f>
        <v>409393251.57499379</v>
      </c>
    </row>
    <row r="35" spans="1:22" ht="25" customHeight="1">
      <c r="A35" s="36"/>
      <c r="E35" s="5"/>
      <c r="G35" s="5"/>
      <c r="I35" s="5"/>
      <c r="K35" s="5"/>
      <c r="O35" s="5"/>
      <c r="S35" s="5"/>
      <c r="T35" s="37"/>
      <c r="U35" s="37"/>
      <c r="V35" s="37"/>
    </row>
    <row r="36" spans="5:22" ht="18.75" customHeight="1">
      <c r="E36" s="5"/>
      <c r="G36" s="5"/>
      <c r="I36" s="5"/>
      <c r="K36" s="5"/>
      <c r="O36" s="5"/>
      <c r="S36" s="5"/>
      <c r="T36" s="37"/>
      <c r="U36" s="37"/>
      <c r="V36" s="37"/>
    </row>
    <row r="37" spans="1:19" ht="15" customHeight="1">
      <c r="A37" s="4" t="s">
        <v>87</v>
      </c>
      <c r="E37" s="5"/>
      <c r="G37" s="5"/>
      <c r="I37" s="5"/>
      <c r="K37" s="5"/>
      <c r="O37" s="5"/>
      <c r="S37" s="5"/>
    </row>
    <row r="38" spans="1:19" ht="15" customHeight="1">
      <c r="A38" s="4" t="s">
        <v>29</v>
      </c>
      <c r="E38" s="5"/>
      <c r="G38" s="5"/>
      <c r="I38" s="5"/>
      <c r="K38" s="5"/>
      <c r="O38" s="5"/>
      <c r="S38" s="5"/>
    </row>
    <row r="39" spans="1:19" ht="15" customHeight="1">
      <c r="A39" s="6" t="s">
        <v>30</v>
      </c>
      <c r="E39" s="5"/>
      <c r="G39" s="5"/>
      <c r="I39" s="5"/>
      <c r="K39" s="5"/>
      <c r="O39" s="5"/>
      <c r="S39" s="5"/>
    </row>
    <row r="40" spans="1:19" ht="15" customHeight="1">
      <c r="A40" s="6"/>
      <c r="E40" s="5"/>
      <c r="G40" s="5"/>
      <c r="I40" s="5"/>
      <c r="K40" s="5"/>
      <c r="O40" s="5"/>
      <c r="S40" s="5"/>
    </row>
  </sheetData>
  <pageMargins left="0.5" right="1" top="1.5" bottom="0.5" header="0.5" footer="0.5"/>
  <pageSetup orientation="landscape" scale="5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V37"/>
  <sheetViews>
    <sheetView zoomScale="75" zoomScaleNormal="75" workbookViewId="0" topLeftCell="A1">
      <selection pane="topLeft" activeCell="Q36" sqref="Q36"/>
    </sheetView>
  </sheetViews>
  <sheetFormatPr defaultRowHeight="18.75" customHeight="1"/>
  <cols>
    <col min="2" max="2" width="4.71428571428571" customWidth="1"/>
    <col min="3" max="3" width="8.71428571428571" customWidth="1"/>
    <col min="4" max="4" width="7.71428571428571" style="2" customWidth="1"/>
    <col min="5" max="5" width="8.71428571428571" style="2" customWidth="1"/>
    <col min="6" max="6" width="2.71428571428571" style="11" customWidth="1"/>
    <col min="7" max="7" width="8.71428571428571" style="11" customWidth="1"/>
    <col min="8" max="8" width="2.71428571428571" style="11" customWidth="1"/>
    <col min="9" max="9" width="10.7142857142857" style="11" customWidth="1"/>
    <col min="10" max="10" width="2.71428571428571" style="11" customWidth="1"/>
    <col min="11" max="11" width="9.71428571428571" style="11" customWidth="1"/>
    <col min="12" max="12" width="10.7142857142857" style="11" customWidth="1"/>
    <col min="13" max="13" width="8.71428571428571" style="9" customWidth="1"/>
    <col min="14" max="14" width="2.71428571428571" style="11" customWidth="1"/>
    <col min="15" max="15" width="10.7142857142857" style="9" customWidth="1"/>
    <col min="16" max="16" width="10.7142857142857" style="2" customWidth="1"/>
    <col min="17" max="17" width="8.71428571428571" style="2" customWidth="1"/>
    <col min="18" max="18" width="2.71428571428571" style="2" customWidth="1"/>
    <col min="19" max="19" width="9.14285714285714" style="2"/>
    <col min="20" max="20" width="2.71428571428571" style="2" customWidth="1"/>
    <col min="21" max="257" width="9.14285714285714" style="2"/>
    <col min="258" max="258" width="4.71428571428571" style="2" customWidth="1"/>
    <col min="259" max="259" width="8.71428571428571" style="2" customWidth="1"/>
    <col min="260" max="260" width="7.71428571428571" style="2" customWidth="1"/>
    <col min="261" max="261" width="8.71428571428571" style="2" customWidth="1"/>
    <col min="262" max="262" width="2.71428571428571" style="2" customWidth="1"/>
    <col min="263" max="263" width="8.71428571428571" style="2" customWidth="1"/>
    <col min="264" max="264" width="2.71428571428571" style="2" customWidth="1"/>
    <col min="265" max="265" width="10.7142857142857" style="2" customWidth="1"/>
    <col min="266" max="266" width="2.71428571428571" style="2" customWidth="1"/>
    <col min="267" max="267" width="8.71428571428571" style="2" customWidth="1"/>
    <col min="268" max="268" width="10.7142857142857" style="2" customWidth="1"/>
    <col min="269" max="269" width="8.71428571428571" style="2" customWidth="1"/>
    <col min="270" max="270" width="2.71428571428571" style="2" customWidth="1"/>
    <col min="271" max="272" width="10.7142857142857" style="2" customWidth="1"/>
    <col min="273" max="273" width="8.71428571428571" style="2" customWidth="1"/>
    <col min="274" max="274" width="2.71428571428571" style="2" customWidth="1"/>
    <col min="275" max="275" width="9.14285714285714" style="2"/>
    <col min="276" max="276" width="2.71428571428571" style="2" customWidth="1"/>
    <col min="277" max="513" width="9.14285714285714" style="2"/>
    <col min="514" max="514" width="4.71428571428571" style="2" customWidth="1"/>
    <col min="515" max="515" width="8.71428571428571" style="2" customWidth="1"/>
    <col min="516" max="516" width="7.71428571428571" style="2" customWidth="1"/>
    <col min="517" max="517" width="8.71428571428571" style="2" customWidth="1"/>
    <col min="518" max="518" width="2.71428571428571" style="2" customWidth="1"/>
    <col min="519" max="519" width="8.71428571428571" style="2" customWidth="1"/>
    <col min="520" max="520" width="2.71428571428571" style="2" customWidth="1"/>
    <col min="521" max="521" width="10.7142857142857" style="2" customWidth="1"/>
    <col min="522" max="522" width="2.71428571428571" style="2" customWidth="1"/>
    <col min="523" max="523" width="8.71428571428571" style="2" customWidth="1"/>
    <col min="524" max="524" width="10.7142857142857" style="2" customWidth="1"/>
    <col min="525" max="525" width="8.71428571428571" style="2" customWidth="1"/>
    <col min="526" max="526" width="2.71428571428571" style="2" customWidth="1"/>
    <col min="527" max="528" width="10.7142857142857" style="2" customWidth="1"/>
    <col min="529" max="529" width="8.71428571428571" style="2" customWidth="1"/>
    <col min="530" max="530" width="2.71428571428571" style="2" customWidth="1"/>
    <col min="531" max="531" width="9.14285714285714" style="2"/>
    <col min="532" max="532" width="2.71428571428571" style="2" customWidth="1"/>
    <col min="533" max="769" width="9.14285714285714" style="2"/>
    <col min="770" max="770" width="4.71428571428571" style="2" customWidth="1"/>
    <col min="771" max="771" width="8.71428571428571" style="2" customWidth="1"/>
    <col min="772" max="772" width="7.71428571428571" style="2" customWidth="1"/>
    <col min="773" max="773" width="8.71428571428571" style="2" customWidth="1"/>
    <col min="774" max="774" width="2.71428571428571" style="2" customWidth="1"/>
    <col min="775" max="775" width="8.71428571428571" style="2" customWidth="1"/>
    <col min="776" max="776" width="2.71428571428571" style="2" customWidth="1"/>
    <col min="777" max="777" width="10.7142857142857" style="2" customWidth="1"/>
    <col min="778" max="778" width="2.71428571428571" style="2" customWidth="1"/>
    <col min="779" max="779" width="8.71428571428571" style="2" customWidth="1"/>
    <col min="780" max="780" width="10.7142857142857" style="2" customWidth="1"/>
    <col min="781" max="781" width="8.71428571428571" style="2" customWidth="1"/>
    <col min="782" max="782" width="2.71428571428571" style="2" customWidth="1"/>
    <col min="783" max="784" width="10.7142857142857" style="2" customWidth="1"/>
    <col min="785" max="785" width="8.71428571428571" style="2" customWidth="1"/>
    <col min="786" max="786" width="2.71428571428571" style="2" customWidth="1"/>
    <col min="787" max="787" width="9.14285714285714" style="2"/>
    <col min="788" max="788" width="2.71428571428571" style="2" customWidth="1"/>
    <col min="789" max="1025" width="9.14285714285714" style="2"/>
    <col min="1026" max="1026" width="4.71428571428571" style="2" customWidth="1"/>
    <col min="1027" max="1027" width="8.71428571428571" style="2" customWidth="1"/>
    <col min="1028" max="1028" width="7.71428571428571" style="2" customWidth="1"/>
    <col min="1029" max="1029" width="8.71428571428571" style="2" customWidth="1"/>
    <col min="1030" max="1030" width="2.71428571428571" style="2" customWidth="1"/>
    <col min="1031" max="1031" width="8.71428571428571" style="2" customWidth="1"/>
    <col min="1032" max="1032" width="2.71428571428571" style="2" customWidth="1"/>
    <col min="1033" max="1033" width="10.7142857142857" style="2" customWidth="1"/>
    <col min="1034" max="1034" width="2.71428571428571" style="2" customWidth="1"/>
    <col min="1035" max="1035" width="8.71428571428571" style="2" customWidth="1"/>
    <col min="1036" max="1036" width="10.7142857142857" style="2" customWidth="1"/>
    <col min="1037" max="1037" width="8.71428571428571" style="2" customWidth="1"/>
    <col min="1038" max="1038" width="2.71428571428571" style="2" customWidth="1"/>
    <col min="1039" max="1040" width="10.7142857142857" style="2" customWidth="1"/>
    <col min="1041" max="1041" width="8.71428571428571" style="2" customWidth="1"/>
    <col min="1042" max="1042" width="2.71428571428571" style="2" customWidth="1"/>
    <col min="1043" max="1043" width="9.14285714285714" style="2"/>
    <col min="1044" max="1044" width="2.71428571428571" style="2" customWidth="1"/>
    <col min="1045" max="1281" width="9.14285714285714" style="2"/>
    <col min="1282" max="1282" width="4.71428571428571" style="2" customWidth="1"/>
    <col min="1283" max="1283" width="8.71428571428571" style="2" customWidth="1"/>
    <col min="1284" max="1284" width="7.71428571428571" style="2" customWidth="1"/>
    <col min="1285" max="1285" width="8.71428571428571" style="2" customWidth="1"/>
    <col min="1286" max="1286" width="2.71428571428571" style="2" customWidth="1"/>
    <col min="1287" max="1287" width="8.71428571428571" style="2" customWidth="1"/>
    <col min="1288" max="1288" width="2.71428571428571" style="2" customWidth="1"/>
    <col min="1289" max="1289" width="10.7142857142857" style="2" customWidth="1"/>
    <col min="1290" max="1290" width="2.71428571428571" style="2" customWidth="1"/>
    <col min="1291" max="1291" width="8.71428571428571" style="2" customWidth="1"/>
    <col min="1292" max="1292" width="10.7142857142857" style="2" customWidth="1"/>
    <col min="1293" max="1293" width="8.71428571428571" style="2" customWidth="1"/>
    <col min="1294" max="1294" width="2.71428571428571" style="2" customWidth="1"/>
    <col min="1295" max="1296" width="10.7142857142857" style="2" customWidth="1"/>
    <col min="1297" max="1297" width="8.71428571428571" style="2" customWidth="1"/>
    <col min="1298" max="1298" width="2.71428571428571" style="2" customWidth="1"/>
    <col min="1299" max="1299" width="9.14285714285714" style="2"/>
    <col min="1300" max="1300" width="2.71428571428571" style="2" customWidth="1"/>
    <col min="1301" max="1537" width="9.14285714285714" style="2"/>
    <col min="1538" max="1538" width="4.71428571428571" style="2" customWidth="1"/>
    <col min="1539" max="1539" width="8.71428571428571" style="2" customWidth="1"/>
    <col min="1540" max="1540" width="7.71428571428571" style="2" customWidth="1"/>
    <col min="1541" max="1541" width="8.71428571428571" style="2" customWidth="1"/>
    <col min="1542" max="1542" width="2.71428571428571" style="2" customWidth="1"/>
    <col min="1543" max="1543" width="8.71428571428571" style="2" customWidth="1"/>
    <col min="1544" max="1544" width="2.71428571428571" style="2" customWidth="1"/>
    <col min="1545" max="1545" width="10.7142857142857" style="2" customWidth="1"/>
    <col min="1546" max="1546" width="2.71428571428571" style="2" customWidth="1"/>
    <col min="1547" max="1547" width="8.71428571428571" style="2" customWidth="1"/>
    <col min="1548" max="1548" width="10.7142857142857" style="2" customWidth="1"/>
    <col min="1549" max="1549" width="8.71428571428571" style="2" customWidth="1"/>
    <col min="1550" max="1550" width="2.71428571428571" style="2" customWidth="1"/>
    <col min="1551" max="1552" width="10.7142857142857" style="2" customWidth="1"/>
    <col min="1553" max="1553" width="8.71428571428571" style="2" customWidth="1"/>
    <col min="1554" max="1554" width="2.71428571428571" style="2" customWidth="1"/>
    <col min="1555" max="1555" width="9.14285714285714" style="2"/>
    <col min="1556" max="1556" width="2.71428571428571" style="2" customWidth="1"/>
    <col min="1557" max="1793" width="9.14285714285714" style="2"/>
    <col min="1794" max="1794" width="4.71428571428571" style="2" customWidth="1"/>
    <col min="1795" max="1795" width="8.71428571428571" style="2" customWidth="1"/>
    <col min="1796" max="1796" width="7.71428571428571" style="2" customWidth="1"/>
    <col min="1797" max="1797" width="8.71428571428571" style="2" customWidth="1"/>
    <col min="1798" max="1798" width="2.71428571428571" style="2" customWidth="1"/>
    <col min="1799" max="1799" width="8.71428571428571" style="2" customWidth="1"/>
    <col min="1800" max="1800" width="2.71428571428571" style="2" customWidth="1"/>
    <col min="1801" max="1801" width="10.7142857142857" style="2" customWidth="1"/>
    <col min="1802" max="1802" width="2.71428571428571" style="2" customWidth="1"/>
    <col min="1803" max="1803" width="8.71428571428571" style="2" customWidth="1"/>
    <col min="1804" max="1804" width="10.7142857142857" style="2" customWidth="1"/>
    <col min="1805" max="1805" width="8.71428571428571" style="2" customWidth="1"/>
    <col min="1806" max="1806" width="2.71428571428571" style="2" customWidth="1"/>
    <col min="1807" max="1808" width="10.7142857142857" style="2" customWidth="1"/>
    <col min="1809" max="1809" width="8.71428571428571" style="2" customWidth="1"/>
    <col min="1810" max="1810" width="2.71428571428571" style="2" customWidth="1"/>
    <col min="1811" max="1811" width="9.14285714285714" style="2"/>
    <col min="1812" max="1812" width="2.71428571428571" style="2" customWidth="1"/>
    <col min="1813" max="2049" width="9.14285714285714" style="2"/>
    <col min="2050" max="2050" width="4.71428571428571" style="2" customWidth="1"/>
    <col min="2051" max="2051" width="8.71428571428571" style="2" customWidth="1"/>
    <col min="2052" max="2052" width="7.71428571428571" style="2" customWidth="1"/>
    <col min="2053" max="2053" width="8.71428571428571" style="2" customWidth="1"/>
    <col min="2054" max="2054" width="2.71428571428571" style="2" customWidth="1"/>
    <col min="2055" max="2055" width="8.71428571428571" style="2" customWidth="1"/>
    <col min="2056" max="2056" width="2.71428571428571" style="2" customWidth="1"/>
    <col min="2057" max="2057" width="10.7142857142857" style="2" customWidth="1"/>
    <col min="2058" max="2058" width="2.71428571428571" style="2" customWidth="1"/>
    <col min="2059" max="2059" width="8.71428571428571" style="2" customWidth="1"/>
    <col min="2060" max="2060" width="10.7142857142857" style="2" customWidth="1"/>
    <col min="2061" max="2061" width="8.71428571428571" style="2" customWidth="1"/>
    <col min="2062" max="2062" width="2.71428571428571" style="2" customWidth="1"/>
    <col min="2063" max="2064" width="10.7142857142857" style="2" customWidth="1"/>
    <col min="2065" max="2065" width="8.71428571428571" style="2" customWidth="1"/>
    <col min="2066" max="2066" width="2.71428571428571" style="2" customWidth="1"/>
    <col min="2067" max="2067" width="9.14285714285714" style="2"/>
    <col min="2068" max="2068" width="2.71428571428571" style="2" customWidth="1"/>
    <col min="2069" max="2305" width="9.14285714285714" style="2"/>
    <col min="2306" max="2306" width="4.71428571428571" style="2" customWidth="1"/>
    <col min="2307" max="2307" width="8.71428571428571" style="2" customWidth="1"/>
    <col min="2308" max="2308" width="7.71428571428571" style="2" customWidth="1"/>
    <col min="2309" max="2309" width="8.71428571428571" style="2" customWidth="1"/>
    <col min="2310" max="2310" width="2.71428571428571" style="2" customWidth="1"/>
    <col min="2311" max="2311" width="8.71428571428571" style="2" customWidth="1"/>
    <col min="2312" max="2312" width="2.71428571428571" style="2" customWidth="1"/>
    <col min="2313" max="2313" width="10.7142857142857" style="2" customWidth="1"/>
    <col min="2314" max="2314" width="2.71428571428571" style="2" customWidth="1"/>
    <col min="2315" max="2315" width="8.71428571428571" style="2" customWidth="1"/>
    <col min="2316" max="2316" width="10.7142857142857" style="2" customWidth="1"/>
    <col min="2317" max="2317" width="8.71428571428571" style="2" customWidth="1"/>
    <col min="2318" max="2318" width="2.71428571428571" style="2" customWidth="1"/>
    <col min="2319" max="2320" width="10.7142857142857" style="2" customWidth="1"/>
    <col min="2321" max="2321" width="8.71428571428571" style="2" customWidth="1"/>
    <col min="2322" max="2322" width="2.71428571428571" style="2" customWidth="1"/>
    <col min="2323" max="2323" width="9.14285714285714" style="2"/>
    <col min="2324" max="2324" width="2.71428571428571" style="2" customWidth="1"/>
    <col min="2325" max="2561" width="9.14285714285714" style="2"/>
    <col min="2562" max="2562" width="4.71428571428571" style="2" customWidth="1"/>
    <col min="2563" max="2563" width="8.71428571428571" style="2" customWidth="1"/>
    <col min="2564" max="2564" width="7.71428571428571" style="2" customWidth="1"/>
    <col min="2565" max="2565" width="8.71428571428571" style="2" customWidth="1"/>
    <col min="2566" max="2566" width="2.71428571428571" style="2" customWidth="1"/>
    <col min="2567" max="2567" width="8.71428571428571" style="2" customWidth="1"/>
    <col min="2568" max="2568" width="2.71428571428571" style="2" customWidth="1"/>
    <col min="2569" max="2569" width="10.7142857142857" style="2" customWidth="1"/>
    <col min="2570" max="2570" width="2.71428571428571" style="2" customWidth="1"/>
    <col min="2571" max="2571" width="8.71428571428571" style="2" customWidth="1"/>
    <col min="2572" max="2572" width="10.7142857142857" style="2" customWidth="1"/>
    <col min="2573" max="2573" width="8.71428571428571" style="2" customWidth="1"/>
    <col min="2574" max="2574" width="2.71428571428571" style="2" customWidth="1"/>
    <col min="2575" max="2576" width="10.7142857142857" style="2" customWidth="1"/>
    <col min="2577" max="2577" width="8.71428571428571" style="2" customWidth="1"/>
    <col min="2578" max="2578" width="2.71428571428571" style="2" customWidth="1"/>
    <col min="2579" max="2579" width="9.14285714285714" style="2"/>
    <col min="2580" max="2580" width="2.71428571428571" style="2" customWidth="1"/>
    <col min="2581" max="2817" width="9.14285714285714" style="2"/>
    <col min="2818" max="2818" width="4.71428571428571" style="2" customWidth="1"/>
    <col min="2819" max="2819" width="8.71428571428571" style="2" customWidth="1"/>
    <col min="2820" max="2820" width="7.71428571428571" style="2" customWidth="1"/>
    <col min="2821" max="2821" width="8.71428571428571" style="2" customWidth="1"/>
    <col min="2822" max="2822" width="2.71428571428571" style="2" customWidth="1"/>
    <col min="2823" max="2823" width="8.71428571428571" style="2" customWidth="1"/>
    <col min="2824" max="2824" width="2.71428571428571" style="2" customWidth="1"/>
    <col min="2825" max="2825" width="10.7142857142857" style="2" customWidth="1"/>
    <col min="2826" max="2826" width="2.71428571428571" style="2" customWidth="1"/>
    <col min="2827" max="2827" width="8.71428571428571" style="2" customWidth="1"/>
    <col min="2828" max="2828" width="10.7142857142857" style="2" customWidth="1"/>
    <col min="2829" max="2829" width="8.71428571428571" style="2" customWidth="1"/>
    <col min="2830" max="2830" width="2.71428571428571" style="2" customWidth="1"/>
    <col min="2831" max="2832" width="10.7142857142857" style="2" customWidth="1"/>
    <col min="2833" max="2833" width="8.71428571428571" style="2" customWidth="1"/>
    <col min="2834" max="2834" width="2.71428571428571" style="2" customWidth="1"/>
    <col min="2835" max="2835" width="9.14285714285714" style="2"/>
    <col min="2836" max="2836" width="2.71428571428571" style="2" customWidth="1"/>
    <col min="2837" max="3073" width="9.14285714285714" style="2"/>
    <col min="3074" max="3074" width="4.71428571428571" style="2" customWidth="1"/>
    <col min="3075" max="3075" width="8.71428571428571" style="2" customWidth="1"/>
    <col min="3076" max="3076" width="7.71428571428571" style="2" customWidth="1"/>
    <col min="3077" max="3077" width="8.71428571428571" style="2" customWidth="1"/>
    <col min="3078" max="3078" width="2.71428571428571" style="2" customWidth="1"/>
    <col min="3079" max="3079" width="8.71428571428571" style="2" customWidth="1"/>
    <col min="3080" max="3080" width="2.71428571428571" style="2" customWidth="1"/>
    <col min="3081" max="3081" width="10.7142857142857" style="2" customWidth="1"/>
    <col min="3082" max="3082" width="2.71428571428571" style="2" customWidth="1"/>
    <col min="3083" max="3083" width="8.71428571428571" style="2" customWidth="1"/>
    <col min="3084" max="3084" width="10.7142857142857" style="2" customWidth="1"/>
    <col min="3085" max="3085" width="8.71428571428571" style="2" customWidth="1"/>
    <col min="3086" max="3086" width="2.71428571428571" style="2" customWidth="1"/>
    <col min="3087" max="3088" width="10.7142857142857" style="2" customWidth="1"/>
    <col min="3089" max="3089" width="8.71428571428571" style="2" customWidth="1"/>
    <col min="3090" max="3090" width="2.71428571428571" style="2" customWidth="1"/>
    <col min="3091" max="3091" width="9.14285714285714" style="2"/>
    <col min="3092" max="3092" width="2.71428571428571" style="2" customWidth="1"/>
    <col min="3093" max="3329" width="9.14285714285714" style="2"/>
    <col min="3330" max="3330" width="4.71428571428571" style="2" customWidth="1"/>
    <col min="3331" max="3331" width="8.71428571428571" style="2" customWidth="1"/>
    <col min="3332" max="3332" width="7.71428571428571" style="2" customWidth="1"/>
    <col min="3333" max="3333" width="8.71428571428571" style="2" customWidth="1"/>
    <col min="3334" max="3334" width="2.71428571428571" style="2" customWidth="1"/>
    <col min="3335" max="3335" width="8.71428571428571" style="2" customWidth="1"/>
    <col min="3336" max="3336" width="2.71428571428571" style="2" customWidth="1"/>
    <col min="3337" max="3337" width="10.7142857142857" style="2" customWidth="1"/>
    <col min="3338" max="3338" width="2.71428571428571" style="2" customWidth="1"/>
    <col min="3339" max="3339" width="8.71428571428571" style="2" customWidth="1"/>
    <col min="3340" max="3340" width="10.7142857142857" style="2" customWidth="1"/>
    <col min="3341" max="3341" width="8.71428571428571" style="2" customWidth="1"/>
    <col min="3342" max="3342" width="2.71428571428571" style="2" customWidth="1"/>
    <col min="3343" max="3344" width="10.7142857142857" style="2" customWidth="1"/>
    <col min="3345" max="3345" width="8.71428571428571" style="2" customWidth="1"/>
    <col min="3346" max="3346" width="2.71428571428571" style="2" customWidth="1"/>
    <col min="3347" max="3347" width="9.14285714285714" style="2"/>
    <col min="3348" max="3348" width="2.71428571428571" style="2" customWidth="1"/>
    <col min="3349" max="3585" width="9.14285714285714" style="2"/>
    <col min="3586" max="3586" width="4.71428571428571" style="2" customWidth="1"/>
    <col min="3587" max="3587" width="8.71428571428571" style="2" customWidth="1"/>
    <col min="3588" max="3588" width="7.71428571428571" style="2" customWidth="1"/>
    <col min="3589" max="3589" width="8.71428571428571" style="2" customWidth="1"/>
    <col min="3590" max="3590" width="2.71428571428571" style="2" customWidth="1"/>
    <col min="3591" max="3591" width="8.71428571428571" style="2" customWidth="1"/>
    <col min="3592" max="3592" width="2.71428571428571" style="2" customWidth="1"/>
    <col min="3593" max="3593" width="10.7142857142857" style="2" customWidth="1"/>
    <col min="3594" max="3594" width="2.71428571428571" style="2" customWidth="1"/>
    <col min="3595" max="3595" width="8.71428571428571" style="2" customWidth="1"/>
    <col min="3596" max="3596" width="10.7142857142857" style="2" customWidth="1"/>
    <col min="3597" max="3597" width="8.71428571428571" style="2" customWidth="1"/>
    <col min="3598" max="3598" width="2.71428571428571" style="2" customWidth="1"/>
    <col min="3599" max="3600" width="10.7142857142857" style="2" customWidth="1"/>
    <col min="3601" max="3601" width="8.71428571428571" style="2" customWidth="1"/>
    <col min="3602" max="3602" width="2.71428571428571" style="2" customWidth="1"/>
    <col min="3603" max="3603" width="9.14285714285714" style="2"/>
    <col min="3604" max="3604" width="2.71428571428571" style="2" customWidth="1"/>
    <col min="3605" max="3841" width="9.14285714285714" style="2"/>
    <col min="3842" max="3842" width="4.71428571428571" style="2" customWidth="1"/>
    <col min="3843" max="3843" width="8.71428571428571" style="2" customWidth="1"/>
    <col min="3844" max="3844" width="7.71428571428571" style="2" customWidth="1"/>
    <col min="3845" max="3845" width="8.71428571428571" style="2" customWidth="1"/>
    <col min="3846" max="3846" width="2.71428571428571" style="2" customWidth="1"/>
    <col min="3847" max="3847" width="8.71428571428571" style="2" customWidth="1"/>
    <col min="3848" max="3848" width="2.71428571428571" style="2" customWidth="1"/>
    <col min="3849" max="3849" width="10.7142857142857" style="2" customWidth="1"/>
    <col min="3850" max="3850" width="2.71428571428571" style="2" customWidth="1"/>
    <col min="3851" max="3851" width="8.71428571428571" style="2" customWidth="1"/>
    <col min="3852" max="3852" width="10.7142857142857" style="2" customWidth="1"/>
    <col min="3853" max="3853" width="8.71428571428571" style="2" customWidth="1"/>
    <col min="3854" max="3854" width="2.71428571428571" style="2" customWidth="1"/>
    <col min="3855" max="3856" width="10.7142857142857" style="2" customWidth="1"/>
    <col min="3857" max="3857" width="8.71428571428571" style="2" customWidth="1"/>
    <col min="3858" max="3858" width="2.71428571428571" style="2" customWidth="1"/>
    <col min="3859" max="3859" width="9.14285714285714" style="2"/>
    <col min="3860" max="3860" width="2.71428571428571" style="2" customWidth="1"/>
    <col min="3861" max="4097" width="9.14285714285714" style="2"/>
    <col min="4098" max="4098" width="4.71428571428571" style="2" customWidth="1"/>
    <col min="4099" max="4099" width="8.71428571428571" style="2" customWidth="1"/>
    <col min="4100" max="4100" width="7.71428571428571" style="2" customWidth="1"/>
    <col min="4101" max="4101" width="8.71428571428571" style="2" customWidth="1"/>
    <col min="4102" max="4102" width="2.71428571428571" style="2" customWidth="1"/>
    <col min="4103" max="4103" width="8.71428571428571" style="2" customWidth="1"/>
    <col min="4104" max="4104" width="2.71428571428571" style="2" customWidth="1"/>
    <col min="4105" max="4105" width="10.7142857142857" style="2" customWidth="1"/>
    <col min="4106" max="4106" width="2.71428571428571" style="2" customWidth="1"/>
    <col min="4107" max="4107" width="8.71428571428571" style="2" customWidth="1"/>
    <col min="4108" max="4108" width="10.7142857142857" style="2" customWidth="1"/>
    <col min="4109" max="4109" width="8.71428571428571" style="2" customWidth="1"/>
    <col min="4110" max="4110" width="2.71428571428571" style="2" customWidth="1"/>
    <col min="4111" max="4112" width="10.7142857142857" style="2" customWidth="1"/>
    <col min="4113" max="4113" width="8.71428571428571" style="2" customWidth="1"/>
    <col min="4114" max="4114" width="2.71428571428571" style="2" customWidth="1"/>
    <col min="4115" max="4115" width="9.14285714285714" style="2"/>
    <col min="4116" max="4116" width="2.71428571428571" style="2" customWidth="1"/>
    <col min="4117" max="4353" width="9.14285714285714" style="2"/>
    <col min="4354" max="4354" width="4.71428571428571" style="2" customWidth="1"/>
    <col min="4355" max="4355" width="8.71428571428571" style="2" customWidth="1"/>
    <col min="4356" max="4356" width="7.71428571428571" style="2" customWidth="1"/>
    <col min="4357" max="4357" width="8.71428571428571" style="2" customWidth="1"/>
    <col min="4358" max="4358" width="2.71428571428571" style="2" customWidth="1"/>
    <col min="4359" max="4359" width="8.71428571428571" style="2" customWidth="1"/>
    <col min="4360" max="4360" width="2.71428571428571" style="2" customWidth="1"/>
    <col min="4361" max="4361" width="10.7142857142857" style="2" customWidth="1"/>
    <col min="4362" max="4362" width="2.71428571428571" style="2" customWidth="1"/>
    <col min="4363" max="4363" width="8.71428571428571" style="2" customWidth="1"/>
    <col min="4364" max="4364" width="10.7142857142857" style="2" customWidth="1"/>
    <col min="4365" max="4365" width="8.71428571428571" style="2" customWidth="1"/>
    <col min="4366" max="4366" width="2.71428571428571" style="2" customWidth="1"/>
    <col min="4367" max="4368" width="10.7142857142857" style="2" customWidth="1"/>
    <col min="4369" max="4369" width="8.71428571428571" style="2" customWidth="1"/>
    <col min="4370" max="4370" width="2.71428571428571" style="2" customWidth="1"/>
    <col min="4371" max="4371" width="9.14285714285714" style="2"/>
    <col min="4372" max="4372" width="2.71428571428571" style="2" customWidth="1"/>
    <col min="4373" max="4609" width="9.14285714285714" style="2"/>
    <col min="4610" max="4610" width="4.71428571428571" style="2" customWidth="1"/>
    <col min="4611" max="4611" width="8.71428571428571" style="2" customWidth="1"/>
    <col min="4612" max="4612" width="7.71428571428571" style="2" customWidth="1"/>
    <col min="4613" max="4613" width="8.71428571428571" style="2" customWidth="1"/>
    <col min="4614" max="4614" width="2.71428571428571" style="2" customWidth="1"/>
    <col min="4615" max="4615" width="8.71428571428571" style="2" customWidth="1"/>
    <col min="4616" max="4616" width="2.71428571428571" style="2" customWidth="1"/>
    <col min="4617" max="4617" width="10.7142857142857" style="2" customWidth="1"/>
    <col min="4618" max="4618" width="2.71428571428571" style="2" customWidth="1"/>
    <col min="4619" max="4619" width="8.71428571428571" style="2" customWidth="1"/>
    <col min="4620" max="4620" width="10.7142857142857" style="2" customWidth="1"/>
    <col min="4621" max="4621" width="8.71428571428571" style="2" customWidth="1"/>
    <col min="4622" max="4622" width="2.71428571428571" style="2" customWidth="1"/>
    <col min="4623" max="4624" width="10.7142857142857" style="2" customWidth="1"/>
    <col min="4625" max="4625" width="8.71428571428571" style="2" customWidth="1"/>
    <col min="4626" max="4626" width="2.71428571428571" style="2" customWidth="1"/>
    <col min="4627" max="4627" width="9.14285714285714" style="2"/>
    <col min="4628" max="4628" width="2.71428571428571" style="2" customWidth="1"/>
    <col min="4629" max="4865" width="9.14285714285714" style="2"/>
    <col min="4866" max="4866" width="4.71428571428571" style="2" customWidth="1"/>
    <col min="4867" max="4867" width="8.71428571428571" style="2" customWidth="1"/>
    <col min="4868" max="4868" width="7.71428571428571" style="2" customWidth="1"/>
    <col min="4869" max="4869" width="8.71428571428571" style="2" customWidth="1"/>
    <col min="4870" max="4870" width="2.71428571428571" style="2" customWidth="1"/>
    <col min="4871" max="4871" width="8.71428571428571" style="2" customWidth="1"/>
    <col min="4872" max="4872" width="2.71428571428571" style="2" customWidth="1"/>
    <col min="4873" max="4873" width="10.7142857142857" style="2" customWidth="1"/>
    <col min="4874" max="4874" width="2.71428571428571" style="2" customWidth="1"/>
    <col min="4875" max="4875" width="8.71428571428571" style="2" customWidth="1"/>
    <col min="4876" max="4876" width="10.7142857142857" style="2" customWidth="1"/>
    <col min="4877" max="4877" width="8.71428571428571" style="2" customWidth="1"/>
    <col min="4878" max="4878" width="2.71428571428571" style="2" customWidth="1"/>
    <col min="4879" max="4880" width="10.7142857142857" style="2" customWidth="1"/>
    <col min="4881" max="4881" width="8.71428571428571" style="2" customWidth="1"/>
    <col min="4882" max="4882" width="2.71428571428571" style="2" customWidth="1"/>
    <col min="4883" max="4883" width="9.14285714285714" style="2"/>
    <col min="4884" max="4884" width="2.71428571428571" style="2" customWidth="1"/>
    <col min="4885" max="5121" width="9.14285714285714" style="2"/>
    <col min="5122" max="5122" width="4.71428571428571" style="2" customWidth="1"/>
    <col min="5123" max="5123" width="8.71428571428571" style="2" customWidth="1"/>
    <col min="5124" max="5124" width="7.71428571428571" style="2" customWidth="1"/>
    <col min="5125" max="5125" width="8.71428571428571" style="2" customWidth="1"/>
    <col min="5126" max="5126" width="2.71428571428571" style="2" customWidth="1"/>
    <col min="5127" max="5127" width="8.71428571428571" style="2" customWidth="1"/>
    <col min="5128" max="5128" width="2.71428571428571" style="2" customWidth="1"/>
    <col min="5129" max="5129" width="10.7142857142857" style="2" customWidth="1"/>
    <col min="5130" max="5130" width="2.71428571428571" style="2" customWidth="1"/>
    <col min="5131" max="5131" width="8.71428571428571" style="2" customWidth="1"/>
    <col min="5132" max="5132" width="10.7142857142857" style="2" customWidth="1"/>
    <col min="5133" max="5133" width="8.71428571428571" style="2" customWidth="1"/>
    <col min="5134" max="5134" width="2.71428571428571" style="2" customWidth="1"/>
    <col min="5135" max="5136" width="10.7142857142857" style="2" customWidth="1"/>
    <col min="5137" max="5137" width="8.71428571428571" style="2" customWidth="1"/>
    <col min="5138" max="5138" width="2.71428571428571" style="2" customWidth="1"/>
    <col min="5139" max="5139" width="9.14285714285714" style="2"/>
    <col min="5140" max="5140" width="2.71428571428571" style="2" customWidth="1"/>
    <col min="5141" max="5377" width="9.14285714285714" style="2"/>
    <col min="5378" max="5378" width="4.71428571428571" style="2" customWidth="1"/>
    <col min="5379" max="5379" width="8.71428571428571" style="2" customWidth="1"/>
    <col min="5380" max="5380" width="7.71428571428571" style="2" customWidth="1"/>
    <col min="5381" max="5381" width="8.71428571428571" style="2" customWidth="1"/>
    <col min="5382" max="5382" width="2.71428571428571" style="2" customWidth="1"/>
    <col min="5383" max="5383" width="8.71428571428571" style="2" customWidth="1"/>
    <col min="5384" max="5384" width="2.71428571428571" style="2" customWidth="1"/>
    <col min="5385" max="5385" width="10.7142857142857" style="2" customWidth="1"/>
    <col min="5386" max="5386" width="2.71428571428571" style="2" customWidth="1"/>
    <col min="5387" max="5387" width="8.71428571428571" style="2" customWidth="1"/>
    <col min="5388" max="5388" width="10.7142857142857" style="2" customWidth="1"/>
    <col min="5389" max="5389" width="8.71428571428571" style="2" customWidth="1"/>
    <col min="5390" max="5390" width="2.71428571428571" style="2" customWidth="1"/>
    <col min="5391" max="5392" width="10.7142857142857" style="2" customWidth="1"/>
    <col min="5393" max="5393" width="8.71428571428571" style="2" customWidth="1"/>
    <col min="5394" max="5394" width="2.71428571428571" style="2" customWidth="1"/>
    <col min="5395" max="5395" width="9.14285714285714" style="2"/>
    <col min="5396" max="5396" width="2.71428571428571" style="2" customWidth="1"/>
    <col min="5397" max="5633" width="9.14285714285714" style="2"/>
    <col min="5634" max="5634" width="4.71428571428571" style="2" customWidth="1"/>
    <col min="5635" max="5635" width="8.71428571428571" style="2" customWidth="1"/>
    <col min="5636" max="5636" width="7.71428571428571" style="2" customWidth="1"/>
    <col min="5637" max="5637" width="8.71428571428571" style="2" customWidth="1"/>
    <col min="5638" max="5638" width="2.71428571428571" style="2" customWidth="1"/>
    <col min="5639" max="5639" width="8.71428571428571" style="2" customWidth="1"/>
    <col min="5640" max="5640" width="2.71428571428571" style="2" customWidth="1"/>
    <col min="5641" max="5641" width="10.7142857142857" style="2" customWidth="1"/>
    <col min="5642" max="5642" width="2.71428571428571" style="2" customWidth="1"/>
    <col min="5643" max="5643" width="8.71428571428571" style="2" customWidth="1"/>
    <col min="5644" max="5644" width="10.7142857142857" style="2" customWidth="1"/>
    <col min="5645" max="5645" width="8.71428571428571" style="2" customWidth="1"/>
    <col min="5646" max="5646" width="2.71428571428571" style="2" customWidth="1"/>
    <col min="5647" max="5648" width="10.7142857142857" style="2" customWidth="1"/>
    <col min="5649" max="5649" width="8.71428571428571" style="2" customWidth="1"/>
    <col min="5650" max="5650" width="2.71428571428571" style="2" customWidth="1"/>
    <col min="5651" max="5651" width="9.14285714285714" style="2"/>
    <col min="5652" max="5652" width="2.71428571428571" style="2" customWidth="1"/>
    <col min="5653" max="5889" width="9.14285714285714" style="2"/>
    <col min="5890" max="5890" width="4.71428571428571" style="2" customWidth="1"/>
    <col min="5891" max="5891" width="8.71428571428571" style="2" customWidth="1"/>
    <col min="5892" max="5892" width="7.71428571428571" style="2" customWidth="1"/>
    <col min="5893" max="5893" width="8.71428571428571" style="2" customWidth="1"/>
    <col min="5894" max="5894" width="2.71428571428571" style="2" customWidth="1"/>
    <col min="5895" max="5895" width="8.71428571428571" style="2" customWidth="1"/>
    <col min="5896" max="5896" width="2.71428571428571" style="2" customWidth="1"/>
    <col min="5897" max="5897" width="10.7142857142857" style="2" customWidth="1"/>
    <col min="5898" max="5898" width="2.71428571428571" style="2" customWidth="1"/>
    <col min="5899" max="5899" width="8.71428571428571" style="2" customWidth="1"/>
    <col min="5900" max="5900" width="10.7142857142857" style="2" customWidth="1"/>
    <col min="5901" max="5901" width="8.71428571428571" style="2" customWidth="1"/>
    <col min="5902" max="5902" width="2.71428571428571" style="2" customWidth="1"/>
    <col min="5903" max="5904" width="10.7142857142857" style="2" customWidth="1"/>
    <col min="5905" max="5905" width="8.71428571428571" style="2" customWidth="1"/>
    <col min="5906" max="5906" width="2.71428571428571" style="2" customWidth="1"/>
    <col min="5907" max="5907" width="9.14285714285714" style="2"/>
    <col min="5908" max="5908" width="2.71428571428571" style="2" customWidth="1"/>
    <col min="5909" max="6145" width="9.14285714285714" style="2"/>
    <col min="6146" max="6146" width="4.71428571428571" style="2" customWidth="1"/>
    <col min="6147" max="6147" width="8.71428571428571" style="2" customWidth="1"/>
    <col min="6148" max="6148" width="7.71428571428571" style="2" customWidth="1"/>
    <col min="6149" max="6149" width="8.71428571428571" style="2" customWidth="1"/>
    <col min="6150" max="6150" width="2.71428571428571" style="2" customWidth="1"/>
    <col min="6151" max="6151" width="8.71428571428571" style="2" customWidth="1"/>
    <col min="6152" max="6152" width="2.71428571428571" style="2" customWidth="1"/>
    <col min="6153" max="6153" width="10.7142857142857" style="2" customWidth="1"/>
    <col min="6154" max="6154" width="2.71428571428571" style="2" customWidth="1"/>
    <col min="6155" max="6155" width="8.71428571428571" style="2" customWidth="1"/>
    <col min="6156" max="6156" width="10.7142857142857" style="2" customWidth="1"/>
    <col min="6157" max="6157" width="8.71428571428571" style="2" customWidth="1"/>
    <col min="6158" max="6158" width="2.71428571428571" style="2" customWidth="1"/>
    <col min="6159" max="6160" width="10.7142857142857" style="2" customWidth="1"/>
    <col min="6161" max="6161" width="8.71428571428571" style="2" customWidth="1"/>
    <col min="6162" max="6162" width="2.71428571428571" style="2" customWidth="1"/>
    <col min="6163" max="6163" width="9.14285714285714" style="2"/>
    <col min="6164" max="6164" width="2.71428571428571" style="2" customWidth="1"/>
    <col min="6165" max="6401" width="9.14285714285714" style="2"/>
    <col min="6402" max="6402" width="4.71428571428571" style="2" customWidth="1"/>
    <col min="6403" max="6403" width="8.71428571428571" style="2" customWidth="1"/>
    <col min="6404" max="6404" width="7.71428571428571" style="2" customWidth="1"/>
    <col min="6405" max="6405" width="8.71428571428571" style="2" customWidth="1"/>
    <col min="6406" max="6406" width="2.71428571428571" style="2" customWidth="1"/>
    <col min="6407" max="6407" width="8.71428571428571" style="2" customWidth="1"/>
    <col min="6408" max="6408" width="2.71428571428571" style="2" customWidth="1"/>
    <col min="6409" max="6409" width="10.7142857142857" style="2" customWidth="1"/>
    <col min="6410" max="6410" width="2.71428571428571" style="2" customWidth="1"/>
    <col min="6411" max="6411" width="8.71428571428571" style="2" customWidth="1"/>
    <col min="6412" max="6412" width="10.7142857142857" style="2" customWidth="1"/>
    <col min="6413" max="6413" width="8.71428571428571" style="2" customWidth="1"/>
    <col min="6414" max="6414" width="2.71428571428571" style="2" customWidth="1"/>
    <col min="6415" max="6416" width="10.7142857142857" style="2" customWidth="1"/>
    <col min="6417" max="6417" width="8.71428571428571" style="2" customWidth="1"/>
    <col min="6418" max="6418" width="2.71428571428571" style="2" customWidth="1"/>
    <col min="6419" max="6419" width="9.14285714285714" style="2"/>
    <col min="6420" max="6420" width="2.71428571428571" style="2" customWidth="1"/>
    <col min="6421" max="6657" width="9.14285714285714" style="2"/>
    <col min="6658" max="6658" width="4.71428571428571" style="2" customWidth="1"/>
    <col min="6659" max="6659" width="8.71428571428571" style="2" customWidth="1"/>
    <col min="6660" max="6660" width="7.71428571428571" style="2" customWidth="1"/>
    <col min="6661" max="6661" width="8.71428571428571" style="2" customWidth="1"/>
    <col min="6662" max="6662" width="2.71428571428571" style="2" customWidth="1"/>
    <col min="6663" max="6663" width="8.71428571428571" style="2" customWidth="1"/>
    <col min="6664" max="6664" width="2.71428571428571" style="2" customWidth="1"/>
    <col min="6665" max="6665" width="10.7142857142857" style="2" customWidth="1"/>
    <col min="6666" max="6666" width="2.71428571428571" style="2" customWidth="1"/>
    <col min="6667" max="6667" width="8.71428571428571" style="2" customWidth="1"/>
    <col min="6668" max="6668" width="10.7142857142857" style="2" customWidth="1"/>
    <col min="6669" max="6669" width="8.71428571428571" style="2" customWidth="1"/>
    <col min="6670" max="6670" width="2.71428571428571" style="2" customWidth="1"/>
    <col min="6671" max="6672" width="10.7142857142857" style="2" customWidth="1"/>
    <col min="6673" max="6673" width="8.71428571428571" style="2" customWidth="1"/>
    <col min="6674" max="6674" width="2.71428571428571" style="2" customWidth="1"/>
    <col min="6675" max="6675" width="9.14285714285714" style="2"/>
    <col min="6676" max="6676" width="2.71428571428571" style="2" customWidth="1"/>
    <col min="6677" max="6913" width="9.14285714285714" style="2"/>
    <col min="6914" max="6914" width="4.71428571428571" style="2" customWidth="1"/>
    <col min="6915" max="6915" width="8.71428571428571" style="2" customWidth="1"/>
    <col min="6916" max="6916" width="7.71428571428571" style="2" customWidth="1"/>
    <col min="6917" max="6917" width="8.71428571428571" style="2" customWidth="1"/>
    <col min="6918" max="6918" width="2.71428571428571" style="2" customWidth="1"/>
    <col min="6919" max="6919" width="8.71428571428571" style="2" customWidth="1"/>
    <col min="6920" max="6920" width="2.71428571428571" style="2" customWidth="1"/>
    <col min="6921" max="6921" width="10.7142857142857" style="2" customWidth="1"/>
    <col min="6922" max="6922" width="2.71428571428571" style="2" customWidth="1"/>
    <col min="6923" max="6923" width="8.71428571428571" style="2" customWidth="1"/>
    <col min="6924" max="6924" width="10.7142857142857" style="2" customWidth="1"/>
    <col min="6925" max="6925" width="8.71428571428571" style="2" customWidth="1"/>
    <col min="6926" max="6926" width="2.71428571428571" style="2" customWidth="1"/>
    <col min="6927" max="6928" width="10.7142857142857" style="2" customWidth="1"/>
    <col min="6929" max="6929" width="8.71428571428571" style="2" customWidth="1"/>
    <col min="6930" max="6930" width="2.71428571428571" style="2" customWidth="1"/>
    <col min="6931" max="6931" width="9.14285714285714" style="2"/>
    <col min="6932" max="6932" width="2.71428571428571" style="2" customWidth="1"/>
    <col min="6933" max="7169" width="9.14285714285714" style="2"/>
    <col min="7170" max="7170" width="4.71428571428571" style="2" customWidth="1"/>
    <col min="7171" max="7171" width="8.71428571428571" style="2" customWidth="1"/>
    <col min="7172" max="7172" width="7.71428571428571" style="2" customWidth="1"/>
    <col min="7173" max="7173" width="8.71428571428571" style="2" customWidth="1"/>
    <col min="7174" max="7174" width="2.71428571428571" style="2" customWidth="1"/>
    <col min="7175" max="7175" width="8.71428571428571" style="2" customWidth="1"/>
    <col min="7176" max="7176" width="2.71428571428571" style="2" customWidth="1"/>
    <col min="7177" max="7177" width="10.7142857142857" style="2" customWidth="1"/>
    <col min="7178" max="7178" width="2.71428571428571" style="2" customWidth="1"/>
    <col min="7179" max="7179" width="8.71428571428571" style="2" customWidth="1"/>
    <col min="7180" max="7180" width="10.7142857142857" style="2" customWidth="1"/>
    <col min="7181" max="7181" width="8.71428571428571" style="2" customWidth="1"/>
    <col min="7182" max="7182" width="2.71428571428571" style="2" customWidth="1"/>
    <col min="7183" max="7184" width="10.7142857142857" style="2" customWidth="1"/>
    <col min="7185" max="7185" width="8.71428571428571" style="2" customWidth="1"/>
    <col min="7186" max="7186" width="2.71428571428571" style="2" customWidth="1"/>
    <col min="7187" max="7187" width="9.14285714285714" style="2"/>
    <col min="7188" max="7188" width="2.71428571428571" style="2" customWidth="1"/>
    <col min="7189" max="7425" width="9.14285714285714" style="2"/>
    <col min="7426" max="7426" width="4.71428571428571" style="2" customWidth="1"/>
    <col min="7427" max="7427" width="8.71428571428571" style="2" customWidth="1"/>
    <col min="7428" max="7428" width="7.71428571428571" style="2" customWidth="1"/>
    <col min="7429" max="7429" width="8.71428571428571" style="2" customWidth="1"/>
    <col min="7430" max="7430" width="2.71428571428571" style="2" customWidth="1"/>
    <col min="7431" max="7431" width="8.71428571428571" style="2" customWidth="1"/>
    <col min="7432" max="7432" width="2.71428571428571" style="2" customWidth="1"/>
    <col min="7433" max="7433" width="10.7142857142857" style="2" customWidth="1"/>
    <col min="7434" max="7434" width="2.71428571428571" style="2" customWidth="1"/>
    <col min="7435" max="7435" width="8.71428571428571" style="2" customWidth="1"/>
    <col min="7436" max="7436" width="10.7142857142857" style="2" customWidth="1"/>
    <col min="7437" max="7437" width="8.71428571428571" style="2" customWidth="1"/>
    <col min="7438" max="7438" width="2.71428571428571" style="2" customWidth="1"/>
    <col min="7439" max="7440" width="10.7142857142857" style="2" customWidth="1"/>
    <col min="7441" max="7441" width="8.71428571428571" style="2" customWidth="1"/>
    <col min="7442" max="7442" width="2.71428571428571" style="2" customWidth="1"/>
    <col min="7443" max="7443" width="9.14285714285714" style="2"/>
    <col min="7444" max="7444" width="2.71428571428571" style="2" customWidth="1"/>
    <col min="7445" max="7681" width="9.14285714285714" style="2"/>
    <col min="7682" max="7682" width="4.71428571428571" style="2" customWidth="1"/>
    <col min="7683" max="7683" width="8.71428571428571" style="2" customWidth="1"/>
    <col min="7684" max="7684" width="7.71428571428571" style="2" customWidth="1"/>
    <col min="7685" max="7685" width="8.71428571428571" style="2" customWidth="1"/>
    <col min="7686" max="7686" width="2.71428571428571" style="2" customWidth="1"/>
    <col min="7687" max="7687" width="8.71428571428571" style="2" customWidth="1"/>
    <col min="7688" max="7688" width="2.71428571428571" style="2" customWidth="1"/>
    <col min="7689" max="7689" width="10.7142857142857" style="2" customWidth="1"/>
    <col min="7690" max="7690" width="2.71428571428571" style="2" customWidth="1"/>
    <col min="7691" max="7691" width="8.71428571428571" style="2" customWidth="1"/>
    <col min="7692" max="7692" width="10.7142857142857" style="2" customWidth="1"/>
    <col min="7693" max="7693" width="8.71428571428571" style="2" customWidth="1"/>
    <col min="7694" max="7694" width="2.71428571428571" style="2" customWidth="1"/>
    <col min="7695" max="7696" width="10.7142857142857" style="2" customWidth="1"/>
    <col min="7697" max="7697" width="8.71428571428571" style="2" customWidth="1"/>
    <col min="7698" max="7698" width="2.71428571428571" style="2" customWidth="1"/>
    <col min="7699" max="7699" width="9.14285714285714" style="2"/>
    <col min="7700" max="7700" width="2.71428571428571" style="2" customWidth="1"/>
    <col min="7701" max="7937" width="9.14285714285714" style="2"/>
    <col min="7938" max="7938" width="4.71428571428571" style="2" customWidth="1"/>
    <col min="7939" max="7939" width="8.71428571428571" style="2" customWidth="1"/>
    <col min="7940" max="7940" width="7.71428571428571" style="2" customWidth="1"/>
    <col min="7941" max="7941" width="8.71428571428571" style="2" customWidth="1"/>
    <col min="7942" max="7942" width="2.71428571428571" style="2" customWidth="1"/>
    <col min="7943" max="7943" width="8.71428571428571" style="2" customWidth="1"/>
    <col min="7944" max="7944" width="2.71428571428571" style="2" customWidth="1"/>
    <col min="7945" max="7945" width="10.7142857142857" style="2" customWidth="1"/>
    <col min="7946" max="7946" width="2.71428571428571" style="2" customWidth="1"/>
    <col min="7947" max="7947" width="8.71428571428571" style="2" customWidth="1"/>
    <col min="7948" max="7948" width="10.7142857142857" style="2" customWidth="1"/>
    <col min="7949" max="7949" width="8.71428571428571" style="2" customWidth="1"/>
    <col min="7950" max="7950" width="2.71428571428571" style="2" customWidth="1"/>
    <col min="7951" max="7952" width="10.7142857142857" style="2" customWidth="1"/>
    <col min="7953" max="7953" width="8.71428571428571" style="2" customWidth="1"/>
    <col min="7954" max="7954" width="2.71428571428571" style="2" customWidth="1"/>
    <col min="7955" max="7955" width="9.14285714285714" style="2"/>
    <col min="7956" max="7956" width="2.71428571428571" style="2" customWidth="1"/>
    <col min="7957" max="8193" width="9.14285714285714" style="2"/>
    <col min="8194" max="8194" width="4.71428571428571" style="2" customWidth="1"/>
    <col min="8195" max="8195" width="8.71428571428571" style="2" customWidth="1"/>
    <col min="8196" max="8196" width="7.71428571428571" style="2" customWidth="1"/>
    <col min="8197" max="8197" width="8.71428571428571" style="2" customWidth="1"/>
    <col min="8198" max="8198" width="2.71428571428571" style="2" customWidth="1"/>
    <col min="8199" max="8199" width="8.71428571428571" style="2" customWidth="1"/>
    <col min="8200" max="8200" width="2.71428571428571" style="2" customWidth="1"/>
    <col min="8201" max="8201" width="10.7142857142857" style="2" customWidth="1"/>
    <col min="8202" max="8202" width="2.71428571428571" style="2" customWidth="1"/>
    <col min="8203" max="8203" width="8.71428571428571" style="2" customWidth="1"/>
    <col min="8204" max="8204" width="10.7142857142857" style="2" customWidth="1"/>
    <col min="8205" max="8205" width="8.71428571428571" style="2" customWidth="1"/>
    <col min="8206" max="8206" width="2.71428571428571" style="2" customWidth="1"/>
    <col min="8207" max="8208" width="10.7142857142857" style="2" customWidth="1"/>
    <col min="8209" max="8209" width="8.71428571428571" style="2" customWidth="1"/>
    <col min="8210" max="8210" width="2.71428571428571" style="2" customWidth="1"/>
    <col min="8211" max="8211" width="9.14285714285714" style="2"/>
    <col min="8212" max="8212" width="2.71428571428571" style="2" customWidth="1"/>
    <col min="8213" max="8449" width="9.14285714285714" style="2"/>
    <col min="8450" max="8450" width="4.71428571428571" style="2" customWidth="1"/>
    <col min="8451" max="8451" width="8.71428571428571" style="2" customWidth="1"/>
    <col min="8452" max="8452" width="7.71428571428571" style="2" customWidth="1"/>
    <col min="8453" max="8453" width="8.71428571428571" style="2" customWidth="1"/>
    <col min="8454" max="8454" width="2.71428571428571" style="2" customWidth="1"/>
    <col min="8455" max="8455" width="8.71428571428571" style="2" customWidth="1"/>
    <col min="8456" max="8456" width="2.71428571428571" style="2" customWidth="1"/>
    <col min="8457" max="8457" width="10.7142857142857" style="2" customWidth="1"/>
    <col min="8458" max="8458" width="2.71428571428571" style="2" customWidth="1"/>
    <col min="8459" max="8459" width="8.71428571428571" style="2" customWidth="1"/>
    <col min="8460" max="8460" width="10.7142857142857" style="2" customWidth="1"/>
    <col min="8461" max="8461" width="8.71428571428571" style="2" customWidth="1"/>
    <col min="8462" max="8462" width="2.71428571428571" style="2" customWidth="1"/>
    <col min="8463" max="8464" width="10.7142857142857" style="2" customWidth="1"/>
    <col min="8465" max="8465" width="8.71428571428571" style="2" customWidth="1"/>
    <col min="8466" max="8466" width="2.71428571428571" style="2" customWidth="1"/>
    <col min="8467" max="8467" width="9.14285714285714" style="2"/>
    <col min="8468" max="8468" width="2.71428571428571" style="2" customWidth="1"/>
    <col min="8469" max="8705" width="9.14285714285714" style="2"/>
    <col min="8706" max="8706" width="4.71428571428571" style="2" customWidth="1"/>
    <col min="8707" max="8707" width="8.71428571428571" style="2" customWidth="1"/>
    <col min="8708" max="8708" width="7.71428571428571" style="2" customWidth="1"/>
    <col min="8709" max="8709" width="8.71428571428571" style="2" customWidth="1"/>
    <col min="8710" max="8710" width="2.71428571428571" style="2" customWidth="1"/>
    <col min="8711" max="8711" width="8.71428571428571" style="2" customWidth="1"/>
    <col min="8712" max="8712" width="2.71428571428571" style="2" customWidth="1"/>
    <col min="8713" max="8713" width="10.7142857142857" style="2" customWidth="1"/>
    <col min="8714" max="8714" width="2.71428571428571" style="2" customWidth="1"/>
    <col min="8715" max="8715" width="8.71428571428571" style="2" customWidth="1"/>
    <col min="8716" max="8716" width="10.7142857142857" style="2" customWidth="1"/>
    <col min="8717" max="8717" width="8.71428571428571" style="2" customWidth="1"/>
    <col min="8718" max="8718" width="2.71428571428571" style="2" customWidth="1"/>
    <col min="8719" max="8720" width="10.7142857142857" style="2" customWidth="1"/>
    <col min="8721" max="8721" width="8.71428571428571" style="2" customWidth="1"/>
    <col min="8722" max="8722" width="2.71428571428571" style="2" customWidth="1"/>
    <col min="8723" max="8723" width="9.14285714285714" style="2"/>
    <col min="8724" max="8724" width="2.71428571428571" style="2" customWidth="1"/>
    <col min="8725" max="8961" width="9.14285714285714" style="2"/>
    <col min="8962" max="8962" width="4.71428571428571" style="2" customWidth="1"/>
    <col min="8963" max="8963" width="8.71428571428571" style="2" customWidth="1"/>
    <col min="8964" max="8964" width="7.71428571428571" style="2" customWidth="1"/>
    <col min="8965" max="8965" width="8.71428571428571" style="2" customWidth="1"/>
    <col min="8966" max="8966" width="2.71428571428571" style="2" customWidth="1"/>
    <col min="8967" max="8967" width="8.71428571428571" style="2" customWidth="1"/>
    <col min="8968" max="8968" width="2.71428571428571" style="2" customWidth="1"/>
    <col min="8969" max="8969" width="10.7142857142857" style="2" customWidth="1"/>
    <col min="8970" max="8970" width="2.71428571428571" style="2" customWidth="1"/>
    <col min="8971" max="8971" width="8.71428571428571" style="2" customWidth="1"/>
    <col min="8972" max="8972" width="10.7142857142857" style="2" customWidth="1"/>
    <col min="8973" max="8973" width="8.71428571428571" style="2" customWidth="1"/>
    <col min="8974" max="8974" width="2.71428571428571" style="2" customWidth="1"/>
    <col min="8975" max="8976" width="10.7142857142857" style="2" customWidth="1"/>
    <col min="8977" max="8977" width="8.71428571428571" style="2" customWidth="1"/>
    <col min="8978" max="8978" width="2.71428571428571" style="2" customWidth="1"/>
    <col min="8979" max="8979" width="9.14285714285714" style="2"/>
    <col min="8980" max="8980" width="2.71428571428571" style="2" customWidth="1"/>
    <col min="8981" max="9217" width="9.14285714285714" style="2"/>
    <col min="9218" max="9218" width="4.71428571428571" style="2" customWidth="1"/>
    <col min="9219" max="9219" width="8.71428571428571" style="2" customWidth="1"/>
    <col min="9220" max="9220" width="7.71428571428571" style="2" customWidth="1"/>
    <col min="9221" max="9221" width="8.71428571428571" style="2" customWidth="1"/>
    <col min="9222" max="9222" width="2.71428571428571" style="2" customWidth="1"/>
    <col min="9223" max="9223" width="8.71428571428571" style="2" customWidth="1"/>
    <col min="9224" max="9224" width="2.71428571428571" style="2" customWidth="1"/>
    <col min="9225" max="9225" width="10.7142857142857" style="2" customWidth="1"/>
    <col min="9226" max="9226" width="2.71428571428571" style="2" customWidth="1"/>
    <col min="9227" max="9227" width="8.71428571428571" style="2" customWidth="1"/>
    <col min="9228" max="9228" width="10.7142857142857" style="2" customWidth="1"/>
    <col min="9229" max="9229" width="8.71428571428571" style="2" customWidth="1"/>
    <col min="9230" max="9230" width="2.71428571428571" style="2" customWidth="1"/>
    <col min="9231" max="9232" width="10.7142857142857" style="2" customWidth="1"/>
    <col min="9233" max="9233" width="8.71428571428571" style="2" customWidth="1"/>
    <col min="9234" max="9234" width="2.71428571428571" style="2" customWidth="1"/>
    <col min="9235" max="9235" width="9.14285714285714" style="2"/>
    <col min="9236" max="9236" width="2.71428571428571" style="2" customWidth="1"/>
    <col min="9237" max="9473" width="9.14285714285714" style="2"/>
    <col min="9474" max="9474" width="4.71428571428571" style="2" customWidth="1"/>
    <col min="9475" max="9475" width="8.71428571428571" style="2" customWidth="1"/>
    <col min="9476" max="9476" width="7.71428571428571" style="2" customWidth="1"/>
    <col min="9477" max="9477" width="8.71428571428571" style="2" customWidth="1"/>
    <col min="9478" max="9478" width="2.71428571428571" style="2" customWidth="1"/>
    <col min="9479" max="9479" width="8.71428571428571" style="2" customWidth="1"/>
    <col min="9480" max="9480" width="2.71428571428571" style="2" customWidth="1"/>
    <col min="9481" max="9481" width="10.7142857142857" style="2" customWidth="1"/>
    <col min="9482" max="9482" width="2.71428571428571" style="2" customWidth="1"/>
    <col min="9483" max="9483" width="8.71428571428571" style="2" customWidth="1"/>
    <col min="9484" max="9484" width="10.7142857142857" style="2" customWidth="1"/>
    <col min="9485" max="9485" width="8.71428571428571" style="2" customWidth="1"/>
    <col min="9486" max="9486" width="2.71428571428571" style="2" customWidth="1"/>
    <col min="9487" max="9488" width="10.7142857142857" style="2" customWidth="1"/>
    <col min="9489" max="9489" width="8.71428571428571" style="2" customWidth="1"/>
    <col min="9490" max="9490" width="2.71428571428571" style="2" customWidth="1"/>
    <col min="9491" max="9491" width="9.14285714285714" style="2"/>
    <col min="9492" max="9492" width="2.71428571428571" style="2" customWidth="1"/>
    <col min="9493" max="9729" width="9.14285714285714" style="2"/>
    <col min="9730" max="9730" width="4.71428571428571" style="2" customWidth="1"/>
    <col min="9731" max="9731" width="8.71428571428571" style="2" customWidth="1"/>
    <col min="9732" max="9732" width="7.71428571428571" style="2" customWidth="1"/>
    <col min="9733" max="9733" width="8.71428571428571" style="2" customWidth="1"/>
    <col min="9734" max="9734" width="2.71428571428571" style="2" customWidth="1"/>
    <col min="9735" max="9735" width="8.71428571428571" style="2" customWidth="1"/>
    <col min="9736" max="9736" width="2.71428571428571" style="2" customWidth="1"/>
    <col min="9737" max="9737" width="10.7142857142857" style="2" customWidth="1"/>
    <col min="9738" max="9738" width="2.71428571428571" style="2" customWidth="1"/>
    <col min="9739" max="9739" width="8.71428571428571" style="2" customWidth="1"/>
    <col min="9740" max="9740" width="10.7142857142857" style="2" customWidth="1"/>
    <col min="9741" max="9741" width="8.71428571428571" style="2" customWidth="1"/>
    <col min="9742" max="9742" width="2.71428571428571" style="2" customWidth="1"/>
    <col min="9743" max="9744" width="10.7142857142857" style="2" customWidth="1"/>
    <col min="9745" max="9745" width="8.71428571428571" style="2" customWidth="1"/>
    <col min="9746" max="9746" width="2.71428571428571" style="2" customWidth="1"/>
    <col min="9747" max="9747" width="9.14285714285714" style="2"/>
    <col min="9748" max="9748" width="2.71428571428571" style="2" customWidth="1"/>
    <col min="9749" max="9985" width="9.14285714285714" style="2"/>
    <col min="9986" max="9986" width="4.71428571428571" style="2" customWidth="1"/>
    <col min="9987" max="9987" width="8.71428571428571" style="2" customWidth="1"/>
    <col min="9988" max="9988" width="7.71428571428571" style="2" customWidth="1"/>
    <col min="9989" max="9989" width="8.71428571428571" style="2" customWidth="1"/>
    <col min="9990" max="9990" width="2.71428571428571" style="2" customWidth="1"/>
    <col min="9991" max="9991" width="8.71428571428571" style="2" customWidth="1"/>
    <col min="9992" max="9992" width="2.71428571428571" style="2" customWidth="1"/>
    <col min="9993" max="9993" width="10.7142857142857" style="2" customWidth="1"/>
    <col min="9994" max="9994" width="2.71428571428571" style="2" customWidth="1"/>
    <col min="9995" max="9995" width="8.71428571428571" style="2" customWidth="1"/>
    <col min="9996" max="9996" width="10.7142857142857" style="2" customWidth="1"/>
    <col min="9997" max="9997" width="8.71428571428571" style="2" customWidth="1"/>
    <col min="9998" max="9998" width="2.71428571428571" style="2" customWidth="1"/>
    <col min="9999" max="10000" width="10.7142857142857" style="2" customWidth="1"/>
    <col min="10001" max="10001" width="8.71428571428571" style="2" customWidth="1"/>
    <col min="10002" max="10002" width="2.71428571428571" style="2" customWidth="1"/>
    <col min="10003" max="10003" width="9.14285714285714" style="2"/>
    <col min="10004" max="10004" width="2.71428571428571" style="2" customWidth="1"/>
    <col min="10005" max="10241" width="9.14285714285714" style="2"/>
    <col min="10242" max="10242" width="4.71428571428571" style="2" customWidth="1"/>
    <col min="10243" max="10243" width="8.71428571428571" style="2" customWidth="1"/>
    <col min="10244" max="10244" width="7.71428571428571" style="2" customWidth="1"/>
    <col min="10245" max="10245" width="8.71428571428571" style="2" customWidth="1"/>
    <col min="10246" max="10246" width="2.71428571428571" style="2" customWidth="1"/>
    <col min="10247" max="10247" width="8.71428571428571" style="2" customWidth="1"/>
    <col min="10248" max="10248" width="2.71428571428571" style="2" customWidth="1"/>
    <col min="10249" max="10249" width="10.7142857142857" style="2" customWidth="1"/>
    <col min="10250" max="10250" width="2.71428571428571" style="2" customWidth="1"/>
    <col min="10251" max="10251" width="8.71428571428571" style="2" customWidth="1"/>
    <col min="10252" max="10252" width="10.7142857142857" style="2" customWidth="1"/>
    <col min="10253" max="10253" width="8.71428571428571" style="2" customWidth="1"/>
    <col min="10254" max="10254" width="2.71428571428571" style="2" customWidth="1"/>
    <col min="10255" max="10256" width="10.7142857142857" style="2" customWidth="1"/>
    <col min="10257" max="10257" width="8.71428571428571" style="2" customWidth="1"/>
    <col min="10258" max="10258" width="2.71428571428571" style="2" customWidth="1"/>
    <col min="10259" max="10259" width="9.14285714285714" style="2"/>
    <col min="10260" max="10260" width="2.71428571428571" style="2" customWidth="1"/>
    <col min="10261" max="10497" width="9.14285714285714" style="2"/>
    <col min="10498" max="10498" width="4.71428571428571" style="2" customWidth="1"/>
    <col min="10499" max="10499" width="8.71428571428571" style="2" customWidth="1"/>
    <col min="10500" max="10500" width="7.71428571428571" style="2" customWidth="1"/>
    <col min="10501" max="10501" width="8.71428571428571" style="2" customWidth="1"/>
    <col min="10502" max="10502" width="2.71428571428571" style="2" customWidth="1"/>
    <col min="10503" max="10503" width="8.71428571428571" style="2" customWidth="1"/>
    <col min="10504" max="10504" width="2.71428571428571" style="2" customWidth="1"/>
    <col min="10505" max="10505" width="10.7142857142857" style="2" customWidth="1"/>
    <col min="10506" max="10506" width="2.71428571428571" style="2" customWidth="1"/>
    <col min="10507" max="10507" width="8.71428571428571" style="2" customWidth="1"/>
    <col min="10508" max="10508" width="10.7142857142857" style="2" customWidth="1"/>
    <col min="10509" max="10509" width="8.71428571428571" style="2" customWidth="1"/>
    <col min="10510" max="10510" width="2.71428571428571" style="2" customWidth="1"/>
    <col min="10511" max="10512" width="10.7142857142857" style="2" customWidth="1"/>
    <col min="10513" max="10513" width="8.71428571428571" style="2" customWidth="1"/>
    <col min="10514" max="10514" width="2.71428571428571" style="2" customWidth="1"/>
    <col min="10515" max="10515" width="9.14285714285714" style="2"/>
    <col min="10516" max="10516" width="2.71428571428571" style="2" customWidth="1"/>
    <col min="10517" max="10753" width="9.14285714285714" style="2"/>
    <col min="10754" max="10754" width="4.71428571428571" style="2" customWidth="1"/>
    <col min="10755" max="10755" width="8.71428571428571" style="2" customWidth="1"/>
    <col min="10756" max="10756" width="7.71428571428571" style="2" customWidth="1"/>
    <col min="10757" max="10757" width="8.71428571428571" style="2" customWidth="1"/>
    <col min="10758" max="10758" width="2.71428571428571" style="2" customWidth="1"/>
    <col min="10759" max="10759" width="8.71428571428571" style="2" customWidth="1"/>
    <col min="10760" max="10760" width="2.71428571428571" style="2" customWidth="1"/>
    <col min="10761" max="10761" width="10.7142857142857" style="2" customWidth="1"/>
    <col min="10762" max="10762" width="2.71428571428571" style="2" customWidth="1"/>
    <col min="10763" max="10763" width="8.71428571428571" style="2" customWidth="1"/>
    <col min="10764" max="10764" width="10.7142857142857" style="2" customWidth="1"/>
    <col min="10765" max="10765" width="8.71428571428571" style="2" customWidth="1"/>
    <col min="10766" max="10766" width="2.71428571428571" style="2" customWidth="1"/>
    <col min="10767" max="10768" width="10.7142857142857" style="2" customWidth="1"/>
    <col min="10769" max="10769" width="8.71428571428571" style="2" customWidth="1"/>
    <col min="10770" max="10770" width="2.71428571428571" style="2" customWidth="1"/>
    <col min="10771" max="10771" width="9.14285714285714" style="2"/>
    <col min="10772" max="10772" width="2.71428571428571" style="2" customWidth="1"/>
    <col min="10773" max="11009" width="9.14285714285714" style="2"/>
    <col min="11010" max="11010" width="4.71428571428571" style="2" customWidth="1"/>
    <col min="11011" max="11011" width="8.71428571428571" style="2" customWidth="1"/>
    <col min="11012" max="11012" width="7.71428571428571" style="2" customWidth="1"/>
    <col min="11013" max="11013" width="8.71428571428571" style="2" customWidth="1"/>
    <col min="11014" max="11014" width="2.71428571428571" style="2" customWidth="1"/>
    <col min="11015" max="11015" width="8.71428571428571" style="2" customWidth="1"/>
    <col min="11016" max="11016" width="2.71428571428571" style="2" customWidth="1"/>
    <col min="11017" max="11017" width="10.7142857142857" style="2" customWidth="1"/>
    <col min="11018" max="11018" width="2.71428571428571" style="2" customWidth="1"/>
    <col min="11019" max="11019" width="8.71428571428571" style="2" customWidth="1"/>
    <col min="11020" max="11020" width="10.7142857142857" style="2" customWidth="1"/>
    <col min="11021" max="11021" width="8.71428571428571" style="2" customWidth="1"/>
    <col min="11022" max="11022" width="2.71428571428571" style="2" customWidth="1"/>
    <col min="11023" max="11024" width="10.7142857142857" style="2" customWidth="1"/>
    <col min="11025" max="11025" width="8.71428571428571" style="2" customWidth="1"/>
    <col min="11026" max="11026" width="2.71428571428571" style="2" customWidth="1"/>
    <col min="11027" max="11027" width="9.14285714285714" style="2"/>
    <col min="11028" max="11028" width="2.71428571428571" style="2" customWidth="1"/>
    <col min="11029" max="11265" width="9.14285714285714" style="2"/>
    <col min="11266" max="11266" width="4.71428571428571" style="2" customWidth="1"/>
    <col min="11267" max="11267" width="8.71428571428571" style="2" customWidth="1"/>
    <col min="11268" max="11268" width="7.71428571428571" style="2" customWidth="1"/>
    <col min="11269" max="11269" width="8.71428571428571" style="2" customWidth="1"/>
    <col min="11270" max="11270" width="2.71428571428571" style="2" customWidth="1"/>
    <col min="11271" max="11271" width="8.71428571428571" style="2" customWidth="1"/>
    <col min="11272" max="11272" width="2.71428571428571" style="2" customWidth="1"/>
    <col min="11273" max="11273" width="10.7142857142857" style="2" customWidth="1"/>
    <col min="11274" max="11274" width="2.71428571428571" style="2" customWidth="1"/>
    <col min="11275" max="11275" width="8.71428571428571" style="2" customWidth="1"/>
    <col min="11276" max="11276" width="10.7142857142857" style="2" customWidth="1"/>
    <col min="11277" max="11277" width="8.71428571428571" style="2" customWidth="1"/>
    <col min="11278" max="11278" width="2.71428571428571" style="2" customWidth="1"/>
    <col min="11279" max="11280" width="10.7142857142857" style="2" customWidth="1"/>
    <col min="11281" max="11281" width="8.71428571428571" style="2" customWidth="1"/>
    <col min="11282" max="11282" width="2.71428571428571" style="2" customWidth="1"/>
    <col min="11283" max="11283" width="9.14285714285714" style="2"/>
    <col min="11284" max="11284" width="2.71428571428571" style="2" customWidth="1"/>
    <col min="11285" max="11521" width="9.14285714285714" style="2"/>
    <col min="11522" max="11522" width="4.71428571428571" style="2" customWidth="1"/>
    <col min="11523" max="11523" width="8.71428571428571" style="2" customWidth="1"/>
    <col min="11524" max="11524" width="7.71428571428571" style="2" customWidth="1"/>
    <col min="11525" max="11525" width="8.71428571428571" style="2" customWidth="1"/>
    <col min="11526" max="11526" width="2.71428571428571" style="2" customWidth="1"/>
    <col min="11527" max="11527" width="8.71428571428571" style="2" customWidth="1"/>
    <col min="11528" max="11528" width="2.71428571428571" style="2" customWidth="1"/>
    <col min="11529" max="11529" width="10.7142857142857" style="2" customWidth="1"/>
    <col min="11530" max="11530" width="2.71428571428571" style="2" customWidth="1"/>
    <col min="11531" max="11531" width="8.71428571428571" style="2" customWidth="1"/>
    <col min="11532" max="11532" width="10.7142857142857" style="2" customWidth="1"/>
    <col min="11533" max="11533" width="8.71428571428571" style="2" customWidth="1"/>
    <col min="11534" max="11534" width="2.71428571428571" style="2" customWidth="1"/>
    <col min="11535" max="11536" width="10.7142857142857" style="2" customWidth="1"/>
    <col min="11537" max="11537" width="8.71428571428571" style="2" customWidth="1"/>
    <col min="11538" max="11538" width="2.71428571428571" style="2" customWidth="1"/>
    <col min="11539" max="11539" width="9.14285714285714" style="2"/>
    <col min="11540" max="11540" width="2.71428571428571" style="2" customWidth="1"/>
    <col min="11541" max="11777" width="9.14285714285714" style="2"/>
    <col min="11778" max="11778" width="4.71428571428571" style="2" customWidth="1"/>
    <col min="11779" max="11779" width="8.71428571428571" style="2" customWidth="1"/>
    <col min="11780" max="11780" width="7.71428571428571" style="2" customWidth="1"/>
    <col min="11781" max="11781" width="8.71428571428571" style="2" customWidth="1"/>
    <col min="11782" max="11782" width="2.71428571428571" style="2" customWidth="1"/>
    <col min="11783" max="11783" width="8.71428571428571" style="2" customWidth="1"/>
    <col min="11784" max="11784" width="2.71428571428571" style="2" customWidth="1"/>
    <col min="11785" max="11785" width="10.7142857142857" style="2" customWidth="1"/>
    <col min="11786" max="11786" width="2.71428571428571" style="2" customWidth="1"/>
    <col min="11787" max="11787" width="8.71428571428571" style="2" customWidth="1"/>
    <col min="11788" max="11788" width="10.7142857142857" style="2" customWidth="1"/>
    <col min="11789" max="11789" width="8.71428571428571" style="2" customWidth="1"/>
    <col min="11790" max="11790" width="2.71428571428571" style="2" customWidth="1"/>
    <col min="11791" max="11792" width="10.7142857142857" style="2" customWidth="1"/>
    <col min="11793" max="11793" width="8.71428571428571" style="2" customWidth="1"/>
    <col min="11794" max="11794" width="2.71428571428571" style="2" customWidth="1"/>
    <col min="11795" max="11795" width="9.14285714285714" style="2"/>
    <col min="11796" max="11796" width="2.71428571428571" style="2" customWidth="1"/>
    <col min="11797" max="12033" width="9.14285714285714" style="2"/>
    <col min="12034" max="12034" width="4.71428571428571" style="2" customWidth="1"/>
    <col min="12035" max="12035" width="8.71428571428571" style="2" customWidth="1"/>
    <col min="12036" max="12036" width="7.71428571428571" style="2" customWidth="1"/>
    <col min="12037" max="12037" width="8.71428571428571" style="2" customWidth="1"/>
    <col min="12038" max="12038" width="2.71428571428571" style="2" customWidth="1"/>
    <col min="12039" max="12039" width="8.71428571428571" style="2" customWidth="1"/>
    <col min="12040" max="12040" width="2.71428571428571" style="2" customWidth="1"/>
    <col min="12041" max="12041" width="10.7142857142857" style="2" customWidth="1"/>
    <col min="12042" max="12042" width="2.71428571428571" style="2" customWidth="1"/>
    <col min="12043" max="12043" width="8.71428571428571" style="2" customWidth="1"/>
    <col min="12044" max="12044" width="10.7142857142857" style="2" customWidth="1"/>
    <col min="12045" max="12045" width="8.71428571428571" style="2" customWidth="1"/>
    <col min="12046" max="12046" width="2.71428571428571" style="2" customWidth="1"/>
    <col min="12047" max="12048" width="10.7142857142857" style="2" customWidth="1"/>
    <col min="12049" max="12049" width="8.71428571428571" style="2" customWidth="1"/>
    <col min="12050" max="12050" width="2.71428571428571" style="2" customWidth="1"/>
    <col min="12051" max="12051" width="9.14285714285714" style="2"/>
    <col min="12052" max="12052" width="2.71428571428571" style="2" customWidth="1"/>
    <col min="12053" max="12289" width="9.14285714285714" style="2"/>
    <col min="12290" max="12290" width="4.71428571428571" style="2" customWidth="1"/>
    <col min="12291" max="12291" width="8.71428571428571" style="2" customWidth="1"/>
    <col min="12292" max="12292" width="7.71428571428571" style="2" customWidth="1"/>
    <col min="12293" max="12293" width="8.71428571428571" style="2" customWidth="1"/>
    <col min="12294" max="12294" width="2.71428571428571" style="2" customWidth="1"/>
    <col min="12295" max="12295" width="8.71428571428571" style="2" customWidth="1"/>
    <col min="12296" max="12296" width="2.71428571428571" style="2" customWidth="1"/>
    <col min="12297" max="12297" width="10.7142857142857" style="2" customWidth="1"/>
    <col min="12298" max="12298" width="2.71428571428571" style="2" customWidth="1"/>
    <col min="12299" max="12299" width="8.71428571428571" style="2" customWidth="1"/>
    <col min="12300" max="12300" width="10.7142857142857" style="2" customWidth="1"/>
    <col min="12301" max="12301" width="8.71428571428571" style="2" customWidth="1"/>
    <col min="12302" max="12302" width="2.71428571428571" style="2" customWidth="1"/>
    <col min="12303" max="12304" width="10.7142857142857" style="2" customWidth="1"/>
    <col min="12305" max="12305" width="8.71428571428571" style="2" customWidth="1"/>
    <col min="12306" max="12306" width="2.71428571428571" style="2" customWidth="1"/>
    <col min="12307" max="12307" width="9.14285714285714" style="2"/>
    <col min="12308" max="12308" width="2.71428571428571" style="2" customWidth="1"/>
    <col min="12309" max="12545" width="9.14285714285714" style="2"/>
    <col min="12546" max="12546" width="4.71428571428571" style="2" customWidth="1"/>
    <col min="12547" max="12547" width="8.71428571428571" style="2" customWidth="1"/>
    <col min="12548" max="12548" width="7.71428571428571" style="2" customWidth="1"/>
    <col min="12549" max="12549" width="8.71428571428571" style="2" customWidth="1"/>
    <col min="12550" max="12550" width="2.71428571428571" style="2" customWidth="1"/>
    <col min="12551" max="12551" width="8.71428571428571" style="2" customWidth="1"/>
    <col min="12552" max="12552" width="2.71428571428571" style="2" customWidth="1"/>
    <col min="12553" max="12553" width="10.7142857142857" style="2" customWidth="1"/>
    <col min="12554" max="12554" width="2.71428571428571" style="2" customWidth="1"/>
    <col min="12555" max="12555" width="8.71428571428571" style="2" customWidth="1"/>
    <col min="12556" max="12556" width="10.7142857142857" style="2" customWidth="1"/>
    <col min="12557" max="12557" width="8.71428571428571" style="2" customWidth="1"/>
    <col min="12558" max="12558" width="2.71428571428571" style="2" customWidth="1"/>
    <col min="12559" max="12560" width="10.7142857142857" style="2" customWidth="1"/>
    <col min="12561" max="12561" width="8.71428571428571" style="2" customWidth="1"/>
    <col min="12562" max="12562" width="2.71428571428571" style="2" customWidth="1"/>
    <col min="12563" max="12563" width="9.14285714285714" style="2"/>
    <col min="12564" max="12564" width="2.71428571428571" style="2" customWidth="1"/>
    <col min="12565" max="12801" width="9.14285714285714" style="2"/>
    <col min="12802" max="12802" width="4.71428571428571" style="2" customWidth="1"/>
    <col min="12803" max="12803" width="8.71428571428571" style="2" customWidth="1"/>
    <col min="12804" max="12804" width="7.71428571428571" style="2" customWidth="1"/>
    <col min="12805" max="12805" width="8.71428571428571" style="2" customWidth="1"/>
    <col min="12806" max="12806" width="2.71428571428571" style="2" customWidth="1"/>
    <col min="12807" max="12807" width="8.71428571428571" style="2" customWidth="1"/>
    <col min="12808" max="12808" width="2.71428571428571" style="2" customWidth="1"/>
    <col min="12809" max="12809" width="10.7142857142857" style="2" customWidth="1"/>
    <col min="12810" max="12810" width="2.71428571428571" style="2" customWidth="1"/>
    <col min="12811" max="12811" width="8.71428571428571" style="2" customWidth="1"/>
    <col min="12812" max="12812" width="10.7142857142857" style="2" customWidth="1"/>
    <col min="12813" max="12813" width="8.71428571428571" style="2" customWidth="1"/>
    <col min="12814" max="12814" width="2.71428571428571" style="2" customWidth="1"/>
    <col min="12815" max="12816" width="10.7142857142857" style="2" customWidth="1"/>
    <col min="12817" max="12817" width="8.71428571428571" style="2" customWidth="1"/>
    <col min="12818" max="12818" width="2.71428571428571" style="2" customWidth="1"/>
    <col min="12819" max="12819" width="9.14285714285714" style="2"/>
    <col min="12820" max="12820" width="2.71428571428571" style="2" customWidth="1"/>
    <col min="12821" max="13057" width="9.14285714285714" style="2"/>
    <col min="13058" max="13058" width="4.71428571428571" style="2" customWidth="1"/>
    <col min="13059" max="13059" width="8.71428571428571" style="2" customWidth="1"/>
    <col min="13060" max="13060" width="7.71428571428571" style="2" customWidth="1"/>
    <col min="13061" max="13061" width="8.71428571428571" style="2" customWidth="1"/>
    <col min="13062" max="13062" width="2.71428571428571" style="2" customWidth="1"/>
    <col min="13063" max="13063" width="8.71428571428571" style="2" customWidth="1"/>
    <col min="13064" max="13064" width="2.71428571428571" style="2" customWidth="1"/>
    <col min="13065" max="13065" width="10.7142857142857" style="2" customWidth="1"/>
    <col min="13066" max="13066" width="2.71428571428571" style="2" customWidth="1"/>
    <col min="13067" max="13067" width="8.71428571428571" style="2" customWidth="1"/>
    <col min="13068" max="13068" width="10.7142857142857" style="2" customWidth="1"/>
    <col min="13069" max="13069" width="8.71428571428571" style="2" customWidth="1"/>
    <col min="13070" max="13070" width="2.71428571428571" style="2" customWidth="1"/>
    <col min="13071" max="13072" width="10.7142857142857" style="2" customWidth="1"/>
    <col min="13073" max="13073" width="8.71428571428571" style="2" customWidth="1"/>
    <col min="13074" max="13074" width="2.71428571428571" style="2" customWidth="1"/>
    <col min="13075" max="13075" width="9.14285714285714" style="2"/>
    <col min="13076" max="13076" width="2.71428571428571" style="2" customWidth="1"/>
    <col min="13077" max="13313" width="9.14285714285714" style="2"/>
    <col min="13314" max="13314" width="4.71428571428571" style="2" customWidth="1"/>
    <col min="13315" max="13315" width="8.71428571428571" style="2" customWidth="1"/>
    <col min="13316" max="13316" width="7.71428571428571" style="2" customWidth="1"/>
    <col min="13317" max="13317" width="8.71428571428571" style="2" customWidth="1"/>
    <col min="13318" max="13318" width="2.71428571428571" style="2" customWidth="1"/>
    <col min="13319" max="13319" width="8.71428571428571" style="2" customWidth="1"/>
    <col min="13320" max="13320" width="2.71428571428571" style="2" customWidth="1"/>
    <col min="13321" max="13321" width="10.7142857142857" style="2" customWidth="1"/>
    <col min="13322" max="13322" width="2.71428571428571" style="2" customWidth="1"/>
    <col min="13323" max="13323" width="8.71428571428571" style="2" customWidth="1"/>
    <col min="13324" max="13324" width="10.7142857142857" style="2" customWidth="1"/>
    <col min="13325" max="13325" width="8.71428571428571" style="2" customWidth="1"/>
    <col min="13326" max="13326" width="2.71428571428571" style="2" customWidth="1"/>
    <col min="13327" max="13328" width="10.7142857142857" style="2" customWidth="1"/>
    <col min="13329" max="13329" width="8.71428571428571" style="2" customWidth="1"/>
    <col min="13330" max="13330" width="2.71428571428571" style="2" customWidth="1"/>
    <col min="13331" max="13331" width="9.14285714285714" style="2"/>
    <col min="13332" max="13332" width="2.71428571428571" style="2" customWidth="1"/>
    <col min="13333" max="13569" width="9.14285714285714" style="2"/>
    <col min="13570" max="13570" width="4.71428571428571" style="2" customWidth="1"/>
    <col min="13571" max="13571" width="8.71428571428571" style="2" customWidth="1"/>
    <col min="13572" max="13572" width="7.71428571428571" style="2" customWidth="1"/>
    <col min="13573" max="13573" width="8.71428571428571" style="2" customWidth="1"/>
    <col min="13574" max="13574" width="2.71428571428571" style="2" customWidth="1"/>
    <col min="13575" max="13575" width="8.71428571428571" style="2" customWidth="1"/>
    <col min="13576" max="13576" width="2.71428571428571" style="2" customWidth="1"/>
    <col min="13577" max="13577" width="10.7142857142857" style="2" customWidth="1"/>
    <col min="13578" max="13578" width="2.71428571428571" style="2" customWidth="1"/>
    <col min="13579" max="13579" width="8.71428571428571" style="2" customWidth="1"/>
    <col min="13580" max="13580" width="10.7142857142857" style="2" customWidth="1"/>
    <col min="13581" max="13581" width="8.71428571428571" style="2" customWidth="1"/>
    <col min="13582" max="13582" width="2.71428571428571" style="2" customWidth="1"/>
    <col min="13583" max="13584" width="10.7142857142857" style="2" customWidth="1"/>
    <col min="13585" max="13585" width="8.71428571428571" style="2" customWidth="1"/>
    <col min="13586" max="13586" width="2.71428571428571" style="2" customWidth="1"/>
    <col min="13587" max="13587" width="9.14285714285714" style="2"/>
    <col min="13588" max="13588" width="2.71428571428571" style="2" customWidth="1"/>
    <col min="13589" max="13825" width="9.14285714285714" style="2"/>
    <col min="13826" max="13826" width="4.71428571428571" style="2" customWidth="1"/>
    <col min="13827" max="13827" width="8.71428571428571" style="2" customWidth="1"/>
    <col min="13828" max="13828" width="7.71428571428571" style="2" customWidth="1"/>
    <col min="13829" max="13829" width="8.71428571428571" style="2" customWidth="1"/>
    <col min="13830" max="13830" width="2.71428571428571" style="2" customWidth="1"/>
    <col min="13831" max="13831" width="8.71428571428571" style="2" customWidth="1"/>
    <col min="13832" max="13832" width="2.71428571428571" style="2" customWidth="1"/>
    <col min="13833" max="13833" width="10.7142857142857" style="2" customWidth="1"/>
    <col min="13834" max="13834" width="2.71428571428571" style="2" customWidth="1"/>
    <col min="13835" max="13835" width="8.71428571428571" style="2" customWidth="1"/>
    <col min="13836" max="13836" width="10.7142857142857" style="2" customWidth="1"/>
    <col min="13837" max="13837" width="8.71428571428571" style="2" customWidth="1"/>
    <col min="13838" max="13838" width="2.71428571428571" style="2" customWidth="1"/>
    <col min="13839" max="13840" width="10.7142857142857" style="2" customWidth="1"/>
    <col min="13841" max="13841" width="8.71428571428571" style="2" customWidth="1"/>
    <col min="13842" max="13842" width="2.71428571428571" style="2" customWidth="1"/>
    <col min="13843" max="13843" width="9.14285714285714" style="2"/>
    <col min="13844" max="13844" width="2.71428571428571" style="2" customWidth="1"/>
    <col min="13845" max="14081" width="9.14285714285714" style="2"/>
    <col min="14082" max="14082" width="4.71428571428571" style="2" customWidth="1"/>
    <col min="14083" max="14083" width="8.71428571428571" style="2" customWidth="1"/>
    <col min="14084" max="14084" width="7.71428571428571" style="2" customWidth="1"/>
    <col min="14085" max="14085" width="8.71428571428571" style="2" customWidth="1"/>
    <col min="14086" max="14086" width="2.71428571428571" style="2" customWidth="1"/>
    <col min="14087" max="14087" width="8.71428571428571" style="2" customWidth="1"/>
    <col min="14088" max="14088" width="2.71428571428571" style="2" customWidth="1"/>
    <col min="14089" max="14089" width="10.7142857142857" style="2" customWidth="1"/>
    <col min="14090" max="14090" width="2.71428571428571" style="2" customWidth="1"/>
    <col min="14091" max="14091" width="8.71428571428571" style="2" customWidth="1"/>
    <col min="14092" max="14092" width="10.7142857142857" style="2" customWidth="1"/>
    <col min="14093" max="14093" width="8.71428571428571" style="2" customWidth="1"/>
    <col min="14094" max="14094" width="2.71428571428571" style="2" customWidth="1"/>
    <col min="14095" max="14096" width="10.7142857142857" style="2" customWidth="1"/>
    <col min="14097" max="14097" width="8.71428571428571" style="2" customWidth="1"/>
    <col min="14098" max="14098" width="2.71428571428571" style="2" customWidth="1"/>
    <col min="14099" max="14099" width="9.14285714285714" style="2"/>
    <col min="14100" max="14100" width="2.71428571428571" style="2" customWidth="1"/>
    <col min="14101" max="14337" width="9.14285714285714" style="2"/>
    <col min="14338" max="14338" width="4.71428571428571" style="2" customWidth="1"/>
    <col min="14339" max="14339" width="8.71428571428571" style="2" customWidth="1"/>
    <col min="14340" max="14340" width="7.71428571428571" style="2" customWidth="1"/>
    <col min="14341" max="14341" width="8.71428571428571" style="2" customWidth="1"/>
    <col min="14342" max="14342" width="2.71428571428571" style="2" customWidth="1"/>
    <col min="14343" max="14343" width="8.71428571428571" style="2" customWidth="1"/>
    <col min="14344" max="14344" width="2.71428571428571" style="2" customWidth="1"/>
    <col min="14345" max="14345" width="10.7142857142857" style="2" customWidth="1"/>
    <col min="14346" max="14346" width="2.71428571428571" style="2" customWidth="1"/>
    <col min="14347" max="14347" width="8.71428571428571" style="2" customWidth="1"/>
    <col min="14348" max="14348" width="10.7142857142857" style="2" customWidth="1"/>
    <col min="14349" max="14349" width="8.71428571428571" style="2" customWidth="1"/>
    <col min="14350" max="14350" width="2.71428571428571" style="2" customWidth="1"/>
    <col min="14351" max="14352" width="10.7142857142857" style="2" customWidth="1"/>
    <col min="14353" max="14353" width="8.71428571428571" style="2" customWidth="1"/>
    <col min="14354" max="14354" width="2.71428571428571" style="2" customWidth="1"/>
    <col min="14355" max="14355" width="9.14285714285714" style="2"/>
    <col min="14356" max="14356" width="2.71428571428571" style="2" customWidth="1"/>
    <col min="14357" max="14593" width="9.14285714285714" style="2"/>
    <col min="14594" max="14594" width="4.71428571428571" style="2" customWidth="1"/>
    <col min="14595" max="14595" width="8.71428571428571" style="2" customWidth="1"/>
    <col min="14596" max="14596" width="7.71428571428571" style="2" customWidth="1"/>
    <col min="14597" max="14597" width="8.71428571428571" style="2" customWidth="1"/>
    <col min="14598" max="14598" width="2.71428571428571" style="2" customWidth="1"/>
    <col min="14599" max="14599" width="8.71428571428571" style="2" customWidth="1"/>
    <col min="14600" max="14600" width="2.71428571428571" style="2" customWidth="1"/>
    <col min="14601" max="14601" width="10.7142857142857" style="2" customWidth="1"/>
    <col min="14602" max="14602" width="2.71428571428571" style="2" customWidth="1"/>
    <col min="14603" max="14603" width="8.71428571428571" style="2" customWidth="1"/>
    <col min="14604" max="14604" width="10.7142857142857" style="2" customWidth="1"/>
    <col min="14605" max="14605" width="8.71428571428571" style="2" customWidth="1"/>
    <col min="14606" max="14606" width="2.71428571428571" style="2" customWidth="1"/>
    <col min="14607" max="14608" width="10.7142857142857" style="2" customWidth="1"/>
    <col min="14609" max="14609" width="8.71428571428571" style="2" customWidth="1"/>
    <col min="14610" max="14610" width="2.71428571428571" style="2" customWidth="1"/>
    <col min="14611" max="14611" width="9.14285714285714" style="2"/>
    <col min="14612" max="14612" width="2.71428571428571" style="2" customWidth="1"/>
    <col min="14613" max="14849" width="9.14285714285714" style="2"/>
    <col min="14850" max="14850" width="4.71428571428571" style="2" customWidth="1"/>
    <col min="14851" max="14851" width="8.71428571428571" style="2" customWidth="1"/>
    <col min="14852" max="14852" width="7.71428571428571" style="2" customWidth="1"/>
    <col min="14853" max="14853" width="8.71428571428571" style="2" customWidth="1"/>
    <col min="14854" max="14854" width="2.71428571428571" style="2" customWidth="1"/>
    <col min="14855" max="14855" width="8.71428571428571" style="2" customWidth="1"/>
    <col min="14856" max="14856" width="2.71428571428571" style="2" customWidth="1"/>
    <col min="14857" max="14857" width="10.7142857142857" style="2" customWidth="1"/>
    <col min="14858" max="14858" width="2.71428571428571" style="2" customWidth="1"/>
    <col min="14859" max="14859" width="8.71428571428571" style="2" customWidth="1"/>
    <col min="14860" max="14860" width="10.7142857142857" style="2" customWidth="1"/>
    <col min="14861" max="14861" width="8.71428571428571" style="2" customWidth="1"/>
    <col min="14862" max="14862" width="2.71428571428571" style="2" customWidth="1"/>
    <col min="14863" max="14864" width="10.7142857142857" style="2" customWidth="1"/>
    <col min="14865" max="14865" width="8.71428571428571" style="2" customWidth="1"/>
    <col min="14866" max="14866" width="2.71428571428571" style="2" customWidth="1"/>
    <col min="14867" max="14867" width="9.14285714285714" style="2"/>
    <col min="14868" max="14868" width="2.71428571428571" style="2" customWidth="1"/>
    <col min="14869" max="15105" width="9.14285714285714" style="2"/>
    <col min="15106" max="15106" width="4.71428571428571" style="2" customWidth="1"/>
    <col min="15107" max="15107" width="8.71428571428571" style="2" customWidth="1"/>
    <col min="15108" max="15108" width="7.71428571428571" style="2" customWidth="1"/>
    <col min="15109" max="15109" width="8.71428571428571" style="2" customWidth="1"/>
    <col min="15110" max="15110" width="2.71428571428571" style="2" customWidth="1"/>
    <col min="15111" max="15111" width="8.71428571428571" style="2" customWidth="1"/>
    <col min="15112" max="15112" width="2.71428571428571" style="2" customWidth="1"/>
    <col min="15113" max="15113" width="10.7142857142857" style="2" customWidth="1"/>
    <col min="15114" max="15114" width="2.71428571428571" style="2" customWidth="1"/>
    <col min="15115" max="15115" width="8.71428571428571" style="2" customWidth="1"/>
    <col min="15116" max="15116" width="10.7142857142857" style="2" customWidth="1"/>
    <col min="15117" max="15117" width="8.71428571428571" style="2" customWidth="1"/>
    <col min="15118" max="15118" width="2.71428571428571" style="2" customWidth="1"/>
    <col min="15119" max="15120" width="10.7142857142857" style="2" customWidth="1"/>
    <col min="15121" max="15121" width="8.71428571428571" style="2" customWidth="1"/>
    <col min="15122" max="15122" width="2.71428571428571" style="2" customWidth="1"/>
    <col min="15123" max="15123" width="9.14285714285714" style="2"/>
    <col min="15124" max="15124" width="2.71428571428571" style="2" customWidth="1"/>
    <col min="15125" max="15361" width="9.14285714285714" style="2"/>
    <col min="15362" max="15362" width="4.71428571428571" style="2" customWidth="1"/>
    <col min="15363" max="15363" width="8.71428571428571" style="2" customWidth="1"/>
    <col min="15364" max="15364" width="7.71428571428571" style="2" customWidth="1"/>
    <col min="15365" max="15365" width="8.71428571428571" style="2" customWidth="1"/>
    <col min="15366" max="15366" width="2.71428571428571" style="2" customWidth="1"/>
    <col min="15367" max="15367" width="8.71428571428571" style="2" customWidth="1"/>
    <col min="15368" max="15368" width="2.71428571428571" style="2" customWidth="1"/>
    <col min="15369" max="15369" width="10.7142857142857" style="2" customWidth="1"/>
    <col min="15370" max="15370" width="2.71428571428571" style="2" customWidth="1"/>
    <col min="15371" max="15371" width="8.71428571428571" style="2" customWidth="1"/>
    <col min="15372" max="15372" width="10.7142857142857" style="2" customWidth="1"/>
    <col min="15373" max="15373" width="8.71428571428571" style="2" customWidth="1"/>
    <col min="15374" max="15374" width="2.71428571428571" style="2" customWidth="1"/>
    <col min="15375" max="15376" width="10.7142857142857" style="2" customWidth="1"/>
    <col min="15377" max="15377" width="8.71428571428571" style="2" customWidth="1"/>
    <col min="15378" max="15378" width="2.71428571428571" style="2" customWidth="1"/>
    <col min="15379" max="15379" width="9.14285714285714" style="2"/>
    <col min="15380" max="15380" width="2.71428571428571" style="2" customWidth="1"/>
    <col min="15381" max="15617" width="9.14285714285714" style="2"/>
    <col min="15618" max="15618" width="4.71428571428571" style="2" customWidth="1"/>
    <col min="15619" max="15619" width="8.71428571428571" style="2" customWidth="1"/>
    <col min="15620" max="15620" width="7.71428571428571" style="2" customWidth="1"/>
    <col min="15621" max="15621" width="8.71428571428571" style="2" customWidth="1"/>
    <col min="15622" max="15622" width="2.71428571428571" style="2" customWidth="1"/>
    <col min="15623" max="15623" width="8.71428571428571" style="2" customWidth="1"/>
    <col min="15624" max="15624" width="2.71428571428571" style="2" customWidth="1"/>
    <col min="15625" max="15625" width="10.7142857142857" style="2" customWidth="1"/>
    <col min="15626" max="15626" width="2.71428571428571" style="2" customWidth="1"/>
    <col min="15627" max="15627" width="8.71428571428571" style="2" customWidth="1"/>
    <col min="15628" max="15628" width="10.7142857142857" style="2" customWidth="1"/>
    <col min="15629" max="15629" width="8.71428571428571" style="2" customWidth="1"/>
    <col min="15630" max="15630" width="2.71428571428571" style="2" customWidth="1"/>
    <col min="15631" max="15632" width="10.7142857142857" style="2" customWidth="1"/>
    <col min="15633" max="15633" width="8.71428571428571" style="2" customWidth="1"/>
    <col min="15634" max="15634" width="2.71428571428571" style="2" customWidth="1"/>
    <col min="15635" max="15635" width="9.14285714285714" style="2"/>
    <col min="15636" max="15636" width="2.71428571428571" style="2" customWidth="1"/>
    <col min="15637" max="15873" width="9.14285714285714" style="2"/>
    <col min="15874" max="15874" width="4.71428571428571" style="2" customWidth="1"/>
    <col min="15875" max="15875" width="8.71428571428571" style="2" customWidth="1"/>
    <col min="15876" max="15876" width="7.71428571428571" style="2" customWidth="1"/>
    <col min="15877" max="15877" width="8.71428571428571" style="2" customWidth="1"/>
    <col min="15878" max="15878" width="2.71428571428571" style="2" customWidth="1"/>
    <col min="15879" max="15879" width="8.71428571428571" style="2" customWidth="1"/>
    <col min="15880" max="15880" width="2.71428571428571" style="2" customWidth="1"/>
    <col min="15881" max="15881" width="10.7142857142857" style="2" customWidth="1"/>
    <col min="15882" max="15882" width="2.71428571428571" style="2" customWidth="1"/>
    <col min="15883" max="15883" width="8.71428571428571" style="2" customWidth="1"/>
    <col min="15884" max="15884" width="10.7142857142857" style="2" customWidth="1"/>
    <col min="15885" max="15885" width="8.71428571428571" style="2" customWidth="1"/>
    <col min="15886" max="15886" width="2.71428571428571" style="2" customWidth="1"/>
    <col min="15887" max="15888" width="10.7142857142857" style="2" customWidth="1"/>
    <col min="15889" max="15889" width="8.71428571428571" style="2" customWidth="1"/>
    <col min="15890" max="15890" width="2.71428571428571" style="2" customWidth="1"/>
    <col min="15891" max="15891" width="9.14285714285714" style="2"/>
    <col min="15892" max="15892" width="2.71428571428571" style="2" customWidth="1"/>
    <col min="15893" max="16129" width="9.14285714285714" style="2"/>
    <col min="16130" max="16130" width="4.71428571428571" style="2" customWidth="1"/>
    <col min="16131" max="16131" width="8.71428571428571" style="2" customWidth="1"/>
    <col min="16132" max="16132" width="7.71428571428571" style="2" customWidth="1"/>
    <col min="16133" max="16133" width="8.71428571428571" style="2" customWidth="1"/>
    <col min="16134" max="16134" width="2.71428571428571" style="2" customWidth="1"/>
    <col min="16135" max="16135" width="8.71428571428571" style="2" customWidth="1"/>
    <col min="16136" max="16136" width="2.71428571428571" style="2" customWidth="1"/>
    <col min="16137" max="16137" width="10.7142857142857" style="2" customWidth="1"/>
    <col min="16138" max="16138" width="2.71428571428571" style="2" customWidth="1"/>
    <col min="16139" max="16139" width="8.71428571428571" style="2" customWidth="1"/>
    <col min="16140" max="16140" width="10.7142857142857" style="2" customWidth="1"/>
    <col min="16141" max="16141" width="8.71428571428571" style="2" customWidth="1"/>
    <col min="16142" max="16142" width="2.71428571428571" style="2" customWidth="1"/>
    <col min="16143" max="16144" width="10.7142857142857" style="2" customWidth="1"/>
    <col min="16145" max="16145" width="8.71428571428571" style="2" customWidth="1"/>
    <col min="16146" max="16146" width="2.71428571428571" style="2" customWidth="1"/>
    <col min="16147" max="16147" width="9.14285714285714" style="2"/>
    <col min="16148" max="16148" width="2.71428571428571" style="2" customWidth="1"/>
    <col min="16149" max="16384" width="9.14285714285714" style="2"/>
  </cols>
  <sheetData>
    <row r="1" spans="4:18" ht="18.75" customHeight="1">
      <c r="D1" s="1"/>
      <c r="R1" s="9" t="s">
        <v>31</v>
      </c>
    </row>
    <row r="2" spans="18:18" ht="18.75" customHeight="1">
      <c r="R2" s="9" t="s">
        <v>60</v>
      </c>
    </row>
    <row r="4" spans="1:22" ht="18" customHeight="1">
      <c r="A4" s="20" t="s">
        <v>88</v>
      </c>
      <c r="B4" s="18"/>
      <c r="C4" s="18"/>
      <c r="D4" s="18"/>
      <c r="E4" s="18"/>
      <c r="F4" s="19"/>
      <c r="G4" s="18"/>
      <c r="H4" s="18"/>
      <c r="I4" s="18"/>
      <c r="J4" s="20"/>
      <c r="K4" s="19"/>
      <c r="L4" s="18"/>
      <c r="M4" s="18"/>
      <c r="N4" s="19"/>
      <c r="O4" s="18"/>
      <c r="P4" s="18"/>
      <c r="Q4" s="18"/>
      <c r="R4" s="18"/>
      <c r="S4" s="18"/>
      <c r="T4" s="18"/>
      <c r="U4" s="18"/>
      <c r="V4" s="18"/>
    </row>
    <row r="5" spans="1:22" ht="18" customHeight="1">
      <c r="A5" s="20" t="s">
        <v>51</v>
      </c>
      <c r="B5" s="18"/>
      <c r="C5" s="18"/>
      <c r="D5" s="18"/>
      <c r="E5" s="18"/>
      <c r="F5" s="19"/>
      <c r="G5" s="18"/>
      <c r="H5" s="19"/>
      <c r="I5" s="19"/>
      <c r="J5" s="20"/>
      <c r="K5" s="21"/>
      <c r="L5" s="18"/>
      <c r="M5" s="18"/>
      <c r="N5" s="21"/>
      <c r="O5" s="20"/>
      <c r="P5" s="18"/>
      <c r="Q5" s="18"/>
      <c r="R5" s="18"/>
      <c r="S5" s="18"/>
      <c r="T5" s="18"/>
      <c r="U5" s="18"/>
      <c r="V5" s="18"/>
    </row>
    <row r="6" spans="1:22" ht="18" customHeight="1">
      <c r="A6" s="20" t="s">
        <v>72</v>
      </c>
      <c r="B6" s="18"/>
      <c r="C6" s="18"/>
      <c r="D6" s="18"/>
      <c r="E6" s="18"/>
      <c r="F6" s="19"/>
      <c r="G6" s="20"/>
      <c r="H6" s="20"/>
      <c r="I6" s="19"/>
      <c r="J6" s="19"/>
      <c r="K6" s="19"/>
      <c r="L6" s="18"/>
      <c r="M6" s="20"/>
      <c r="N6" s="21"/>
      <c r="O6" s="20"/>
      <c r="P6" s="18"/>
      <c r="Q6" s="18"/>
      <c r="R6" s="18"/>
      <c r="S6" s="18"/>
      <c r="T6" s="18"/>
      <c r="U6" s="18"/>
      <c r="V6" s="18"/>
    </row>
    <row r="7" spans="1:22" ht="18" customHeight="1">
      <c r="A7" s="20" t="s">
        <v>49</v>
      </c>
      <c r="B7" s="18"/>
      <c r="C7" s="18"/>
      <c r="D7" s="18"/>
      <c r="E7" s="18"/>
      <c r="F7" s="18"/>
      <c r="G7" s="20"/>
      <c r="H7" s="21"/>
      <c r="I7" s="19"/>
      <c r="J7" s="19"/>
      <c r="K7" s="19"/>
      <c r="L7" s="18"/>
      <c r="M7" s="20"/>
      <c r="N7" s="21"/>
      <c r="O7" s="20"/>
      <c r="P7" s="18"/>
      <c r="Q7" s="18"/>
      <c r="R7" s="18"/>
      <c r="S7" s="18"/>
      <c r="T7" s="18"/>
      <c r="U7" s="18"/>
      <c r="V7" s="18"/>
    </row>
    <row r="8" spans="1:22" ht="18" customHeight="1">
      <c r="A8" s="20" t="s">
        <v>109</v>
      </c>
      <c r="B8" s="18"/>
      <c r="C8" s="18"/>
      <c r="D8" s="18"/>
      <c r="E8" s="18"/>
      <c r="F8" s="18"/>
      <c r="G8" s="20"/>
      <c r="H8" s="21"/>
      <c r="I8" s="19"/>
      <c r="J8" s="19"/>
      <c r="K8" s="19"/>
      <c r="L8" s="18"/>
      <c r="M8" s="20"/>
      <c r="N8" s="21"/>
      <c r="O8" s="20"/>
      <c r="P8" s="18"/>
      <c r="Q8" s="18"/>
      <c r="R8" s="18"/>
      <c r="S8" s="18"/>
      <c r="T8" s="18"/>
      <c r="U8" s="18"/>
      <c r="V8" s="18"/>
    </row>
    <row r="9" spans="1:22" ht="18" customHeight="1">
      <c r="A9" s="20"/>
      <c r="B9" s="18"/>
      <c r="C9" s="18"/>
      <c r="D9" s="18"/>
      <c r="E9" s="18"/>
      <c r="F9" s="19"/>
      <c r="G9" s="18"/>
      <c r="H9" s="21"/>
      <c r="I9" s="19"/>
      <c r="J9" s="21"/>
      <c r="K9" s="21"/>
      <c r="L9" s="18"/>
      <c r="M9" s="18"/>
      <c r="N9" s="19"/>
      <c r="O9" s="18"/>
      <c r="P9" s="18"/>
      <c r="Q9" s="18"/>
      <c r="R9" s="18"/>
      <c r="S9" s="18"/>
      <c r="T9" s="18"/>
      <c r="U9" s="18"/>
      <c r="V9" s="18"/>
    </row>
    <row r="10" spans="1:22" ht="18" customHeight="1">
      <c r="A10" s="20" t="s">
        <v>58</v>
      </c>
      <c r="B10" s="18"/>
      <c r="C10" s="18"/>
      <c r="D10" s="18"/>
      <c r="E10" s="18"/>
      <c r="F10" s="19"/>
      <c r="G10" s="18"/>
      <c r="H10" s="21"/>
      <c r="I10" s="19"/>
      <c r="J10" s="21"/>
      <c r="K10" s="21"/>
      <c r="L10" s="18"/>
      <c r="M10" s="18"/>
      <c r="N10" s="19"/>
      <c r="O10" s="18"/>
      <c r="P10" s="18"/>
      <c r="Q10" s="18"/>
      <c r="R10" s="18"/>
      <c r="S10" s="18"/>
      <c r="T10" s="18"/>
      <c r="U10" s="18"/>
      <c r="V10" s="18"/>
    </row>
    <row r="12" spans="4:4" ht="18.75" customHeight="1">
      <c r="D12" s="2" t="s">
        <v>0</v>
      </c>
    </row>
    <row r="13" spans="4:4" ht="18.75" customHeight="1">
      <c r="D13" s="2" t="s">
        <v>1</v>
      </c>
    </row>
    <row r="14" ht="10" customHeight="1"/>
    <row r="15" spans="9:19" ht="18.75" customHeight="1">
      <c r="I15" s="11" t="s">
        <v>45</v>
      </c>
      <c r="K15" s="11" t="s">
        <v>46</v>
      </c>
      <c r="M15" s="9" t="s">
        <v>47</v>
      </c>
      <c r="O15" s="9" t="s">
        <v>69</v>
      </c>
      <c r="Q15" s="2" t="s">
        <v>48</v>
      </c>
      <c r="S15" s="2" t="s">
        <v>70</v>
      </c>
    </row>
    <row r="16" spans="6:17" ht="18.75" customHeight="1">
      <c r="F16" s="7"/>
      <c r="I16" s="7" t="s">
        <v>107</v>
      </c>
      <c r="J16" s="7"/>
      <c r="K16" s="7"/>
      <c r="L16" s="2"/>
      <c r="M16" s="7" t="s">
        <v>108</v>
      </c>
      <c r="N16" s="7"/>
      <c r="O16" s="7"/>
      <c r="Q16" s="7" t="s">
        <v>110</v>
      </c>
    </row>
    <row r="17" spans="4:19" ht="18.75" customHeight="1">
      <c r="D17" s="2" t="s">
        <v>2</v>
      </c>
      <c r="I17" s="11" t="s">
        <v>52</v>
      </c>
      <c r="L17" s="2"/>
      <c r="M17" s="11" t="s">
        <v>52</v>
      </c>
      <c r="O17" s="11"/>
      <c r="Q17" s="11" t="s">
        <v>52</v>
      </c>
      <c r="R17" s="11"/>
      <c r="S17" s="11"/>
    </row>
    <row r="18" spans="4:19" ht="18.75" customHeight="1">
      <c r="D18" s="8" t="s">
        <v>9</v>
      </c>
      <c r="F18" s="12"/>
      <c r="G18" s="12"/>
      <c r="I18" s="13" t="s">
        <v>41</v>
      </c>
      <c r="J18" s="12"/>
      <c r="K18" s="17" t="s">
        <v>16</v>
      </c>
      <c r="L18" s="2"/>
      <c r="M18" s="13" t="s">
        <v>41</v>
      </c>
      <c r="N18" s="12"/>
      <c r="O18" s="17" t="s">
        <v>16</v>
      </c>
      <c r="Q18" s="13" t="s">
        <v>41</v>
      </c>
      <c r="R18" s="12"/>
      <c r="S18" s="17" t="s">
        <v>16</v>
      </c>
    </row>
    <row r="19" spans="12:15" ht="18" customHeight="1">
      <c r="L19" s="2"/>
      <c r="M19" s="11"/>
      <c r="O19" s="11"/>
    </row>
    <row r="20" spans="4:19" ht="22" customHeight="1">
      <c r="D20" s="10">
        <v>1</v>
      </c>
      <c r="E20" s="10" t="s">
        <v>17</v>
      </c>
      <c r="F20" s="15"/>
      <c r="G20" s="15"/>
      <c r="H20" s="9"/>
      <c r="I20" s="9">
        <v>0.96807727698238988</v>
      </c>
      <c r="J20" s="2"/>
      <c r="K20" s="9">
        <v>0.48819818239010482</v>
      </c>
      <c r="L20" s="2"/>
      <c r="M20" s="9">
        <v>0.92928859915902606</v>
      </c>
      <c r="N20" s="9"/>
      <c r="O20" s="9">
        <v>0.57010269360197141</v>
      </c>
      <c r="Q20" s="53">
        <v>0.90333902168274027</v>
      </c>
      <c r="R20" s="54"/>
      <c r="S20" s="53">
        <v>0.58627859999999998</v>
      </c>
    </row>
    <row r="21" spans="4:19" ht="22" customHeight="1">
      <c r="D21" s="10">
        <v>2</v>
      </c>
      <c r="E21" s="10" t="s">
        <v>18</v>
      </c>
      <c r="F21" s="15"/>
      <c r="G21" s="15"/>
      <c r="H21" s="9"/>
      <c r="I21" s="9">
        <v>0.91763222099130282</v>
      </c>
      <c r="J21" s="2"/>
      <c r="K21" s="9">
        <v>0.49566207023192088</v>
      </c>
      <c r="L21" s="2"/>
      <c r="M21" s="9">
        <v>0.99143019382548481</v>
      </c>
      <c r="N21" s="9"/>
      <c r="O21" s="9">
        <v>0.47386600140301127</v>
      </c>
      <c r="Q21" s="53">
        <v>0.9713393005971217</v>
      </c>
      <c r="R21" s="54"/>
      <c r="S21" s="53">
        <v>0.52633700000000005</v>
      </c>
    </row>
    <row r="22" spans="4:19" ht="22" customHeight="1">
      <c r="D22" s="10">
        <v>3</v>
      </c>
      <c r="E22" s="10" t="s">
        <v>19</v>
      </c>
      <c r="F22" s="15"/>
      <c r="G22" s="15"/>
      <c r="H22" s="9"/>
      <c r="I22" s="9">
        <v>0.84780814100178947</v>
      </c>
      <c r="J22" s="2"/>
      <c r="K22" s="9">
        <v>0.53562403008065063</v>
      </c>
      <c r="L22" s="2"/>
      <c r="M22" s="9">
        <v>1</v>
      </c>
      <c r="N22" s="9"/>
      <c r="O22" s="9">
        <v>0.37104506281509841</v>
      </c>
      <c r="Q22" s="53">
        <v>0.92582452479038813</v>
      </c>
      <c r="R22" s="54"/>
      <c r="S22" s="53">
        <v>0.53535699999999997</v>
      </c>
    </row>
    <row r="23" spans="4:19" ht="22" customHeight="1">
      <c r="D23" s="10">
        <v>4</v>
      </c>
      <c r="E23" s="10" t="s">
        <v>20</v>
      </c>
      <c r="F23" s="15"/>
      <c r="G23" s="15"/>
      <c r="H23" s="9"/>
      <c r="I23" s="9">
        <v>0.75436466483255837</v>
      </c>
      <c r="J23" s="2"/>
      <c r="K23" s="9">
        <v>0.50508804999281309</v>
      </c>
      <c r="L23" s="2"/>
      <c r="M23" s="9">
        <v>0.91097596995556196</v>
      </c>
      <c r="N23" s="9"/>
      <c r="O23" s="9">
        <v>0.50318802129380058</v>
      </c>
      <c r="Q23" s="53">
        <v>0.96567076331394164</v>
      </c>
      <c r="R23" s="54"/>
      <c r="S23" s="53">
        <v>0.46774500000000002</v>
      </c>
    </row>
    <row r="24" spans="4:19" ht="22" customHeight="1">
      <c r="D24" s="10">
        <v>5</v>
      </c>
      <c r="E24" s="10" t="s">
        <v>21</v>
      </c>
      <c r="F24" s="15"/>
      <c r="G24" s="15"/>
      <c r="H24" s="9"/>
      <c r="I24" s="9">
        <v>0.9487764107171931</v>
      </c>
      <c r="J24" s="2"/>
      <c r="K24" s="9">
        <v>0.48476259829699941</v>
      </c>
      <c r="L24" s="2"/>
      <c r="M24" s="9">
        <v>0.95146177112762709</v>
      </c>
      <c r="N24" s="9"/>
      <c r="O24" s="9">
        <v>0.4965385647156032</v>
      </c>
      <c r="Q24" s="53">
        <v>0.99522098230464129</v>
      </c>
      <c r="R24" s="54"/>
      <c r="S24" s="53">
        <v>0.46283871999999998</v>
      </c>
    </row>
    <row r="25" spans="4:19" ht="22" customHeight="1">
      <c r="D25" s="10">
        <v>6</v>
      </c>
      <c r="E25" s="10" t="s">
        <v>22</v>
      </c>
      <c r="F25" s="15"/>
      <c r="G25" s="15"/>
      <c r="H25" s="9"/>
      <c r="I25" s="9">
        <v>0.9789016549475883</v>
      </c>
      <c r="J25" s="2"/>
      <c r="K25" s="9">
        <v>0.59275090615418535</v>
      </c>
      <c r="L25" s="2"/>
      <c r="M25" s="9">
        <v>0.9649238584906753</v>
      </c>
      <c r="N25" s="9"/>
      <c r="O25" s="9">
        <v>0.52177528445770638</v>
      </c>
      <c r="Q25" s="53">
        <v>0.97139411668233</v>
      </c>
      <c r="R25" s="54"/>
      <c r="S25" s="53">
        <v>0.56485609999999997</v>
      </c>
    </row>
    <row r="26" spans="4:19" ht="22" customHeight="1">
      <c r="D26" s="10">
        <v>7</v>
      </c>
      <c r="E26" s="10" t="s">
        <v>23</v>
      </c>
      <c r="F26" s="15"/>
      <c r="G26" s="15"/>
      <c r="H26" s="9"/>
      <c r="I26" s="9">
        <v>0.91942164069767873</v>
      </c>
      <c r="J26" s="2"/>
      <c r="K26" s="9">
        <v>0.55858651545492688</v>
      </c>
      <c r="L26" s="2"/>
      <c r="M26" s="9">
        <v>0.98807664917130589</v>
      </c>
      <c r="N26" s="9"/>
      <c r="O26" s="9">
        <v>0.58836549744638811</v>
      </c>
      <c r="Q26" s="53">
        <v>0.95597809966315217</v>
      </c>
      <c r="R26" s="54"/>
      <c r="S26" s="53">
        <v>0.59284400000000004</v>
      </c>
    </row>
    <row r="27" spans="4:19" ht="22" customHeight="1">
      <c r="D27" s="10">
        <v>8</v>
      </c>
      <c r="E27" s="10" t="s">
        <v>24</v>
      </c>
      <c r="F27" s="9"/>
      <c r="G27" s="9"/>
      <c r="H27" s="9"/>
      <c r="I27" s="9">
        <v>0.89209422424704909</v>
      </c>
      <c r="J27" s="2"/>
      <c r="K27" s="9">
        <v>0.58326682749187675</v>
      </c>
      <c r="L27" s="2"/>
      <c r="M27" s="9">
        <v>0.98889470651322986</v>
      </c>
      <c r="N27" s="9"/>
      <c r="O27" s="9">
        <v>0.60200464777889895</v>
      </c>
      <c r="Q27" s="53">
        <v>0.97082235445349896</v>
      </c>
      <c r="R27" s="54"/>
      <c r="S27" s="53">
        <v>0.57877845999999999</v>
      </c>
    </row>
    <row r="28" spans="4:19" ht="22" customHeight="1">
      <c r="D28" s="10">
        <v>9</v>
      </c>
      <c r="E28" s="10" t="s">
        <v>25</v>
      </c>
      <c r="F28" s="16"/>
      <c r="G28" s="16"/>
      <c r="H28" s="9"/>
      <c r="I28" s="9">
        <v>0.90335524187860816</v>
      </c>
      <c r="J28" s="2"/>
      <c r="K28" s="9">
        <v>0.48778906435211589</v>
      </c>
      <c r="L28" s="2"/>
      <c r="M28" s="9">
        <v>0.89547787346163876</v>
      </c>
      <c r="N28" s="9"/>
      <c r="O28" s="9">
        <v>0.60732321771849973</v>
      </c>
      <c r="Q28" s="53">
        <v>0.99714222053306512</v>
      </c>
      <c r="R28" s="54"/>
      <c r="S28" s="53">
        <v>0.45884340000000001</v>
      </c>
    </row>
    <row r="29" spans="4:19" ht="22" customHeight="1">
      <c r="D29" s="10">
        <v>10</v>
      </c>
      <c r="E29" s="10" t="s">
        <v>26</v>
      </c>
      <c r="F29" s="16"/>
      <c r="G29" s="16"/>
      <c r="H29" s="9"/>
      <c r="I29" s="9">
        <v>0.98268539178512881</v>
      </c>
      <c r="J29" s="2"/>
      <c r="K29" s="9">
        <v>0.44994511440714313</v>
      </c>
      <c r="L29" s="2"/>
      <c r="M29" s="9">
        <v>0.87235191051466254</v>
      </c>
      <c r="N29" s="9"/>
      <c r="O29" s="9">
        <v>0.39767146861355579</v>
      </c>
      <c r="Q29" s="53">
        <v>0.99704949229427109</v>
      </c>
      <c r="R29" s="54"/>
      <c r="S29" s="53">
        <v>0.43066460000000001</v>
      </c>
    </row>
    <row r="30" spans="4:19" ht="21" customHeight="1">
      <c r="D30" s="10">
        <v>11</v>
      </c>
      <c r="E30" s="10" t="s">
        <v>27</v>
      </c>
      <c r="F30" s="16"/>
      <c r="G30" s="16"/>
      <c r="H30" s="9"/>
      <c r="I30" s="9">
        <v>0.99691350378655086</v>
      </c>
      <c r="J30" s="2"/>
      <c r="K30" s="9">
        <v>0.43332920326563201</v>
      </c>
      <c r="L30" s="2"/>
      <c r="M30" s="9">
        <v>1</v>
      </c>
      <c r="N30" s="9"/>
      <c r="O30" s="9">
        <v>0.4212606415030557</v>
      </c>
      <c r="Q30" s="53">
        <v>0.99894610876747525</v>
      </c>
      <c r="R30" s="54"/>
      <c r="S30" s="53">
        <v>0.48890404360455614</v>
      </c>
    </row>
    <row r="31" spans="4:19" ht="22" customHeight="1">
      <c r="D31" s="10">
        <v>12</v>
      </c>
      <c r="E31" s="10" t="s">
        <v>28</v>
      </c>
      <c r="F31" s="16"/>
      <c r="G31" s="16"/>
      <c r="H31" s="9"/>
      <c r="I31" s="9">
        <v>0.97244433010998488</v>
      </c>
      <c r="J31" s="2"/>
      <c r="K31" s="9">
        <v>0.59938622485367099</v>
      </c>
      <c r="L31" s="2"/>
      <c r="M31" s="9">
        <v>0.98434273566505093</v>
      </c>
      <c r="N31" s="9"/>
      <c r="O31" s="9">
        <v>0.55623802346047002</v>
      </c>
      <c r="Q31" s="53">
        <v>0.99929073455911432</v>
      </c>
      <c r="R31" s="54"/>
      <c r="S31" s="53">
        <v>0.58360320275420408</v>
      </c>
    </row>
    <row r="32" spans="4:19" ht="21" customHeight="1">
      <c r="D32" s="10"/>
      <c r="E32" s="10"/>
      <c r="F32" s="16"/>
      <c r="G32" s="16"/>
      <c r="H32" s="9"/>
      <c r="I32" s="9"/>
      <c r="J32" s="9"/>
      <c r="K32" s="9"/>
      <c r="L32" s="9"/>
      <c r="N32" s="2"/>
      <c r="Q32" s="9"/>
      <c r="S32" s="9"/>
    </row>
    <row r="33" spans="4:19" ht="21" customHeight="1">
      <c r="D33" s="2" t="s">
        <v>36</v>
      </c>
      <c r="E33" s="10"/>
      <c r="F33" s="16"/>
      <c r="G33" s="16"/>
      <c r="H33" s="9"/>
      <c r="I33" s="9"/>
      <c r="J33" s="9"/>
      <c r="K33" s="9"/>
      <c r="L33" s="9"/>
      <c r="N33" s="2"/>
      <c r="Q33" s="9"/>
      <c r="S33" s="9"/>
    </row>
    <row r="34" spans="3:19" ht="21" customHeight="1">
      <c r="C34" s="2"/>
      <c r="E34" s="3"/>
      <c r="Q34" s="9"/>
      <c r="R34" s="9"/>
      <c r="S34" s="9"/>
    </row>
    <row r="35" spans="17:19" ht="18.75" customHeight="1">
      <c r="Q35" s="9"/>
      <c r="R35" s="9"/>
      <c r="S35" s="9"/>
    </row>
    <row r="36" spans="17:19" ht="18.75" customHeight="1">
      <c r="Q36" s="9"/>
      <c r="R36" s="9"/>
      <c r="S36" s="9"/>
    </row>
    <row r="37" spans="17:19" ht="18.75" customHeight="1">
      <c r="Q37" s="9"/>
      <c r="R37" s="9"/>
      <c r="S37" s="9"/>
    </row>
  </sheetData>
  <pageMargins left="0.5" right="1" top="1.5" bottom="0.5" header="0.5" footer="0.5"/>
  <pageSetup orientation="landscape" scale="72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V34"/>
  <sheetViews>
    <sheetView zoomScale="75" zoomScaleNormal="75" workbookViewId="0" topLeftCell="A1">
      <selection pane="topLeft" activeCell="P32" sqref="P32"/>
    </sheetView>
  </sheetViews>
  <sheetFormatPr defaultRowHeight="18.75" customHeight="1"/>
  <cols>
    <col min="2" max="2" width="4.71428571428571" customWidth="1"/>
    <col min="3" max="3" width="8.71428571428571" customWidth="1"/>
    <col min="4" max="4" width="7.71428571428571" style="2" customWidth="1"/>
    <col min="5" max="5" width="8.71428571428571" style="2" customWidth="1"/>
    <col min="6" max="6" width="2.71428571428571" style="11" customWidth="1"/>
    <col min="7" max="7" width="8.71428571428571" style="11" customWidth="1"/>
    <col min="8" max="8" width="2.71428571428571" style="11" customWidth="1"/>
    <col min="9" max="9" width="10.7142857142857" style="11" customWidth="1"/>
    <col min="10" max="10" width="2.71428571428571" style="11" customWidth="1"/>
    <col min="11" max="11" width="8.71428571428571" style="11" customWidth="1"/>
    <col min="12" max="12" width="10.7142857142857" style="11" customWidth="1"/>
    <col min="13" max="13" width="8.71428571428571" style="9" customWidth="1"/>
    <col min="14" max="14" width="2.71428571428571" style="11" customWidth="1"/>
    <col min="15" max="15" width="10.7142857142857" style="9" customWidth="1"/>
    <col min="16" max="16" width="10.7142857142857" style="2" customWidth="1"/>
    <col min="17" max="17" width="8.71428571428571" style="9" customWidth="1"/>
    <col min="18" max="18" width="2.71428571428571" style="9" customWidth="1"/>
    <col min="19" max="19" width="9.14285714285714" style="9"/>
    <col min="20" max="20" width="2.71428571428571" style="2" customWidth="1"/>
    <col min="21" max="257" width="9.14285714285714" style="2"/>
    <col min="258" max="258" width="4.71428571428571" style="2" customWidth="1"/>
    <col min="259" max="259" width="8.71428571428571" style="2" customWidth="1"/>
    <col min="260" max="260" width="7.71428571428571" style="2" customWidth="1"/>
    <col min="261" max="261" width="8.71428571428571" style="2" customWidth="1"/>
    <col min="262" max="262" width="2.71428571428571" style="2" customWidth="1"/>
    <col min="263" max="263" width="8.71428571428571" style="2" customWidth="1"/>
    <col min="264" max="264" width="2.71428571428571" style="2" customWidth="1"/>
    <col min="265" max="265" width="10.7142857142857" style="2" customWidth="1"/>
    <col min="266" max="266" width="2.71428571428571" style="2" customWidth="1"/>
    <col min="267" max="267" width="8.71428571428571" style="2" customWidth="1"/>
    <col min="268" max="268" width="10.7142857142857" style="2" customWidth="1"/>
    <col min="269" max="269" width="8.71428571428571" style="2" customWidth="1"/>
    <col min="270" max="270" width="2.71428571428571" style="2" customWidth="1"/>
    <col min="271" max="272" width="10.7142857142857" style="2" customWidth="1"/>
    <col min="273" max="273" width="8.71428571428571" style="2" customWidth="1"/>
    <col min="274" max="274" width="2.71428571428571" style="2" customWidth="1"/>
    <col min="275" max="275" width="9.14285714285714" style="2"/>
    <col min="276" max="276" width="2.71428571428571" style="2" customWidth="1"/>
    <col min="277" max="513" width="9.14285714285714" style="2"/>
    <col min="514" max="514" width="4.71428571428571" style="2" customWidth="1"/>
    <col min="515" max="515" width="8.71428571428571" style="2" customWidth="1"/>
    <col min="516" max="516" width="7.71428571428571" style="2" customWidth="1"/>
    <col min="517" max="517" width="8.71428571428571" style="2" customWidth="1"/>
    <col min="518" max="518" width="2.71428571428571" style="2" customWidth="1"/>
    <col min="519" max="519" width="8.71428571428571" style="2" customWidth="1"/>
    <col min="520" max="520" width="2.71428571428571" style="2" customWidth="1"/>
    <col min="521" max="521" width="10.7142857142857" style="2" customWidth="1"/>
    <col min="522" max="522" width="2.71428571428571" style="2" customWidth="1"/>
    <col min="523" max="523" width="8.71428571428571" style="2" customWidth="1"/>
    <col min="524" max="524" width="10.7142857142857" style="2" customWidth="1"/>
    <col min="525" max="525" width="8.71428571428571" style="2" customWidth="1"/>
    <col min="526" max="526" width="2.71428571428571" style="2" customWidth="1"/>
    <col min="527" max="528" width="10.7142857142857" style="2" customWidth="1"/>
    <col min="529" max="529" width="8.71428571428571" style="2" customWidth="1"/>
    <col min="530" max="530" width="2.71428571428571" style="2" customWidth="1"/>
    <col min="531" max="531" width="9.14285714285714" style="2"/>
    <col min="532" max="532" width="2.71428571428571" style="2" customWidth="1"/>
    <col min="533" max="769" width="9.14285714285714" style="2"/>
    <col min="770" max="770" width="4.71428571428571" style="2" customWidth="1"/>
    <col min="771" max="771" width="8.71428571428571" style="2" customWidth="1"/>
    <col min="772" max="772" width="7.71428571428571" style="2" customWidth="1"/>
    <col min="773" max="773" width="8.71428571428571" style="2" customWidth="1"/>
    <col min="774" max="774" width="2.71428571428571" style="2" customWidth="1"/>
    <col min="775" max="775" width="8.71428571428571" style="2" customWidth="1"/>
    <col min="776" max="776" width="2.71428571428571" style="2" customWidth="1"/>
    <col min="777" max="777" width="10.7142857142857" style="2" customWidth="1"/>
    <col min="778" max="778" width="2.71428571428571" style="2" customWidth="1"/>
    <col min="779" max="779" width="8.71428571428571" style="2" customWidth="1"/>
    <col min="780" max="780" width="10.7142857142857" style="2" customWidth="1"/>
    <col min="781" max="781" width="8.71428571428571" style="2" customWidth="1"/>
    <col min="782" max="782" width="2.71428571428571" style="2" customWidth="1"/>
    <col min="783" max="784" width="10.7142857142857" style="2" customWidth="1"/>
    <col min="785" max="785" width="8.71428571428571" style="2" customWidth="1"/>
    <col min="786" max="786" width="2.71428571428571" style="2" customWidth="1"/>
    <col min="787" max="787" width="9.14285714285714" style="2"/>
    <col min="788" max="788" width="2.71428571428571" style="2" customWidth="1"/>
    <col min="789" max="1025" width="9.14285714285714" style="2"/>
    <col min="1026" max="1026" width="4.71428571428571" style="2" customWidth="1"/>
    <col min="1027" max="1027" width="8.71428571428571" style="2" customWidth="1"/>
    <col min="1028" max="1028" width="7.71428571428571" style="2" customWidth="1"/>
    <col min="1029" max="1029" width="8.71428571428571" style="2" customWidth="1"/>
    <col min="1030" max="1030" width="2.71428571428571" style="2" customWidth="1"/>
    <col min="1031" max="1031" width="8.71428571428571" style="2" customWidth="1"/>
    <col min="1032" max="1032" width="2.71428571428571" style="2" customWidth="1"/>
    <col min="1033" max="1033" width="10.7142857142857" style="2" customWidth="1"/>
    <col min="1034" max="1034" width="2.71428571428571" style="2" customWidth="1"/>
    <col min="1035" max="1035" width="8.71428571428571" style="2" customWidth="1"/>
    <col min="1036" max="1036" width="10.7142857142857" style="2" customWidth="1"/>
    <col min="1037" max="1037" width="8.71428571428571" style="2" customWidth="1"/>
    <col min="1038" max="1038" width="2.71428571428571" style="2" customWidth="1"/>
    <col min="1039" max="1040" width="10.7142857142857" style="2" customWidth="1"/>
    <col min="1041" max="1041" width="8.71428571428571" style="2" customWidth="1"/>
    <col min="1042" max="1042" width="2.71428571428571" style="2" customWidth="1"/>
    <col min="1043" max="1043" width="9.14285714285714" style="2"/>
    <col min="1044" max="1044" width="2.71428571428571" style="2" customWidth="1"/>
    <col min="1045" max="1281" width="9.14285714285714" style="2"/>
    <col min="1282" max="1282" width="4.71428571428571" style="2" customWidth="1"/>
    <col min="1283" max="1283" width="8.71428571428571" style="2" customWidth="1"/>
    <col min="1284" max="1284" width="7.71428571428571" style="2" customWidth="1"/>
    <col min="1285" max="1285" width="8.71428571428571" style="2" customWidth="1"/>
    <col min="1286" max="1286" width="2.71428571428571" style="2" customWidth="1"/>
    <col min="1287" max="1287" width="8.71428571428571" style="2" customWidth="1"/>
    <col min="1288" max="1288" width="2.71428571428571" style="2" customWidth="1"/>
    <col min="1289" max="1289" width="10.7142857142857" style="2" customWidth="1"/>
    <col min="1290" max="1290" width="2.71428571428571" style="2" customWidth="1"/>
    <col min="1291" max="1291" width="8.71428571428571" style="2" customWidth="1"/>
    <col min="1292" max="1292" width="10.7142857142857" style="2" customWidth="1"/>
    <col min="1293" max="1293" width="8.71428571428571" style="2" customWidth="1"/>
    <col min="1294" max="1294" width="2.71428571428571" style="2" customWidth="1"/>
    <col min="1295" max="1296" width="10.7142857142857" style="2" customWidth="1"/>
    <col min="1297" max="1297" width="8.71428571428571" style="2" customWidth="1"/>
    <col min="1298" max="1298" width="2.71428571428571" style="2" customWidth="1"/>
    <col min="1299" max="1299" width="9.14285714285714" style="2"/>
    <col min="1300" max="1300" width="2.71428571428571" style="2" customWidth="1"/>
    <col min="1301" max="1537" width="9.14285714285714" style="2"/>
    <col min="1538" max="1538" width="4.71428571428571" style="2" customWidth="1"/>
    <col min="1539" max="1539" width="8.71428571428571" style="2" customWidth="1"/>
    <col min="1540" max="1540" width="7.71428571428571" style="2" customWidth="1"/>
    <col min="1541" max="1541" width="8.71428571428571" style="2" customWidth="1"/>
    <col min="1542" max="1542" width="2.71428571428571" style="2" customWidth="1"/>
    <col min="1543" max="1543" width="8.71428571428571" style="2" customWidth="1"/>
    <col min="1544" max="1544" width="2.71428571428571" style="2" customWidth="1"/>
    <col min="1545" max="1545" width="10.7142857142857" style="2" customWidth="1"/>
    <col min="1546" max="1546" width="2.71428571428571" style="2" customWidth="1"/>
    <col min="1547" max="1547" width="8.71428571428571" style="2" customWidth="1"/>
    <col min="1548" max="1548" width="10.7142857142857" style="2" customWidth="1"/>
    <col min="1549" max="1549" width="8.71428571428571" style="2" customWidth="1"/>
    <col min="1550" max="1550" width="2.71428571428571" style="2" customWidth="1"/>
    <col min="1551" max="1552" width="10.7142857142857" style="2" customWidth="1"/>
    <col min="1553" max="1553" width="8.71428571428571" style="2" customWidth="1"/>
    <col min="1554" max="1554" width="2.71428571428571" style="2" customWidth="1"/>
    <col min="1555" max="1555" width="9.14285714285714" style="2"/>
    <col min="1556" max="1556" width="2.71428571428571" style="2" customWidth="1"/>
    <col min="1557" max="1793" width="9.14285714285714" style="2"/>
    <col min="1794" max="1794" width="4.71428571428571" style="2" customWidth="1"/>
    <col min="1795" max="1795" width="8.71428571428571" style="2" customWidth="1"/>
    <col min="1796" max="1796" width="7.71428571428571" style="2" customWidth="1"/>
    <col min="1797" max="1797" width="8.71428571428571" style="2" customWidth="1"/>
    <col min="1798" max="1798" width="2.71428571428571" style="2" customWidth="1"/>
    <col min="1799" max="1799" width="8.71428571428571" style="2" customWidth="1"/>
    <col min="1800" max="1800" width="2.71428571428571" style="2" customWidth="1"/>
    <col min="1801" max="1801" width="10.7142857142857" style="2" customWidth="1"/>
    <col min="1802" max="1802" width="2.71428571428571" style="2" customWidth="1"/>
    <col min="1803" max="1803" width="8.71428571428571" style="2" customWidth="1"/>
    <col min="1804" max="1804" width="10.7142857142857" style="2" customWidth="1"/>
    <col min="1805" max="1805" width="8.71428571428571" style="2" customWidth="1"/>
    <col min="1806" max="1806" width="2.71428571428571" style="2" customWidth="1"/>
    <col min="1807" max="1808" width="10.7142857142857" style="2" customWidth="1"/>
    <col min="1809" max="1809" width="8.71428571428571" style="2" customWidth="1"/>
    <col min="1810" max="1810" width="2.71428571428571" style="2" customWidth="1"/>
    <col min="1811" max="1811" width="9.14285714285714" style="2"/>
    <col min="1812" max="1812" width="2.71428571428571" style="2" customWidth="1"/>
    <col min="1813" max="2049" width="9.14285714285714" style="2"/>
    <col min="2050" max="2050" width="4.71428571428571" style="2" customWidth="1"/>
    <col min="2051" max="2051" width="8.71428571428571" style="2" customWidth="1"/>
    <col min="2052" max="2052" width="7.71428571428571" style="2" customWidth="1"/>
    <col min="2053" max="2053" width="8.71428571428571" style="2" customWidth="1"/>
    <col min="2054" max="2054" width="2.71428571428571" style="2" customWidth="1"/>
    <col min="2055" max="2055" width="8.71428571428571" style="2" customWidth="1"/>
    <col min="2056" max="2056" width="2.71428571428571" style="2" customWidth="1"/>
    <col min="2057" max="2057" width="10.7142857142857" style="2" customWidth="1"/>
    <col min="2058" max="2058" width="2.71428571428571" style="2" customWidth="1"/>
    <col min="2059" max="2059" width="8.71428571428571" style="2" customWidth="1"/>
    <col min="2060" max="2060" width="10.7142857142857" style="2" customWidth="1"/>
    <col min="2061" max="2061" width="8.71428571428571" style="2" customWidth="1"/>
    <col min="2062" max="2062" width="2.71428571428571" style="2" customWidth="1"/>
    <col min="2063" max="2064" width="10.7142857142857" style="2" customWidth="1"/>
    <col min="2065" max="2065" width="8.71428571428571" style="2" customWidth="1"/>
    <col min="2066" max="2066" width="2.71428571428571" style="2" customWidth="1"/>
    <col min="2067" max="2067" width="9.14285714285714" style="2"/>
    <col min="2068" max="2068" width="2.71428571428571" style="2" customWidth="1"/>
    <col min="2069" max="2305" width="9.14285714285714" style="2"/>
    <col min="2306" max="2306" width="4.71428571428571" style="2" customWidth="1"/>
    <col min="2307" max="2307" width="8.71428571428571" style="2" customWidth="1"/>
    <col min="2308" max="2308" width="7.71428571428571" style="2" customWidth="1"/>
    <col min="2309" max="2309" width="8.71428571428571" style="2" customWidth="1"/>
    <col min="2310" max="2310" width="2.71428571428571" style="2" customWidth="1"/>
    <col min="2311" max="2311" width="8.71428571428571" style="2" customWidth="1"/>
    <col min="2312" max="2312" width="2.71428571428571" style="2" customWidth="1"/>
    <col min="2313" max="2313" width="10.7142857142857" style="2" customWidth="1"/>
    <col min="2314" max="2314" width="2.71428571428571" style="2" customWidth="1"/>
    <col min="2315" max="2315" width="8.71428571428571" style="2" customWidth="1"/>
    <col min="2316" max="2316" width="10.7142857142857" style="2" customWidth="1"/>
    <col min="2317" max="2317" width="8.71428571428571" style="2" customWidth="1"/>
    <col min="2318" max="2318" width="2.71428571428571" style="2" customWidth="1"/>
    <col min="2319" max="2320" width="10.7142857142857" style="2" customWidth="1"/>
    <col min="2321" max="2321" width="8.71428571428571" style="2" customWidth="1"/>
    <col min="2322" max="2322" width="2.71428571428571" style="2" customWidth="1"/>
    <col min="2323" max="2323" width="9.14285714285714" style="2"/>
    <col min="2324" max="2324" width="2.71428571428571" style="2" customWidth="1"/>
    <col min="2325" max="2561" width="9.14285714285714" style="2"/>
    <col min="2562" max="2562" width="4.71428571428571" style="2" customWidth="1"/>
    <col min="2563" max="2563" width="8.71428571428571" style="2" customWidth="1"/>
    <col min="2564" max="2564" width="7.71428571428571" style="2" customWidth="1"/>
    <col min="2565" max="2565" width="8.71428571428571" style="2" customWidth="1"/>
    <col min="2566" max="2566" width="2.71428571428571" style="2" customWidth="1"/>
    <col min="2567" max="2567" width="8.71428571428571" style="2" customWidth="1"/>
    <col min="2568" max="2568" width="2.71428571428571" style="2" customWidth="1"/>
    <col min="2569" max="2569" width="10.7142857142857" style="2" customWidth="1"/>
    <col min="2570" max="2570" width="2.71428571428571" style="2" customWidth="1"/>
    <col min="2571" max="2571" width="8.71428571428571" style="2" customWidth="1"/>
    <col min="2572" max="2572" width="10.7142857142857" style="2" customWidth="1"/>
    <col min="2573" max="2573" width="8.71428571428571" style="2" customWidth="1"/>
    <col min="2574" max="2574" width="2.71428571428571" style="2" customWidth="1"/>
    <col min="2575" max="2576" width="10.7142857142857" style="2" customWidth="1"/>
    <col min="2577" max="2577" width="8.71428571428571" style="2" customWidth="1"/>
    <col min="2578" max="2578" width="2.71428571428571" style="2" customWidth="1"/>
    <col min="2579" max="2579" width="9.14285714285714" style="2"/>
    <col min="2580" max="2580" width="2.71428571428571" style="2" customWidth="1"/>
    <col min="2581" max="2817" width="9.14285714285714" style="2"/>
    <col min="2818" max="2818" width="4.71428571428571" style="2" customWidth="1"/>
    <col min="2819" max="2819" width="8.71428571428571" style="2" customWidth="1"/>
    <col min="2820" max="2820" width="7.71428571428571" style="2" customWidth="1"/>
    <col min="2821" max="2821" width="8.71428571428571" style="2" customWidth="1"/>
    <col min="2822" max="2822" width="2.71428571428571" style="2" customWidth="1"/>
    <col min="2823" max="2823" width="8.71428571428571" style="2" customWidth="1"/>
    <col min="2824" max="2824" width="2.71428571428571" style="2" customWidth="1"/>
    <col min="2825" max="2825" width="10.7142857142857" style="2" customWidth="1"/>
    <col min="2826" max="2826" width="2.71428571428571" style="2" customWidth="1"/>
    <col min="2827" max="2827" width="8.71428571428571" style="2" customWidth="1"/>
    <col min="2828" max="2828" width="10.7142857142857" style="2" customWidth="1"/>
    <col min="2829" max="2829" width="8.71428571428571" style="2" customWidth="1"/>
    <col min="2830" max="2830" width="2.71428571428571" style="2" customWidth="1"/>
    <col min="2831" max="2832" width="10.7142857142857" style="2" customWidth="1"/>
    <col min="2833" max="2833" width="8.71428571428571" style="2" customWidth="1"/>
    <col min="2834" max="2834" width="2.71428571428571" style="2" customWidth="1"/>
    <col min="2835" max="2835" width="9.14285714285714" style="2"/>
    <col min="2836" max="2836" width="2.71428571428571" style="2" customWidth="1"/>
    <col min="2837" max="3073" width="9.14285714285714" style="2"/>
    <col min="3074" max="3074" width="4.71428571428571" style="2" customWidth="1"/>
    <col min="3075" max="3075" width="8.71428571428571" style="2" customWidth="1"/>
    <col min="3076" max="3076" width="7.71428571428571" style="2" customWidth="1"/>
    <col min="3077" max="3077" width="8.71428571428571" style="2" customWidth="1"/>
    <col min="3078" max="3078" width="2.71428571428571" style="2" customWidth="1"/>
    <col min="3079" max="3079" width="8.71428571428571" style="2" customWidth="1"/>
    <col min="3080" max="3080" width="2.71428571428571" style="2" customWidth="1"/>
    <col min="3081" max="3081" width="10.7142857142857" style="2" customWidth="1"/>
    <col min="3082" max="3082" width="2.71428571428571" style="2" customWidth="1"/>
    <col min="3083" max="3083" width="8.71428571428571" style="2" customWidth="1"/>
    <col min="3084" max="3084" width="10.7142857142857" style="2" customWidth="1"/>
    <col min="3085" max="3085" width="8.71428571428571" style="2" customWidth="1"/>
    <col min="3086" max="3086" width="2.71428571428571" style="2" customWidth="1"/>
    <col min="3087" max="3088" width="10.7142857142857" style="2" customWidth="1"/>
    <col min="3089" max="3089" width="8.71428571428571" style="2" customWidth="1"/>
    <col min="3090" max="3090" width="2.71428571428571" style="2" customWidth="1"/>
    <col min="3091" max="3091" width="9.14285714285714" style="2"/>
    <col min="3092" max="3092" width="2.71428571428571" style="2" customWidth="1"/>
    <col min="3093" max="3329" width="9.14285714285714" style="2"/>
    <col min="3330" max="3330" width="4.71428571428571" style="2" customWidth="1"/>
    <col min="3331" max="3331" width="8.71428571428571" style="2" customWidth="1"/>
    <col min="3332" max="3332" width="7.71428571428571" style="2" customWidth="1"/>
    <col min="3333" max="3333" width="8.71428571428571" style="2" customWidth="1"/>
    <col min="3334" max="3334" width="2.71428571428571" style="2" customWidth="1"/>
    <col min="3335" max="3335" width="8.71428571428571" style="2" customWidth="1"/>
    <col min="3336" max="3336" width="2.71428571428571" style="2" customWidth="1"/>
    <col min="3337" max="3337" width="10.7142857142857" style="2" customWidth="1"/>
    <col min="3338" max="3338" width="2.71428571428571" style="2" customWidth="1"/>
    <col min="3339" max="3339" width="8.71428571428571" style="2" customWidth="1"/>
    <col min="3340" max="3340" width="10.7142857142857" style="2" customWidth="1"/>
    <col min="3341" max="3341" width="8.71428571428571" style="2" customWidth="1"/>
    <col min="3342" max="3342" width="2.71428571428571" style="2" customWidth="1"/>
    <col min="3343" max="3344" width="10.7142857142857" style="2" customWidth="1"/>
    <col min="3345" max="3345" width="8.71428571428571" style="2" customWidth="1"/>
    <col min="3346" max="3346" width="2.71428571428571" style="2" customWidth="1"/>
    <col min="3347" max="3347" width="9.14285714285714" style="2"/>
    <col min="3348" max="3348" width="2.71428571428571" style="2" customWidth="1"/>
    <col min="3349" max="3585" width="9.14285714285714" style="2"/>
    <col min="3586" max="3586" width="4.71428571428571" style="2" customWidth="1"/>
    <col min="3587" max="3587" width="8.71428571428571" style="2" customWidth="1"/>
    <col min="3588" max="3588" width="7.71428571428571" style="2" customWidth="1"/>
    <col min="3589" max="3589" width="8.71428571428571" style="2" customWidth="1"/>
    <col min="3590" max="3590" width="2.71428571428571" style="2" customWidth="1"/>
    <col min="3591" max="3591" width="8.71428571428571" style="2" customWidth="1"/>
    <col min="3592" max="3592" width="2.71428571428571" style="2" customWidth="1"/>
    <col min="3593" max="3593" width="10.7142857142857" style="2" customWidth="1"/>
    <col min="3594" max="3594" width="2.71428571428571" style="2" customWidth="1"/>
    <col min="3595" max="3595" width="8.71428571428571" style="2" customWidth="1"/>
    <col min="3596" max="3596" width="10.7142857142857" style="2" customWidth="1"/>
    <col min="3597" max="3597" width="8.71428571428571" style="2" customWidth="1"/>
    <col min="3598" max="3598" width="2.71428571428571" style="2" customWidth="1"/>
    <col min="3599" max="3600" width="10.7142857142857" style="2" customWidth="1"/>
    <col min="3601" max="3601" width="8.71428571428571" style="2" customWidth="1"/>
    <col min="3602" max="3602" width="2.71428571428571" style="2" customWidth="1"/>
    <col min="3603" max="3603" width="9.14285714285714" style="2"/>
    <col min="3604" max="3604" width="2.71428571428571" style="2" customWidth="1"/>
    <col min="3605" max="3841" width="9.14285714285714" style="2"/>
    <col min="3842" max="3842" width="4.71428571428571" style="2" customWidth="1"/>
    <col min="3843" max="3843" width="8.71428571428571" style="2" customWidth="1"/>
    <col min="3844" max="3844" width="7.71428571428571" style="2" customWidth="1"/>
    <col min="3845" max="3845" width="8.71428571428571" style="2" customWidth="1"/>
    <col min="3846" max="3846" width="2.71428571428571" style="2" customWidth="1"/>
    <col min="3847" max="3847" width="8.71428571428571" style="2" customWidth="1"/>
    <col min="3848" max="3848" width="2.71428571428571" style="2" customWidth="1"/>
    <col min="3849" max="3849" width="10.7142857142857" style="2" customWidth="1"/>
    <col min="3850" max="3850" width="2.71428571428571" style="2" customWidth="1"/>
    <col min="3851" max="3851" width="8.71428571428571" style="2" customWidth="1"/>
    <col min="3852" max="3852" width="10.7142857142857" style="2" customWidth="1"/>
    <col min="3853" max="3853" width="8.71428571428571" style="2" customWidth="1"/>
    <col min="3854" max="3854" width="2.71428571428571" style="2" customWidth="1"/>
    <col min="3855" max="3856" width="10.7142857142857" style="2" customWidth="1"/>
    <col min="3857" max="3857" width="8.71428571428571" style="2" customWidth="1"/>
    <col min="3858" max="3858" width="2.71428571428571" style="2" customWidth="1"/>
    <col min="3859" max="3859" width="9.14285714285714" style="2"/>
    <col min="3860" max="3860" width="2.71428571428571" style="2" customWidth="1"/>
    <col min="3861" max="4097" width="9.14285714285714" style="2"/>
    <col min="4098" max="4098" width="4.71428571428571" style="2" customWidth="1"/>
    <col min="4099" max="4099" width="8.71428571428571" style="2" customWidth="1"/>
    <col min="4100" max="4100" width="7.71428571428571" style="2" customWidth="1"/>
    <col min="4101" max="4101" width="8.71428571428571" style="2" customWidth="1"/>
    <col min="4102" max="4102" width="2.71428571428571" style="2" customWidth="1"/>
    <col min="4103" max="4103" width="8.71428571428571" style="2" customWidth="1"/>
    <col min="4104" max="4104" width="2.71428571428571" style="2" customWidth="1"/>
    <col min="4105" max="4105" width="10.7142857142857" style="2" customWidth="1"/>
    <col min="4106" max="4106" width="2.71428571428571" style="2" customWidth="1"/>
    <col min="4107" max="4107" width="8.71428571428571" style="2" customWidth="1"/>
    <col min="4108" max="4108" width="10.7142857142857" style="2" customWidth="1"/>
    <col min="4109" max="4109" width="8.71428571428571" style="2" customWidth="1"/>
    <col min="4110" max="4110" width="2.71428571428571" style="2" customWidth="1"/>
    <col min="4111" max="4112" width="10.7142857142857" style="2" customWidth="1"/>
    <col min="4113" max="4113" width="8.71428571428571" style="2" customWidth="1"/>
    <col min="4114" max="4114" width="2.71428571428571" style="2" customWidth="1"/>
    <col min="4115" max="4115" width="9.14285714285714" style="2"/>
    <col min="4116" max="4116" width="2.71428571428571" style="2" customWidth="1"/>
    <col min="4117" max="4353" width="9.14285714285714" style="2"/>
    <col min="4354" max="4354" width="4.71428571428571" style="2" customWidth="1"/>
    <col min="4355" max="4355" width="8.71428571428571" style="2" customWidth="1"/>
    <col min="4356" max="4356" width="7.71428571428571" style="2" customWidth="1"/>
    <col min="4357" max="4357" width="8.71428571428571" style="2" customWidth="1"/>
    <col min="4358" max="4358" width="2.71428571428571" style="2" customWidth="1"/>
    <col min="4359" max="4359" width="8.71428571428571" style="2" customWidth="1"/>
    <col min="4360" max="4360" width="2.71428571428571" style="2" customWidth="1"/>
    <col min="4361" max="4361" width="10.7142857142857" style="2" customWidth="1"/>
    <col min="4362" max="4362" width="2.71428571428571" style="2" customWidth="1"/>
    <col min="4363" max="4363" width="8.71428571428571" style="2" customWidth="1"/>
    <col min="4364" max="4364" width="10.7142857142857" style="2" customWidth="1"/>
    <col min="4365" max="4365" width="8.71428571428571" style="2" customWidth="1"/>
    <col min="4366" max="4366" width="2.71428571428571" style="2" customWidth="1"/>
    <col min="4367" max="4368" width="10.7142857142857" style="2" customWidth="1"/>
    <col min="4369" max="4369" width="8.71428571428571" style="2" customWidth="1"/>
    <col min="4370" max="4370" width="2.71428571428571" style="2" customWidth="1"/>
    <col min="4371" max="4371" width="9.14285714285714" style="2"/>
    <col min="4372" max="4372" width="2.71428571428571" style="2" customWidth="1"/>
    <col min="4373" max="4609" width="9.14285714285714" style="2"/>
    <col min="4610" max="4610" width="4.71428571428571" style="2" customWidth="1"/>
    <col min="4611" max="4611" width="8.71428571428571" style="2" customWidth="1"/>
    <col min="4612" max="4612" width="7.71428571428571" style="2" customWidth="1"/>
    <col min="4613" max="4613" width="8.71428571428571" style="2" customWidth="1"/>
    <col min="4614" max="4614" width="2.71428571428571" style="2" customWidth="1"/>
    <col min="4615" max="4615" width="8.71428571428571" style="2" customWidth="1"/>
    <col min="4616" max="4616" width="2.71428571428571" style="2" customWidth="1"/>
    <col min="4617" max="4617" width="10.7142857142857" style="2" customWidth="1"/>
    <col min="4618" max="4618" width="2.71428571428571" style="2" customWidth="1"/>
    <col min="4619" max="4619" width="8.71428571428571" style="2" customWidth="1"/>
    <col min="4620" max="4620" width="10.7142857142857" style="2" customWidth="1"/>
    <col min="4621" max="4621" width="8.71428571428571" style="2" customWidth="1"/>
    <col min="4622" max="4622" width="2.71428571428571" style="2" customWidth="1"/>
    <col min="4623" max="4624" width="10.7142857142857" style="2" customWidth="1"/>
    <col min="4625" max="4625" width="8.71428571428571" style="2" customWidth="1"/>
    <col min="4626" max="4626" width="2.71428571428571" style="2" customWidth="1"/>
    <col min="4627" max="4627" width="9.14285714285714" style="2"/>
    <col min="4628" max="4628" width="2.71428571428571" style="2" customWidth="1"/>
    <col min="4629" max="4865" width="9.14285714285714" style="2"/>
    <col min="4866" max="4866" width="4.71428571428571" style="2" customWidth="1"/>
    <col min="4867" max="4867" width="8.71428571428571" style="2" customWidth="1"/>
    <col min="4868" max="4868" width="7.71428571428571" style="2" customWidth="1"/>
    <col min="4869" max="4869" width="8.71428571428571" style="2" customWidth="1"/>
    <col min="4870" max="4870" width="2.71428571428571" style="2" customWidth="1"/>
    <col min="4871" max="4871" width="8.71428571428571" style="2" customWidth="1"/>
    <col min="4872" max="4872" width="2.71428571428571" style="2" customWidth="1"/>
    <col min="4873" max="4873" width="10.7142857142857" style="2" customWidth="1"/>
    <col min="4874" max="4874" width="2.71428571428571" style="2" customWidth="1"/>
    <col min="4875" max="4875" width="8.71428571428571" style="2" customWidth="1"/>
    <col min="4876" max="4876" width="10.7142857142857" style="2" customWidth="1"/>
    <col min="4877" max="4877" width="8.71428571428571" style="2" customWidth="1"/>
    <col min="4878" max="4878" width="2.71428571428571" style="2" customWidth="1"/>
    <col min="4879" max="4880" width="10.7142857142857" style="2" customWidth="1"/>
    <col min="4881" max="4881" width="8.71428571428571" style="2" customWidth="1"/>
    <col min="4882" max="4882" width="2.71428571428571" style="2" customWidth="1"/>
    <col min="4883" max="4883" width="9.14285714285714" style="2"/>
    <col min="4884" max="4884" width="2.71428571428571" style="2" customWidth="1"/>
    <col min="4885" max="5121" width="9.14285714285714" style="2"/>
    <col min="5122" max="5122" width="4.71428571428571" style="2" customWidth="1"/>
    <col min="5123" max="5123" width="8.71428571428571" style="2" customWidth="1"/>
    <col min="5124" max="5124" width="7.71428571428571" style="2" customWidth="1"/>
    <col min="5125" max="5125" width="8.71428571428571" style="2" customWidth="1"/>
    <col min="5126" max="5126" width="2.71428571428571" style="2" customWidth="1"/>
    <col min="5127" max="5127" width="8.71428571428571" style="2" customWidth="1"/>
    <col min="5128" max="5128" width="2.71428571428571" style="2" customWidth="1"/>
    <col min="5129" max="5129" width="10.7142857142857" style="2" customWidth="1"/>
    <col min="5130" max="5130" width="2.71428571428571" style="2" customWidth="1"/>
    <col min="5131" max="5131" width="8.71428571428571" style="2" customWidth="1"/>
    <col min="5132" max="5132" width="10.7142857142857" style="2" customWidth="1"/>
    <col min="5133" max="5133" width="8.71428571428571" style="2" customWidth="1"/>
    <col min="5134" max="5134" width="2.71428571428571" style="2" customWidth="1"/>
    <col min="5135" max="5136" width="10.7142857142857" style="2" customWidth="1"/>
    <col min="5137" max="5137" width="8.71428571428571" style="2" customWidth="1"/>
    <col min="5138" max="5138" width="2.71428571428571" style="2" customWidth="1"/>
    <col min="5139" max="5139" width="9.14285714285714" style="2"/>
    <col min="5140" max="5140" width="2.71428571428571" style="2" customWidth="1"/>
    <col min="5141" max="5377" width="9.14285714285714" style="2"/>
    <col min="5378" max="5378" width="4.71428571428571" style="2" customWidth="1"/>
    <col min="5379" max="5379" width="8.71428571428571" style="2" customWidth="1"/>
    <col min="5380" max="5380" width="7.71428571428571" style="2" customWidth="1"/>
    <col min="5381" max="5381" width="8.71428571428571" style="2" customWidth="1"/>
    <col min="5382" max="5382" width="2.71428571428571" style="2" customWidth="1"/>
    <col min="5383" max="5383" width="8.71428571428571" style="2" customWidth="1"/>
    <col min="5384" max="5384" width="2.71428571428571" style="2" customWidth="1"/>
    <col min="5385" max="5385" width="10.7142857142857" style="2" customWidth="1"/>
    <col min="5386" max="5386" width="2.71428571428571" style="2" customWidth="1"/>
    <col min="5387" max="5387" width="8.71428571428571" style="2" customWidth="1"/>
    <col min="5388" max="5388" width="10.7142857142857" style="2" customWidth="1"/>
    <col min="5389" max="5389" width="8.71428571428571" style="2" customWidth="1"/>
    <col min="5390" max="5390" width="2.71428571428571" style="2" customWidth="1"/>
    <col min="5391" max="5392" width="10.7142857142857" style="2" customWidth="1"/>
    <col min="5393" max="5393" width="8.71428571428571" style="2" customWidth="1"/>
    <col min="5394" max="5394" width="2.71428571428571" style="2" customWidth="1"/>
    <col min="5395" max="5395" width="9.14285714285714" style="2"/>
    <col min="5396" max="5396" width="2.71428571428571" style="2" customWidth="1"/>
    <col min="5397" max="5633" width="9.14285714285714" style="2"/>
    <col min="5634" max="5634" width="4.71428571428571" style="2" customWidth="1"/>
    <col min="5635" max="5635" width="8.71428571428571" style="2" customWidth="1"/>
    <col min="5636" max="5636" width="7.71428571428571" style="2" customWidth="1"/>
    <col min="5637" max="5637" width="8.71428571428571" style="2" customWidth="1"/>
    <col min="5638" max="5638" width="2.71428571428571" style="2" customWidth="1"/>
    <col min="5639" max="5639" width="8.71428571428571" style="2" customWidth="1"/>
    <col min="5640" max="5640" width="2.71428571428571" style="2" customWidth="1"/>
    <col min="5641" max="5641" width="10.7142857142857" style="2" customWidth="1"/>
    <col min="5642" max="5642" width="2.71428571428571" style="2" customWidth="1"/>
    <col min="5643" max="5643" width="8.71428571428571" style="2" customWidth="1"/>
    <col min="5644" max="5644" width="10.7142857142857" style="2" customWidth="1"/>
    <col min="5645" max="5645" width="8.71428571428571" style="2" customWidth="1"/>
    <col min="5646" max="5646" width="2.71428571428571" style="2" customWidth="1"/>
    <col min="5647" max="5648" width="10.7142857142857" style="2" customWidth="1"/>
    <col min="5649" max="5649" width="8.71428571428571" style="2" customWidth="1"/>
    <col min="5650" max="5650" width="2.71428571428571" style="2" customWidth="1"/>
    <col min="5651" max="5651" width="9.14285714285714" style="2"/>
    <col min="5652" max="5652" width="2.71428571428571" style="2" customWidth="1"/>
    <col min="5653" max="5889" width="9.14285714285714" style="2"/>
    <col min="5890" max="5890" width="4.71428571428571" style="2" customWidth="1"/>
    <col min="5891" max="5891" width="8.71428571428571" style="2" customWidth="1"/>
    <col min="5892" max="5892" width="7.71428571428571" style="2" customWidth="1"/>
    <col min="5893" max="5893" width="8.71428571428571" style="2" customWidth="1"/>
    <col min="5894" max="5894" width="2.71428571428571" style="2" customWidth="1"/>
    <col min="5895" max="5895" width="8.71428571428571" style="2" customWidth="1"/>
    <col min="5896" max="5896" width="2.71428571428571" style="2" customWidth="1"/>
    <col min="5897" max="5897" width="10.7142857142857" style="2" customWidth="1"/>
    <col min="5898" max="5898" width="2.71428571428571" style="2" customWidth="1"/>
    <col min="5899" max="5899" width="8.71428571428571" style="2" customWidth="1"/>
    <col min="5900" max="5900" width="10.7142857142857" style="2" customWidth="1"/>
    <col min="5901" max="5901" width="8.71428571428571" style="2" customWidth="1"/>
    <col min="5902" max="5902" width="2.71428571428571" style="2" customWidth="1"/>
    <col min="5903" max="5904" width="10.7142857142857" style="2" customWidth="1"/>
    <col min="5905" max="5905" width="8.71428571428571" style="2" customWidth="1"/>
    <col min="5906" max="5906" width="2.71428571428571" style="2" customWidth="1"/>
    <col min="5907" max="5907" width="9.14285714285714" style="2"/>
    <col min="5908" max="5908" width="2.71428571428571" style="2" customWidth="1"/>
    <col min="5909" max="6145" width="9.14285714285714" style="2"/>
    <col min="6146" max="6146" width="4.71428571428571" style="2" customWidth="1"/>
    <col min="6147" max="6147" width="8.71428571428571" style="2" customWidth="1"/>
    <col min="6148" max="6148" width="7.71428571428571" style="2" customWidth="1"/>
    <col min="6149" max="6149" width="8.71428571428571" style="2" customWidth="1"/>
    <col min="6150" max="6150" width="2.71428571428571" style="2" customWidth="1"/>
    <col min="6151" max="6151" width="8.71428571428571" style="2" customWidth="1"/>
    <col min="6152" max="6152" width="2.71428571428571" style="2" customWidth="1"/>
    <col min="6153" max="6153" width="10.7142857142857" style="2" customWidth="1"/>
    <col min="6154" max="6154" width="2.71428571428571" style="2" customWidth="1"/>
    <col min="6155" max="6155" width="8.71428571428571" style="2" customWidth="1"/>
    <col min="6156" max="6156" width="10.7142857142857" style="2" customWidth="1"/>
    <col min="6157" max="6157" width="8.71428571428571" style="2" customWidth="1"/>
    <col min="6158" max="6158" width="2.71428571428571" style="2" customWidth="1"/>
    <col min="6159" max="6160" width="10.7142857142857" style="2" customWidth="1"/>
    <col min="6161" max="6161" width="8.71428571428571" style="2" customWidth="1"/>
    <col min="6162" max="6162" width="2.71428571428571" style="2" customWidth="1"/>
    <col min="6163" max="6163" width="9.14285714285714" style="2"/>
    <col min="6164" max="6164" width="2.71428571428571" style="2" customWidth="1"/>
    <col min="6165" max="6401" width="9.14285714285714" style="2"/>
    <col min="6402" max="6402" width="4.71428571428571" style="2" customWidth="1"/>
    <col min="6403" max="6403" width="8.71428571428571" style="2" customWidth="1"/>
    <col min="6404" max="6404" width="7.71428571428571" style="2" customWidth="1"/>
    <col min="6405" max="6405" width="8.71428571428571" style="2" customWidth="1"/>
    <col min="6406" max="6406" width="2.71428571428571" style="2" customWidth="1"/>
    <col min="6407" max="6407" width="8.71428571428571" style="2" customWidth="1"/>
    <col min="6408" max="6408" width="2.71428571428571" style="2" customWidth="1"/>
    <col min="6409" max="6409" width="10.7142857142857" style="2" customWidth="1"/>
    <col min="6410" max="6410" width="2.71428571428571" style="2" customWidth="1"/>
    <col min="6411" max="6411" width="8.71428571428571" style="2" customWidth="1"/>
    <col min="6412" max="6412" width="10.7142857142857" style="2" customWidth="1"/>
    <col min="6413" max="6413" width="8.71428571428571" style="2" customWidth="1"/>
    <col min="6414" max="6414" width="2.71428571428571" style="2" customWidth="1"/>
    <col min="6415" max="6416" width="10.7142857142857" style="2" customWidth="1"/>
    <col min="6417" max="6417" width="8.71428571428571" style="2" customWidth="1"/>
    <col min="6418" max="6418" width="2.71428571428571" style="2" customWidth="1"/>
    <col min="6419" max="6419" width="9.14285714285714" style="2"/>
    <col min="6420" max="6420" width="2.71428571428571" style="2" customWidth="1"/>
    <col min="6421" max="6657" width="9.14285714285714" style="2"/>
    <col min="6658" max="6658" width="4.71428571428571" style="2" customWidth="1"/>
    <col min="6659" max="6659" width="8.71428571428571" style="2" customWidth="1"/>
    <col min="6660" max="6660" width="7.71428571428571" style="2" customWidth="1"/>
    <col min="6661" max="6661" width="8.71428571428571" style="2" customWidth="1"/>
    <col min="6662" max="6662" width="2.71428571428571" style="2" customWidth="1"/>
    <col min="6663" max="6663" width="8.71428571428571" style="2" customWidth="1"/>
    <col min="6664" max="6664" width="2.71428571428571" style="2" customWidth="1"/>
    <col min="6665" max="6665" width="10.7142857142857" style="2" customWidth="1"/>
    <col min="6666" max="6666" width="2.71428571428571" style="2" customWidth="1"/>
    <col min="6667" max="6667" width="8.71428571428571" style="2" customWidth="1"/>
    <col min="6668" max="6668" width="10.7142857142857" style="2" customWidth="1"/>
    <col min="6669" max="6669" width="8.71428571428571" style="2" customWidth="1"/>
    <col min="6670" max="6670" width="2.71428571428571" style="2" customWidth="1"/>
    <col min="6671" max="6672" width="10.7142857142857" style="2" customWidth="1"/>
    <col min="6673" max="6673" width="8.71428571428571" style="2" customWidth="1"/>
    <col min="6674" max="6674" width="2.71428571428571" style="2" customWidth="1"/>
    <col min="6675" max="6675" width="9.14285714285714" style="2"/>
    <col min="6676" max="6676" width="2.71428571428571" style="2" customWidth="1"/>
    <col min="6677" max="6913" width="9.14285714285714" style="2"/>
    <col min="6914" max="6914" width="4.71428571428571" style="2" customWidth="1"/>
    <col min="6915" max="6915" width="8.71428571428571" style="2" customWidth="1"/>
    <col min="6916" max="6916" width="7.71428571428571" style="2" customWidth="1"/>
    <col min="6917" max="6917" width="8.71428571428571" style="2" customWidth="1"/>
    <col min="6918" max="6918" width="2.71428571428571" style="2" customWidth="1"/>
    <col min="6919" max="6919" width="8.71428571428571" style="2" customWidth="1"/>
    <col min="6920" max="6920" width="2.71428571428571" style="2" customWidth="1"/>
    <col min="6921" max="6921" width="10.7142857142857" style="2" customWidth="1"/>
    <col min="6922" max="6922" width="2.71428571428571" style="2" customWidth="1"/>
    <col min="6923" max="6923" width="8.71428571428571" style="2" customWidth="1"/>
    <col min="6924" max="6924" width="10.7142857142857" style="2" customWidth="1"/>
    <col min="6925" max="6925" width="8.71428571428571" style="2" customWidth="1"/>
    <col min="6926" max="6926" width="2.71428571428571" style="2" customWidth="1"/>
    <col min="6927" max="6928" width="10.7142857142857" style="2" customWidth="1"/>
    <col min="6929" max="6929" width="8.71428571428571" style="2" customWidth="1"/>
    <col min="6930" max="6930" width="2.71428571428571" style="2" customWidth="1"/>
    <col min="6931" max="6931" width="9.14285714285714" style="2"/>
    <col min="6932" max="6932" width="2.71428571428571" style="2" customWidth="1"/>
    <col min="6933" max="7169" width="9.14285714285714" style="2"/>
    <col min="7170" max="7170" width="4.71428571428571" style="2" customWidth="1"/>
    <col min="7171" max="7171" width="8.71428571428571" style="2" customWidth="1"/>
    <col min="7172" max="7172" width="7.71428571428571" style="2" customWidth="1"/>
    <col min="7173" max="7173" width="8.71428571428571" style="2" customWidth="1"/>
    <col min="7174" max="7174" width="2.71428571428571" style="2" customWidth="1"/>
    <col min="7175" max="7175" width="8.71428571428571" style="2" customWidth="1"/>
    <col min="7176" max="7176" width="2.71428571428571" style="2" customWidth="1"/>
    <col min="7177" max="7177" width="10.7142857142857" style="2" customWidth="1"/>
    <col min="7178" max="7178" width="2.71428571428571" style="2" customWidth="1"/>
    <col min="7179" max="7179" width="8.71428571428571" style="2" customWidth="1"/>
    <col min="7180" max="7180" width="10.7142857142857" style="2" customWidth="1"/>
    <col min="7181" max="7181" width="8.71428571428571" style="2" customWidth="1"/>
    <col min="7182" max="7182" width="2.71428571428571" style="2" customWidth="1"/>
    <col min="7183" max="7184" width="10.7142857142857" style="2" customWidth="1"/>
    <col min="7185" max="7185" width="8.71428571428571" style="2" customWidth="1"/>
    <col min="7186" max="7186" width="2.71428571428571" style="2" customWidth="1"/>
    <col min="7187" max="7187" width="9.14285714285714" style="2"/>
    <col min="7188" max="7188" width="2.71428571428571" style="2" customWidth="1"/>
    <col min="7189" max="7425" width="9.14285714285714" style="2"/>
    <col min="7426" max="7426" width="4.71428571428571" style="2" customWidth="1"/>
    <col min="7427" max="7427" width="8.71428571428571" style="2" customWidth="1"/>
    <col min="7428" max="7428" width="7.71428571428571" style="2" customWidth="1"/>
    <col min="7429" max="7429" width="8.71428571428571" style="2" customWidth="1"/>
    <col min="7430" max="7430" width="2.71428571428571" style="2" customWidth="1"/>
    <col min="7431" max="7431" width="8.71428571428571" style="2" customWidth="1"/>
    <col min="7432" max="7432" width="2.71428571428571" style="2" customWidth="1"/>
    <col min="7433" max="7433" width="10.7142857142857" style="2" customWidth="1"/>
    <col min="7434" max="7434" width="2.71428571428571" style="2" customWidth="1"/>
    <col min="7435" max="7435" width="8.71428571428571" style="2" customWidth="1"/>
    <col min="7436" max="7436" width="10.7142857142857" style="2" customWidth="1"/>
    <col min="7437" max="7437" width="8.71428571428571" style="2" customWidth="1"/>
    <col min="7438" max="7438" width="2.71428571428571" style="2" customWidth="1"/>
    <col min="7439" max="7440" width="10.7142857142857" style="2" customWidth="1"/>
    <col min="7441" max="7441" width="8.71428571428571" style="2" customWidth="1"/>
    <col min="7442" max="7442" width="2.71428571428571" style="2" customWidth="1"/>
    <col min="7443" max="7443" width="9.14285714285714" style="2"/>
    <col min="7444" max="7444" width="2.71428571428571" style="2" customWidth="1"/>
    <col min="7445" max="7681" width="9.14285714285714" style="2"/>
    <col min="7682" max="7682" width="4.71428571428571" style="2" customWidth="1"/>
    <col min="7683" max="7683" width="8.71428571428571" style="2" customWidth="1"/>
    <col min="7684" max="7684" width="7.71428571428571" style="2" customWidth="1"/>
    <col min="7685" max="7685" width="8.71428571428571" style="2" customWidth="1"/>
    <col min="7686" max="7686" width="2.71428571428571" style="2" customWidth="1"/>
    <col min="7687" max="7687" width="8.71428571428571" style="2" customWidth="1"/>
    <col min="7688" max="7688" width="2.71428571428571" style="2" customWidth="1"/>
    <col min="7689" max="7689" width="10.7142857142857" style="2" customWidth="1"/>
    <col min="7690" max="7690" width="2.71428571428571" style="2" customWidth="1"/>
    <col min="7691" max="7691" width="8.71428571428571" style="2" customWidth="1"/>
    <col min="7692" max="7692" width="10.7142857142857" style="2" customWidth="1"/>
    <col min="7693" max="7693" width="8.71428571428571" style="2" customWidth="1"/>
    <col min="7694" max="7694" width="2.71428571428571" style="2" customWidth="1"/>
    <col min="7695" max="7696" width="10.7142857142857" style="2" customWidth="1"/>
    <col min="7697" max="7697" width="8.71428571428571" style="2" customWidth="1"/>
    <col min="7698" max="7698" width="2.71428571428571" style="2" customWidth="1"/>
    <col min="7699" max="7699" width="9.14285714285714" style="2"/>
    <col min="7700" max="7700" width="2.71428571428571" style="2" customWidth="1"/>
    <col min="7701" max="7937" width="9.14285714285714" style="2"/>
    <col min="7938" max="7938" width="4.71428571428571" style="2" customWidth="1"/>
    <col min="7939" max="7939" width="8.71428571428571" style="2" customWidth="1"/>
    <col min="7940" max="7940" width="7.71428571428571" style="2" customWidth="1"/>
    <col min="7941" max="7941" width="8.71428571428571" style="2" customWidth="1"/>
    <col min="7942" max="7942" width="2.71428571428571" style="2" customWidth="1"/>
    <col min="7943" max="7943" width="8.71428571428571" style="2" customWidth="1"/>
    <col min="7944" max="7944" width="2.71428571428571" style="2" customWidth="1"/>
    <col min="7945" max="7945" width="10.7142857142857" style="2" customWidth="1"/>
    <col min="7946" max="7946" width="2.71428571428571" style="2" customWidth="1"/>
    <col min="7947" max="7947" width="8.71428571428571" style="2" customWidth="1"/>
    <col min="7948" max="7948" width="10.7142857142857" style="2" customWidth="1"/>
    <col min="7949" max="7949" width="8.71428571428571" style="2" customWidth="1"/>
    <col min="7950" max="7950" width="2.71428571428571" style="2" customWidth="1"/>
    <col min="7951" max="7952" width="10.7142857142857" style="2" customWidth="1"/>
    <col min="7953" max="7953" width="8.71428571428571" style="2" customWidth="1"/>
    <col min="7954" max="7954" width="2.71428571428571" style="2" customWidth="1"/>
    <col min="7955" max="7955" width="9.14285714285714" style="2"/>
    <col min="7956" max="7956" width="2.71428571428571" style="2" customWidth="1"/>
    <col min="7957" max="8193" width="9.14285714285714" style="2"/>
    <col min="8194" max="8194" width="4.71428571428571" style="2" customWidth="1"/>
    <col min="8195" max="8195" width="8.71428571428571" style="2" customWidth="1"/>
    <col min="8196" max="8196" width="7.71428571428571" style="2" customWidth="1"/>
    <col min="8197" max="8197" width="8.71428571428571" style="2" customWidth="1"/>
    <col min="8198" max="8198" width="2.71428571428571" style="2" customWidth="1"/>
    <col min="8199" max="8199" width="8.71428571428571" style="2" customWidth="1"/>
    <col min="8200" max="8200" width="2.71428571428571" style="2" customWidth="1"/>
    <col min="8201" max="8201" width="10.7142857142857" style="2" customWidth="1"/>
    <col min="8202" max="8202" width="2.71428571428571" style="2" customWidth="1"/>
    <col min="8203" max="8203" width="8.71428571428571" style="2" customWidth="1"/>
    <col min="8204" max="8204" width="10.7142857142857" style="2" customWidth="1"/>
    <col min="8205" max="8205" width="8.71428571428571" style="2" customWidth="1"/>
    <col min="8206" max="8206" width="2.71428571428571" style="2" customWidth="1"/>
    <col min="8207" max="8208" width="10.7142857142857" style="2" customWidth="1"/>
    <col min="8209" max="8209" width="8.71428571428571" style="2" customWidth="1"/>
    <col min="8210" max="8210" width="2.71428571428571" style="2" customWidth="1"/>
    <col min="8211" max="8211" width="9.14285714285714" style="2"/>
    <col min="8212" max="8212" width="2.71428571428571" style="2" customWidth="1"/>
    <col min="8213" max="8449" width="9.14285714285714" style="2"/>
    <col min="8450" max="8450" width="4.71428571428571" style="2" customWidth="1"/>
    <col min="8451" max="8451" width="8.71428571428571" style="2" customWidth="1"/>
    <col min="8452" max="8452" width="7.71428571428571" style="2" customWidth="1"/>
    <col min="8453" max="8453" width="8.71428571428571" style="2" customWidth="1"/>
    <col min="8454" max="8454" width="2.71428571428571" style="2" customWidth="1"/>
    <col min="8455" max="8455" width="8.71428571428571" style="2" customWidth="1"/>
    <col min="8456" max="8456" width="2.71428571428571" style="2" customWidth="1"/>
    <col min="8457" max="8457" width="10.7142857142857" style="2" customWidth="1"/>
    <col min="8458" max="8458" width="2.71428571428571" style="2" customWidth="1"/>
    <col min="8459" max="8459" width="8.71428571428571" style="2" customWidth="1"/>
    <col min="8460" max="8460" width="10.7142857142857" style="2" customWidth="1"/>
    <col min="8461" max="8461" width="8.71428571428571" style="2" customWidth="1"/>
    <col min="8462" max="8462" width="2.71428571428571" style="2" customWidth="1"/>
    <col min="8463" max="8464" width="10.7142857142857" style="2" customWidth="1"/>
    <col min="8465" max="8465" width="8.71428571428571" style="2" customWidth="1"/>
    <col min="8466" max="8466" width="2.71428571428571" style="2" customWidth="1"/>
    <col min="8467" max="8467" width="9.14285714285714" style="2"/>
    <col min="8468" max="8468" width="2.71428571428571" style="2" customWidth="1"/>
    <col min="8469" max="8705" width="9.14285714285714" style="2"/>
    <col min="8706" max="8706" width="4.71428571428571" style="2" customWidth="1"/>
    <col min="8707" max="8707" width="8.71428571428571" style="2" customWidth="1"/>
    <col min="8708" max="8708" width="7.71428571428571" style="2" customWidth="1"/>
    <col min="8709" max="8709" width="8.71428571428571" style="2" customWidth="1"/>
    <col min="8710" max="8710" width="2.71428571428571" style="2" customWidth="1"/>
    <col min="8711" max="8711" width="8.71428571428571" style="2" customWidth="1"/>
    <col min="8712" max="8712" width="2.71428571428571" style="2" customWidth="1"/>
    <col min="8713" max="8713" width="10.7142857142857" style="2" customWidth="1"/>
    <col min="8714" max="8714" width="2.71428571428571" style="2" customWidth="1"/>
    <col min="8715" max="8715" width="8.71428571428571" style="2" customWidth="1"/>
    <col min="8716" max="8716" width="10.7142857142857" style="2" customWidth="1"/>
    <col min="8717" max="8717" width="8.71428571428571" style="2" customWidth="1"/>
    <col min="8718" max="8718" width="2.71428571428571" style="2" customWidth="1"/>
    <col min="8719" max="8720" width="10.7142857142857" style="2" customWidth="1"/>
    <col min="8721" max="8721" width="8.71428571428571" style="2" customWidth="1"/>
    <col min="8722" max="8722" width="2.71428571428571" style="2" customWidth="1"/>
    <col min="8723" max="8723" width="9.14285714285714" style="2"/>
    <col min="8724" max="8724" width="2.71428571428571" style="2" customWidth="1"/>
    <col min="8725" max="8961" width="9.14285714285714" style="2"/>
    <col min="8962" max="8962" width="4.71428571428571" style="2" customWidth="1"/>
    <col min="8963" max="8963" width="8.71428571428571" style="2" customWidth="1"/>
    <col min="8964" max="8964" width="7.71428571428571" style="2" customWidth="1"/>
    <col min="8965" max="8965" width="8.71428571428571" style="2" customWidth="1"/>
    <col min="8966" max="8966" width="2.71428571428571" style="2" customWidth="1"/>
    <col min="8967" max="8967" width="8.71428571428571" style="2" customWidth="1"/>
    <col min="8968" max="8968" width="2.71428571428571" style="2" customWidth="1"/>
    <col min="8969" max="8969" width="10.7142857142857" style="2" customWidth="1"/>
    <col min="8970" max="8970" width="2.71428571428571" style="2" customWidth="1"/>
    <col min="8971" max="8971" width="8.71428571428571" style="2" customWidth="1"/>
    <col min="8972" max="8972" width="10.7142857142857" style="2" customWidth="1"/>
    <col min="8973" max="8973" width="8.71428571428571" style="2" customWidth="1"/>
    <col min="8974" max="8974" width="2.71428571428571" style="2" customWidth="1"/>
    <col min="8975" max="8976" width="10.7142857142857" style="2" customWidth="1"/>
    <col min="8977" max="8977" width="8.71428571428571" style="2" customWidth="1"/>
    <col min="8978" max="8978" width="2.71428571428571" style="2" customWidth="1"/>
    <col min="8979" max="8979" width="9.14285714285714" style="2"/>
    <col min="8980" max="8980" width="2.71428571428571" style="2" customWidth="1"/>
    <col min="8981" max="9217" width="9.14285714285714" style="2"/>
    <col min="9218" max="9218" width="4.71428571428571" style="2" customWidth="1"/>
    <col min="9219" max="9219" width="8.71428571428571" style="2" customWidth="1"/>
    <col min="9220" max="9220" width="7.71428571428571" style="2" customWidth="1"/>
    <col min="9221" max="9221" width="8.71428571428571" style="2" customWidth="1"/>
    <col min="9222" max="9222" width="2.71428571428571" style="2" customWidth="1"/>
    <col min="9223" max="9223" width="8.71428571428571" style="2" customWidth="1"/>
    <col min="9224" max="9224" width="2.71428571428571" style="2" customWidth="1"/>
    <col min="9225" max="9225" width="10.7142857142857" style="2" customWidth="1"/>
    <col min="9226" max="9226" width="2.71428571428571" style="2" customWidth="1"/>
    <col min="9227" max="9227" width="8.71428571428571" style="2" customWidth="1"/>
    <col min="9228" max="9228" width="10.7142857142857" style="2" customWidth="1"/>
    <col min="9229" max="9229" width="8.71428571428571" style="2" customWidth="1"/>
    <col min="9230" max="9230" width="2.71428571428571" style="2" customWidth="1"/>
    <col min="9231" max="9232" width="10.7142857142857" style="2" customWidth="1"/>
    <col min="9233" max="9233" width="8.71428571428571" style="2" customWidth="1"/>
    <col min="9234" max="9234" width="2.71428571428571" style="2" customWidth="1"/>
    <col min="9235" max="9235" width="9.14285714285714" style="2"/>
    <col min="9236" max="9236" width="2.71428571428571" style="2" customWidth="1"/>
    <col min="9237" max="9473" width="9.14285714285714" style="2"/>
    <col min="9474" max="9474" width="4.71428571428571" style="2" customWidth="1"/>
    <col min="9475" max="9475" width="8.71428571428571" style="2" customWidth="1"/>
    <col min="9476" max="9476" width="7.71428571428571" style="2" customWidth="1"/>
    <col min="9477" max="9477" width="8.71428571428571" style="2" customWidth="1"/>
    <col min="9478" max="9478" width="2.71428571428571" style="2" customWidth="1"/>
    <col min="9479" max="9479" width="8.71428571428571" style="2" customWidth="1"/>
    <col min="9480" max="9480" width="2.71428571428571" style="2" customWidth="1"/>
    <col min="9481" max="9481" width="10.7142857142857" style="2" customWidth="1"/>
    <col min="9482" max="9482" width="2.71428571428571" style="2" customWidth="1"/>
    <col min="9483" max="9483" width="8.71428571428571" style="2" customWidth="1"/>
    <col min="9484" max="9484" width="10.7142857142857" style="2" customWidth="1"/>
    <col min="9485" max="9485" width="8.71428571428571" style="2" customWidth="1"/>
    <col min="9486" max="9486" width="2.71428571428571" style="2" customWidth="1"/>
    <col min="9487" max="9488" width="10.7142857142857" style="2" customWidth="1"/>
    <col min="9489" max="9489" width="8.71428571428571" style="2" customWidth="1"/>
    <col min="9490" max="9490" width="2.71428571428571" style="2" customWidth="1"/>
    <col min="9491" max="9491" width="9.14285714285714" style="2"/>
    <col min="9492" max="9492" width="2.71428571428571" style="2" customWidth="1"/>
    <col min="9493" max="9729" width="9.14285714285714" style="2"/>
    <col min="9730" max="9730" width="4.71428571428571" style="2" customWidth="1"/>
    <col min="9731" max="9731" width="8.71428571428571" style="2" customWidth="1"/>
    <col min="9732" max="9732" width="7.71428571428571" style="2" customWidth="1"/>
    <col min="9733" max="9733" width="8.71428571428571" style="2" customWidth="1"/>
    <col min="9734" max="9734" width="2.71428571428571" style="2" customWidth="1"/>
    <col min="9735" max="9735" width="8.71428571428571" style="2" customWidth="1"/>
    <col min="9736" max="9736" width="2.71428571428571" style="2" customWidth="1"/>
    <col min="9737" max="9737" width="10.7142857142857" style="2" customWidth="1"/>
    <col min="9738" max="9738" width="2.71428571428571" style="2" customWidth="1"/>
    <col min="9739" max="9739" width="8.71428571428571" style="2" customWidth="1"/>
    <col min="9740" max="9740" width="10.7142857142857" style="2" customWidth="1"/>
    <col min="9741" max="9741" width="8.71428571428571" style="2" customWidth="1"/>
    <col min="9742" max="9742" width="2.71428571428571" style="2" customWidth="1"/>
    <col min="9743" max="9744" width="10.7142857142857" style="2" customWidth="1"/>
    <col min="9745" max="9745" width="8.71428571428571" style="2" customWidth="1"/>
    <col min="9746" max="9746" width="2.71428571428571" style="2" customWidth="1"/>
    <col min="9747" max="9747" width="9.14285714285714" style="2"/>
    <col min="9748" max="9748" width="2.71428571428571" style="2" customWidth="1"/>
    <col min="9749" max="9985" width="9.14285714285714" style="2"/>
    <col min="9986" max="9986" width="4.71428571428571" style="2" customWidth="1"/>
    <col min="9987" max="9987" width="8.71428571428571" style="2" customWidth="1"/>
    <col min="9988" max="9988" width="7.71428571428571" style="2" customWidth="1"/>
    <col min="9989" max="9989" width="8.71428571428571" style="2" customWidth="1"/>
    <col min="9990" max="9990" width="2.71428571428571" style="2" customWidth="1"/>
    <col min="9991" max="9991" width="8.71428571428571" style="2" customWidth="1"/>
    <col min="9992" max="9992" width="2.71428571428571" style="2" customWidth="1"/>
    <col min="9993" max="9993" width="10.7142857142857" style="2" customWidth="1"/>
    <col min="9994" max="9994" width="2.71428571428571" style="2" customWidth="1"/>
    <col min="9995" max="9995" width="8.71428571428571" style="2" customWidth="1"/>
    <col min="9996" max="9996" width="10.7142857142857" style="2" customWidth="1"/>
    <col min="9997" max="9997" width="8.71428571428571" style="2" customWidth="1"/>
    <col min="9998" max="9998" width="2.71428571428571" style="2" customWidth="1"/>
    <col min="9999" max="10000" width="10.7142857142857" style="2" customWidth="1"/>
    <col min="10001" max="10001" width="8.71428571428571" style="2" customWidth="1"/>
    <col min="10002" max="10002" width="2.71428571428571" style="2" customWidth="1"/>
    <col min="10003" max="10003" width="9.14285714285714" style="2"/>
    <col min="10004" max="10004" width="2.71428571428571" style="2" customWidth="1"/>
    <col min="10005" max="10241" width="9.14285714285714" style="2"/>
    <col min="10242" max="10242" width="4.71428571428571" style="2" customWidth="1"/>
    <col min="10243" max="10243" width="8.71428571428571" style="2" customWidth="1"/>
    <col min="10244" max="10244" width="7.71428571428571" style="2" customWidth="1"/>
    <col min="10245" max="10245" width="8.71428571428571" style="2" customWidth="1"/>
    <col min="10246" max="10246" width="2.71428571428571" style="2" customWidth="1"/>
    <col min="10247" max="10247" width="8.71428571428571" style="2" customWidth="1"/>
    <col min="10248" max="10248" width="2.71428571428571" style="2" customWidth="1"/>
    <col min="10249" max="10249" width="10.7142857142857" style="2" customWidth="1"/>
    <col min="10250" max="10250" width="2.71428571428571" style="2" customWidth="1"/>
    <col min="10251" max="10251" width="8.71428571428571" style="2" customWidth="1"/>
    <col min="10252" max="10252" width="10.7142857142857" style="2" customWidth="1"/>
    <col min="10253" max="10253" width="8.71428571428571" style="2" customWidth="1"/>
    <col min="10254" max="10254" width="2.71428571428571" style="2" customWidth="1"/>
    <col min="10255" max="10256" width="10.7142857142857" style="2" customWidth="1"/>
    <col min="10257" max="10257" width="8.71428571428571" style="2" customWidth="1"/>
    <col min="10258" max="10258" width="2.71428571428571" style="2" customWidth="1"/>
    <col min="10259" max="10259" width="9.14285714285714" style="2"/>
    <col min="10260" max="10260" width="2.71428571428571" style="2" customWidth="1"/>
    <col min="10261" max="10497" width="9.14285714285714" style="2"/>
    <col min="10498" max="10498" width="4.71428571428571" style="2" customWidth="1"/>
    <col min="10499" max="10499" width="8.71428571428571" style="2" customWidth="1"/>
    <col min="10500" max="10500" width="7.71428571428571" style="2" customWidth="1"/>
    <col min="10501" max="10501" width="8.71428571428571" style="2" customWidth="1"/>
    <col min="10502" max="10502" width="2.71428571428571" style="2" customWidth="1"/>
    <col min="10503" max="10503" width="8.71428571428571" style="2" customWidth="1"/>
    <col min="10504" max="10504" width="2.71428571428571" style="2" customWidth="1"/>
    <col min="10505" max="10505" width="10.7142857142857" style="2" customWidth="1"/>
    <col min="10506" max="10506" width="2.71428571428571" style="2" customWidth="1"/>
    <col min="10507" max="10507" width="8.71428571428571" style="2" customWidth="1"/>
    <col min="10508" max="10508" width="10.7142857142857" style="2" customWidth="1"/>
    <col min="10509" max="10509" width="8.71428571428571" style="2" customWidth="1"/>
    <col min="10510" max="10510" width="2.71428571428571" style="2" customWidth="1"/>
    <col min="10511" max="10512" width="10.7142857142857" style="2" customWidth="1"/>
    <col min="10513" max="10513" width="8.71428571428571" style="2" customWidth="1"/>
    <col min="10514" max="10514" width="2.71428571428571" style="2" customWidth="1"/>
    <col min="10515" max="10515" width="9.14285714285714" style="2"/>
    <col min="10516" max="10516" width="2.71428571428571" style="2" customWidth="1"/>
    <col min="10517" max="10753" width="9.14285714285714" style="2"/>
    <col min="10754" max="10754" width="4.71428571428571" style="2" customWidth="1"/>
    <col min="10755" max="10755" width="8.71428571428571" style="2" customWidth="1"/>
    <col min="10756" max="10756" width="7.71428571428571" style="2" customWidth="1"/>
    <col min="10757" max="10757" width="8.71428571428571" style="2" customWidth="1"/>
    <col min="10758" max="10758" width="2.71428571428571" style="2" customWidth="1"/>
    <col min="10759" max="10759" width="8.71428571428571" style="2" customWidth="1"/>
    <col min="10760" max="10760" width="2.71428571428571" style="2" customWidth="1"/>
    <col min="10761" max="10761" width="10.7142857142857" style="2" customWidth="1"/>
    <col min="10762" max="10762" width="2.71428571428571" style="2" customWidth="1"/>
    <col min="10763" max="10763" width="8.71428571428571" style="2" customWidth="1"/>
    <col min="10764" max="10764" width="10.7142857142857" style="2" customWidth="1"/>
    <col min="10765" max="10765" width="8.71428571428571" style="2" customWidth="1"/>
    <col min="10766" max="10766" width="2.71428571428571" style="2" customWidth="1"/>
    <col min="10767" max="10768" width="10.7142857142857" style="2" customWidth="1"/>
    <col min="10769" max="10769" width="8.71428571428571" style="2" customWidth="1"/>
    <col min="10770" max="10770" width="2.71428571428571" style="2" customWidth="1"/>
    <col min="10771" max="10771" width="9.14285714285714" style="2"/>
    <col min="10772" max="10772" width="2.71428571428571" style="2" customWidth="1"/>
    <col min="10773" max="11009" width="9.14285714285714" style="2"/>
    <col min="11010" max="11010" width="4.71428571428571" style="2" customWidth="1"/>
    <col min="11011" max="11011" width="8.71428571428571" style="2" customWidth="1"/>
    <col min="11012" max="11012" width="7.71428571428571" style="2" customWidth="1"/>
    <col min="11013" max="11013" width="8.71428571428571" style="2" customWidth="1"/>
    <col min="11014" max="11014" width="2.71428571428571" style="2" customWidth="1"/>
    <col min="11015" max="11015" width="8.71428571428571" style="2" customWidth="1"/>
    <col min="11016" max="11016" width="2.71428571428571" style="2" customWidth="1"/>
    <col min="11017" max="11017" width="10.7142857142857" style="2" customWidth="1"/>
    <col min="11018" max="11018" width="2.71428571428571" style="2" customWidth="1"/>
    <col min="11019" max="11019" width="8.71428571428571" style="2" customWidth="1"/>
    <col min="11020" max="11020" width="10.7142857142857" style="2" customWidth="1"/>
    <col min="11021" max="11021" width="8.71428571428571" style="2" customWidth="1"/>
    <col min="11022" max="11022" width="2.71428571428571" style="2" customWidth="1"/>
    <col min="11023" max="11024" width="10.7142857142857" style="2" customWidth="1"/>
    <col min="11025" max="11025" width="8.71428571428571" style="2" customWidth="1"/>
    <col min="11026" max="11026" width="2.71428571428571" style="2" customWidth="1"/>
    <col min="11027" max="11027" width="9.14285714285714" style="2"/>
    <col min="11028" max="11028" width="2.71428571428571" style="2" customWidth="1"/>
    <col min="11029" max="11265" width="9.14285714285714" style="2"/>
    <col min="11266" max="11266" width="4.71428571428571" style="2" customWidth="1"/>
    <col min="11267" max="11267" width="8.71428571428571" style="2" customWidth="1"/>
    <col min="11268" max="11268" width="7.71428571428571" style="2" customWidth="1"/>
    <col min="11269" max="11269" width="8.71428571428571" style="2" customWidth="1"/>
    <col min="11270" max="11270" width="2.71428571428571" style="2" customWidth="1"/>
    <col min="11271" max="11271" width="8.71428571428571" style="2" customWidth="1"/>
    <col min="11272" max="11272" width="2.71428571428571" style="2" customWidth="1"/>
    <col min="11273" max="11273" width="10.7142857142857" style="2" customWidth="1"/>
    <col min="11274" max="11274" width="2.71428571428571" style="2" customWidth="1"/>
    <col min="11275" max="11275" width="8.71428571428571" style="2" customWidth="1"/>
    <col min="11276" max="11276" width="10.7142857142857" style="2" customWidth="1"/>
    <col min="11277" max="11277" width="8.71428571428571" style="2" customWidth="1"/>
    <col min="11278" max="11278" width="2.71428571428571" style="2" customWidth="1"/>
    <col min="11279" max="11280" width="10.7142857142857" style="2" customWidth="1"/>
    <col min="11281" max="11281" width="8.71428571428571" style="2" customWidth="1"/>
    <col min="11282" max="11282" width="2.71428571428571" style="2" customWidth="1"/>
    <col min="11283" max="11283" width="9.14285714285714" style="2"/>
    <col min="11284" max="11284" width="2.71428571428571" style="2" customWidth="1"/>
    <col min="11285" max="11521" width="9.14285714285714" style="2"/>
    <col min="11522" max="11522" width="4.71428571428571" style="2" customWidth="1"/>
    <col min="11523" max="11523" width="8.71428571428571" style="2" customWidth="1"/>
    <col min="11524" max="11524" width="7.71428571428571" style="2" customWidth="1"/>
    <col min="11525" max="11525" width="8.71428571428571" style="2" customWidth="1"/>
    <col min="11526" max="11526" width="2.71428571428571" style="2" customWidth="1"/>
    <col min="11527" max="11527" width="8.71428571428571" style="2" customWidth="1"/>
    <col min="11528" max="11528" width="2.71428571428571" style="2" customWidth="1"/>
    <col min="11529" max="11529" width="10.7142857142857" style="2" customWidth="1"/>
    <col min="11530" max="11530" width="2.71428571428571" style="2" customWidth="1"/>
    <col min="11531" max="11531" width="8.71428571428571" style="2" customWidth="1"/>
    <col min="11532" max="11532" width="10.7142857142857" style="2" customWidth="1"/>
    <col min="11533" max="11533" width="8.71428571428571" style="2" customWidth="1"/>
    <col min="11534" max="11534" width="2.71428571428571" style="2" customWidth="1"/>
    <col min="11535" max="11536" width="10.7142857142857" style="2" customWidth="1"/>
    <col min="11537" max="11537" width="8.71428571428571" style="2" customWidth="1"/>
    <col min="11538" max="11538" width="2.71428571428571" style="2" customWidth="1"/>
    <col min="11539" max="11539" width="9.14285714285714" style="2"/>
    <col min="11540" max="11540" width="2.71428571428571" style="2" customWidth="1"/>
    <col min="11541" max="11777" width="9.14285714285714" style="2"/>
    <col min="11778" max="11778" width="4.71428571428571" style="2" customWidth="1"/>
    <col min="11779" max="11779" width="8.71428571428571" style="2" customWidth="1"/>
    <col min="11780" max="11780" width="7.71428571428571" style="2" customWidth="1"/>
    <col min="11781" max="11781" width="8.71428571428571" style="2" customWidth="1"/>
    <col min="11782" max="11782" width="2.71428571428571" style="2" customWidth="1"/>
    <col min="11783" max="11783" width="8.71428571428571" style="2" customWidth="1"/>
    <col min="11784" max="11784" width="2.71428571428571" style="2" customWidth="1"/>
    <col min="11785" max="11785" width="10.7142857142857" style="2" customWidth="1"/>
    <col min="11786" max="11786" width="2.71428571428571" style="2" customWidth="1"/>
    <col min="11787" max="11787" width="8.71428571428571" style="2" customWidth="1"/>
    <col min="11788" max="11788" width="10.7142857142857" style="2" customWidth="1"/>
    <col min="11789" max="11789" width="8.71428571428571" style="2" customWidth="1"/>
    <col min="11790" max="11790" width="2.71428571428571" style="2" customWidth="1"/>
    <col min="11791" max="11792" width="10.7142857142857" style="2" customWidth="1"/>
    <col min="11793" max="11793" width="8.71428571428571" style="2" customWidth="1"/>
    <col min="11794" max="11794" width="2.71428571428571" style="2" customWidth="1"/>
    <col min="11795" max="11795" width="9.14285714285714" style="2"/>
    <col min="11796" max="11796" width="2.71428571428571" style="2" customWidth="1"/>
    <col min="11797" max="12033" width="9.14285714285714" style="2"/>
    <col min="12034" max="12034" width="4.71428571428571" style="2" customWidth="1"/>
    <col min="12035" max="12035" width="8.71428571428571" style="2" customWidth="1"/>
    <col min="12036" max="12036" width="7.71428571428571" style="2" customWidth="1"/>
    <col min="12037" max="12037" width="8.71428571428571" style="2" customWidth="1"/>
    <col min="12038" max="12038" width="2.71428571428571" style="2" customWidth="1"/>
    <col min="12039" max="12039" width="8.71428571428571" style="2" customWidth="1"/>
    <col min="12040" max="12040" width="2.71428571428571" style="2" customWidth="1"/>
    <col min="12041" max="12041" width="10.7142857142857" style="2" customWidth="1"/>
    <col min="12042" max="12042" width="2.71428571428571" style="2" customWidth="1"/>
    <col min="12043" max="12043" width="8.71428571428571" style="2" customWidth="1"/>
    <col min="12044" max="12044" width="10.7142857142857" style="2" customWidth="1"/>
    <col min="12045" max="12045" width="8.71428571428571" style="2" customWidth="1"/>
    <col min="12046" max="12046" width="2.71428571428571" style="2" customWidth="1"/>
    <col min="12047" max="12048" width="10.7142857142857" style="2" customWidth="1"/>
    <col min="12049" max="12049" width="8.71428571428571" style="2" customWidth="1"/>
    <col min="12050" max="12050" width="2.71428571428571" style="2" customWidth="1"/>
    <col min="12051" max="12051" width="9.14285714285714" style="2"/>
    <col min="12052" max="12052" width="2.71428571428571" style="2" customWidth="1"/>
    <col min="12053" max="12289" width="9.14285714285714" style="2"/>
    <col min="12290" max="12290" width="4.71428571428571" style="2" customWidth="1"/>
    <col min="12291" max="12291" width="8.71428571428571" style="2" customWidth="1"/>
    <col min="12292" max="12292" width="7.71428571428571" style="2" customWidth="1"/>
    <col min="12293" max="12293" width="8.71428571428571" style="2" customWidth="1"/>
    <col min="12294" max="12294" width="2.71428571428571" style="2" customWidth="1"/>
    <col min="12295" max="12295" width="8.71428571428571" style="2" customWidth="1"/>
    <col min="12296" max="12296" width="2.71428571428571" style="2" customWidth="1"/>
    <col min="12297" max="12297" width="10.7142857142857" style="2" customWidth="1"/>
    <col min="12298" max="12298" width="2.71428571428571" style="2" customWidth="1"/>
    <col min="12299" max="12299" width="8.71428571428571" style="2" customWidth="1"/>
    <col min="12300" max="12300" width="10.7142857142857" style="2" customWidth="1"/>
    <col min="12301" max="12301" width="8.71428571428571" style="2" customWidth="1"/>
    <col min="12302" max="12302" width="2.71428571428571" style="2" customWidth="1"/>
    <col min="12303" max="12304" width="10.7142857142857" style="2" customWidth="1"/>
    <col min="12305" max="12305" width="8.71428571428571" style="2" customWidth="1"/>
    <col min="12306" max="12306" width="2.71428571428571" style="2" customWidth="1"/>
    <col min="12307" max="12307" width="9.14285714285714" style="2"/>
    <col min="12308" max="12308" width="2.71428571428571" style="2" customWidth="1"/>
    <col min="12309" max="12545" width="9.14285714285714" style="2"/>
    <col min="12546" max="12546" width="4.71428571428571" style="2" customWidth="1"/>
    <col min="12547" max="12547" width="8.71428571428571" style="2" customWidth="1"/>
    <col min="12548" max="12548" width="7.71428571428571" style="2" customWidth="1"/>
    <col min="12549" max="12549" width="8.71428571428571" style="2" customWidth="1"/>
    <col min="12550" max="12550" width="2.71428571428571" style="2" customWidth="1"/>
    <col min="12551" max="12551" width="8.71428571428571" style="2" customWidth="1"/>
    <col min="12552" max="12552" width="2.71428571428571" style="2" customWidth="1"/>
    <col min="12553" max="12553" width="10.7142857142857" style="2" customWidth="1"/>
    <col min="12554" max="12554" width="2.71428571428571" style="2" customWidth="1"/>
    <col min="12555" max="12555" width="8.71428571428571" style="2" customWidth="1"/>
    <col min="12556" max="12556" width="10.7142857142857" style="2" customWidth="1"/>
    <col min="12557" max="12557" width="8.71428571428571" style="2" customWidth="1"/>
    <col min="12558" max="12558" width="2.71428571428571" style="2" customWidth="1"/>
    <col min="12559" max="12560" width="10.7142857142857" style="2" customWidth="1"/>
    <col min="12561" max="12561" width="8.71428571428571" style="2" customWidth="1"/>
    <col min="12562" max="12562" width="2.71428571428571" style="2" customWidth="1"/>
    <col min="12563" max="12563" width="9.14285714285714" style="2"/>
    <col min="12564" max="12564" width="2.71428571428571" style="2" customWidth="1"/>
    <col min="12565" max="12801" width="9.14285714285714" style="2"/>
    <col min="12802" max="12802" width="4.71428571428571" style="2" customWidth="1"/>
    <col min="12803" max="12803" width="8.71428571428571" style="2" customWidth="1"/>
    <col min="12804" max="12804" width="7.71428571428571" style="2" customWidth="1"/>
    <col min="12805" max="12805" width="8.71428571428571" style="2" customWidth="1"/>
    <col min="12806" max="12806" width="2.71428571428571" style="2" customWidth="1"/>
    <col min="12807" max="12807" width="8.71428571428571" style="2" customWidth="1"/>
    <col min="12808" max="12808" width="2.71428571428571" style="2" customWidth="1"/>
    <col min="12809" max="12809" width="10.7142857142857" style="2" customWidth="1"/>
    <col min="12810" max="12810" width="2.71428571428571" style="2" customWidth="1"/>
    <col min="12811" max="12811" width="8.71428571428571" style="2" customWidth="1"/>
    <col min="12812" max="12812" width="10.7142857142857" style="2" customWidth="1"/>
    <col min="12813" max="12813" width="8.71428571428571" style="2" customWidth="1"/>
    <col min="12814" max="12814" width="2.71428571428571" style="2" customWidth="1"/>
    <col min="12815" max="12816" width="10.7142857142857" style="2" customWidth="1"/>
    <col min="12817" max="12817" width="8.71428571428571" style="2" customWidth="1"/>
    <col min="12818" max="12818" width="2.71428571428571" style="2" customWidth="1"/>
    <col min="12819" max="12819" width="9.14285714285714" style="2"/>
    <col min="12820" max="12820" width="2.71428571428571" style="2" customWidth="1"/>
    <col min="12821" max="13057" width="9.14285714285714" style="2"/>
    <col min="13058" max="13058" width="4.71428571428571" style="2" customWidth="1"/>
    <col min="13059" max="13059" width="8.71428571428571" style="2" customWidth="1"/>
    <col min="13060" max="13060" width="7.71428571428571" style="2" customWidth="1"/>
    <col min="13061" max="13061" width="8.71428571428571" style="2" customWidth="1"/>
    <col min="13062" max="13062" width="2.71428571428571" style="2" customWidth="1"/>
    <col min="13063" max="13063" width="8.71428571428571" style="2" customWidth="1"/>
    <col min="13064" max="13064" width="2.71428571428571" style="2" customWidth="1"/>
    <col min="13065" max="13065" width="10.7142857142857" style="2" customWidth="1"/>
    <col min="13066" max="13066" width="2.71428571428571" style="2" customWidth="1"/>
    <col min="13067" max="13067" width="8.71428571428571" style="2" customWidth="1"/>
    <col min="13068" max="13068" width="10.7142857142857" style="2" customWidth="1"/>
    <col min="13069" max="13069" width="8.71428571428571" style="2" customWidth="1"/>
    <col min="13070" max="13070" width="2.71428571428571" style="2" customWidth="1"/>
    <col min="13071" max="13072" width="10.7142857142857" style="2" customWidth="1"/>
    <col min="13073" max="13073" width="8.71428571428571" style="2" customWidth="1"/>
    <col min="13074" max="13074" width="2.71428571428571" style="2" customWidth="1"/>
    <col min="13075" max="13075" width="9.14285714285714" style="2"/>
    <col min="13076" max="13076" width="2.71428571428571" style="2" customWidth="1"/>
    <col min="13077" max="13313" width="9.14285714285714" style="2"/>
    <col min="13314" max="13314" width="4.71428571428571" style="2" customWidth="1"/>
    <col min="13315" max="13315" width="8.71428571428571" style="2" customWidth="1"/>
    <col min="13316" max="13316" width="7.71428571428571" style="2" customWidth="1"/>
    <col min="13317" max="13317" width="8.71428571428571" style="2" customWidth="1"/>
    <col min="13318" max="13318" width="2.71428571428571" style="2" customWidth="1"/>
    <col min="13319" max="13319" width="8.71428571428571" style="2" customWidth="1"/>
    <col min="13320" max="13320" width="2.71428571428571" style="2" customWidth="1"/>
    <col min="13321" max="13321" width="10.7142857142857" style="2" customWidth="1"/>
    <col min="13322" max="13322" width="2.71428571428571" style="2" customWidth="1"/>
    <col min="13323" max="13323" width="8.71428571428571" style="2" customWidth="1"/>
    <col min="13324" max="13324" width="10.7142857142857" style="2" customWidth="1"/>
    <col min="13325" max="13325" width="8.71428571428571" style="2" customWidth="1"/>
    <col min="13326" max="13326" width="2.71428571428571" style="2" customWidth="1"/>
    <col min="13327" max="13328" width="10.7142857142857" style="2" customWidth="1"/>
    <col min="13329" max="13329" width="8.71428571428571" style="2" customWidth="1"/>
    <col min="13330" max="13330" width="2.71428571428571" style="2" customWidth="1"/>
    <col min="13331" max="13331" width="9.14285714285714" style="2"/>
    <col min="13332" max="13332" width="2.71428571428571" style="2" customWidth="1"/>
    <col min="13333" max="13569" width="9.14285714285714" style="2"/>
    <col min="13570" max="13570" width="4.71428571428571" style="2" customWidth="1"/>
    <col min="13571" max="13571" width="8.71428571428571" style="2" customWidth="1"/>
    <col min="13572" max="13572" width="7.71428571428571" style="2" customWidth="1"/>
    <col min="13573" max="13573" width="8.71428571428571" style="2" customWidth="1"/>
    <col min="13574" max="13574" width="2.71428571428571" style="2" customWidth="1"/>
    <col min="13575" max="13575" width="8.71428571428571" style="2" customWidth="1"/>
    <col min="13576" max="13576" width="2.71428571428571" style="2" customWidth="1"/>
    <col min="13577" max="13577" width="10.7142857142857" style="2" customWidth="1"/>
    <col min="13578" max="13578" width="2.71428571428571" style="2" customWidth="1"/>
    <col min="13579" max="13579" width="8.71428571428571" style="2" customWidth="1"/>
    <col min="13580" max="13580" width="10.7142857142857" style="2" customWidth="1"/>
    <col min="13581" max="13581" width="8.71428571428571" style="2" customWidth="1"/>
    <col min="13582" max="13582" width="2.71428571428571" style="2" customWidth="1"/>
    <col min="13583" max="13584" width="10.7142857142857" style="2" customWidth="1"/>
    <col min="13585" max="13585" width="8.71428571428571" style="2" customWidth="1"/>
    <col min="13586" max="13586" width="2.71428571428571" style="2" customWidth="1"/>
    <col min="13587" max="13587" width="9.14285714285714" style="2"/>
    <col min="13588" max="13588" width="2.71428571428571" style="2" customWidth="1"/>
    <col min="13589" max="13825" width="9.14285714285714" style="2"/>
    <col min="13826" max="13826" width="4.71428571428571" style="2" customWidth="1"/>
    <col min="13827" max="13827" width="8.71428571428571" style="2" customWidth="1"/>
    <col min="13828" max="13828" width="7.71428571428571" style="2" customWidth="1"/>
    <col min="13829" max="13829" width="8.71428571428571" style="2" customWidth="1"/>
    <col min="13830" max="13830" width="2.71428571428571" style="2" customWidth="1"/>
    <col min="13831" max="13831" width="8.71428571428571" style="2" customWidth="1"/>
    <col min="13832" max="13832" width="2.71428571428571" style="2" customWidth="1"/>
    <col min="13833" max="13833" width="10.7142857142857" style="2" customWidth="1"/>
    <col min="13834" max="13834" width="2.71428571428571" style="2" customWidth="1"/>
    <col min="13835" max="13835" width="8.71428571428571" style="2" customWidth="1"/>
    <col min="13836" max="13836" width="10.7142857142857" style="2" customWidth="1"/>
    <col min="13837" max="13837" width="8.71428571428571" style="2" customWidth="1"/>
    <col min="13838" max="13838" width="2.71428571428571" style="2" customWidth="1"/>
    <col min="13839" max="13840" width="10.7142857142857" style="2" customWidth="1"/>
    <col min="13841" max="13841" width="8.71428571428571" style="2" customWidth="1"/>
    <col min="13842" max="13842" width="2.71428571428571" style="2" customWidth="1"/>
    <col min="13843" max="13843" width="9.14285714285714" style="2"/>
    <col min="13844" max="13844" width="2.71428571428571" style="2" customWidth="1"/>
    <col min="13845" max="14081" width="9.14285714285714" style="2"/>
    <col min="14082" max="14082" width="4.71428571428571" style="2" customWidth="1"/>
    <col min="14083" max="14083" width="8.71428571428571" style="2" customWidth="1"/>
    <col min="14084" max="14084" width="7.71428571428571" style="2" customWidth="1"/>
    <col min="14085" max="14085" width="8.71428571428571" style="2" customWidth="1"/>
    <col min="14086" max="14086" width="2.71428571428571" style="2" customWidth="1"/>
    <col min="14087" max="14087" width="8.71428571428571" style="2" customWidth="1"/>
    <col min="14088" max="14088" width="2.71428571428571" style="2" customWidth="1"/>
    <col min="14089" max="14089" width="10.7142857142857" style="2" customWidth="1"/>
    <col min="14090" max="14090" width="2.71428571428571" style="2" customWidth="1"/>
    <col min="14091" max="14091" width="8.71428571428571" style="2" customWidth="1"/>
    <col min="14092" max="14092" width="10.7142857142857" style="2" customWidth="1"/>
    <col min="14093" max="14093" width="8.71428571428571" style="2" customWidth="1"/>
    <col min="14094" max="14094" width="2.71428571428571" style="2" customWidth="1"/>
    <col min="14095" max="14096" width="10.7142857142857" style="2" customWidth="1"/>
    <col min="14097" max="14097" width="8.71428571428571" style="2" customWidth="1"/>
    <col min="14098" max="14098" width="2.71428571428571" style="2" customWidth="1"/>
    <col min="14099" max="14099" width="9.14285714285714" style="2"/>
    <col min="14100" max="14100" width="2.71428571428571" style="2" customWidth="1"/>
    <col min="14101" max="14337" width="9.14285714285714" style="2"/>
    <col min="14338" max="14338" width="4.71428571428571" style="2" customWidth="1"/>
    <col min="14339" max="14339" width="8.71428571428571" style="2" customWidth="1"/>
    <col min="14340" max="14340" width="7.71428571428571" style="2" customWidth="1"/>
    <col min="14341" max="14341" width="8.71428571428571" style="2" customWidth="1"/>
    <col min="14342" max="14342" width="2.71428571428571" style="2" customWidth="1"/>
    <col min="14343" max="14343" width="8.71428571428571" style="2" customWidth="1"/>
    <col min="14344" max="14344" width="2.71428571428571" style="2" customWidth="1"/>
    <col min="14345" max="14345" width="10.7142857142857" style="2" customWidth="1"/>
    <col min="14346" max="14346" width="2.71428571428571" style="2" customWidth="1"/>
    <col min="14347" max="14347" width="8.71428571428571" style="2" customWidth="1"/>
    <col min="14348" max="14348" width="10.7142857142857" style="2" customWidth="1"/>
    <col min="14349" max="14349" width="8.71428571428571" style="2" customWidth="1"/>
    <col min="14350" max="14350" width="2.71428571428571" style="2" customWidth="1"/>
    <col min="14351" max="14352" width="10.7142857142857" style="2" customWidth="1"/>
    <col min="14353" max="14353" width="8.71428571428571" style="2" customWidth="1"/>
    <col min="14354" max="14354" width="2.71428571428571" style="2" customWidth="1"/>
    <col min="14355" max="14355" width="9.14285714285714" style="2"/>
    <col min="14356" max="14356" width="2.71428571428571" style="2" customWidth="1"/>
    <col min="14357" max="14593" width="9.14285714285714" style="2"/>
    <col min="14594" max="14594" width="4.71428571428571" style="2" customWidth="1"/>
    <col min="14595" max="14595" width="8.71428571428571" style="2" customWidth="1"/>
    <col min="14596" max="14596" width="7.71428571428571" style="2" customWidth="1"/>
    <col min="14597" max="14597" width="8.71428571428571" style="2" customWidth="1"/>
    <col min="14598" max="14598" width="2.71428571428571" style="2" customWidth="1"/>
    <col min="14599" max="14599" width="8.71428571428571" style="2" customWidth="1"/>
    <col min="14600" max="14600" width="2.71428571428571" style="2" customWidth="1"/>
    <col min="14601" max="14601" width="10.7142857142857" style="2" customWidth="1"/>
    <col min="14602" max="14602" width="2.71428571428571" style="2" customWidth="1"/>
    <col min="14603" max="14603" width="8.71428571428571" style="2" customWidth="1"/>
    <col min="14604" max="14604" width="10.7142857142857" style="2" customWidth="1"/>
    <col min="14605" max="14605" width="8.71428571428571" style="2" customWidth="1"/>
    <col min="14606" max="14606" width="2.71428571428571" style="2" customWidth="1"/>
    <col min="14607" max="14608" width="10.7142857142857" style="2" customWidth="1"/>
    <col min="14609" max="14609" width="8.71428571428571" style="2" customWidth="1"/>
    <col min="14610" max="14610" width="2.71428571428571" style="2" customWidth="1"/>
    <col min="14611" max="14611" width="9.14285714285714" style="2"/>
    <col min="14612" max="14612" width="2.71428571428571" style="2" customWidth="1"/>
    <col min="14613" max="14849" width="9.14285714285714" style="2"/>
    <col min="14850" max="14850" width="4.71428571428571" style="2" customWidth="1"/>
    <col min="14851" max="14851" width="8.71428571428571" style="2" customWidth="1"/>
    <col min="14852" max="14852" width="7.71428571428571" style="2" customWidth="1"/>
    <col min="14853" max="14853" width="8.71428571428571" style="2" customWidth="1"/>
    <col min="14854" max="14854" width="2.71428571428571" style="2" customWidth="1"/>
    <col min="14855" max="14855" width="8.71428571428571" style="2" customWidth="1"/>
    <col min="14856" max="14856" width="2.71428571428571" style="2" customWidth="1"/>
    <col min="14857" max="14857" width="10.7142857142857" style="2" customWidth="1"/>
    <col min="14858" max="14858" width="2.71428571428571" style="2" customWidth="1"/>
    <col min="14859" max="14859" width="8.71428571428571" style="2" customWidth="1"/>
    <col min="14860" max="14860" width="10.7142857142857" style="2" customWidth="1"/>
    <col min="14861" max="14861" width="8.71428571428571" style="2" customWidth="1"/>
    <col min="14862" max="14862" width="2.71428571428571" style="2" customWidth="1"/>
    <col min="14863" max="14864" width="10.7142857142857" style="2" customWidth="1"/>
    <col min="14865" max="14865" width="8.71428571428571" style="2" customWidth="1"/>
    <col min="14866" max="14866" width="2.71428571428571" style="2" customWidth="1"/>
    <col min="14867" max="14867" width="9.14285714285714" style="2"/>
    <col min="14868" max="14868" width="2.71428571428571" style="2" customWidth="1"/>
    <col min="14869" max="15105" width="9.14285714285714" style="2"/>
    <col min="15106" max="15106" width="4.71428571428571" style="2" customWidth="1"/>
    <col min="15107" max="15107" width="8.71428571428571" style="2" customWidth="1"/>
    <col min="15108" max="15108" width="7.71428571428571" style="2" customWidth="1"/>
    <col min="15109" max="15109" width="8.71428571428571" style="2" customWidth="1"/>
    <col min="15110" max="15110" width="2.71428571428571" style="2" customWidth="1"/>
    <col min="15111" max="15111" width="8.71428571428571" style="2" customWidth="1"/>
    <col min="15112" max="15112" width="2.71428571428571" style="2" customWidth="1"/>
    <col min="15113" max="15113" width="10.7142857142857" style="2" customWidth="1"/>
    <col min="15114" max="15114" width="2.71428571428571" style="2" customWidth="1"/>
    <col min="15115" max="15115" width="8.71428571428571" style="2" customWidth="1"/>
    <col min="15116" max="15116" width="10.7142857142857" style="2" customWidth="1"/>
    <col min="15117" max="15117" width="8.71428571428571" style="2" customWidth="1"/>
    <col min="15118" max="15118" width="2.71428571428571" style="2" customWidth="1"/>
    <col min="15119" max="15120" width="10.7142857142857" style="2" customWidth="1"/>
    <col min="15121" max="15121" width="8.71428571428571" style="2" customWidth="1"/>
    <col min="15122" max="15122" width="2.71428571428571" style="2" customWidth="1"/>
    <col min="15123" max="15123" width="9.14285714285714" style="2"/>
    <col min="15124" max="15124" width="2.71428571428571" style="2" customWidth="1"/>
    <col min="15125" max="15361" width="9.14285714285714" style="2"/>
    <col min="15362" max="15362" width="4.71428571428571" style="2" customWidth="1"/>
    <col min="15363" max="15363" width="8.71428571428571" style="2" customWidth="1"/>
    <col min="15364" max="15364" width="7.71428571428571" style="2" customWidth="1"/>
    <col min="15365" max="15365" width="8.71428571428571" style="2" customWidth="1"/>
    <col min="15366" max="15366" width="2.71428571428571" style="2" customWidth="1"/>
    <col min="15367" max="15367" width="8.71428571428571" style="2" customWidth="1"/>
    <col min="15368" max="15368" width="2.71428571428571" style="2" customWidth="1"/>
    <col min="15369" max="15369" width="10.7142857142857" style="2" customWidth="1"/>
    <col min="15370" max="15370" width="2.71428571428571" style="2" customWidth="1"/>
    <col min="15371" max="15371" width="8.71428571428571" style="2" customWidth="1"/>
    <col min="15372" max="15372" width="10.7142857142857" style="2" customWidth="1"/>
    <col min="15373" max="15373" width="8.71428571428571" style="2" customWidth="1"/>
    <col min="15374" max="15374" width="2.71428571428571" style="2" customWidth="1"/>
    <col min="15375" max="15376" width="10.7142857142857" style="2" customWidth="1"/>
    <col min="15377" max="15377" width="8.71428571428571" style="2" customWidth="1"/>
    <col min="15378" max="15378" width="2.71428571428571" style="2" customWidth="1"/>
    <col min="15379" max="15379" width="9.14285714285714" style="2"/>
    <col min="15380" max="15380" width="2.71428571428571" style="2" customWidth="1"/>
    <col min="15381" max="15617" width="9.14285714285714" style="2"/>
    <col min="15618" max="15618" width="4.71428571428571" style="2" customWidth="1"/>
    <col min="15619" max="15619" width="8.71428571428571" style="2" customWidth="1"/>
    <col min="15620" max="15620" width="7.71428571428571" style="2" customWidth="1"/>
    <col min="15621" max="15621" width="8.71428571428571" style="2" customWidth="1"/>
    <col min="15622" max="15622" width="2.71428571428571" style="2" customWidth="1"/>
    <col min="15623" max="15623" width="8.71428571428571" style="2" customWidth="1"/>
    <col min="15624" max="15624" width="2.71428571428571" style="2" customWidth="1"/>
    <col min="15625" max="15625" width="10.7142857142857" style="2" customWidth="1"/>
    <col min="15626" max="15626" width="2.71428571428571" style="2" customWidth="1"/>
    <col min="15627" max="15627" width="8.71428571428571" style="2" customWidth="1"/>
    <col min="15628" max="15628" width="10.7142857142857" style="2" customWidth="1"/>
    <col min="15629" max="15629" width="8.71428571428571" style="2" customWidth="1"/>
    <col min="15630" max="15630" width="2.71428571428571" style="2" customWidth="1"/>
    <col min="15631" max="15632" width="10.7142857142857" style="2" customWidth="1"/>
    <col min="15633" max="15633" width="8.71428571428571" style="2" customWidth="1"/>
    <col min="15634" max="15634" width="2.71428571428571" style="2" customWidth="1"/>
    <col min="15635" max="15635" width="9.14285714285714" style="2"/>
    <col min="15636" max="15636" width="2.71428571428571" style="2" customWidth="1"/>
    <col min="15637" max="15873" width="9.14285714285714" style="2"/>
    <col min="15874" max="15874" width="4.71428571428571" style="2" customWidth="1"/>
    <col min="15875" max="15875" width="8.71428571428571" style="2" customWidth="1"/>
    <col min="15876" max="15876" width="7.71428571428571" style="2" customWidth="1"/>
    <col min="15877" max="15877" width="8.71428571428571" style="2" customWidth="1"/>
    <col min="15878" max="15878" width="2.71428571428571" style="2" customWidth="1"/>
    <col min="15879" max="15879" width="8.71428571428571" style="2" customWidth="1"/>
    <col min="15880" max="15880" width="2.71428571428571" style="2" customWidth="1"/>
    <col min="15881" max="15881" width="10.7142857142857" style="2" customWidth="1"/>
    <col min="15882" max="15882" width="2.71428571428571" style="2" customWidth="1"/>
    <col min="15883" max="15883" width="8.71428571428571" style="2" customWidth="1"/>
    <col min="15884" max="15884" width="10.7142857142857" style="2" customWidth="1"/>
    <col min="15885" max="15885" width="8.71428571428571" style="2" customWidth="1"/>
    <col min="15886" max="15886" width="2.71428571428571" style="2" customWidth="1"/>
    <col min="15887" max="15888" width="10.7142857142857" style="2" customWidth="1"/>
    <col min="15889" max="15889" width="8.71428571428571" style="2" customWidth="1"/>
    <col min="15890" max="15890" width="2.71428571428571" style="2" customWidth="1"/>
    <col min="15891" max="15891" width="9.14285714285714" style="2"/>
    <col min="15892" max="15892" width="2.71428571428571" style="2" customWidth="1"/>
    <col min="15893" max="16129" width="9.14285714285714" style="2"/>
    <col min="16130" max="16130" width="4.71428571428571" style="2" customWidth="1"/>
    <col min="16131" max="16131" width="8.71428571428571" style="2" customWidth="1"/>
    <col min="16132" max="16132" width="7.71428571428571" style="2" customWidth="1"/>
    <col min="16133" max="16133" width="8.71428571428571" style="2" customWidth="1"/>
    <col min="16134" max="16134" width="2.71428571428571" style="2" customWidth="1"/>
    <col min="16135" max="16135" width="8.71428571428571" style="2" customWidth="1"/>
    <col min="16136" max="16136" width="2.71428571428571" style="2" customWidth="1"/>
    <col min="16137" max="16137" width="10.7142857142857" style="2" customWidth="1"/>
    <col min="16138" max="16138" width="2.71428571428571" style="2" customWidth="1"/>
    <col min="16139" max="16139" width="8.71428571428571" style="2" customWidth="1"/>
    <col min="16140" max="16140" width="10.7142857142857" style="2" customWidth="1"/>
    <col min="16141" max="16141" width="8.71428571428571" style="2" customWidth="1"/>
    <col min="16142" max="16142" width="2.71428571428571" style="2" customWidth="1"/>
    <col min="16143" max="16144" width="10.7142857142857" style="2" customWidth="1"/>
    <col min="16145" max="16145" width="8.71428571428571" style="2" customWidth="1"/>
    <col min="16146" max="16146" width="2.71428571428571" style="2" customWidth="1"/>
    <col min="16147" max="16147" width="9.14285714285714" style="2"/>
    <col min="16148" max="16148" width="2.71428571428571" style="2" customWidth="1"/>
    <col min="16149" max="16384" width="9.14285714285714" style="2"/>
  </cols>
  <sheetData>
    <row r="1" spans="4:18" ht="18.75" customHeight="1">
      <c r="D1" s="1"/>
      <c r="R1" s="9" t="s">
        <v>31</v>
      </c>
    </row>
    <row r="2" spans="18:18" ht="18.75" customHeight="1">
      <c r="R2" s="9" t="s">
        <v>61</v>
      </c>
    </row>
    <row r="4" spans="1:22" ht="18" customHeight="1">
      <c r="A4" s="20" t="s">
        <v>88</v>
      </c>
      <c r="B4" s="18"/>
      <c r="C4" s="18"/>
      <c r="D4" s="18"/>
      <c r="E4" s="18"/>
      <c r="F4" s="19"/>
      <c r="G4" s="18"/>
      <c r="H4" s="18"/>
      <c r="I4" s="18"/>
      <c r="J4" s="20"/>
      <c r="K4" s="19"/>
      <c r="L4" s="18"/>
      <c r="M4" s="18"/>
      <c r="N4" s="19"/>
      <c r="O4" s="18"/>
      <c r="P4" s="18"/>
      <c r="Q4" s="22"/>
      <c r="R4" s="22"/>
      <c r="S4" s="22"/>
      <c r="T4" s="18"/>
      <c r="U4" s="18"/>
      <c r="V4" s="18"/>
    </row>
    <row r="5" spans="1:22" ht="18" customHeight="1">
      <c r="A5" s="20" t="s">
        <v>51</v>
      </c>
      <c r="B5" s="18"/>
      <c r="C5" s="18"/>
      <c r="D5" s="18"/>
      <c r="E5" s="18"/>
      <c r="F5" s="19"/>
      <c r="G5" s="18"/>
      <c r="H5" s="19"/>
      <c r="I5" s="19"/>
      <c r="J5" s="20"/>
      <c r="K5" s="21"/>
      <c r="L5" s="18"/>
      <c r="M5" s="18"/>
      <c r="N5" s="21"/>
      <c r="O5" s="20"/>
      <c r="P5" s="18"/>
      <c r="Q5" s="22"/>
      <c r="R5" s="22"/>
      <c r="S5" s="22"/>
      <c r="T5" s="18"/>
      <c r="U5" s="18"/>
      <c r="V5" s="18"/>
    </row>
    <row r="6" spans="1:22" ht="18" customHeight="1">
      <c r="A6" s="20" t="s">
        <v>72</v>
      </c>
      <c r="B6" s="18"/>
      <c r="C6" s="18"/>
      <c r="D6" s="18"/>
      <c r="E6" s="18"/>
      <c r="F6" s="19"/>
      <c r="G6" s="20"/>
      <c r="H6" s="20"/>
      <c r="I6" s="19"/>
      <c r="J6" s="19"/>
      <c r="K6" s="19"/>
      <c r="L6" s="18"/>
      <c r="M6" s="20"/>
      <c r="N6" s="21"/>
      <c r="O6" s="20"/>
      <c r="P6" s="18"/>
      <c r="Q6" s="22"/>
      <c r="R6" s="22"/>
      <c r="S6" s="22"/>
      <c r="T6" s="18"/>
      <c r="U6" s="18"/>
      <c r="V6" s="18"/>
    </row>
    <row r="7" spans="1:22" ht="18" customHeight="1">
      <c r="A7" s="20" t="s">
        <v>49</v>
      </c>
      <c r="B7" s="18"/>
      <c r="C7" s="18"/>
      <c r="D7" s="18"/>
      <c r="E7" s="18"/>
      <c r="F7" s="18"/>
      <c r="G7" s="20"/>
      <c r="H7" s="21"/>
      <c r="I7" s="19"/>
      <c r="J7" s="19"/>
      <c r="K7" s="19"/>
      <c r="L7" s="18"/>
      <c r="M7" s="20"/>
      <c r="N7" s="21"/>
      <c r="O7" s="20"/>
      <c r="P7" s="18"/>
      <c r="Q7" s="22"/>
      <c r="R7" s="22"/>
      <c r="S7" s="22"/>
      <c r="T7" s="18"/>
      <c r="U7" s="18"/>
      <c r="V7" s="18"/>
    </row>
    <row r="8" spans="1:22" ht="18" customHeight="1">
      <c r="A8" s="20" t="s">
        <v>109</v>
      </c>
      <c r="B8" s="18"/>
      <c r="C8" s="18"/>
      <c r="D8" s="18"/>
      <c r="E8" s="18"/>
      <c r="F8" s="18"/>
      <c r="G8" s="20"/>
      <c r="H8" s="21"/>
      <c r="I8" s="19"/>
      <c r="J8" s="19"/>
      <c r="K8" s="19"/>
      <c r="L8" s="18"/>
      <c r="M8" s="20"/>
      <c r="N8" s="21"/>
      <c r="O8" s="20"/>
      <c r="P8" s="18"/>
      <c r="Q8" s="22"/>
      <c r="R8" s="22"/>
      <c r="S8" s="22"/>
      <c r="T8" s="18"/>
      <c r="U8" s="18"/>
      <c r="V8" s="18"/>
    </row>
    <row r="9" spans="1:22" ht="18" customHeight="1">
      <c r="A9" s="20"/>
      <c r="B9" s="18"/>
      <c r="C9" s="18"/>
      <c r="D9" s="18"/>
      <c r="E9" s="18"/>
      <c r="F9" s="19"/>
      <c r="G9" s="18"/>
      <c r="H9" s="21"/>
      <c r="I9" s="19"/>
      <c r="J9" s="21"/>
      <c r="K9" s="21"/>
      <c r="L9" s="18"/>
      <c r="M9" s="18"/>
      <c r="N9" s="19"/>
      <c r="O9" s="18"/>
      <c r="P9" s="18"/>
      <c r="Q9" s="22"/>
      <c r="R9" s="22"/>
      <c r="S9" s="22"/>
      <c r="T9" s="18"/>
      <c r="U9" s="18"/>
      <c r="V9" s="18"/>
    </row>
    <row r="10" spans="1:22" ht="18" customHeight="1">
      <c r="A10" s="20" t="s">
        <v>58</v>
      </c>
      <c r="B10" s="18"/>
      <c r="C10" s="18"/>
      <c r="D10" s="18"/>
      <c r="E10" s="18"/>
      <c r="F10" s="19"/>
      <c r="G10" s="18"/>
      <c r="H10" s="21"/>
      <c r="I10" s="19"/>
      <c r="J10" s="21"/>
      <c r="K10" s="21"/>
      <c r="L10" s="18"/>
      <c r="M10" s="18"/>
      <c r="N10" s="19"/>
      <c r="O10" s="18"/>
      <c r="P10" s="18"/>
      <c r="Q10" s="22"/>
      <c r="R10" s="22"/>
      <c r="S10" s="22"/>
      <c r="T10" s="18"/>
      <c r="U10" s="18"/>
      <c r="V10" s="18"/>
    </row>
    <row r="12" spans="4:4" ht="18.75" customHeight="1">
      <c r="D12" s="2" t="s">
        <v>32</v>
      </c>
    </row>
    <row r="13" spans="4:4" ht="18.75" customHeight="1">
      <c r="D13" s="2" t="s">
        <v>1</v>
      </c>
    </row>
    <row r="14" ht="10" customHeight="1"/>
    <row r="15" spans="9:19" ht="18.75" customHeight="1">
      <c r="I15" s="11" t="s">
        <v>45</v>
      </c>
      <c r="K15" s="11" t="s">
        <v>46</v>
      </c>
      <c r="M15" s="9" t="s">
        <v>47</v>
      </c>
      <c r="O15" s="9" t="s">
        <v>69</v>
      </c>
      <c r="Q15" s="9" t="s">
        <v>48</v>
      </c>
      <c r="S15" s="9" t="s">
        <v>70</v>
      </c>
    </row>
    <row r="16" spans="6:17" ht="18.75" customHeight="1">
      <c r="F16" s="7"/>
      <c r="I16" s="7" t="s">
        <v>107</v>
      </c>
      <c r="J16" s="7"/>
      <c r="K16" s="7"/>
      <c r="L16" s="2"/>
      <c r="M16" s="7" t="s">
        <v>108</v>
      </c>
      <c r="N16" s="9"/>
      <c r="Q16" s="7" t="s">
        <v>110</v>
      </c>
    </row>
    <row r="17" spans="4:17" ht="18.75" customHeight="1">
      <c r="D17" s="2" t="s">
        <v>2</v>
      </c>
      <c r="I17" s="11" t="s">
        <v>52</v>
      </c>
      <c r="L17" s="2"/>
      <c r="M17" s="9" t="s">
        <v>52</v>
      </c>
      <c r="N17" s="9"/>
      <c r="Q17" s="9" t="s">
        <v>52</v>
      </c>
    </row>
    <row r="18" spans="4:19" ht="18.75" customHeight="1">
      <c r="D18" s="8" t="s">
        <v>9</v>
      </c>
      <c r="F18" s="12"/>
      <c r="G18" s="12"/>
      <c r="I18" s="13" t="s">
        <v>41</v>
      </c>
      <c r="J18" s="12"/>
      <c r="K18" s="17" t="s">
        <v>16</v>
      </c>
      <c r="L18" s="2"/>
      <c r="M18" s="25" t="s">
        <v>41</v>
      </c>
      <c r="N18" s="39"/>
      <c r="O18" s="26" t="s">
        <v>16</v>
      </c>
      <c r="Q18" s="25" t="s">
        <v>41</v>
      </c>
      <c r="R18" s="39"/>
      <c r="S18" s="26" t="s">
        <v>16</v>
      </c>
    </row>
    <row r="19" spans="12:14" ht="18" customHeight="1">
      <c r="L19" s="2"/>
      <c r="N19" s="9"/>
    </row>
    <row r="20" spans="4:19" ht="22" customHeight="1">
      <c r="D20" s="10">
        <v>1</v>
      </c>
      <c r="E20" s="10" t="s">
        <v>17</v>
      </c>
      <c r="F20" s="15"/>
      <c r="G20" s="15"/>
      <c r="H20" s="9"/>
      <c r="I20" s="9">
        <v>0.9471130551221727</v>
      </c>
      <c r="J20" s="9"/>
      <c r="K20" s="9">
        <v>0.71753707230785535</v>
      </c>
      <c r="L20" s="2"/>
      <c r="M20" s="9">
        <v>0.92263487708616765</v>
      </c>
      <c r="N20" s="9"/>
      <c r="O20" s="9">
        <v>0.80127429465252142</v>
      </c>
      <c r="Q20" s="9">
        <v>0.93251479523912129</v>
      </c>
      <c r="S20" s="9">
        <v>0.80468316100000004</v>
      </c>
    </row>
    <row r="21" spans="4:19" ht="22" customHeight="1">
      <c r="D21" s="10">
        <v>2</v>
      </c>
      <c r="E21" s="10" t="s">
        <v>18</v>
      </c>
      <c r="F21" s="15"/>
      <c r="G21" s="15"/>
      <c r="H21" s="9"/>
      <c r="I21" s="9">
        <v>0.83349367521222029</v>
      </c>
      <c r="J21" s="9"/>
      <c r="K21" s="9">
        <v>0.64789910761885694</v>
      </c>
      <c r="L21" s="2"/>
      <c r="M21" s="9">
        <v>0.93834374487206373</v>
      </c>
      <c r="N21" s="9"/>
      <c r="O21" s="9">
        <v>0.7330776024886162</v>
      </c>
      <c r="Q21" s="9">
        <v>0.94088986131156493</v>
      </c>
      <c r="S21" s="9">
        <v>0.75155959999999999</v>
      </c>
    </row>
    <row r="22" spans="4:19" ht="22" customHeight="1">
      <c r="D22" s="10">
        <v>3</v>
      </c>
      <c r="E22" s="10" t="s">
        <v>19</v>
      </c>
      <c r="F22" s="15"/>
      <c r="G22" s="15"/>
      <c r="H22" s="9"/>
      <c r="I22" s="9">
        <v>0.91527892984769255</v>
      </c>
      <c r="J22" s="9"/>
      <c r="K22" s="9">
        <v>0.74622147478843215</v>
      </c>
      <c r="L22" s="2"/>
      <c r="M22" s="9">
        <v>0.78743010530743662</v>
      </c>
      <c r="N22" s="9"/>
      <c r="O22" s="9">
        <v>0.62922171872556421</v>
      </c>
      <c r="Q22" s="9">
        <v>0.86799894873352546</v>
      </c>
      <c r="S22" s="9">
        <v>0.77954270000000003</v>
      </c>
    </row>
    <row r="23" spans="4:19" ht="22" customHeight="1">
      <c r="D23" s="10">
        <v>4</v>
      </c>
      <c r="E23" s="10" t="s">
        <v>20</v>
      </c>
      <c r="F23" s="15"/>
      <c r="G23" s="15"/>
      <c r="H23" s="9"/>
      <c r="I23" s="9">
        <v>0.92085683162079557</v>
      </c>
      <c r="J23" s="9"/>
      <c r="K23" s="9">
        <v>0.78407580352348483</v>
      </c>
      <c r="L23" s="2"/>
      <c r="M23" s="9">
        <v>0.8417403131880794</v>
      </c>
      <c r="N23" s="9"/>
      <c r="O23" s="9">
        <v>0.75161169918926574</v>
      </c>
      <c r="Q23" s="9">
        <v>0.90878180169609046</v>
      </c>
      <c r="S23" s="9">
        <v>0.77034237699999997</v>
      </c>
    </row>
    <row r="24" spans="4:19" ht="22" customHeight="1">
      <c r="D24" s="10">
        <v>5</v>
      </c>
      <c r="E24" s="10" t="s">
        <v>21</v>
      </c>
      <c r="F24" s="15"/>
      <c r="G24" s="15"/>
      <c r="H24" s="9"/>
      <c r="I24" s="9">
        <v>0.92895060175237931</v>
      </c>
      <c r="J24" s="9"/>
      <c r="K24" s="9">
        <v>0.63360781029937441</v>
      </c>
      <c r="L24" s="2"/>
      <c r="M24" s="9">
        <v>0.94226737100390601</v>
      </c>
      <c r="N24" s="9"/>
      <c r="O24" s="9">
        <v>0.75326083890906848</v>
      </c>
      <c r="Q24" s="9">
        <v>0.91821490903658576</v>
      </c>
      <c r="S24" s="9">
        <v>0.69314500000000001</v>
      </c>
    </row>
    <row r="25" spans="4:19" ht="22" customHeight="1">
      <c r="D25" s="10">
        <v>6</v>
      </c>
      <c r="E25" s="10" t="s">
        <v>22</v>
      </c>
      <c r="F25" s="15"/>
      <c r="G25" s="15"/>
      <c r="H25" s="9"/>
      <c r="I25" s="9">
        <v>0.89156013884754393</v>
      </c>
      <c r="J25" s="9"/>
      <c r="K25" s="9">
        <v>0.729520402498676</v>
      </c>
      <c r="L25" s="2"/>
      <c r="M25" s="9">
        <v>0.95128899706322734</v>
      </c>
      <c r="N25" s="9"/>
      <c r="O25" s="9">
        <v>0.65771011530293366</v>
      </c>
      <c r="Q25" s="9">
        <v>0.96257185086359676</v>
      </c>
      <c r="S25" s="9">
        <v>0.73991370000000001</v>
      </c>
    </row>
    <row r="26" spans="4:19" ht="22" customHeight="1">
      <c r="D26" s="10">
        <v>7</v>
      </c>
      <c r="E26" s="10" t="s">
        <v>23</v>
      </c>
      <c r="F26" s="15"/>
      <c r="G26" s="15"/>
      <c r="H26" s="9"/>
      <c r="I26" s="9">
        <v>0.98439384786649542</v>
      </c>
      <c r="J26" s="9"/>
      <c r="K26" s="9">
        <v>0.70406374749954181</v>
      </c>
      <c r="L26" s="2"/>
      <c r="M26" s="9">
        <v>0.9383875901646016</v>
      </c>
      <c r="N26" s="9"/>
      <c r="O26" s="9">
        <v>0.66632605055250516</v>
      </c>
      <c r="Q26" s="9">
        <v>0.99760074775702656</v>
      </c>
      <c r="S26" s="9">
        <v>0.73455000000000004</v>
      </c>
    </row>
    <row r="27" spans="4:19" ht="22" customHeight="1">
      <c r="D27" s="10">
        <v>8</v>
      </c>
      <c r="E27" s="10" t="s">
        <v>24</v>
      </c>
      <c r="F27" s="9"/>
      <c r="G27" s="9"/>
      <c r="H27" s="9"/>
      <c r="I27" s="9">
        <v>0.94769826780615207</v>
      </c>
      <c r="J27" s="9"/>
      <c r="K27" s="9">
        <v>0.75218635953205493</v>
      </c>
      <c r="L27" s="2"/>
      <c r="M27" s="9">
        <v>0.91197357652676381</v>
      </c>
      <c r="N27" s="9"/>
      <c r="O27" s="9">
        <v>0.6895109340018214</v>
      </c>
      <c r="Q27" s="9">
        <v>0.89360666251574861</v>
      </c>
      <c r="S27" s="9">
        <v>0.72045267000000002</v>
      </c>
    </row>
    <row r="28" spans="4:19" ht="22" customHeight="1">
      <c r="D28" s="10">
        <v>9</v>
      </c>
      <c r="E28" s="10" t="s">
        <v>25</v>
      </c>
      <c r="F28" s="16"/>
      <c r="G28" s="16"/>
      <c r="H28" s="9"/>
      <c r="I28" s="9">
        <v>0.92286542049849962</v>
      </c>
      <c r="J28" s="9"/>
      <c r="K28" s="9">
        <v>0.72694512233323949</v>
      </c>
      <c r="L28" s="2"/>
      <c r="M28" s="9">
        <v>0.89751983782632749</v>
      </c>
      <c r="N28" s="9"/>
      <c r="O28" s="9">
        <v>0.7033087871621172</v>
      </c>
      <c r="Q28" s="9">
        <v>0.82886861125006472</v>
      </c>
      <c r="S28" s="9">
        <v>0.70249240000000002</v>
      </c>
    </row>
    <row r="29" spans="4:19" ht="22" customHeight="1">
      <c r="D29" s="10">
        <v>10</v>
      </c>
      <c r="E29" s="10" t="s">
        <v>26</v>
      </c>
      <c r="F29" s="16"/>
      <c r="G29" s="16"/>
      <c r="H29" s="9"/>
      <c r="I29" s="9">
        <v>0.92363717727193606</v>
      </c>
      <c r="J29" s="9"/>
      <c r="K29" s="9">
        <v>0.71584438234886938</v>
      </c>
      <c r="L29" s="2"/>
      <c r="M29" s="9">
        <v>0.95779945327103</v>
      </c>
      <c r="N29" s="9"/>
      <c r="O29" s="9">
        <v>0.63234090319797354</v>
      </c>
      <c r="Q29" s="9">
        <v>0.85046223732979676</v>
      </c>
      <c r="S29" s="9">
        <v>0.75561900000000004</v>
      </c>
    </row>
    <row r="30" spans="4:19" ht="22" customHeight="1">
      <c r="D30" s="10">
        <v>11</v>
      </c>
      <c r="E30" s="10" t="s">
        <v>27</v>
      </c>
      <c r="F30" s="16"/>
      <c r="G30" s="16"/>
      <c r="H30" s="9"/>
      <c r="I30" s="9">
        <v>0.87486237867197325</v>
      </c>
      <c r="J30" s="9"/>
      <c r="K30" s="9">
        <v>0.78709741910122499</v>
      </c>
      <c r="L30" s="2"/>
      <c r="M30" s="9">
        <v>0.87610954930395957</v>
      </c>
      <c r="N30" s="9"/>
      <c r="O30" s="9">
        <v>0.69520368338268257</v>
      </c>
      <c r="Q30" s="9">
        <v>0.85249430868916609</v>
      </c>
      <c r="S30" s="9">
        <v>0.74861781988606979</v>
      </c>
    </row>
    <row r="31" spans="4:19" ht="22" customHeight="1">
      <c r="D31" s="10">
        <v>12</v>
      </c>
      <c r="E31" s="10" t="s">
        <v>28</v>
      </c>
      <c r="F31" s="16"/>
      <c r="G31" s="16"/>
      <c r="H31" s="9"/>
      <c r="I31" s="9">
        <v>0.90590150897212562</v>
      </c>
      <c r="J31" s="9"/>
      <c r="K31" s="9">
        <v>0.86448613874461422</v>
      </c>
      <c r="L31" s="2"/>
      <c r="M31" s="9">
        <v>0.9649877392288565</v>
      </c>
      <c r="N31" s="9"/>
      <c r="O31" s="9">
        <v>0.69932982664938315</v>
      </c>
      <c r="Q31" s="9">
        <v>0.9238272244042115</v>
      </c>
      <c r="S31" s="9">
        <v>0.77819162563777788</v>
      </c>
    </row>
    <row r="32" spans="4:14" ht="21" customHeight="1">
      <c r="D32" s="10"/>
      <c r="E32" s="10"/>
      <c r="F32" s="16"/>
      <c r="G32" s="16"/>
      <c r="H32" s="9"/>
      <c r="I32" s="9"/>
      <c r="J32" s="9"/>
      <c r="K32" s="9"/>
      <c r="L32" s="9"/>
      <c r="N32" s="2"/>
    </row>
    <row r="33" spans="4:14" ht="21" customHeight="1">
      <c r="D33" s="2" t="s">
        <v>36</v>
      </c>
      <c r="E33" s="10"/>
      <c r="F33" s="16"/>
      <c r="G33" s="16"/>
      <c r="H33" s="9"/>
      <c r="I33" s="9"/>
      <c r="J33" s="9"/>
      <c r="K33" s="9"/>
      <c r="L33" s="9"/>
      <c r="N33" s="2"/>
    </row>
    <row r="34" spans="3:5" ht="21" customHeight="1">
      <c r="C34" s="2"/>
      <c r="E34" s="3"/>
    </row>
  </sheetData>
  <pageMargins left="0.5" right="1" top="1.5" bottom="0.5" header="0.5" footer="0.5"/>
  <pageSetup orientation="landscape" scale="72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V33"/>
  <sheetViews>
    <sheetView zoomScale="75" zoomScaleNormal="75" workbookViewId="0" topLeftCell="A1">
      <selection pane="topLeft" activeCell="O34" sqref="O34"/>
    </sheetView>
  </sheetViews>
  <sheetFormatPr defaultRowHeight="18.75" customHeight="1"/>
  <cols>
    <col min="2" max="2" width="4.71428571428571" customWidth="1"/>
    <col min="3" max="3" width="8.71428571428571" customWidth="1"/>
    <col min="4" max="4" width="7.71428571428571" style="2" customWidth="1"/>
    <col min="5" max="5" width="8.71428571428571" style="2" customWidth="1"/>
    <col min="6" max="6" width="2.71428571428571" style="11" customWidth="1"/>
    <col min="7" max="7" width="8.71428571428571" style="9" customWidth="1"/>
    <col min="8" max="8" width="2.71428571428571" style="11" customWidth="1"/>
    <col min="9" max="9" width="10.7142857142857" style="11" customWidth="1"/>
    <col min="10" max="10" width="2.71428571428571" style="11" customWidth="1"/>
    <col min="11" max="11" width="8.71428571428571" style="11" customWidth="1"/>
    <col min="12" max="12" width="10.7142857142857" style="11" customWidth="1"/>
    <col min="13" max="13" width="8.71428571428571" style="9" customWidth="1"/>
    <col min="14" max="14" width="2.71428571428571" style="11" customWidth="1"/>
    <col min="15" max="16" width="10.7142857142857" style="11" customWidth="1"/>
    <col min="17" max="17" width="8.71428571428571" style="11" customWidth="1"/>
    <col min="18" max="18" width="2.71428571428571" style="2" customWidth="1"/>
    <col min="19" max="19" width="9.14285714285714" style="2"/>
    <col min="20" max="20" width="2.71428571428571" style="2" customWidth="1"/>
    <col min="21" max="257" width="9.14285714285714" style="2"/>
    <col min="258" max="258" width="4.71428571428571" style="2" customWidth="1"/>
    <col min="259" max="259" width="8.71428571428571" style="2" customWidth="1"/>
    <col min="260" max="260" width="7.71428571428571" style="2" customWidth="1"/>
    <col min="261" max="261" width="8.71428571428571" style="2" customWidth="1"/>
    <col min="262" max="262" width="2.71428571428571" style="2" customWidth="1"/>
    <col min="263" max="263" width="8.71428571428571" style="2" customWidth="1"/>
    <col min="264" max="264" width="2.71428571428571" style="2" customWidth="1"/>
    <col min="265" max="265" width="10.7142857142857" style="2" customWidth="1"/>
    <col min="266" max="266" width="2.71428571428571" style="2" customWidth="1"/>
    <col min="267" max="267" width="8.71428571428571" style="2" customWidth="1"/>
    <col min="268" max="268" width="10.7142857142857" style="2" customWidth="1"/>
    <col min="269" max="269" width="8.71428571428571" style="2" customWidth="1"/>
    <col min="270" max="270" width="2.71428571428571" style="2" customWidth="1"/>
    <col min="271" max="272" width="10.7142857142857" style="2" customWidth="1"/>
    <col min="273" max="273" width="8.71428571428571" style="2" customWidth="1"/>
    <col min="274" max="274" width="2.71428571428571" style="2" customWidth="1"/>
    <col min="275" max="275" width="9.14285714285714" style="2"/>
    <col min="276" max="276" width="2.71428571428571" style="2" customWidth="1"/>
    <col min="277" max="513" width="9.14285714285714" style="2"/>
    <col min="514" max="514" width="4.71428571428571" style="2" customWidth="1"/>
    <col min="515" max="515" width="8.71428571428571" style="2" customWidth="1"/>
    <col min="516" max="516" width="7.71428571428571" style="2" customWidth="1"/>
    <col min="517" max="517" width="8.71428571428571" style="2" customWidth="1"/>
    <col min="518" max="518" width="2.71428571428571" style="2" customWidth="1"/>
    <col min="519" max="519" width="8.71428571428571" style="2" customWidth="1"/>
    <col min="520" max="520" width="2.71428571428571" style="2" customWidth="1"/>
    <col min="521" max="521" width="10.7142857142857" style="2" customWidth="1"/>
    <col min="522" max="522" width="2.71428571428571" style="2" customWidth="1"/>
    <col min="523" max="523" width="8.71428571428571" style="2" customWidth="1"/>
    <col min="524" max="524" width="10.7142857142857" style="2" customWidth="1"/>
    <col min="525" max="525" width="8.71428571428571" style="2" customWidth="1"/>
    <col min="526" max="526" width="2.71428571428571" style="2" customWidth="1"/>
    <col min="527" max="528" width="10.7142857142857" style="2" customWidth="1"/>
    <col min="529" max="529" width="8.71428571428571" style="2" customWidth="1"/>
    <col min="530" max="530" width="2.71428571428571" style="2" customWidth="1"/>
    <col min="531" max="531" width="9.14285714285714" style="2"/>
    <col min="532" max="532" width="2.71428571428571" style="2" customWidth="1"/>
    <col min="533" max="769" width="9.14285714285714" style="2"/>
    <col min="770" max="770" width="4.71428571428571" style="2" customWidth="1"/>
    <col min="771" max="771" width="8.71428571428571" style="2" customWidth="1"/>
    <col min="772" max="772" width="7.71428571428571" style="2" customWidth="1"/>
    <col min="773" max="773" width="8.71428571428571" style="2" customWidth="1"/>
    <col min="774" max="774" width="2.71428571428571" style="2" customWidth="1"/>
    <col min="775" max="775" width="8.71428571428571" style="2" customWidth="1"/>
    <col min="776" max="776" width="2.71428571428571" style="2" customWidth="1"/>
    <col min="777" max="777" width="10.7142857142857" style="2" customWidth="1"/>
    <col min="778" max="778" width="2.71428571428571" style="2" customWidth="1"/>
    <col min="779" max="779" width="8.71428571428571" style="2" customWidth="1"/>
    <col min="780" max="780" width="10.7142857142857" style="2" customWidth="1"/>
    <col min="781" max="781" width="8.71428571428571" style="2" customWidth="1"/>
    <col min="782" max="782" width="2.71428571428571" style="2" customWidth="1"/>
    <col min="783" max="784" width="10.7142857142857" style="2" customWidth="1"/>
    <col min="785" max="785" width="8.71428571428571" style="2" customWidth="1"/>
    <col min="786" max="786" width="2.71428571428571" style="2" customWidth="1"/>
    <col min="787" max="787" width="9.14285714285714" style="2"/>
    <col min="788" max="788" width="2.71428571428571" style="2" customWidth="1"/>
    <col min="789" max="1025" width="9.14285714285714" style="2"/>
    <col min="1026" max="1026" width="4.71428571428571" style="2" customWidth="1"/>
    <col min="1027" max="1027" width="8.71428571428571" style="2" customWidth="1"/>
    <col min="1028" max="1028" width="7.71428571428571" style="2" customWidth="1"/>
    <col min="1029" max="1029" width="8.71428571428571" style="2" customWidth="1"/>
    <col min="1030" max="1030" width="2.71428571428571" style="2" customWidth="1"/>
    <col min="1031" max="1031" width="8.71428571428571" style="2" customWidth="1"/>
    <col min="1032" max="1032" width="2.71428571428571" style="2" customWidth="1"/>
    <col min="1033" max="1033" width="10.7142857142857" style="2" customWidth="1"/>
    <col min="1034" max="1034" width="2.71428571428571" style="2" customWidth="1"/>
    <col min="1035" max="1035" width="8.71428571428571" style="2" customWidth="1"/>
    <col min="1036" max="1036" width="10.7142857142857" style="2" customWidth="1"/>
    <col min="1037" max="1037" width="8.71428571428571" style="2" customWidth="1"/>
    <col min="1038" max="1038" width="2.71428571428571" style="2" customWidth="1"/>
    <col min="1039" max="1040" width="10.7142857142857" style="2" customWidth="1"/>
    <col min="1041" max="1041" width="8.71428571428571" style="2" customWidth="1"/>
    <col min="1042" max="1042" width="2.71428571428571" style="2" customWidth="1"/>
    <col min="1043" max="1043" width="9.14285714285714" style="2"/>
    <col min="1044" max="1044" width="2.71428571428571" style="2" customWidth="1"/>
    <col min="1045" max="1281" width="9.14285714285714" style="2"/>
    <col min="1282" max="1282" width="4.71428571428571" style="2" customWidth="1"/>
    <col min="1283" max="1283" width="8.71428571428571" style="2" customWidth="1"/>
    <col min="1284" max="1284" width="7.71428571428571" style="2" customWidth="1"/>
    <col min="1285" max="1285" width="8.71428571428571" style="2" customWidth="1"/>
    <col min="1286" max="1286" width="2.71428571428571" style="2" customWidth="1"/>
    <col min="1287" max="1287" width="8.71428571428571" style="2" customWidth="1"/>
    <col min="1288" max="1288" width="2.71428571428571" style="2" customWidth="1"/>
    <col min="1289" max="1289" width="10.7142857142857" style="2" customWidth="1"/>
    <col min="1290" max="1290" width="2.71428571428571" style="2" customWidth="1"/>
    <col min="1291" max="1291" width="8.71428571428571" style="2" customWidth="1"/>
    <col min="1292" max="1292" width="10.7142857142857" style="2" customWidth="1"/>
    <col min="1293" max="1293" width="8.71428571428571" style="2" customWidth="1"/>
    <col min="1294" max="1294" width="2.71428571428571" style="2" customWidth="1"/>
    <col min="1295" max="1296" width="10.7142857142857" style="2" customWidth="1"/>
    <col min="1297" max="1297" width="8.71428571428571" style="2" customWidth="1"/>
    <col min="1298" max="1298" width="2.71428571428571" style="2" customWidth="1"/>
    <col min="1299" max="1299" width="9.14285714285714" style="2"/>
    <col min="1300" max="1300" width="2.71428571428571" style="2" customWidth="1"/>
    <col min="1301" max="1537" width="9.14285714285714" style="2"/>
    <col min="1538" max="1538" width="4.71428571428571" style="2" customWidth="1"/>
    <col min="1539" max="1539" width="8.71428571428571" style="2" customWidth="1"/>
    <col min="1540" max="1540" width="7.71428571428571" style="2" customWidth="1"/>
    <col min="1541" max="1541" width="8.71428571428571" style="2" customWidth="1"/>
    <col min="1542" max="1542" width="2.71428571428571" style="2" customWidth="1"/>
    <col min="1543" max="1543" width="8.71428571428571" style="2" customWidth="1"/>
    <col min="1544" max="1544" width="2.71428571428571" style="2" customWidth="1"/>
    <col min="1545" max="1545" width="10.7142857142857" style="2" customWidth="1"/>
    <col min="1546" max="1546" width="2.71428571428571" style="2" customWidth="1"/>
    <col min="1547" max="1547" width="8.71428571428571" style="2" customWidth="1"/>
    <col min="1548" max="1548" width="10.7142857142857" style="2" customWidth="1"/>
    <col min="1549" max="1549" width="8.71428571428571" style="2" customWidth="1"/>
    <col min="1550" max="1550" width="2.71428571428571" style="2" customWidth="1"/>
    <col min="1551" max="1552" width="10.7142857142857" style="2" customWidth="1"/>
    <col min="1553" max="1553" width="8.71428571428571" style="2" customWidth="1"/>
    <col min="1554" max="1554" width="2.71428571428571" style="2" customWidth="1"/>
    <col min="1555" max="1555" width="9.14285714285714" style="2"/>
    <col min="1556" max="1556" width="2.71428571428571" style="2" customWidth="1"/>
    <col min="1557" max="1793" width="9.14285714285714" style="2"/>
    <col min="1794" max="1794" width="4.71428571428571" style="2" customWidth="1"/>
    <col min="1795" max="1795" width="8.71428571428571" style="2" customWidth="1"/>
    <col min="1796" max="1796" width="7.71428571428571" style="2" customWidth="1"/>
    <col min="1797" max="1797" width="8.71428571428571" style="2" customWidth="1"/>
    <col min="1798" max="1798" width="2.71428571428571" style="2" customWidth="1"/>
    <col min="1799" max="1799" width="8.71428571428571" style="2" customWidth="1"/>
    <col min="1800" max="1800" width="2.71428571428571" style="2" customWidth="1"/>
    <col min="1801" max="1801" width="10.7142857142857" style="2" customWidth="1"/>
    <col min="1802" max="1802" width="2.71428571428571" style="2" customWidth="1"/>
    <col min="1803" max="1803" width="8.71428571428571" style="2" customWidth="1"/>
    <col min="1804" max="1804" width="10.7142857142857" style="2" customWidth="1"/>
    <col min="1805" max="1805" width="8.71428571428571" style="2" customWidth="1"/>
    <col min="1806" max="1806" width="2.71428571428571" style="2" customWidth="1"/>
    <col min="1807" max="1808" width="10.7142857142857" style="2" customWidth="1"/>
    <col min="1809" max="1809" width="8.71428571428571" style="2" customWidth="1"/>
    <col min="1810" max="1810" width="2.71428571428571" style="2" customWidth="1"/>
    <col min="1811" max="1811" width="9.14285714285714" style="2"/>
    <col min="1812" max="1812" width="2.71428571428571" style="2" customWidth="1"/>
    <col min="1813" max="2049" width="9.14285714285714" style="2"/>
    <col min="2050" max="2050" width="4.71428571428571" style="2" customWidth="1"/>
    <col min="2051" max="2051" width="8.71428571428571" style="2" customWidth="1"/>
    <col min="2052" max="2052" width="7.71428571428571" style="2" customWidth="1"/>
    <col min="2053" max="2053" width="8.71428571428571" style="2" customWidth="1"/>
    <col min="2054" max="2054" width="2.71428571428571" style="2" customWidth="1"/>
    <col min="2055" max="2055" width="8.71428571428571" style="2" customWidth="1"/>
    <col min="2056" max="2056" width="2.71428571428571" style="2" customWidth="1"/>
    <col min="2057" max="2057" width="10.7142857142857" style="2" customWidth="1"/>
    <col min="2058" max="2058" width="2.71428571428571" style="2" customWidth="1"/>
    <col min="2059" max="2059" width="8.71428571428571" style="2" customWidth="1"/>
    <col min="2060" max="2060" width="10.7142857142857" style="2" customWidth="1"/>
    <col min="2061" max="2061" width="8.71428571428571" style="2" customWidth="1"/>
    <col min="2062" max="2062" width="2.71428571428571" style="2" customWidth="1"/>
    <col min="2063" max="2064" width="10.7142857142857" style="2" customWidth="1"/>
    <col min="2065" max="2065" width="8.71428571428571" style="2" customWidth="1"/>
    <col min="2066" max="2066" width="2.71428571428571" style="2" customWidth="1"/>
    <col min="2067" max="2067" width="9.14285714285714" style="2"/>
    <col min="2068" max="2068" width="2.71428571428571" style="2" customWidth="1"/>
    <col min="2069" max="2305" width="9.14285714285714" style="2"/>
    <col min="2306" max="2306" width="4.71428571428571" style="2" customWidth="1"/>
    <col min="2307" max="2307" width="8.71428571428571" style="2" customWidth="1"/>
    <col min="2308" max="2308" width="7.71428571428571" style="2" customWidth="1"/>
    <col min="2309" max="2309" width="8.71428571428571" style="2" customWidth="1"/>
    <col min="2310" max="2310" width="2.71428571428571" style="2" customWidth="1"/>
    <col min="2311" max="2311" width="8.71428571428571" style="2" customWidth="1"/>
    <col min="2312" max="2312" width="2.71428571428571" style="2" customWidth="1"/>
    <col min="2313" max="2313" width="10.7142857142857" style="2" customWidth="1"/>
    <col min="2314" max="2314" width="2.71428571428571" style="2" customWidth="1"/>
    <col min="2315" max="2315" width="8.71428571428571" style="2" customWidth="1"/>
    <col min="2316" max="2316" width="10.7142857142857" style="2" customWidth="1"/>
    <col min="2317" max="2317" width="8.71428571428571" style="2" customWidth="1"/>
    <col min="2318" max="2318" width="2.71428571428571" style="2" customWidth="1"/>
    <col min="2319" max="2320" width="10.7142857142857" style="2" customWidth="1"/>
    <col min="2321" max="2321" width="8.71428571428571" style="2" customWidth="1"/>
    <col min="2322" max="2322" width="2.71428571428571" style="2" customWidth="1"/>
    <col min="2323" max="2323" width="9.14285714285714" style="2"/>
    <col min="2324" max="2324" width="2.71428571428571" style="2" customWidth="1"/>
    <col min="2325" max="2561" width="9.14285714285714" style="2"/>
    <col min="2562" max="2562" width="4.71428571428571" style="2" customWidth="1"/>
    <col min="2563" max="2563" width="8.71428571428571" style="2" customWidth="1"/>
    <col min="2564" max="2564" width="7.71428571428571" style="2" customWidth="1"/>
    <col min="2565" max="2565" width="8.71428571428571" style="2" customWidth="1"/>
    <col min="2566" max="2566" width="2.71428571428571" style="2" customWidth="1"/>
    <col min="2567" max="2567" width="8.71428571428571" style="2" customWidth="1"/>
    <col min="2568" max="2568" width="2.71428571428571" style="2" customWidth="1"/>
    <col min="2569" max="2569" width="10.7142857142857" style="2" customWidth="1"/>
    <col min="2570" max="2570" width="2.71428571428571" style="2" customWidth="1"/>
    <col min="2571" max="2571" width="8.71428571428571" style="2" customWidth="1"/>
    <col min="2572" max="2572" width="10.7142857142857" style="2" customWidth="1"/>
    <col min="2573" max="2573" width="8.71428571428571" style="2" customWidth="1"/>
    <col min="2574" max="2574" width="2.71428571428571" style="2" customWidth="1"/>
    <col min="2575" max="2576" width="10.7142857142857" style="2" customWidth="1"/>
    <col min="2577" max="2577" width="8.71428571428571" style="2" customWidth="1"/>
    <col min="2578" max="2578" width="2.71428571428571" style="2" customWidth="1"/>
    <col min="2579" max="2579" width="9.14285714285714" style="2"/>
    <col min="2580" max="2580" width="2.71428571428571" style="2" customWidth="1"/>
    <col min="2581" max="2817" width="9.14285714285714" style="2"/>
    <col min="2818" max="2818" width="4.71428571428571" style="2" customWidth="1"/>
    <col min="2819" max="2819" width="8.71428571428571" style="2" customWidth="1"/>
    <col min="2820" max="2820" width="7.71428571428571" style="2" customWidth="1"/>
    <col min="2821" max="2821" width="8.71428571428571" style="2" customWidth="1"/>
    <col min="2822" max="2822" width="2.71428571428571" style="2" customWidth="1"/>
    <col min="2823" max="2823" width="8.71428571428571" style="2" customWidth="1"/>
    <col min="2824" max="2824" width="2.71428571428571" style="2" customWidth="1"/>
    <col min="2825" max="2825" width="10.7142857142857" style="2" customWidth="1"/>
    <col min="2826" max="2826" width="2.71428571428571" style="2" customWidth="1"/>
    <col min="2827" max="2827" width="8.71428571428571" style="2" customWidth="1"/>
    <col min="2828" max="2828" width="10.7142857142857" style="2" customWidth="1"/>
    <col min="2829" max="2829" width="8.71428571428571" style="2" customWidth="1"/>
    <col min="2830" max="2830" width="2.71428571428571" style="2" customWidth="1"/>
    <col min="2831" max="2832" width="10.7142857142857" style="2" customWidth="1"/>
    <col min="2833" max="2833" width="8.71428571428571" style="2" customWidth="1"/>
    <col min="2834" max="2834" width="2.71428571428571" style="2" customWidth="1"/>
    <col min="2835" max="2835" width="9.14285714285714" style="2"/>
    <col min="2836" max="2836" width="2.71428571428571" style="2" customWidth="1"/>
    <col min="2837" max="3073" width="9.14285714285714" style="2"/>
    <col min="3074" max="3074" width="4.71428571428571" style="2" customWidth="1"/>
    <col min="3075" max="3075" width="8.71428571428571" style="2" customWidth="1"/>
    <col min="3076" max="3076" width="7.71428571428571" style="2" customWidth="1"/>
    <col min="3077" max="3077" width="8.71428571428571" style="2" customWidth="1"/>
    <col min="3078" max="3078" width="2.71428571428571" style="2" customWidth="1"/>
    <col min="3079" max="3079" width="8.71428571428571" style="2" customWidth="1"/>
    <col min="3080" max="3080" width="2.71428571428571" style="2" customWidth="1"/>
    <col min="3081" max="3081" width="10.7142857142857" style="2" customWidth="1"/>
    <col min="3082" max="3082" width="2.71428571428571" style="2" customWidth="1"/>
    <col min="3083" max="3083" width="8.71428571428571" style="2" customWidth="1"/>
    <col min="3084" max="3084" width="10.7142857142857" style="2" customWidth="1"/>
    <col min="3085" max="3085" width="8.71428571428571" style="2" customWidth="1"/>
    <col min="3086" max="3086" width="2.71428571428571" style="2" customWidth="1"/>
    <col min="3087" max="3088" width="10.7142857142857" style="2" customWidth="1"/>
    <col min="3089" max="3089" width="8.71428571428571" style="2" customWidth="1"/>
    <col min="3090" max="3090" width="2.71428571428571" style="2" customWidth="1"/>
    <col min="3091" max="3091" width="9.14285714285714" style="2"/>
    <col min="3092" max="3092" width="2.71428571428571" style="2" customWidth="1"/>
    <col min="3093" max="3329" width="9.14285714285714" style="2"/>
    <col min="3330" max="3330" width="4.71428571428571" style="2" customWidth="1"/>
    <col min="3331" max="3331" width="8.71428571428571" style="2" customWidth="1"/>
    <col min="3332" max="3332" width="7.71428571428571" style="2" customWidth="1"/>
    <col min="3333" max="3333" width="8.71428571428571" style="2" customWidth="1"/>
    <col min="3334" max="3334" width="2.71428571428571" style="2" customWidth="1"/>
    <col min="3335" max="3335" width="8.71428571428571" style="2" customWidth="1"/>
    <col min="3336" max="3336" width="2.71428571428571" style="2" customWidth="1"/>
    <col min="3337" max="3337" width="10.7142857142857" style="2" customWidth="1"/>
    <col min="3338" max="3338" width="2.71428571428571" style="2" customWidth="1"/>
    <col min="3339" max="3339" width="8.71428571428571" style="2" customWidth="1"/>
    <col min="3340" max="3340" width="10.7142857142857" style="2" customWidth="1"/>
    <col min="3341" max="3341" width="8.71428571428571" style="2" customWidth="1"/>
    <col min="3342" max="3342" width="2.71428571428571" style="2" customWidth="1"/>
    <col min="3343" max="3344" width="10.7142857142857" style="2" customWidth="1"/>
    <col min="3345" max="3345" width="8.71428571428571" style="2" customWidth="1"/>
    <col min="3346" max="3346" width="2.71428571428571" style="2" customWidth="1"/>
    <col min="3347" max="3347" width="9.14285714285714" style="2"/>
    <col min="3348" max="3348" width="2.71428571428571" style="2" customWidth="1"/>
    <col min="3349" max="3585" width="9.14285714285714" style="2"/>
    <col min="3586" max="3586" width="4.71428571428571" style="2" customWidth="1"/>
    <col min="3587" max="3587" width="8.71428571428571" style="2" customWidth="1"/>
    <col min="3588" max="3588" width="7.71428571428571" style="2" customWidth="1"/>
    <col min="3589" max="3589" width="8.71428571428571" style="2" customWidth="1"/>
    <col min="3590" max="3590" width="2.71428571428571" style="2" customWidth="1"/>
    <col min="3591" max="3591" width="8.71428571428571" style="2" customWidth="1"/>
    <col min="3592" max="3592" width="2.71428571428571" style="2" customWidth="1"/>
    <col min="3593" max="3593" width="10.7142857142857" style="2" customWidth="1"/>
    <col min="3594" max="3594" width="2.71428571428571" style="2" customWidth="1"/>
    <col min="3595" max="3595" width="8.71428571428571" style="2" customWidth="1"/>
    <col min="3596" max="3596" width="10.7142857142857" style="2" customWidth="1"/>
    <col min="3597" max="3597" width="8.71428571428571" style="2" customWidth="1"/>
    <col min="3598" max="3598" width="2.71428571428571" style="2" customWidth="1"/>
    <col min="3599" max="3600" width="10.7142857142857" style="2" customWidth="1"/>
    <col min="3601" max="3601" width="8.71428571428571" style="2" customWidth="1"/>
    <col min="3602" max="3602" width="2.71428571428571" style="2" customWidth="1"/>
    <col min="3603" max="3603" width="9.14285714285714" style="2"/>
    <col min="3604" max="3604" width="2.71428571428571" style="2" customWidth="1"/>
    <col min="3605" max="3841" width="9.14285714285714" style="2"/>
    <col min="3842" max="3842" width="4.71428571428571" style="2" customWidth="1"/>
    <col min="3843" max="3843" width="8.71428571428571" style="2" customWidth="1"/>
    <col min="3844" max="3844" width="7.71428571428571" style="2" customWidth="1"/>
    <col min="3845" max="3845" width="8.71428571428571" style="2" customWidth="1"/>
    <col min="3846" max="3846" width="2.71428571428571" style="2" customWidth="1"/>
    <col min="3847" max="3847" width="8.71428571428571" style="2" customWidth="1"/>
    <col min="3848" max="3848" width="2.71428571428571" style="2" customWidth="1"/>
    <col min="3849" max="3849" width="10.7142857142857" style="2" customWidth="1"/>
    <col min="3850" max="3850" width="2.71428571428571" style="2" customWidth="1"/>
    <col min="3851" max="3851" width="8.71428571428571" style="2" customWidth="1"/>
    <col min="3852" max="3852" width="10.7142857142857" style="2" customWidth="1"/>
    <col min="3853" max="3853" width="8.71428571428571" style="2" customWidth="1"/>
    <col min="3854" max="3854" width="2.71428571428571" style="2" customWidth="1"/>
    <col min="3855" max="3856" width="10.7142857142857" style="2" customWidth="1"/>
    <col min="3857" max="3857" width="8.71428571428571" style="2" customWidth="1"/>
    <col min="3858" max="3858" width="2.71428571428571" style="2" customWidth="1"/>
    <col min="3859" max="3859" width="9.14285714285714" style="2"/>
    <col min="3860" max="3860" width="2.71428571428571" style="2" customWidth="1"/>
    <col min="3861" max="4097" width="9.14285714285714" style="2"/>
    <col min="4098" max="4098" width="4.71428571428571" style="2" customWidth="1"/>
    <col min="4099" max="4099" width="8.71428571428571" style="2" customWidth="1"/>
    <col min="4100" max="4100" width="7.71428571428571" style="2" customWidth="1"/>
    <col min="4101" max="4101" width="8.71428571428571" style="2" customWidth="1"/>
    <col min="4102" max="4102" width="2.71428571428571" style="2" customWidth="1"/>
    <col min="4103" max="4103" width="8.71428571428571" style="2" customWidth="1"/>
    <col min="4104" max="4104" width="2.71428571428571" style="2" customWidth="1"/>
    <col min="4105" max="4105" width="10.7142857142857" style="2" customWidth="1"/>
    <col min="4106" max="4106" width="2.71428571428571" style="2" customWidth="1"/>
    <col min="4107" max="4107" width="8.71428571428571" style="2" customWidth="1"/>
    <col min="4108" max="4108" width="10.7142857142857" style="2" customWidth="1"/>
    <col min="4109" max="4109" width="8.71428571428571" style="2" customWidth="1"/>
    <col min="4110" max="4110" width="2.71428571428571" style="2" customWidth="1"/>
    <col min="4111" max="4112" width="10.7142857142857" style="2" customWidth="1"/>
    <col min="4113" max="4113" width="8.71428571428571" style="2" customWidth="1"/>
    <col min="4114" max="4114" width="2.71428571428571" style="2" customWidth="1"/>
    <col min="4115" max="4115" width="9.14285714285714" style="2"/>
    <col min="4116" max="4116" width="2.71428571428571" style="2" customWidth="1"/>
    <col min="4117" max="4353" width="9.14285714285714" style="2"/>
    <col min="4354" max="4354" width="4.71428571428571" style="2" customWidth="1"/>
    <col min="4355" max="4355" width="8.71428571428571" style="2" customWidth="1"/>
    <col min="4356" max="4356" width="7.71428571428571" style="2" customWidth="1"/>
    <col min="4357" max="4357" width="8.71428571428571" style="2" customWidth="1"/>
    <col min="4358" max="4358" width="2.71428571428571" style="2" customWidth="1"/>
    <col min="4359" max="4359" width="8.71428571428571" style="2" customWidth="1"/>
    <col min="4360" max="4360" width="2.71428571428571" style="2" customWidth="1"/>
    <col min="4361" max="4361" width="10.7142857142857" style="2" customWidth="1"/>
    <col min="4362" max="4362" width="2.71428571428571" style="2" customWidth="1"/>
    <col min="4363" max="4363" width="8.71428571428571" style="2" customWidth="1"/>
    <col min="4364" max="4364" width="10.7142857142857" style="2" customWidth="1"/>
    <col min="4365" max="4365" width="8.71428571428571" style="2" customWidth="1"/>
    <col min="4366" max="4366" width="2.71428571428571" style="2" customWidth="1"/>
    <col min="4367" max="4368" width="10.7142857142857" style="2" customWidth="1"/>
    <col min="4369" max="4369" width="8.71428571428571" style="2" customWidth="1"/>
    <col min="4370" max="4370" width="2.71428571428571" style="2" customWidth="1"/>
    <col min="4371" max="4371" width="9.14285714285714" style="2"/>
    <col min="4372" max="4372" width="2.71428571428571" style="2" customWidth="1"/>
    <col min="4373" max="4609" width="9.14285714285714" style="2"/>
    <col min="4610" max="4610" width="4.71428571428571" style="2" customWidth="1"/>
    <col min="4611" max="4611" width="8.71428571428571" style="2" customWidth="1"/>
    <col min="4612" max="4612" width="7.71428571428571" style="2" customWidth="1"/>
    <col min="4613" max="4613" width="8.71428571428571" style="2" customWidth="1"/>
    <col min="4614" max="4614" width="2.71428571428571" style="2" customWidth="1"/>
    <col min="4615" max="4615" width="8.71428571428571" style="2" customWidth="1"/>
    <col min="4616" max="4616" width="2.71428571428571" style="2" customWidth="1"/>
    <col min="4617" max="4617" width="10.7142857142857" style="2" customWidth="1"/>
    <col min="4618" max="4618" width="2.71428571428571" style="2" customWidth="1"/>
    <col min="4619" max="4619" width="8.71428571428571" style="2" customWidth="1"/>
    <col min="4620" max="4620" width="10.7142857142857" style="2" customWidth="1"/>
    <col min="4621" max="4621" width="8.71428571428571" style="2" customWidth="1"/>
    <col min="4622" max="4622" width="2.71428571428571" style="2" customWidth="1"/>
    <col min="4623" max="4624" width="10.7142857142857" style="2" customWidth="1"/>
    <col min="4625" max="4625" width="8.71428571428571" style="2" customWidth="1"/>
    <col min="4626" max="4626" width="2.71428571428571" style="2" customWidth="1"/>
    <col min="4627" max="4627" width="9.14285714285714" style="2"/>
    <col min="4628" max="4628" width="2.71428571428571" style="2" customWidth="1"/>
    <col min="4629" max="4865" width="9.14285714285714" style="2"/>
    <col min="4866" max="4866" width="4.71428571428571" style="2" customWidth="1"/>
    <col min="4867" max="4867" width="8.71428571428571" style="2" customWidth="1"/>
    <col min="4868" max="4868" width="7.71428571428571" style="2" customWidth="1"/>
    <col min="4869" max="4869" width="8.71428571428571" style="2" customWidth="1"/>
    <col min="4870" max="4870" width="2.71428571428571" style="2" customWidth="1"/>
    <col min="4871" max="4871" width="8.71428571428571" style="2" customWidth="1"/>
    <col min="4872" max="4872" width="2.71428571428571" style="2" customWidth="1"/>
    <col min="4873" max="4873" width="10.7142857142857" style="2" customWidth="1"/>
    <col min="4874" max="4874" width="2.71428571428571" style="2" customWidth="1"/>
    <col min="4875" max="4875" width="8.71428571428571" style="2" customWidth="1"/>
    <col min="4876" max="4876" width="10.7142857142857" style="2" customWidth="1"/>
    <col min="4877" max="4877" width="8.71428571428571" style="2" customWidth="1"/>
    <col min="4878" max="4878" width="2.71428571428571" style="2" customWidth="1"/>
    <col min="4879" max="4880" width="10.7142857142857" style="2" customWidth="1"/>
    <col min="4881" max="4881" width="8.71428571428571" style="2" customWidth="1"/>
    <col min="4882" max="4882" width="2.71428571428571" style="2" customWidth="1"/>
    <col min="4883" max="4883" width="9.14285714285714" style="2"/>
    <col min="4884" max="4884" width="2.71428571428571" style="2" customWidth="1"/>
    <col min="4885" max="5121" width="9.14285714285714" style="2"/>
    <col min="5122" max="5122" width="4.71428571428571" style="2" customWidth="1"/>
    <col min="5123" max="5123" width="8.71428571428571" style="2" customWidth="1"/>
    <col min="5124" max="5124" width="7.71428571428571" style="2" customWidth="1"/>
    <col min="5125" max="5125" width="8.71428571428571" style="2" customWidth="1"/>
    <col min="5126" max="5126" width="2.71428571428571" style="2" customWidth="1"/>
    <col min="5127" max="5127" width="8.71428571428571" style="2" customWidth="1"/>
    <col min="5128" max="5128" width="2.71428571428571" style="2" customWidth="1"/>
    <col min="5129" max="5129" width="10.7142857142857" style="2" customWidth="1"/>
    <col min="5130" max="5130" width="2.71428571428571" style="2" customWidth="1"/>
    <col min="5131" max="5131" width="8.71428571428571" style="2" customWidth="1"/>
    <col min="5132" max="5132" width="10.7142857142857" style="2" customWidth="1"/>
    <col min="5133" max="5133" width="8.71428571428571" style="2" customWidth="1"/>
    <col min="5134" max="5134" width="2.71428571428571" style="2" customWidth="1"/>
    <col min="5135" max="5136" width="10.7142857142857" style="2" customWidth="1"/>
    <col min="5137" max="5137" width="8.71428571428571" style="2" customWidth="1"/>
    <col min="5138" max="5138" width="2.71428571428571" style="2" customWidth="1"/>
    <col min="5139" max="5139" width="9.14285714285714" style="2"/>
    <col min="5140" max="5140" width="2.71428571428571" style="2" customWidth="1"/>
    <col min="5141" max="5377" width="9.14285714285714" style="2"/>
    <col min="5378" max="5378" width="4.71428571428571" style="2" customWidth="1"/>
    <col min="5379" max="5379" width="8.71428571428571" style="2" customWidth="1"/>
    <col min="5380" max="5380" width="7.71428571428571" style="2" customWidth="1"/>
    <col min="5381" max="5381" width="8.71428571428571" style="2" customWidth="1"/>
    <col min="5382" max="5382" width="2.71428571428571" style="2" customWidth="1"/>
    <col min="5383" max="5383" width="8.71428571428571" style="2" customWidth="1"/>
    <col min="5384" max="5384" width="2.71428571428571" style="2" customWidth="1"/>
    <col min="5385" max="5385" width="10.7142857142857" style="2" customWidth="1"/>
    <col min="5386" max="5386" width="2.71428571428571" style="2" customWidth="1"/>
    <col min="5387" max="5387" width="8.71428571428571" style="2" customWidth="1"/>
    <col min="5388" max="5388" width="10.7142857142857" style="2" customWidth="1"/>
    <col min="5389" max="5389" width="8.71428571428571" style="2" customWidth="1"/>
    <col min="5390" max="5390" width="2.71428571428571" style="2" customWidth="1"/>
    <col min="5391" max="5392" width="10.7142857142857" style="2" customWidth="1"/>
    <col min="5393" max="5393" width="8.71428571428571" style="2" customWidth="1"/>
    <col min="5394" max="5394" width="2.71428571428571" style="2" customWidth="1"/>
    <col min="5395" max="5395" width="9.14285714285714" style="2"/>
    <col min="5396" max="5396" width="2.71428571428571" style="2" customWidth="1"/>
    <col min="5397" max="5633" width="9.14285714285714" style="2"/>
    <col min="5634" max="5634" width="4.71428571428571" style="2" customWidth="1"/>
    <col min="5635" max="5635" width="8.71428571428571" style="2" customWidth="1"/>
    <col min="5636" max="5636" width="7.71428571428571" style="2" customWidth="1"/>
    <col min="5637" max="5637" width="8.71428571428571" style="2" customWidth="1"/>
    <col min="5638" max="5638" width="2.71428571428571" style="2" customWidth="1"/>
    <col min="5639" max="5639" width="8.71428571428571" style="2" customWidth="1"/>
    <col min="5640" max="5640" width="2.71428571428571" style="2" customWidth="1"/>
    <col min="5641" max="5641" width="10.7142857142857" style="2" customWidth="1"/>
    <col min="5642" max="5642" width="2.71428571428571" style="2" customWidth="1"/>
    <col min="5643" max="5643" width="8.71428571428571" style="2" customWidth="1"/>
    <col min="5644" max="5644" width="10.7142857142857" style="2" customWidth="1"/>
    <col min="5645" max="5645" width="8.71428571428571" style="2" customWidth="1"/>
    <col min="5646" max="5646" width="2.71428571428571" style="2" customWidth="1"/>
    <col min="5647" max="5648" width="10.7142857142857" style="2" customWidth="1"/>
    <col min="5649" max="5649" width="8.71428571428571" style="2" customWidth="1"/>
    <col min="5650" max="5650" width="2.71428571428571" style="2" customWidth="1"/>
    <col min="5651" max="5651" width="9.14285714285714" style="2"/>
    <col min="5652" max="5652" width="2.71428571428571" style="2" customWidth="1"/>
    <col min="5653" max="5889" width="9.14285714285714" style="2"/>
    <col min="5890" max="5890" width="4.71428571428571" style="2" customWidth="1"/>
    <col min="5891" max="5891" width="8.71428571428571" style="2" customWidth="1"/>
    <col min="5892" max="5892" width="7.71428571428571" style="2" customWidth="1"/>
    <col min="5893" max="5893" width="8.71428571428571" style="2" customWidth="1"/>
    <col min="5894" max="5894" width="2.71428571428571" style="2" customWidth="1"/>
    <col min="5895" max="5895" width="8.71428571428571" style="2" customWidth="1"/>
    <col min="5896" max="5896" width="2.71428571428571" style="2" customWidth="1"/>
    <col min="5897" max="5897" width="10.7142857142857" style="2" customWidth="1"/>
    <col min="5898" max="5898" width="2.71428571428571" style="2" customWidth="1"/>
    <col min="5899" max="5899" width="8.71428571428571" style="2" customWidth="1"/>
    <col min="5900" max="5900" width="10.7142857142857" style="2" customWidth="1"/>
    <col min="5901" max="5901" width="8.71428571428571" style="2" customWidth="1"/>
    <col min="5902" max="5902" width="2.71428571428571" style="2" customWidth="1"/>
    <col min="5903" max="5904" width="10.7142857142857" style="2" customWidth="1"/>
    <col min="5905" max="5905" width="8.71428571428571" style="2" customWidth="1"/>
    <col min="5906" max="5906" width="2.71428571428571" style="2" customWidth="1"/>
    <col min="5907" max="5907" width="9.14285714285714" style="2"/>
    <col min="5908" max="5908" width="2.71428571428571" style="2" customWidth="1"/>
    <col min="5909" max="6145" width="9.14285714285714" style="2"/>
    <col min="6146" max="6146" width="4.71428571428571" style="2" customWidth="1"/>
    <col min="6147" max="6147" width="8.71428571428571" style="2" customWidth="1"/>
    <col min="6148" max="6148" width="7.71428571428571" style="2" customWidth="1"/>
    <col min="6149" max="6149" width="8.71428571428571" style="2" customWidth="1"/>
    <col min="6150" max="6150" width="2.71428571428571" style="2" customWidth="1"/>
    <col min="6151" max="6151" width="8.71428571428571" style="2" customWidth="1"/>
    <col min="6152" max="6152" width="2.71428571428571" style="2" customWidth="1"/>
    <col min="6153" max="6153" width="10.7142857142857" style="2" customWidth="1"/>
    <col min="6154" max="6154" width="2.71428571428571" style="2" customWidth="1"/>
    <col min="6155" max="6155" width="8.71428571428571" style="2" customWidth="1"/>
    <col min="6156" max="6156" width="10.7142857142857" style="2" customWidth="1"/>
    <col min="6157" max="6157" width="8.71428571428571" style="2" customWidth="1"/>
    <col min="6158" max="6158" width="2.71428571428571" style="2" customWidth="1"/>
    <col min="6159" max="6160" width="10.7142857142857" style="2" customWidth="1"/>
    <col min="6161" max="6161" width="8.71428571428571" style="2" customWidth="1"/>
    <col min="6162" max="6162" width="2.71428571428571" style="2" customWidth="1"/>
    <col min="6163" max="6163" width="9.14285714285714" style="2"/>
    <col min="6164" max="6164" width="2.71428571428571" style="2" customWidth="1"/>
    <col min="6165" max="6401" width="9.14285714285714" style="2"/>
    <col min="6402" max="6402" width="4.71428571428571" style="2" customWidth="1"/>
    <col min="6403" max="6403" width="8.71428571428571" style="2" customWidth="1"/>
    <col min="6404" max="6404" width="7.71428571428571" style="2" customWidth="1"/>
    <col min="6405" max="6405" width="8.71428571428571" style="2" customWidth="1"/>
    <col min="6406" max="6406" width="2.71428571428571" style="2" customWidth="1"/>
    <col min="6407" max="6407" width="8.71428571428571" style="2" customWidth="1"/>
    <col min="6408" max="6408" width="2.71428571428571" style="2" customWidth="1"/>
    <col min="6409" max="6409" width="10.7142857142857" style="2" customWidth="1"/>
    <col min="6410" max="6410" width="2.71428571428571" style="2" customWidth="1"/>
    <col min="6411" max="6411" width="8.71428571428571" style="2" customWidth="1"/>
    <col min="6412" max="6412" width="10.7142857142857" style="2" customWidth="1"/>
    <col min="6413" max="6413" width="8.71428571428571" style="2" customWidth="1"/>
    <col min="6414" max="6414" width="2.71428571428571" style="2" customWidth="1"/>
    <col min="6415" max="6416" width="10.7142857142857" style="2" customWidth="1"/>
    <col min="6417" max="6417" width="8.71428571428571" style="2" customWidth="1"/>
    <col min="6418" max="6418" width="2.71428571428571" style="2" customWidth="1"/>
    <col min="6419" max="6419" width="9.14285714285714" style="2"/>
    <col min="6420" max="6420" width="2.71428571428571" style="2" customWidth="1"/>
    <col min="6421" max="6657" width="9.14285714285714" style="2"/>
    <col min="6658" max="6658" width="4.71428571428571" style="2" customWidth="1"/>
    <col min="6659" max="6659" width="8.71428571428571" style="2" customWidth="1"/>
    <col min="6660" max="6660" width="7.71428571428571" style="2" customWidth="1"/>
    <col min="6661" max="6661" width="8.71428571428571" style="2" customWidth="1"/>
    <col min="6662" max="6662" width="2.71428571428571" style="2" customWidth="1"/>
    <col min="6663" max="6663" width="8.71428571428571" style="2" customWidth="1"/>
    <col min="6664" max="6664" width="2.71428571428571" style="2" customWidth="1"/>
    <col min="6665" max="6665" width="10.7142857142857" style="2" customWidth="1"/>
    <col min="6666" max="6666" width="2.71428571428571" style="2" customWidth="1"/>
    <col min="6667" max="6667" width="8.71428571428571" style="2" customWidth="1"/>
    <col min="6668" max="6668" width="10.7142857142857" style="2" customWidth="1"/>
    <col min="6669" max="6669" width="8.71428571428571" style="2" customWidth="1"/>
    <col min="6670" max="6670" width="2.71428571428571" style="2" customWidth="1"/>
    <col min="6671" max="6672" width="10.7142857142857" style="2" customWidth="1"/>
    <col min="6673" max="6673" width="8.71428571428571" style="2" customWidth="1"/>
    <col min="6674" max="6674" width="2.71428571428571" style="2" customWidth="1"/>
    <col min="6675" max="6675" width="9.14285714285714" style="2"/>
    <col min="6676" max="6676" width="2.71428571428571" style="2" customWidth="1"/>
    <col min="6677" max="6913" width="9.14285714285714" style="2"/>
    <col min="6914" max="6914" width="4.71428571428571" style="2" customWidth="1"/>
    <col min="6915" max="6915" width="8.71428571428571" style="2" customWidth="1"/>
    <col min="6916" max="6916" width="7.71428571428571" style="2" customWidth="1"/>
    <col min="6917" max="6917" width="8.71428571428571" style="2" customWidth="1"/>
    <col min="6918" max="6918" width="2.71428571428571" style="2" customWidth="1"/>
    <col min="6919" max="6919" width="8.71428571428571" style="2" customWidth="1"/>
    <col min="6920" max="6920" width="2.71428571428571" style="2" customWidth="1"/>
    <col min="6921" max="6921" width="10.7142857142857" style="2" customWidth="1"/>
    <col min="6922" max="6922" width="2.71428571428571" style="2" customWidth="1"/>
    <col min="6923" max="6923" width="8.71428571428571" style="2" customWidth="1"/>
    <col min="6924" max="6924" width="10.7142857142857" style="2" customWidth="1"/>
    <col min="6925" max="6925" width="8.71428571428571" style="2" customWidth="1"/>
    <col min="6926" max="6926" width="2.71428571428571" style="2" customWidth="1"/>
    <col min="6927" max="6928" width="10.7142857142857" style="2" customWidth="1"/>
    <col min="6929" max="6929" width="8.71428571428571" style="2" customWidth="1"/>
    <col min="6930" max="6930" width="2.71428571428571" style="2" customWidth="1"/>
    <col min="6931" max="6931" width="9.14285714285714" style="2"/>
    <col min="6932" max="6932" width="2.71428571428571" style="2" customWidth="1"/>
    <col min="6933" max="7169" width="9.14285714285714" style="2"/>
    <col min="7170" max="7170" width="4.71428571428571" style="2" customWidth="1"/>
    <col min="7171" max="7171" width="8.71428571428571" style="2" customWidth="1"/>
    <col min="7172" max="7172" width="7.71428571428571" style="2" customWidth="1"/>
    <col min="7173" max="7173" width="8.71428571428571" style="2" customWidth="1"/>
    <col min="7174" max="7174" width="2.71428571428571" style="2" customWidth="1"/>
    <col min="7175" max="7175" width="8.71428571428571" style="2" customWidth="1"/>
    <col min="7176" max="7176" width="2.71428571428571" style="2" customWidth="1"/>
    <col min="7177" max="7177" width="10.7142857142857" style="2" customWidth="1"/>
    <col min="7178" max="7178" width="2.71428571428571" style="2" customWidth="1"/>
    <col min="7179" max="7179" width="8.71428571428571" style="2" customWidth="1"/>
    <col min="7180" max="7180" width="10.7142857142857" style="2" customWidth="1"/>
    <col min="7181" max="7181" width="8.71428571428571" style="2" customWidth="1"/>
    <col min="7182" max="7182" width="2.71428571428571" style="2" customWidth="1"/>
    <col min="7183" max="7184" width="10.7142857142857" style="2" customWidth="1"/>
    <col min="7185" max="7185" width="8.71428571428571" style="2" customWidth="1"/>
    <col min="7186" max="7186" width="2.71428571428571" style="2" customWidth="1"/>
    <col min="7187" max="7187" width="9.14285714285714" style="2"/>
    <col min="7188" max="7188" width="2.71428571428571" style="2" customWidth="1"/>
    <col min="7189" max="7425" width="9.14285714285714" style="2"/>
    <col min="7426" max="7426" width="4.71428571428571" style="2" customWidth="1"/>
    <col min="7427" max="7427" width="8.71428571428571" style="2" customWidth="1"/>
    <col min="7428" max="7428" width="7.71428571428571" style="2" customWidth="1"/>
    <col min="7429" max="7429" width="8.71428571428571" style="2" customWidth="1"/>
    <col min="7430" max="7430" width="2.71428571428571" style="2" customWidth="1"/>
    <col min="7431" max="7431" width="8.71428571428571" style="2" customWidth="1"/>
    <col min="7432" max="7432" width="2.71428571428571" style="2" customWidth="1"/>
    <col min="7433" max="7433" width="10.7142857142857" style="2" customWidth="1"/>
    <col min="7434" max="7434" width="2.71428571428571" style="2" customWidth="1"/>
    <col min="7435" max="7435" width="8.71428571428571" style="2" customWidth="1"/>
    <col min="7436" max="7436" width="10.7142857142857" style="2" customWidth="1"/>
    <col min="7437" max="7437" width="8.71428571428571" style="2" customWidth="1"/>
    <col min="7438" max="7438" width="2.71428571428571" style="2" customWidth="1"/>
    <col min="7439" max="7440" width="10.7142857142857" style="2" customWidth="1"/>
    <col min="7441" max="7441" width="8.71428571428571" style="2" customWidth="1"/>
    <col min="7442" max="7442" width="2.71428571428571" style="2" customWidth="1"/>
    <col min="7443" max="7443" width="9.14285714285714" style="2"/>
    <col min="7444" max="7444" width="2.71428571428571" style="2" customWidth="1"/>
    <col min="7445" max="7681" width="9.14285714285714" style="2"/>
    <col min="7682" max="7682" width="4.71428571428571" style="2" customWidth="1"/>
    <col min="7683" max="7683" width="8.71428571428571" style="2" customWidth="1"/>
    <col min="7684" max="7684" width="7.71428571428571" style="2" customWidth="1"/>
    <col min="7685" max="7685" width="8.71428571428571" style="2" customWidth="1"/>
    <col min="7686" max="7686" width="2.71428571428571" style="2" customWidth="1"/>
    <col min="7687" max="7687" width="8.71428571428571" style="2" customWidth="1"/>
    <col min="7688" max="7688" width="2.71428571428571" style="2" customWidth="1"/>
    <col min="7689" max="7689" width="10.7142857142857" style="2" customWidth="1"/>
    <col min="7690" max="7690" width="2.71428571428571" style="2" customWidth="1"/>
    <col min="7691" max="7691" width="8.71428571428571" style="2" customWidth="1"/>
    <col min="7692" max="7692" width="10.7142857142857" style="2" customWidth="1"/>
    <col min="7693" max="7693" width="8.71428571428571" style="2" customWidth="1"/>
    <col min="7694" max="7694" width="2.71428571428571" style="2" customWidth="1"/>
    <col min="7695" max="7696" width="10.7142857142857" style="2" customWidth="1"/>
    <col min="7697" max="7697" width="8.71428571428571" style="2" customWidth="1"/>
    <col min="7698" max="7698" width="2.71428571428571" style="2" customWidth="1"/>
    <col min="7699" max="7699" width="9.14285714285714" style="2"/>
    <col min="7700" max="7700" width="2.71428571428571" style="2" customWidth="1"/>
    <col min="7701" max="7937" width="9.14285714285714" style="2"/>
    <col min="7938" max="7938" width="4.71428571428571" style="2" customWidth="1"/>
    <col min="7939" max="7939" width="8.71428571428571" style="2" customWidth="1"/>
    <col min="7940" max="7940" width="7.71428571428571" style="2" customWidth="1"/>
    <col min="7941" max="7941" width="8.71428571428571" style="2" customWidth="1"/>
    <col min="7942" max="7942" width="2.71428571428571" style="2" customWidth="1"/>
    <col min="7943" max="7943" width="8.71428571428571" style="2" customWidth="1"/>
    <col min="7944" max="7944" width="2.71428571428571" style="2" customWidth="1"/>
    <col min="7945" max="7945" width="10.7142857142857" style="2" customWidth="1"/>
    <col min="7946" max="7946" width="2.71428571428571" style="2" customWidth="1"/>
    <col min="7947" max="7947" width="8.71428571428571" style="2" customWidth="1"/>
    <col min="7948" max="7948" width="10.7142857142857" style="2" customWidth="1"/>
    <col min="7949" max="7949" width="8.71428571428571" style="2" customWidth="1"/>
    <col min="7950" max="7950" width="2.71428571428571" style="2" customWidth="1"/>
    <col min="7951" max="7952" width="10.7142857142857" style="2" customWidth="1"/>
    <col min="7953" max="7953" width="8.71428571428571" style="2" customWidth="1"/>
    <col min="7954" max="7954" width="2.71428571428571" style="2" customWidth="1"/>
    <col min="7955" max="7955" width="9.14285714285714" style="2"/>
    <col min="7956" max="7956" width="2.71428571428571" style="2" customWidth="1"/>
    <col min="7957" max="8193" width="9.14285714285714" style="2"/>
    <col min="8194" max="8194" width="4.71428571428571" style="2" customWidth="1"/>
    <col min="8195" max="8195" width="8.71428571428571" style="2" customWidth="1"/>
    <col min="8196" max="8196" width="7.71428571428571" style="2" customWidth="1"/>
    <col min="8197" max="8197" width="8.71428571428571" style="2" customWidth="1"/>
    <col min="8198" max="8198" width="2.71428571428571" style="2" customWidth="1"/>
    <col min="8199" max="8199" width="8.71428571428571" style="2" customWidth="1"/>
    <col min="8200" max="8200" width="2.71428571428571" style="2" customWidth="1"/>
    <col min="8201" max="8201" width="10.7142857142857" style="2" customWidth="1"/>
    <col min="8202" max="8202" width="2.71428571428571" style="2" customWidth="1"/>
    <col min="8203" max="8203" width="8.71428571428571" style="2" customWidth="1"/>
    <col min="8204" max="8204" width="10.7142857142857" style="2" customWidth="1"/>
    <col min="8205" max="8205" width="8.71428571428571" style="2" customWidth="1"/>
    <col min="8206" max="8206" width="2.71428571428571" style="2" customWidth="1"/>
    <col min="8207" max="8208" width="10.7142857142857" style="2" customWidth="1"/>
    <col min="8209" max="8209" width="8.71428571428571" style="2" customWidth="1"/>
    <col min="8210" max="8210" width="2.71428571428571" style="2" customWidth="1"/>
    <col min="8211" max="8211" width="9.14285714285714" style="2"/>
    <col min="8212" max="8212" width="2.71428571428571" style="2" customWidth="1"/>
    <col min="8213" max="8449" width="9.14285714285714" style="2"/>
    <col min="8450" max="8450" width="4.71428571428571" style="2" customWidth="1"/>
    <col min="8451" max="8451" width="8.71428571428571" style="2" customWidth="1"/>
    <col min="8452" max="8452" width="7.71428571428571" style="2" customWidth="1"/>
    <col min="8453" max="8453" width="8.71428571428571" style="2" customWidth="1"/>
    <col min="8454" max="8454" width="2.71428571428571" style="2" customWidth="1"/>
    <col min="8455" max="8455" width="8.71428571428571" style="2" customWidth="1"/>
    <col min="8456" max="8456" width="2.71428571428571" style="2" customWidth="1"/>
    <col min="8457" max="8457" width="10.7142857142857" style="2" customWidth="1"/>
    <col min="8458" max="8458" width="2.71428571428571" style="2" customWidth="1"/>
    <col min="8459" max="8459" width="8.71428571428571" style="2" customWidth="1"/>
    <col min="8460" max="8460" width="10.7142857142857" style="2" customWidth="1"/>
    <col min="8461" max="8461" width="8.71428571428571" style="2" customWidth="1"/>
    <col min="8462" max="8462" width="2.71428571428571" style="2" customWidth="1"/>
    <col min="8463" max="8464" width="10.7142857142857" style="2" customWidth="1"/>
    <col min="8465" max="8465" width="8.71428571428571" style="2" customWidth="1"/>
    <col min="8466" max="8466" width="2.71428571428571" style="2" customWidth="1"/>
    <col min="8467" max="8467" width="9.14285714285714" style="2"/>
    <col min="8468" max="8468" width="2.71428571428571" style="2" customWidth="1"/>
    <col min="8469" max="8705" width="9.14285714285714" style="2"/>
    <col min="8706" max="8706" width="4.71428571428571" style="2" customWidth="1"/>
    <col min="8707" max="8707" width="8.71428571428571" style="2" customWidth="1"/>
    <col min="8708" max="8708" width="7.71428571428571" style="2" customWidth="1"/>
    <col min="8709" max="8709" width="8.71428571428571" style="2" customWidth="1"/>
    <col min="8710" max="8710" width="2.71428571428571" style="2" customWidth="1"/>
    <col min="8711" max="8711" width="8.71428571428571" style="2" customWidth="1"/>
    <col min="8712" max="8712" width="2.71428571428571" style="2" customWidth="1"/>
    <col min="8713" max="8713" width="10.7142857142857" style="2" customWidth="1"/>
    <col min="8714" max="8714" width="2.71428571428571" style="2" customWidth="1"/>
    <col min="8715" max="8715" width="8.71428571428571" style="2" customWidth="1"/>
    <col min="8716" max="8716" width="10.7142857142857" style="2" customWidth="1"/>
    <col min="8717" max="8717" width="8.71428571428571" style="2" customWidth="1"/>
    <col min="8718" max="8718" width="2.71428571428571" style="2" customWidth="1"/>
    <col min="8719" max="8720" width="10.7142857142857" style="2" customWidth="1"/>
    <col min="8721" max="8721" width="8.71428571428571" style="2" customWidth="1"/>
    <col min="8722" max="8722" width="2.71428571428571" style="2" customWidth="1"/>
    <col min="8723" max="8723" width="9.14285714285714" style="2"/>
    <col min="8724" max="8724" width="2.71428571428571" style="2" customWidth="1"/>
    <col min="8725" max="8961" width="9.14285714285714" style="2"/>
    <col min="8962" max="8962" width="4.71428571428571" style="2" customWidth="1"/>
    <col min="8963" max="8963" width="8.71428571428571" style="2" customWidth="1"/>
    <col min="8964" max="8964" width="7.71428571428571" style="2" customWidth="1"/>
    <col min="8965" max="8965" width="8.71428571428571" style="2" customWidth="1"/>
    <col min="8966" max="8966" width="2.71428571428571" style="2" customWidth="1"/>
    <col min="8967" max="8967" width="8.71428571428571" style="2" customWidth="1"/>
    <col min="8968" max="8968" width="2.71428571428571" style="2" customWidth="1"/>
    <col min="8969" max="8969" width="10.7142857142857" style="2" customWidth="1"/>
    <col min="8970" max="8970" width="2.71428571428571" style="2" customWidth="1"/>
    <col min="8971" max="8971" width="8.71428571428571" style="2" customWidth="1"/>
    <col min="8972" max="8972" width="10.7142857142857" style="2" customWidth="1"/>
    <col min="8973" max="8973" width="8.71428571428571" style="2" customWidth="1"/>
    <col min="8974" max="8974" width="2.71428571428571" style="2" customWidth="1"/>
    <col min="8975" max="8976" width="10.7142857142857" style="2" customWidth="1"/>
    <col min="8977" max="8977" width="8.71428571428571" style="2" customWidth="1"/>
    <col min="8978" max="8978" width="2.71428571428571" style="2" customWidth="1"/>
    <col min="8979" max="8979" width="9.14285714285714" style="2"/>
    <col min="8980" max="8980" width="2.71428571428571" style="2" customWidth="1"/>
    <col min="8981" max="9217" width="9.14285714285714" style="2"/>
    <col min="9218" max="9218" width="4.71428571428571" style="2" customWidth="1"/>
    <col min="9219" max="9219" width="8.71428571428571" style="2" customWidth="1"/>
    <col min="9220" max="9220" width="7.71428571428571" style="2" customWidth="1"/>
    <col min="9221" max="9221" width="8.71428571428571" style="2" customWidth="1"/>
    <col min="9222" max="9222" width="2.71428571428571" style="2" customWidth="1"/>
    <col min="9223" max="9223" width="8.71428571428571" style="2" customWidth="1"/>
    <col min="9224" max="9224" width="2.71428571428571" style="2" customWidth="1"/>
    <col min="9225" max="9225" width="10.7142857142857" style="2" customWidth="1"/>
    <col min="9226" max="9226" width="2.71428571428571" style="2" customWidth="1"/>
    <col min="9227" max="9227" width="8.71428571428571" style="2" customWidth="1"/>
    <col min="9228" max="9228" width="10.7142857142857" style="2" customWidth="1"/>
    <col min="9229" max="9229" width="8.71428571428571" style="2" customWidth="1"/>
    <col min="9230" max="9230" width="2.71428571428571" style="2" customWidth="1"/>
    <col min="9231" max="9232" width="10.7142857142857" style="2" customWidth="1"/>
    <col min="9233" max="9233" width="8.71428571428571" style="2" customWidth="1"/>
    <col min="9234" max="9234" width="2.71428571428571" style="2" customWidth="1"/>
    <col min="9235" max="9235" width="9.14285714285714" style="2"/>
    <col min="9236" max="9236" width="2.71428571428571" style="2" customWidth="1"/>
    <col min="9237" max="9473" width="9.14285714285714" style="2"/>
    <col min="9474" max="9474" width="4.71428571428571" style="2" customWidth="1"/>
    <col min="9475" max="9475" width="8.71428571428571" style="2" customWidth="1"/>
    <col min="9476" max="9476" width="7.71428571428571" style="2" customWidth="1"/>
    <col min="9477" max="9477" width="8.71428571428571" style="2" customWidth="1"/>
    <col min="9478" max="9478" width="2.71428571428571" style="2" customWidth="1"/>
    <col min="9479" max="9479" width="8.71428571428571" style="2" customWidth="1"/>
    <col min="9480" max="9480" width="2.71428571428571" style="2" customWidth="1"/>
    <col min="9481" max="9481" width="10.7142857142857" style="2" customWidth="1"/>
    <col min="9482" max="9482" width="2.71428571428571" style="2" customWidth="1"/>
    <col min="9483" max="9483" width="8.71428571428571" style="2" customWidth="1"/>
    <col min="9484" max="9484" width="10.7142857142857" style="2" customWidth="1"/>
    <col min="9485" max="9485" width="8.71428571428571" style="2" customWidth="1"/>
    <col min="9486" max="9486" width="2.71428571428571" style="2" customWidth="1"/>
    <col min="9487" max="9488" width="10.7142857142857" style="2" customWidth="1"/>
    <col min="9489" max="9489" width="8.71428571428571" style="2" customWidth="1"/>
    <col min="9490" max="9490" width="2.71428571428571" style="2" customWidth="1"/>
    <col min="9491" max="9491" width="9.14285714285714" style="2"/>
    <col min="9492" max="9492" width="2.71428571428571" style="2" customWidth="1"/>
    <col min="9493" max="9729" width="9.14285714285714" style="2"/>
    <col min="9730" max="9730" width="4.71428571428571" style="2" customWidth="1"/>
    <col min="9731" max="9731" width="8.71428571428571" style="2" customWidth="1"/>
    <col min="9732" max="9732" width="7.71428571428571" style="2" customWidth="1"/>
    <col min="9733" max="9733" width="8.71428571428571" style="2" customWidth="1"/>
    <col min="9734" max="9734" width="2.71428571428571" style="2" customWidth="1"/>
    <col min="9735" max="9735" width="8.71428571428571" style="2" customWidth="1"/>
    <col min="9736" max="9736" width="2.71428571428571" style="2" customWidth="1"/>
    <col min="9737" max="9737" width="10.7142857142857" style="2" customWidth="1"/>
    <col min="9738" max="9738" width="2.71428571428571" style="2" customWidth="1"/>
    <col min="9739" max="9739" width="8.71428571428571" style="2" customWidth="1"/>
    <col min="9740" max="9740" width="10.7142857142857" style="2" customWidth="1"/>
    <col min="9741" max="9741" width="8.71428571428571" style="2" customWidth="1"/>
    <col min="9742" max="9742" width="2.71428571428571" style="2" customWidth="1"/>
    <col min="9743" max="9744" width="10.7142857142857" style="2" customWidth="1"/>
    <col min="9745" max="9745" width="8.71428571428571" style="2" customWidth="1"/>
    <col min="9746" max="9746" width="2.71428571428571" style="2" customWidth="1"/>
    <col min="9747" max="9747" width="9.14285714285714" style="2"/>
    <col min="9748" max="9748" width="2.71428571428571" style="2" customWidth="1"/>
    <col min="9749" max="9985" width="9.14285714285714" style="2"/>
    <col min="9986" max="9986" width="4.71428571428571" style="2" customWidth="1"/>
    <col min="9987" max="9987" width="8.71428571428571" style="2" customWidth="1"/>
    <col min="9988" max="9988" width="7.71428571428571" style="2" customWidth="1"/>
    <col min="9989" max="9989" width="8.71428571428571" style="2" customWidth="1"/>
    <col min="9990" max="9990" width="2.71428571428571" style="2" customWidth="1"/>
    <col min="9991" max="9991" width="8.71428571428571" style="2" customWidth="1"/>
    <col min="9992" max="9992" width="2.71428571428571" style="2" customWidth="1"/>
    <col min="9993" max="9993" width="10.7142857142857" style="2" customWidth="1"/>
    <col min="9994" max="9994" width="2.71428571428571" style="2" customWidth="1"/>
    <col min="9995" max="9995" width="8.71428571428571" style="2" customWidth="1"/>
    <col min="9996" max="9996" width="10.7142857142857" style="2" customWidth="1"/>
    <col min="9997" max="9997" width="8.71428571428571" style="2" customWidth="1"/>
    <col min="9998" max="9998" width="2.71428571428571" style="2" customWidth="1"/>
    <col min="9999" max="10000" width="10.7142857142857" style="2" customWidth="1"/>
    <col min="10001" max="10001" width="8.71428571428571" style="2" customWidth="1"/>
    <col min="10002" max="10002" width="2.71428571428571" style="2" customWidth="1"/>
    <col min="10003" max="10003" width="9.14285714285714" style="2"/>
    <col min="10004" max="10004" width="2.71428571428571" style="2" customWidth="1"/>
    <col min="10005" max="10241" width="9.14285714285714" style="2"/>
    <col min="10242" max="10242" width="4.71428571428571" style="2" customWidth="1"/>
    <col min="10243" max="10243" width="8.71428571428571" style="2" customWidth="1"/>
    <col min="10244" max="10244" width="7.71428571428571" style="2" customWidth="1"/>
    <col min="10245" max="10245" width="8.71428571428571" style="2" customWidth="1"/>
    <col min="10246" max="10246" width="2.71428571428571" style="2" customWidth="1"/>
    <col min="10247" max="10247" width="8.71428571428571" style="2" customWidth="1"/>
    <col min="10248" max="10248" width="2.71428571428571" style="2" customWidth="1"/>
    <col min="10249" max="10249" width="10.7142857142857" style="2" customWidth="1"/>
    <col min="10250" max="10250" width="2.71428571428571" style="2" customWidth="1"/>
    <col min="10251" max="10251" width="8.71428571428571" style="2" customWidth="1"/>
    <col min="10252" max="10252" width="10.7142857142857" style="2" customWidth="1"/>
    <col min="10253" max="10253" width="8.71428571428571" style="2" customWidth="1"/>
    <col min="10254" max="10254" width="2.71428571428571" style="2" customWidth="1"/>
    <col min="10255" max="10256" width="10.7142857142857" style="2" customWidth="1"/>
    <col min="10257" max="10257" width="8.71428571428571" style="2" customWidth="1"/>
    <col min="10258" max="10258" width="2.71428571428571" style="2" customWidth="1"/>
    <col min="10259" max="10259" width="9.14285714285714" style="2"/>
    <col min="10260" max="10260" width="2.71428571428571" style="2" customWidth="1"/>
    <col min="10261" max="10497" width="9.14285714285714" style="2"/>
    <col min="10498" max="10498" width="4.71428571428571" style="2" customWidth="1"/>
    <col min="10499" max="10499" width="8.71428571428571" style="2" customWidth="1"/>
    <col min="10500" max="10500" width="7.71428571428571" style="2" customWidth="1"/>
    <col min="10501" max="10501" width="8.71428571428571" style="2" customWidth="1"/>
    <col min="10502" max="10502" width="2.71428571428571" style="2" customWidth="1"/>
    <col min="10503" max="10503" width="8.71428571428571" style="2" customWidth="1"/>
    <col min="10504" max="10504" width="2.71428571428571" style="2" customWidth="1"/>
    <col min="10505" max="10505" width="10.7142857142857" style="2" customWidth="1"/>
    <col min="10506" max="10506" width="2.71428571428571" style="2" customWidth="1"/>
    <col min="10507" max="10507" width="8.71428571428571" style="2" customWidth="1"/>
    <col min="10508" max="10508" width="10.7142857142857" style="2" customWidth="1"/>
    <col min="10509" max="10509" width="8.71428571428571" style="2" customWidth="1"/>
    <col min="10510" max="10510" width="2.71428571428571" style="2" customWidth="1"/>
    <col min="10511" max="10512" width="10.7142857142857" style="2" customWidth="1"/>
    <col min="10513" max="10513" width="8.71428571428571" style="2" customWidth="1"/>
    <col min="10514" max="10514" width="2.71428571428571" style="2" customWidth="1"/>
    <col min="10515" max="10515" width="9.14285714285714" style="2"/>
    <col min="10516" max="10516" width="2.71428571428571" style="2" customWidth="1"/>
    <col min="10517" max="10753" width="9.14285714285714" style="2"/>
    <col min="10754" max="10754" width="4.71428571428571" style="2" customWidth="1"/>
    <col min="10755" max="10755" width="8.71428571428571" style="2" customWidth="1"/>
    <col min="10756" max="10756" width="7.71428571428571" style="2" customWidth="1"/>
    <col min="10757" max="10757" width="8.71428571428571" style="2" customWidth="1"/>
    <col min="10758" max="10758" width="2.71428571428571" style="2" customWidth="1"/>
    <col min="10759" max="10759" width="8.71428571428571" style="2" customWidth="1"/>
    <col min="10760" max="10760" width="2.71428571428571" style="2" customWidth="1"/>
    <col min="10761" max="10761" width="10.7142857142857" style="2" customWidth="1"/>
    <col min="10762" max="10762" width="2.71428571428571" style="2" customWidth="1"/>
    <col min="10763" max="10763" width="8.71428571428571" style="2" customWidth="1"/>
    <col min="10764" max="10764" width="10.7142857142857" style="2" customWidth="1"/>
    <col min="10765" max="10765" width="8.71428571428571" style="2" customWidth="1"/>
    <col min="10766" max="10766" width="2.71428571428571" style="2" customWidth="1"/>
    <col min="10767" max="10768" width="10.7142857142857" style="2" customWidth="1"/>
    <col min="10769" max="10769" width="8.71428571428571" style="2" customWidth="1"/>
    <col min="10770" max="10770" width="2.71428571428571" style="2" customWidth="1"/>
    <col min="10771" max="10771" width="9.14285714285714" style="2"/>
    <col min="10772" max="10772" width="2.71428571428571" style="2" customWidth="1"/>
    <col min="10773" max="11009" width="9.14285714285714" style="2"/>
    <col min="11010" max="11010" width="4.71428571428571" style="2" customWidth="1"/>
    <col min="11011" max="11011" width="8.71428571428571" style="2" customWidth="1"/>
    <col min="11012" max="11012" width="7.71428571428571" style="2" customWidth="1"/>
    <col min="11013" max="11013" width="8.71428571428571" style="2" customWidth="1"/>
    <col min="11014" max="11014" width="2.71428571428571" style="2" customWidth="1"/>
    <col min="11015" max="11015" width="8.71428571428571" style="2" customWidth="1"/>
    <col min="11016" max="11016" width="2.71428571428571" style="2" customWidth="1"/>
    <col min="11017" max="11017" width="10.7142857142857" style="2" customWidth="1"/>
    <col min="11018" max="11018" width="2.71428571428571" style="2" customWidth="1"/>
    <col min="11019" max="11019" width="8.71428571428571" style="2" customWidth="1"/>
    <col min="11020" max="11020" width="10.7142857142857" style="2" customWidth="1"/>
    <col min="11021" max="11021" width="8.71428571428571" style="2" customWidth="1"/>
    <col min="11022" max="11022" width="2.71428571428571" style="2" customWidth="1"/>
    <col min="11023" max="11024" width="10.7142857142857" style="2" customWidth="1"/>
    <col min="11025" max="11025" width="8.71428571428571" style="2" customWidth="1"/>
    <col min="11026" max="11026" width="2.71428571428571" style="2" customWidth="1"/>
    <col min="11027" max="11027" width="9.14285714285714" style="2"/>
    <col min="11028" max="11028" width="2.71428571428571" style="2" customWidth="1"/>
    <col min="11029" max="11265" width="9.14285714285714" style="2"/>
    <col min="11266" max="11266" width="4.71428571428571" style="2" customWidth="1"/>
    <col min="11267" max="11267" width="8.71428571428571" style="2" customWidth="1"/>
    <col min="11268" max="11268" width="7.71428571428571" style="2" customWidth="1"/>
    <col min="11269" max="11269" width="8.71428571428571" style="2" customWidth="1"/>
    <col min="11270" max="11270" width="2.71428571428571" style="2" customWidth="1"/>
    <col min="11271" max="11271" width="8.71428571428571" style="2" customWidth="1"/>
    <col min="11272" max="11272" width="2.71428571428571" style="2" customWidth="1"/>
    <col min="11273" max="11273" width="10.7142857142857" style="2" customWidth="1"/>
    <col min="11274" max="11274" width="2.71428571428571" style="2" customWidth="1"/>
    <col min="11275" max="11275" width="8.71428571428571" style="2" customWidth="1"/>
    <col min="11276" max="11276" width="10.7142857142857" style="2" customWidth="1"/>
    <col min="11277" max="11277" width="8.71428571428571" style="2" customWidth="1"/>
    <col min="11278" max="11278" width="2.71428571428571" style="2" customWidth="1"/>
    <col min="11279" max="11280" width="10.7142857142857" style="2" customWidth="1"/>
    <col min="11281" max="11281" width="8.71428571428571" style="2" customWidth="1"/>
    <col min="11282" max="11282" width="2.71428571428571" style="2" customWidth="1"/>
    <col min="11283" max="11283" width="9.14285714285714" style="2"/>
    <col min="11284" max="11284" width="2.71428571428571" style="2" customWidth="1"/>
    <col min="11285" max="11521" width="9.14285714285714" style="2"/>
    <col min="11522" max="11522" width="4.71428571428571" style="2" customWidth="1"/>
    <col min="11523" max="11523" width="8.71428571428571" style="2" customWidth="1"/>
    <col min="11524" max="11524" width="7.71428571428571" style="2" customWidth="1"/>
    <col min="11525" max="11525" width="8.71428571428571" style="2" customWidth="1"/>
    <col min="11526" max="11526" width="2.71428571428571" style="2" customWidth="1"/>
    <col min="11527" max="11527" width="8.71428571428571" style="2" customWidth="1"/>
    <col min="11528" max="11528" width="2.71428571428571" style="2" customWidth="1"/>
    <col min="11529" max="11529" width="10.7142857142857" style="2" customWidth="1"/>
    <col min="11530" max="11530" width="2.71428571428571" style="2" customWidth="1"/>
    <col min="11531" max="11531" width="8.71428571428571" style="2" customWidth="1"/>
    <col min="11532" max="11532" width="10.7142857142857" style="2" customWidth="1"/>
    <col min="11533" max="11533" width="8.71428571428571" style="2" customWidth="1"/>
    <col min="11534" max="11534" width="2.71428571428571" style="2" customWidth="1"/>
    <col min="11535" max="11536" width="10.7142857142857" style="2" customWidth="1"/>
    <col min="11537" max="11537" width="8.71428571428571" style="2" customWidth="1"/>
    <col min="11538" max="11538" width="2.71428571428571" style="2" customWidth="1"/>
    <col min="11539" max="11539" width="9.14285714285714" style="2"/>
    <col min="11540" max="11540" width="2.71428571428571" style="2" customWidth="1"/>
    <col min="11541" max="11777" width="9.14285714285714" style="2"/>
    <col min="11778" max="11778" width="4.71428571428571" style="2" customWidth="1"/>
    <col min="11779" max="11779" width="8.71428571428571" style="2" customWidth="1"/>
    <col min="11780" max="11780" width="7.71428571428571" style="2" customWidth="1"/>
    <col min="11781" max="11781" width="8.71428571428571" style="2" customWidth="1"/>
    <col min="11782" max="11782" width="2.71428571428571" style="2" customWidth="1"/>
    <col min="11783" max="11783" width="8.71428571428571" style="2" customWidth="1"/>
    <col min="11784" max="11784" width="2.71428571428571" style="2" customWidth="1"/>
    <col min="11785" max="11785" width="10.7142857142857" style="2" customWidth="1"/>
    <col min="11786" max="11786" width="2.71428571428571" style="2" customWidth="1"/>
    <col min="11787" max="11787" width="8.71428571428571" style="2" customWidth="1"/>
    <col min="11788" max="11788" width="10.7142857142857" style="2" customWidth="1"/>
    <col min="11789" max="11789" width="8.71428571428571" style="2" customWidth="1"/>
    <col min="11790" max="11790" width="2.71428571428571" style="2" customWidth="1"/>
    <col min="11791" max="11792" width="10.7142857142857" style="2" customWidth="1"/>
    <col min="11793" max="11793" width="8.71428571428571" style="2" customWidth="1"/>
    <col min="11794" max="11794" width="2.71428571428571" style="2" customWidth="1"/>
    <col min="11795" max="11795" width="9.14285714285714" style="2"/>
    <col min="11796" max="11796" width="2.71428571428571" style="2" customWidth="1"/>
    <col min="11797" max="12033" width="9.14285714285714" style="2"/>
    <col min="12034" max="12034" width="4.71428571428571" style="2" customWidth="1"/>
    <col min="12035" max="12035" width="8.71428571428571" style="2" customWidth="1"/>
    <col min="12036" max="12036" width="7.71428571428571" style="2" customWidth="1"/>
    <col min="12037" max="12037" width="8.71428571428571" style="2" customWidth="1"/>
    <col min="12038" max="12038" width="2.71428571428571" style="2" customWidth="1"/>
    <col min="12039" max="12039" width="8.71428571428571" style="2" customWidth="1"/>
    <col min="12040" max="12040" width="2.71428571428571" style="2" customWidth="1"/>
    <col min="12041" max="12041" width="10.7142857142857" style="2" customWidth="1"/>
    <col min="12042" max="12042" width="2.71428571428571" style="2" customWidth="1"/>
    <col min="12043" max="12043" width="8.71428571428571" style="2" customWidth="1"/>
    <col min="12044" max="12044" width="10.7142857142857" style="2" customWidth="1"/>
    <col min="12045" max="12045" width="8.71428571428571" style="2" customWidth="1"/>
    <col min="12046" max="12046" width="2.71428571428571" style="2" customWidth="1"/>
    <col min="12047" max="12048" width="10.7142857142857" style="2" customWidth="1"/>
    <col min="12049" max="12049" width="8.71428571428571" style="2" customWidth="1"/>
    <col min="12050" max="12050" width="2.71428571428571" style="2" customWidth="1"/>
    <col min="12051" max="12051" width="9.14285714285714" style="2"/>
    <col min="12052" max="12052" width="2.71428571428571" style="2" customWidth="1"/>
    <col min="12053" max="12289" width="9.14285714285714" style="2"/>
    <col min="12290" max="12290" width="4.71428571428571" style="2" customWidth="1"/>
    <col min="12291" max="12291" width="8.71428571428571" style="2" customWidth="1"/>
    <col min="12292" max="12292" width="7.71428571428571" style="2" customWidth="1"/>
    <col min="12293" max="12293" width="8.71428571428571" style="2" customWidth="1"/>
    <col min="12294" max="12294" width="2.71428571428571" style="2" customWidth="1"/>
    <col min="12295" max="12295" width="8.71428571428571" style="2" customWidth="1"/>
    <col min="12296" max="12296" width="2.71428571428571" style="2" customWidth="1"/>
    <col min="12297" max="12297" width="10.7142857142857" style="2" customWidth="1"/>
    <col min="12298" max="12298" width="2.71428571428571" style="2" customWidth="1"/>
    <col min="12299" max="12299" width="8.71428571428571" style="2" customWidth="1"/>
    <col min="12300" max="12300" width="10.7142857142857" style="2" customWidth="1"/>
    <col min="12301" max="12301" width="8.71428571428571" style="2" customWidth="1"/>
    <col min="12302" max="12302" width="2.71428571428571" style="2" customWidth="1"/>
    <col min="12303" max="12304" width="10.7142857142857" style="2" customWidth="1"/>
    <col min="12305" max="12305" width="8.71428571428571" style="2" customWidth="1"/>
    <col min="12306" max="12306" width="2.71428571428571" style="2" customWidth="1"/>
    <col min="12307" max="12307" width="9.14285714285714" style="2"/>
    <col min="12308" max="12308" width="2.71428571428571" style="2" customWidth="1"/>
    <col min="12309" max="12545" width="9.14285714285714" style="2"/>
    <col min="12546" max="12546" width="4.71428571428571" style="2" customWidth="1"/>
    <col min="12547" max="12547" width="8.71428571428571" style="2" customWidth="1"/>
    <col min="12548" max="12548" width="7.71428571428571" style="2" customWidth="1"/>
    <col min="12549" max="12549" width="8.71428571428571" style="2" customWidth="1"/>
    <col min="12550" max="12550" width="2.71428571428571" style="2" customWidth="1"/>
    <col min="12551" max="12551" width="8.71428571428571" style="2" customWidth="1"/>
    <col min="12552" max="12552" width="2.71428571428571" style="2" customWidth="1"/>
    <col min="12553" max="12553" width="10.7142857142857" style="2" customWidth="1"/>
    <col min="12554" max="12554" width="2.71428571428571" style="2" customWidth="1"/>
    <col min="12555" max="12555" width="8.71428571428571" style="2" customWidth="1"/>
    <col min="12556" max="12556" width="10.7142857142857" style="2" customWidth="1"/>
    <col min="12557" max="12557" width="8.71428571428571" style="2" customWidth="1"/>
    <col min="12558" max="12558" width="2.71428571428571" style="2" customWidth="1"/>
    <col min="12559" max="12560" width="10.7142857142857" style="2" customWidth="1"/>
    <col min="12561" max="12561" width="8.71428571428571" style="2" customWidth="1"/>
    <col min="12562" max="12562" width="2.71428571428571" style="2" customWidth="1"/>
    <col min="12563" max="12563" width="9.14285714285714" style="2"/>
    <col min="12564" max="12564" width="2.71428571428571" style="2" customWidth="1"/>
    <col min="12565" max="12801" width="9.14285714285714" style="2"/>
    <col min="12802" max="12802" width="4.71428571428571" style="2" customWidth="1"/>
    <col min="12803" max="12803" width="8.71428571428571" style="2" customWidth="1"/>
    <col min="12804" max="12804" width="7.71428571428571" style="2" customWidth="1"/>
    <col min="12805" max="12805" width="8.71428571428571" style="2" customWidth="1"/>
    <col min="12806" max="12806" width="2.71428571428571" style="2" customWidth="1"/>
    <col min="12807" max="12807" width="8.71428571428571" style="2" customWidth="1"/>
    <col min="12808" max="12808" width="2.71428571428571" style="2" customWidth="1"/>
    <col min="12809" max="12809" width="10.7142857142857" style="2" customWidth="1"/>
    <col min="12810" max="12810" width="2.71428571428571" style="2" customWidth="1"/>
    <col min="12811" max="12811" width="8.71428571428571" style="2" customWidth="1"/>
    <col min="12812" max="12812" width="10.7142857142857" style="2" customWidth="1"/>
    <col min="12813" max="12813" width="8.71428571428571" style="2" customWidth="1"/>
    <col min="12814" max="12814" width="2.71428571428571" style="2" customWidth="1"/>
    <col min="12815" max="12816" width="10.7142857142857" style="2" customWidth="1"/>
    <col min="12817" max="12817" width="8.71428571428571" style="2" customWidth="1"/>
    <col min="12818" max="12818" width="2.71428571428571" style="2" customWidth="1"/>
    <col min="12819" max="12819" width="9.14285714285714" style="2"/>
    <col min="12820" max="12820" width="2.71428571428571" style="2" customWidth="1"/>
    <col min="12821" max="13057" width="9.14285714285714" style="2"/>
    <col min="13058" max="13058" width="4.71428571428571" style="2" customWidth="1"/>
    <col min="13059" max="13059" width="8.71428571428571" style="2" customWidth="1"/>
    <col min="13060" max="13060" width="7.71428571428571" style="2" customWidth="1"/>
    <col min="13061" max="13061" width="8.71428571428571" style="2" customWidth="1"/>
    <col min="13062" max="13062" width="2.71428571428571" style="2" customWidth="1"/>
    <col min="13063" max="13063" width="8.71428571428571" style="2" customWidth="1"/>
    <col min="13064" max="13064" width="2.71428571428571" style="2" customWidth="1"/>
    <col min="13065" max="13065" width="10.7142857142857" style="2" customWidth="1"/>
    <col min="13066" max="13066" width="2.71428571428571" style="2" customWidth="1"/>
    <col min="13067" max="13067" width="8.71428571428571" style="2" customWidth="1"/>
    <col min="13068" max="13068" width="10.7142857142857" style="2" customWidth="1"/>
    <col min="13069" max="13069" width="8.71428571428571" style="2" customWidth="1"/>
    <col min="13070" max="13070" width="2.71428571428571" style="2" customWidth="1"/>
    <col min="13071" max="13072" width="10.7142857142857" style="2" customWidth="1"/>
    <col min="13073" max="13073" width="8.71428571428571" style="2" customWidth="1"/>
    <col min="13074" max="13074" width="2.71428571428571" style="2" customWidth="1"/>
    <col min="13075" max="13075" width="9.14285714285714" style="2"/>
    <col min="13076" max="13076" width="2.71428571428571" style="2" customWidth="1"/>
    <col min="13077" max="13313" width="9.14285714285714" style="2"/>
    <col min="13314" max="13314" width="4.71428571428571" style="2" customWidth="1"/>
    <col min="13315" max="13315" width="8.71428571428571" style="2" customWidth="1"/>
    <col min="13316" max="13316" width="7.71428571428571" style="2" customWidth="1"/>
    <col min="13317" max="13317" width="8.71428571428571" style="2" customWidth="1"/>
    <col min="13318" max="13318" width="2.71428571428571" style="2" customWidth="1"/>
    <col min="13319" max="13319" width="8.71428571428571" style="2" customWidth="1"/>
    <col min="13320" max="13320" width="2.71428571428571" style="2" customWidth="1"/>
    <col min="13321" max="13321" width="10.7142857142857" style="2" customWidth="1"/>
    <col min="13322" max="13322" width="2.71428571428571" style="2" customWidth="1"/>
    <col min="13323" max="13323" width="8.71428571428571" style="2" customWidth="1"/>
    <col min="13324" max="13324" width="10.7142857142857" style="2" customWidth="1"/>
    <col min="13325" max="13325" width="8.71428571428571" style="2" customWidth="1"/>
    <col min="13326" max="13326" width="2.71428571428571" style="2" customWidth="1"/>
    <col min="13327" max="13328" width="10.7142857142857" style="2" customWidth="1"/>
    <col min="13329" max="13329" width="8.71428571428571" style="2" customWidth="1"/>
    <col min="13330" max="13330" width="2.71428571428571" style="2" customWidth="1"/>
    <col min="13331" max="13331" width="9.14285714285714" style="2"/>
    <col min="13332" max="13332" width="2.71428571428571" style="2" customWidth="1"/>
    <col min="13333" max="13569" width="9.14285714285714" style="2"/>
    <col min="13570" max="13570" width="4.71428571428571" style="2" customWidth="1"/>
    <col min="13571" max="13571" width="8.71428571428571" style="2" customWidth="1"/>
    <col min="13572" max="13572" width="7.71428571428571" style="2" customWidth="1"/>
    <col min="13573" max="13573" width="8.71428571428571" style="2" customWidth="1"/>
    <col min="13574" max="13574" width="2.71428571428571" style="2" customWidth="1"/>
    <col min="13575" max="13575" width="8.71428571428571" style="2" customWidth="1"/>
    <col min="13576" max="13576" width="2.71428571428571" style="2" customWidth="1"/>
    <col min="13577" max="13577" width="10.7142857142857" style="2" customWidth="1"/>
    <col min="13578" max="13578" width="2.71428571428571" style="2" customWidth="1"/>
    <col min="13579" max="13579" width="8.71428571428571" style="2" customWidth="1"/>
    <col min="13580" max="13580" width="10.7142857142857" style="2" customWidth="1"/>
    <col min="13581" max="13581" width="8.71428571428571" style="2" customWidth="1"/>
    <col min="13582" max="13582" width="2.71428571428571" style="2" customWidth="1"/>
    <col min="13583" max="13584" width="10.7142857142857" style="2" customWidth="1"/>
    <col min="13585" max="13585" width="8.71428571428571" style="2" customWidth="1"/>
    <col min="13586" max="13586" width="2.71428571428571" style="2" customWidth="1"/>
    <col min="13587" max="13587" width="9.14285714285714" style="2"/>
    <col min="13588" max="13588" width="2.71428571428571" style="2" customWidth="1"/>
    <col min="13589" max="13825" width="9.14285714285714" style="2"/>
    <col min="13826" max="13826" width="4.71428571428571" style="2" customWidth="1"/>
    <col min="13827" max="13827" width="8.71428571428571" style="2" customWidth="1"/>
    <col min="13828" max="13828" width="7.71428571428571" style="2" customWidth="1"/>
    <col min="13829" max="13829" width="8.71428571428571" style="2" customWidth="1"/>
    <col min="13830" max="13830" width="2.71428571428571" style="2" customWidth="1"/>
    <col min="13831" max="13831" width="8.71428571428571" style="2" customWidth="1"/>
    <col min="13832" max="13832" width="2.71428571428571" style="2" customWidth="1"/>
    <col min="13833" max="13833" width="10.7142857142857" style="2" customWidth="1"/>
    <col min="13834" max="13834" width="2.71428571428571" style="2" customWidth="1"/>
    <col min="13835" max="13835" width="8.71428571428571" style="2" customWidth="1"/>
    <col min="13836" max="13836" width="10.7142857142857" style="2" customWidth="1"/>
    <col min="13837" max="13837" width="8.71428571428571" style="2" customWidth="1"/>
    <col min="13838" max="13838" width="2.71428571428571" style="2" customWidth="1"/>
    <col min="13839" max="13840" width="10.7142857142857" style="2" customWidth="1"/>
    <col min="13841" max="13841" width="8.71428571428571" style="2" customWidth="1"/>
    <col min="13842" max="13842" width="2.71428571428571" style="2" customWidth="1"/>
    <col min="13843" max="13843" width="9.14285714285714" style="2"/>
    <col min="13844" max="13844" width="2.71428571428571" style="2" customWidth="1"/>
    <col min="13845" max="14081" width="9.14285714285714" style="2"/>
    <col min="14082" max="14082" width="4.71428571428571" style="2" customWidth="1"/>
    <col min="14083" max="14083" width="8.71428571428571" style="2" customWidth="1"/>
    <col min="14084" max="14084" width="7.71428571428571" style="2" customWidth="1"/>
    <col min="14085" max="14085" width="8.71428571428571" style="2" customWidth="1"/>
    <col min="14086" max="14086" width="2.71428571428571" style="2" customWidth="1"/>
    <col min="14087" max="14087" width="8.71428571428571" style="2" customWidth="1"/>
    <col min="14088" max="14088" width="2.71428571428571" style="2" customWidth="1"/>
    <col min="14089" max="14089" width="10.7142857142857" style="2" customWidth="1"/>
    <col min="14090" max="14090" width="2.71428571428571" style="2" customWidth="1"/>
    <col min="14091" max="14091" width="8.71428571428571" style="2" customWidth="1"/>
    <col min="14092" max="14092" width="10.7142857142857" style="2" customWidth="1"/>
    <col min="14093" max="14093" width="8.71428571428571" style="2" customWidth="1"/>
    <col min="14094" max="14094" width="2.71428571428571" style="2" customWidth="1"/>
    <col min="14095" max="14096" width="10.7142857142857" style="2" customWidth="1"/>
    <col min="14097" max="14097" width="8.71428571428571" style="2" customWidth="1"/>
    <col min="14098" max="14098" width="2.71428571428571" style="2" customWidth="1"/>
    <col min="14099" max="14099" width="9.14285714285714" style="2"/>
    <col min="14100" max="14100" width="2.71428571428571" style="2" customWidth="1"/>
    <col min="14101" max="14337" width="9.14285714285714" style="2"/>
    <col min="14338" max="14338" width="4.71428571428571" style="2" customWidth="1"/>
    <col min="14339" max="14339" width="8.71428571428571" style="2" customWidth="1"/>
    <col min="14340" max="14340" width="7.71428571428571" style="2" customWidth="1"/>
    <col min="14341" max="14341" width="8.71428571428571" style="2" customWidth="1"/>
    <col min="14342" max="14342" width="2.71428571428571" style="2" customWidth="1"/>
    <col min="14343" max="14343" width="8.71428571428571" style="2" customWidth="1"/>
    <col min="14344" max="14344" width="2.71428571428571" style="2" customWidth="1"/>
    <col min="14345" max="14345" width="10.7142857142857" style="2" customWidth="1"/>
    <col min="14346" max="14346" width="2.71428571428571" style="2" customWidth="1"/>
    <col min="14347" max="14347" width="8.71428571428571" style="2" customWidth="1"/>
    <col min="14348" max="14348" width="10.7142857142857" style="2" customWidth="1"/>
    <col min="14349" max="14349" width="8.71428571428571" style="2" customWidth="1"/>
    <col min="14350" max="14350" width="2.71428571428571" style="2" customWidth="1"/>
    <col min="14351" max="14352" width="10.7142857142857" style="2" customWidth="1"/>
    <col min="14353" max="14353" width="8.71428571428571" style="2" customWidth="1"/>
    <col min="14354" max="14354" width="2.71428571428571" style="2" customWidth="1"/>
    <col min="14355" max="14355" width="9.14285714285714" style="2"/>
    <col min="14356" max="14356" width="2.71428571428571" style="2" customWidth="1"/>
    <col min="14357" max="14593" width="9.14285714285714" style="2"/>
    <col min="14594" max="14594" width="4.71428571428571" style="2" customWidth="1"/>
    <col min="14595" max="14595" width="8.71428571428571" style="2" customWidth="1"/>
    <col min="14596" max="14596" width="7.71428571428571" style="2" customWidth="1"/>
    <col min="14597" max="14597" width="8.71428571428571" style="2" customWidth="1"/>
    <col min="14598" max="14598" width="2.71428571428571" style="2" customWidth="1"/>
    <col min="14599" max="14599" width="8.71428571428571" style="2" customWidth="1"/>
    <col min="14600" max="14600" width="2.71428571428571" style="2" customWidth="1"/>
    <col min="14601" max="14601" width="10.7142857142857" style="2" customWidth="1"/>
    <col min="14602" max="14602" width="2.71428571428571" style="2" customWidth="1"/>
    <col min="14603" max="14603" width="8.71428571428571" style="2" customWidth="1"/>
    <col min="14604" max="14604" width="10.7142857142857" style="2" customWidth="1"/>
    <col min="14605" max="14605" width="8.71428571428571" style="2" customWidth="1"/>
    <col min="14606" max="14606" width="2.71428571428571" style="2" customWidth="1"/>
    <col min="14607" max="14608" width="10.7142857142857" style="2" customWidth="1"/>
    <col min="14609" max="14609" width="8.71428571428571" style="2" customWidth="1"/>
    <col min="14610" max="14610" width="2.71428571428571" style="2" customWidth="1"/>
    <col min="14611" max="14611" width="9.14285714285714" style="2"/>
    <col min="14612" max="14612" width="2.71428571428571" style="2" customWidth="1"/>
    <col min="14613" max="14849" width="9.14285714285714" style="2"/>
    <col min="14850" max="14850" width="4.71428571428571" style="2" customWidth="1"/>
    <col min="14851" max="14851" width="8.71428571428571" style="2" customWidth="1"/>
    <col min="14852" max="14852" width="7.71428571428571" style="2" customWidth="1"/>
    <col min="14853" max="14853" width="8.71428571428571" style="2" customWidth="1"/>
    <col min="14854" max="14854" width="2.71428571428571" style="2" customWidth="1"/>
    <col min="14855" max="14855" width="8.71428571428571" style="2" customWidth="1"/>
    <col min="14856" max="14856" width="2.71428571428571" style="2" customWidth="1"/>
    <col min="14857" max="14857" width="10.7142857142857" style="2" customWidth="1"/>
    <col min="14858" max="14858" width="2.71428571428571" style="2" customWidth="1"/>
    <col min="14859" max="14859" width="8.71428571428571" style="2" customWidth="1"/>
    <col min="14860" max="14860" width="10.7142857142857" style="2" customWidth="1"/>
    <col min="14861" max="14861" width="8.71428571428571" style="2" customWidth="1"/>
    <col min="14862" max="14862" width="2.71428571428571" style="2" customWidth="1"/>
    <col min="14863" max="14864" width="10.7142857142857" style="2" customWidth="1"/>
    <col min="14865" max="14865" width="8.71428571428571" style="2" customWidth="1"/>
    <col min="14866" max="14866" width="2.71428571428571" style="2" customWidth="1"/>
    <col min="14867" max="14867" width="9.14285714285714" style="2"/>
    <col min="14868" max="14868" width="2.71428571428571" style="2" customWidth="1"/>
    <col min="14869" max="15105" width="9.14285714285714" style="2"/>
    <col min="15106" max="15106" width="4.71428571428571" style="2" customWidth="1"/>
    <col min="15107" max="15107" width="8.71428571428571" style="2" customWidth="1"/>
    <col min="15108" max="15108" width="7.71428571428571" style="2" customWidth="1"/>
    <col min="15109" max="15109" width="8.71428571428571" style="2" customWidth="1"/>
    <col min="15110" max="15110" width="2.71428571428571" style="2" customWidth="1"/>
    <col min="15111" max="15111" width="8.71428571428571" style="2" customWidth="1"/>
    <col min="15112" max="15112" width="2.71428571428571" style="2" customWidth="1"/>
    <col min="15113" max="15113" width="10.7142857142857" style="2" customWidth="1"/>
    <col min="15114" max="15114" width="2.71428571428571" style="2" customWidth="1"/>
    <col min="15115" max="15115" width="8.71428571428571" style="2" customWidth="1"/>
    <col min="15116" max="15116" width="10.7142857142857" style="2" customWidth="1"/>
    <col min="15117" max="15117" width="8.71428571428571" style="2" customWidth="1"/>
    <col min="15118" max="15118" width="2.71428571428571" style="2" customWidth="1"/>
    <col min="15119" max="15120" width="10.7142857142857" style="2" customWidth="1"/>
    <col min="15121" max="15121" width="8.71428571428571" style="2" customWidth="1"/>
    <col min="15122" max="15122" width="2.71428571428571" style="2" customWidth="1"/>
    <col min="15123" max="15123" width="9.14285714285714" style="2"/>
    <col min="15124" max="15124" width="2.71428571428571" style="2" customWidth="1"/>
    <col min="15125" max="15361" width="9.14285714285714" style="2"/>
    <col min="15362" max="15362" width="4.71428571428571" style="2" customWidth="1"/>
    <col min="15363" max="15363" width="8.71428571428571" style="2" customWidth="1"/>
    <col min="15364" max="15364" width="7.71428571428571" style="2" customWidth="1"/>
    <col min="15365" max="15365" width="8.71428571428571" style="2" customWidth="1"/>
    <col min="15366" max="15366" width="2.71428571428571" style="2" customWidth="1"/>
    <col min="15367" max="15367" width="8.71428571428571" style="2" customWidth="1"/>
    <col min="15368" max="15368" width="2.71428571428571" style="2" customWidth="1"/>
    <col min="15369" max="15369" width="10.7142857142857" style="2" customWidth="1"/>
    <col min="15370" max="15370" width="2.71428571428571" style="2" customWidth="1"/>
    <col min="15371" max="15371" width="8.71428571428571" style="2" customWidth="1"/>
    <col min="15372" max="15372" width="10.7142857142857" style="2" customWidth="1"/>
    <col min="15373" max="15373" width="8.71428571428571" style="2" customWidth="1"/>
    <col min="15374" max="15374" width="2.71428571428571" style="2" customWidth="1"/>
    <col min="15375" max="15376" width="10.7142857142857" style="2" customWidth="1"/>
    <col min="15377" max="15377" width="8.71428571428571" style="2" customWidth="1"/>
    <col min="15378" max="15378" width="2.71428571428571" style="2" customWidth="1"/>
    <col min="15379" max="15379" width="9.14285714285714" style="2"/>
    <col min="15380" max="15380" width="2.71428571428571" style="2" customWidth="1"/>
    <col min="15381" max="15617" width="9.14285714285714" style="2"/>
    <col min="15618" max="15618" width="4.71428571428571" style="2" customWidth="1"/>
    <col min="15619" max="15619" width="8.71428571428571" style="2" customWidth="1"/>
    <col min="15620" max="15620" width="7.71428571428571" style="2" customWidth="1"/>
    <col min="15621" max="15621" width="8.71428571428571" style="2" customWidth="1"/>
    <col min="15622" max="15622" width="2.71428571428571" style="2" customWidth="1"/>
    <col min="15623" max="15623" width="8.71428571428571" style="2" customWidth="1"/>
    <col min="15624" max="15624" width="2.71428571428571" style="2" customWidth="1"/>
    <col min="15625" max="15625" width="10.7142857142857" style="2" customWidth="1"/>
    <col min="15626" max="15626" width="2.71428571428571" style="2" customWidth="1"/>
    <col min="15627" max="15627" width="8.71428571428571" style="2" customWidth="1"/>
    <col min="15628" max="15628" width="10.7142857142857" style="2" customWidth="1"/>
    <col min="15629" max="15629" width="8.71428571428571" style="2" customWidth="1"/>
    <col min="15630" max="15630" width="2.71428571428571" style="2" customWidth="1"/>
    <col min="15631" max="15632" width="10.7142857142857" style="2" customWidth="1"/>
    <col min="15633" max="15633" width="8.71428571428571" style="2" customWidth="1"/>
    <col min="15634" max="15634" width="2.71428571428571" style="2" customWidth="1"/>
    <col min="15635" max="15635" width="9.14285714285714" style="2"/>
    <col min="15636" max="15636" width="2.71428571428571" style="2" customWidth="1"/>
    <col min="15637" max="15873" width="9.14285714285714" style="2"/>
    <col min="15874" max="15874" width="4.71428571428571" style="2" customWidth="1"/>
    <col min="15875" max="15875" width="8.71428571428571" style="2" customWidth="1"/>
    <col min="15876" max="15876" width="7.71428571428571" style="2" customWidth="1"/>
    <col min="15877" max="15877" width="8.71428571428571" style="2" customWidth="1"/>
    <col min="15878" max="15878" width="2.71428571428571" style="2" customWidth="1"/>
    <col min="15879" max="15879" width="8.71428571428571" style="2" customWidth="1"/>
    <col min="15880" max="15880" width="2.71428571428571" style="2" customWidth="1"/>
    <col min="15881" max="15881" width="10.7142857142857" style="2" customWidth="1"/>
    <col min="15882" max="15882" width="2.71428571428571" style="2" customWidth="1"/>
    <col min="15883" max="15883" width="8.71428571428571" style="2" customWidth="1"/>
    <col min="15884" max="15884" width="10.7142857142857" style="2" customWidth="1"/>
    <col min="15885" max="15885" width="8.71428571428571" style="2" customWidth="1"/>
    <col min="15886" max="15886" width="2.71428571428571" style="2" customWidth="1"/>
    <col min="15887" max="15888" width="10.7142857142857" style="2" customWidth="1"/>
    <col min="15889" max="15889" width="8.71428571428571" style="2" customWidth="1"/>
    <col min="15890" max="15890" width="2.71428571428571" style="2" customWidth="1"/>
    <col min="15891" max="15891" width="9.14285714285714" style="2"/>
    <col min="15892" max="15892" width="2.71428571428571" style="2" customWidth="1"/>
    <col min="15893" max="16129" width="9.14285714285714" style="2"/>
    <col min="16130" max="16130" width="4.71428571428571" style="2" customWidth="1"/>
    <col min="16131" max="16131" width="8.71428571428571" style="2" customWidth="1"/>
    <col min="16132" max="16132" width="7.71428571428571" style="2" customWidth="1"/>
    <col min="16133" max="16133" width="8.71428571428571" style="2" customWidth="1"/>
    <col min="16134" max="16134" width="2.71428571428571" style="2" customWidth="1"/>
    <col min="16135" max="16135" width="8.71428571428571" style="2" customWidth="1"/>
    <col min="16136" max="16136" width="2.71428571428571" style="2" customWidth="1"/>
    <col min="16137" max="16137" width="10.7142857142857" style="2" customWidth="1"/>
    <col min="16138" max="16138" width="2.71428571428571" style="2" customWidth="1"/>
    <col min="16139" max="16139" width="8.71428571428571" style="2" customWidth="1"/>
    <col min="16140" max="16140" width="10.7142857142857" style="2" customWidth="1"/>
    <col min="16141" max="16141" width="8.71428571428571" style="2" customWidth="1"/>
    <col min="16142" max="16142" width="2.71428571428571" style="2" customWidth="1"/>
    <col min="16143" max="16144" width="10.7142857142857" style="2" customWidth="1"/>
    <col min="16145" max="16145" width="8.71428571428571" style="2" customWidth="1"/>
    <col min="16146" max="16146" width="2.71428571428571" style="2" customWidth="1"/>
    <col min="16147" max="16147" width="9.14285714285714" style="2"/>
    <col min="16148" max="16148" width="2.71428571428571" style="2" customWidth="1"/>
    <col min="16149" max="16384" width="9.14285714285714" style="2"/>
  </cols>
  <sheetData>
    <row r="1" spans="4:18" ht="18.75" customHeight="1">
      <c r="D1" s="1"/>
      <c r="O1" s="9"/>
      <c r="Q1" s="9"/>
      <c r="R1" s="9" t="s">
        <v>31</v>
      </c>
    </row>
    <row r="2" spans="15:18" ht="18.75" customHeight="1">
      <c r="O2" s="9"/>
      <c r="Q2" s="9"/>
      <c r="R2" s="9" t="s">
        <v>62</v>
      </c>
    </row>
    <row r="3" spans="15:17" ht="18.75" customHeight="1">
      <c r="O3" s="9"/>
      <c r="Q3" s="9"/>
    </row>
    <row r="4" spans="1:22" ht="18" customHeight="1">
      <c r="A4" s="20" t="s">
        <v>88</v>
      </c>
      <c r="B4" s="18"/>
      <c r="C4" s="18"/>
      <c r="D4" s="18"/>
      <c r="E4" s="18"/>
      <c r="F4" s="19"/>
      <c r="G4" s="22"/>
      <c r="H4" s="20"/>
      <c r="I4" s="19"/>
      <c r="J4" s="18"/>
      <c r="K4" s="18"/>
      <c r="L4" s="20"/>
      <c r="M4" s="22"/>
      <c r="N4" s="18"/>
      <c r="O4" s="18"/>
      <c r="P4" s="19"/>
      <c r="Q4" s="18"/>
      <c r="R4" s="18"/>
      <c r="S4" s="18"/>
      <c r="T4" s="18"/>
      <c r="U4" s="18"/>
      <c r="V4" s="18"/>
    </row>
    <row r="5" spans="1:22" ht="18" customHeight="1">
      <c r="A5" s="20" t="s">
        <v>51</v>
      </c>
      <c r="B5" s="18"/>
      <c r="C5" s="18"/>
      <c r="D5" s="18"/>
      <c r="E5" s="18"/>
      <c r="F5" s="19"/>
      <c r="G5" s="22"/>
      <c r="H5" s="20"/>
      <c r="I5" s="21"/>
      <c r="J5" s="18"/>
      <c r="K5" s="19"/>
      <c r="L5" s="20"/>
      <c r="M5" s="23"/>
      <c r="N5" s="18"/>
      <c r="O5" s="18"/>
      <c r="P5" s="21"/>
      <c r="Q5" s="20"/>
      <c r="R5" s="18"/>
      <c r="S5" s="18"/>
      <c r="T5" s="18"/>
      <c r="U5" s="18"/>
      <c r="V5" s="18"/>
    </row>
    <row r="6" spans="1:22" ht="18" customHeight="1">
      <c r="A6" s="20" t="s">
        <v>72</v>
      </c>
      <c r="B6" s="18"/>
      <c r="C6" s="18"/>
      <c r="D6" s="18"/>
      <c r="E6" s="18"/>
      <c r="F6" s="19"/>
      <c r="G6" s="22"/>
      <c r="H6" s="19"/>
      <c r="I6" s="19"/>
      <c r="J6" s="20"/>
      <c r="K6" s="19"/>
      <c r="L6" s="19"/>
      <c r="M6" s="22"/>
      <c r="N6" s="18"/>
      <c r="O6" s="20"/>
      <c r="P6" s="21"/>
      <c r="Q6" s="20"/>
      <c r="R6" s="18"/>
      <c r="S6" s="18"/>
      <c r="T6" s="18"/>
      <c r="U6" s="18"/>
      <c r="V6" s="18"/>
    </row>
    <row r="7" spans="1:22" ht="18" customHeight="1">
      <c r="A7" s="20" t="s">
        <v>49</v>
      </c>
      <c r="B7" s="18"/>
      <c r="C7" s="18"/>
      <c r="D7" s="18"/>
      <c r="E7" s="18"/>
      <c r="F7" s="18"/>
      <c r="G7" s="22"/>
      <c r="H7" s="19"/>
      <c r="I7" s="19"/>
      <c r="J7" s="20"/>
      <c r="K7" s="19"/>
      <c r="L7" s="19"/>
      <c r="M7" s="22"/>
      <c r="N7" s="18"/>
      <c r="O7" s="20"/>
      <c r="P7" s="21"/>
      <c r="Q7" s="20"/>
      <c r="R7" s="18"/>
      <c r="S7" s="18"/>
      <c r="T7" s="18"/>
      <c r="U7" s="18"/>
      <c r="V7" s="18"/>
    </row>
    <row r="8" spans="1:22" ht="18" customHeight="1">
      <c r="A8" s="20" t="s">
        <v>109</v>
      </c>
      <c r="B8" s="18"/>
      <c r="C8" s="18"/>
      <c r="D8" s="18"/>
      <c r="E8" s="18"/>
      <c r="F8" s="18"/>
      <c r="G8" s="22"/>
      <c r="H8" s="19"/>
      <c r="I8" s="19"/>
      <c r="J8" s="20"/>
      <c r="K8" s="19"/>
      <c r="L8" s="19"/>
      <c r="M8" s="22"/>
      <c r="N8" s="18"/>
      <c r="O8" s="20"/>
      <c r="P8" s="21"/>
      <c r="Q8" s="20"/>
      <c r="R8" s="18"/>
      <c r="S8" s="18"/>
      <c r="T8" s="18"/>
      <c r="U8" s="18"/>
      <c r="V8" s="18"/>
    </row>
    <row r="9" spans="1:22" ht="18" customHeight="1">
      <c r="A9" s="20"/>
      <c r="B9" s="18"/>
      <c r="C9" s="18"/>
      <c r="D9" s="18"/>
      <c r="E9" s="18"/>
      <c r="F9" s="19"/>
      <c r="G9" s="22"/>
      <c r="H9" s="21"/>
      <c r="I9" s="21"/>
      <c r="J9" s="18"/>
      <c r="K9" s="19"/>
      <c r="L9" s="21"/>
      <c r="M9" s="23"/>
      <c r="N9" s="18"/>
      <c r="O9" s="18"/>
      <c r="P9" s="19"/>
      <c r="Q9" s="18"/>
      <c r="R9" s="18"/>
      <c r="S9" s="18"/>
      <c r="T9" s="18"/>
      <c r="U9" s="18"/>
      <c r="V9" s="18"/>
    </row>
    <row r="10" spans="1:22" ht="18" customHeight="1">
      <c r="A10" s="20" t="s">
        <v>58</v>
      </c>
      <c r="B10" s="18"/>
      <c r="C10" s="18"/>
      <c r="D10" s="18"/>
      <c r="E10" s="18"/>
      <c r="F10" s="19"/>
      <c r="G10" s="22"/>
      <c r="H10" s="21"/>
      <c r="I10" s="21"/>
      <c r="J10" s="18"/>
      <c r="K10" s="19"/>
      <c r="L10" s="21"/>
      <c r="M10" s="23"/>
      <c r="N10" s="18"/>
      <c r="O10" s="18"/>
      <c r="P10" s="19"/>
      <c r="Q10" s="18"/>
      <c r="R10" s="18"/>
      <c r="S10" s="18"/>
      <c r="T10" s="18"/>
      <c r="U10" s="18"/>
      <c r="V10" s="18"/>
    </row>
    <row r="11" spans="15:17" ht="18.75" customHeight="1">
      <c r="O11" s="9"/>
      <c r="Q11" s="9"/>
    </row>
    <row r="12" spans="3:17" ht="18.75" customHeight="1">
      <c r="C12" s="2" t="s">
        <v>57</v>
      </c>
      <c r="O12" s="9"/>
      <c r="Q12" s="9"/>
    </row>
    <row r="13" spans="3:17" ht="18.75" customHeight="1">
      <c r="C13" s="2" t="s">
        <v>1</v>
      </c>
      <c r="O13" s="9"/>
      <c r="Q13" s="9"/>
    </row>
    <row r="14" spans="15:17" ht="10" customHeight="1">
      <c r="O14" s="9"/>
      <c r="Q14" s="9"/>
    </row>
    <row r="15" spans="7:19" ht="18.75" customHeight="1">
      <c r="G15" s="11"/>
      <c r="I15" s="11" t="s">
        <v>45</v>
      </c>
      <c r="K15" s="11" t="s">
        <v>46</v>
      </c>
      <c r="M15" s="9" t="s">
        <v>47</v>
      </c>
      <c r="O15" s="9" t="s">
        <v>69</v>
      </c>
      <c r="P15" s="2"/>
      <c r="Q15" s="2" t="s">
        <v>48</v>
      </c>
      <c r="S15" s="2" t="s">
        <v>70</v>
      </c>
    </row>
    <row r="16" spans="6:17" ht="18.75" customHeight="1">
      <c r="F16" s="7"/>
      <c r="G16" s="11"/>
      <c r="I16" s="7" t="s">
        <v>107</v>
      </c>
      <c r="J16" s="7"/>
      <c r="K16" s="7"/>
      <c r="L16" s="2"/>
      <c r="M16" s="7" t="s">
        <v>108</v>
      </c>
      <c r="N16" s="7"/>
      <c r="O16" s="7"/>
      <c r="Q16" s="7" t="s">
        <v>110</v>
      </c>
    </row>
    <row r="17" spans="3:19" ht="18.75" customHeight="1">
      <c r="C17" s="2" t="s">
        <v>2</v>
      </c>
      <c r="G17" s="11"/>
      <c r="I17" s="11" t="s">
        <v>52</v>
      </c>
      <c r="L17" s="2"/>
      <c r="M17" s="11" t="s">
        <v>52</v>
      </c>
      <c r="Q17" s="11" t="s">
        <v>52</v>
      </c>
      <c r="R17" s="11"/>
      <c r="S17" s="11"/>
    </row>
    <row r="18" spans="3:19" ht="18.75" customHeight="1">
      <c r="C18" s="8" t="s">
        <v>9</v>
      </c>
      <c r="F18" s="12"/>
      <c r="G18" s="12"/>
      <c r="I18" s="13" t="s">
        <v>41</v>
      </c>
      <c r="J18" s="12"/>
      <c r="K18" s="17" t="s">
        <v>16</v>
      </c>
      <c r="L18" s="2"/>
      <c r="M18" s="13" t="s">
        <v>41</v>
      </c>
      <c r="N18" s="12"/>
      <c r="O18" s="17" t="s">
        <v>16</v>
      </c>
      <c r="Q18" s="13" t="s">
        <v>41</v>
      </c>
      <c r="R18" s="12"/>
      <c r="S18" s="17" t="s">
        <v>16</v>
      </c>
    </row>
    <row r="19" spans="3:13" ht="18" customHeight="1">
      <c r="C19" s="2"/>
      <c r="G19" s="11"/>
      <c r="L19" s="2"/>
      <c r="M19" s="11"/>
    </row>
    <row r="20" spans="3:19" ht="22" customHeight="1">
      <c r="C20" s="10">
        <v>1</v>
      </c>
      <c r="D20" s="10" t="s">
        <v>17</v>
      </c>
      <c r="F20" s="15"/>
      <c r="G20" s="15"/>
      <c r="H20" s="9"/>
      <c r="I20" s="9">
        <v>0.93056801923862709</v>
      </c>
      <c r="J20" s="2"/>
      <c r="K20" s="9">
        <v>0.59939204742021768</v>
      </c>
      <c r="M20" s="9">
        <v>0.89487761870603677</v>
      </c>
      <c r="N20" s="9"/>
      <c r="O20" s="9">
        <v>0.62869839130532967</v>
      </c>
      <c r="Q20" s="9">
        <v>0.91718614260448916</v>
      </c>
      <c r="S20" s="9">
        <v>0.74025228399999998</v>
      </c>
    </row>
    <row r="21" spans="3:19" ht="22" customHeight="1">
      <c r="C21" s="10">
        <v>2</v>
      </c>
      <c r="D21" s="10" t="s">
        <v>18</v>
      </c>
      <c r="F21" s="9"/>
      <c r="G21" s="15"/>
      <c r="H21" s="9"/>
      <c r="I21" s="9">
        <v>0.86996556021362303</v>
      </c>
      <c r="J21" s="2"/>
      <c r="K21" s="9">
        <v>0.61693733556449004</v>
      </c>
      <c r="M21" s="9">
        <v>0.84468533185344097</v>
      </c>
      <c r="N21" s="9"/>
      <c r="O21" s="9">
        <v>0.61274795861450193</v>
      </c>
      <c r="Q21" s="9">
        <v>0.95463502315444426</v>
      </c>
      <c r="S21" s="9">
        <v>0.73953000000000002</v>
      </c>
    </row>
    <row r="22" spans="3:19" ht="22" customHeight="1">
      <c r="C22" s="10">
        <v>3</v>
      </c>
      <c r="D22" s="10" t="s">
        <v>19</v>
      </c>
      <c r="F22" s="16"/>
      <c r="G22" s="15"/>
      <c r="H22" s="9"/>
      <c r="I22" s="9">
        <v>0.92048243382712214</v>
      </c>
      <c r="J22" s="2"/>
      <c r="K22" s="9">
        <v>0.59737401591257244</v>
      </c>
      <c r="M22" s="9">
        <v>0.87887736870937072</v>
      </c>
      <c r="N22" s="9"/>
      <c r="O22" s="9">
        <v>0.59465243961203873</v>
      </c>
      <c r="Q22" s="9">
        <v>0.89310926363257825</v>
      </c>
      <c r="S22" s="9">
        <v>0.68369335499999995</v>
      </c>
    </row>
    <row r="23" spans="3:19" ht="22" customHeight="1">
      <c r="C23" s="10">
        <v>4</v>
      </c>
      <c r="D23" s="10" t="s">
        <v>20</v>
      </c>
      <c r="F23" s="16"/>
      <c r="G23" s="15"/>
      <c r="H23" s="9"/>
      <c r="I23" s="9">
        <v>0.97090511591451201</v>
      </c>
      <c r="J23" s="2"/>
      <c r="K23" s="9">
        <v>0.61633676108775604</v>
      </c>
      <c r="M23" s="9">
        <v>0.8855047449938237</v>
      </c>
      <c r="N23" s="9"/>
      <c r="O23" s="9">
        <v>0.60486117991061383</v>
      </c>
      <c r="Q23" s="9">
        <v>0.92355397480153389</v>
      </c>
      <c r="S23" s="9">
        <v>0.66776345699999995</v>
      </c>
    </row>
    <row r="24" spans="3:19" ht="22" customHeight="1">
      <c r="C24" s="10">
        <v>5</v>
      </c>
      <c r="D24" s="10" t="s">
        <v>21</v>
      </c>
      <c r="F24" s="16"/>
      <c r="G24" s="15"/>
      <c r="H24" s="9"/>
      <c r="I24" s="9">
        <v>0.94514745622708485</v>
      </c>
      <c r="J24" s="2"/>
      <c r="K24" s="9">
        <v>0.60490564887611153</v>
      </c>
      <c r="M24" s="9">
        <v>0.93472040982635984</v>
      </c>
      <c r="N24" s="9"/>
      <c r="O24" s="9">
        <v>0.633846987454323</v>
      </c>
      <c r="Q24" s="9">
        <v>0.92880685221183701</v>
      </c>
      <c r="S24" s="9">
        <v>0.6531325</v>
      </c>
    </row>
    <row r="25" spans="3:19" ht="22" customHeight="1">
      <c r="C25" s="10">
        <v>6</v>
      </c>
      <c r="D25" s="10" t="s">
        <v>22</v>
      </c>
      <c r="F25" s="16"/>
      <c r="G25" s="15"/>
      <c r="H25" s="9"/>
      <c r="I25" s="9">
        <v>0.88718993661919765</v>
      </c>
      <c r="J25" s="2"/>
      <c r="K25" s="9">
        <v>0.69479124122574565</v>
      </c>
      <c r="M25" s="9">
        <v>0.93890003811072653</v>
      </c>
      <c r="N25" s="9"/>
      <c r="O25" s="9">
        <v>0.6327105654403069</v>
      </c>
      <c r="Q25" s="9">
        <v>0.94921041290919828</v>
      </c>
      <c r="S25" s="9">
        <v>0.71698700000000004</v>
      </c>
    </row>
    <row r="26" spans="3:19" ht="22" customHeight="1">
      <c r="C26" s="10">
        <v>7</v>
      </c>
      <c r="D26" s="10" t="s">
        <v>23</v>
      </c>
      <c r="F26" s="15"/>
      <c r="G26" s="15"/>
      <c r="H26" s="9"/>
      <c r="I26" s="9">
        <v>0.91963492530116076</v>
      </c>
      <c r="J26" s="2"/>
      <c r="K26" s="9">
        <v>0.64015722146362031</v>
      </c>
      <c r="M26" s="9">
        <v>0.949177856149655</v>
      </c>
      <c r="N26" s="9"/>
      <c r="O26" s="9">
        <v>0.67564744655756914</v>
      </c>
      <c r="Q26" s="9">
        <v>0.98350345156981822</v>
      </c>
      <c r="S26" s="9">
        <v>0.71307816599999996</v>
      </c>
    </row>
    <row r="27" spans="3:19" ht="22" customHeight="1">
      <c r="C27" s="10">
        <v>8</v>
      </c>
      <c r="D27" s="10" t="s">
        <v>24</v>
      </c>
      <c r="F27" s="15"/>
      <c r="H27" s="9"/>
      <c r="I27" s="9">
        <v>0.95999554221650951</v>
      </c>
      <c r="J27" s="2"/>
      <c r="K27" s="9">
        <v>0.66177758257909691</v>
      </c>
      <c r="M27" s="9">
        <v>0.85909897270637658</v>
      </c>
      <c r="N27" s="9"/>
      <c r="O27" s="9">
        <v>0.68519549128607393</v>
      </c>
      <c r="Q27" s="9">
        <v>0.89118313407655081</v>
      </c>
      <c r="S27" s="9">
        <v>0.69755599999999995</v>
      </c>
    </row>
    <row r="28" spans="3:19" ht="22" customHeight="1">
      <c r="C28" s="10">
        <v>9</v>
      </c>
      <c r="D28" s="10" t="s">
        <v>25</v>
      </c>
      <c r="F28" s="15"/>
      <c r="G28" s="16"/>
      <c r="H28" s="9"/>
      <c r="I28" s="9">
        <v>0.93752360278237445</v>
      </c>
      <c r="J28" s="2"/>
      <c r="K28" s="9">
        <v>0.62169254392826256</v>
      </c>
      <c r="M28" s="9">
        <v>0.91092618341689602</v>
      </c>
      <c r="N28" s="9"/>
      <c r="O28" s="9">
        <v>0.70595705826560007</v>
      </c>
      <c r="Q28" s="9">
        <v>0.77812219251109627</v>
      </c>
      <c r="S28" s="9">
        <v>0.64613299999999996</v>
      </c>
    </row>
    <row r="29" spans="3:19" ht="22" customHeight="1">
      <c r="C29" s="10">
        <v>10</v>
      </c>
      <c r="D29" s="10" t="s">
        <v>26</v>
      </c>
      <c r="F29" s="15"/>
      <c r="G29" s="16"/>
      <c r="H29" s="9"/>
      <c r="I29" s="9">
        <v>0.9253396665968836</v>
      </c>
      <c r="J29" s="2"/>
      <c r="K29" s="9">
        <v>0.57073226175361547</v>
      </c>
      <c r="M29" s="9">
        <v>0.95288964938237342</v>
      </c>
      <c r="N29" s="9"/>
      <c r="O29" s="9">
        <v>0.58039334232858864</v>
      </c>
      <c r="Q29" s="9">
        <v>0.79722190323932074</v>
      </c>
      <c r="S29" s="9">
        <v>0.66494810999999998</v>
      </c>
    </row>
    <row r="30" spans="3:19" ht="22" customHeight="1">
      <c r="C30" s="10">
        <v>11</v>
      </c>
      <c r="D30" s="10" t="s">
        <v>27</v>
      </c>
      <c r="F30" s="15"/>
      <c r="G30" s="16"/>
      <c r="H30" s="9"/>
      <c r="I30" s="9">
        <v>0.88042175428303227</v>
      </c>
      <c r="J30" s="2"/>
      <c r="K30" s="9">
        <v>0.57824627916591376</v>
      </c>
      <c r="M30" s="9">
        <v>0.88316993113322695</v>
      </c>
      <c r="N30" s="9"/>
      <c r="O30" s="9">
        <v>0.65188254739561047</v>
      </c>
      <c r="Q30" s="9">
        <v>0.88833496719443183</v>
      </c>
      <c r="S30" s="9">
        <v>0.70452636832125304</v>
      </c>
    </row>
    <row r="31" spans="3:19" ht="22" customHeight="1">
      <c r="C31" s="10">
        <v>12</v>
      </c>
      <c r="D31" s="10" t="s">
        <v>28</v>
      </c>
      <c r="F31" s="15"/>
      <c r="G31" s="16"/>
      <c r="H31" s="9"/>
      <c r="I31" s="9">
        <v>0.95274072021138079</v>
      </c>
      <c r="J31" s="2"/>
      <c r="K31" s="9">
        <v>0.64483138590909095</v>
      </c>
      <c r="M31" s="9">
        <v>0.9422790184696479</v>
      </c>
      <c r="N31" s="9"/>
      <c r="O31" s="9">
        <v>0.65882146970294797</v>
      </c>
      <c r="Q31" s="9">
        <v>0.96548366243923878</v>
      </c>
      <c r="S31" s="9">
        <v>0.72405446330704271</v>
      </c>
    </row>
    <row r="32" spans="4:21" ht="21" customHeight="1">
      <c r="D32" s="10"/>
      <c r="E32" s="10"/>
      <c r="F32" s="16"/>
      <c r="H32" s="9"/>
      <c r="I32" s="9"/>
      <c r="J32" s="16"/>
      <c r="K32" s="9"/>
      <c r="L32" s="9"/>
      <c r="N32" s="9"/>
      <c r="O32" s="9"/>
      <c r="P32" s="2"/>
      <c r="Q32" s="9"/>
      <c r="S32" s="9"/>
      <c r="U32" s="9"/>
    </row>
    <row r="33" spans="3:21" ht="21" customHeight="1">
      <c r="C33" s="2" t="s">
        <v>36</v>
      </c>
      <c r="E33" s="10"/>
      <c r="F33" s="16"/>
      <c r="H33" s="9"/>
      <c r="I33" s="9"/>
      <c r="J33" s="16"/>
      <c r="K33" s="9"/>
      <c r="L33" s="9"/>
      <c r="N33" s="9"/>
      <c r="O33" s="9"/>
      <c r="P33" s="2"/>
      <c r="Q33" s="9"/>
      <c r="S33" s="9"/>
      <c r="U33" s="9"/>
    </row>
  </sheetData>
  <pageMargins left="0.5" right="1" top="1.5" bottom="0.5" header="0.5" footer="0.5"/>
  <pageSetup orientation="landscape" scale="72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W33"/>
  <sheetViews>
    <sheetView zoomScale="75" zoomScaleNormal="75" workbookViewId="0" topLeftCell="A1">
      <selection pane="topLeft" activeCell="M36" sqref="M36"/>
    </sheetView>
  </sheetViews>
  <sheetFormatPr defaultRowHeight="18.75" customHeight="1"/>
  <cols>
    <col min="2" max="2" width="4.71428571428571" customWidth="1"/>
    <col min="3" max="3" width="8.71428571428571" customWidth="1"/>
    <col min="4" max="4" width="7.71428571428571" style="2" customWidth="1"/>
    <col min="5" max="5" width="8.71428571428571" style="2" customWidth="1"/>
    <col min="6" max="6" width="2.71428571428571" style="11" customWidth="1"/>
    <col min="7" max="7" width="8.71428571428571" style="9" customWidth="1"/>
    <col min="8" max="8" width="2.71428571428571" style="11" customWidth="1"/>
    <col min="9" max="9" width="10.7142857142857" style="11" customWidth="1"/>
    <col min="10" max="10" width="2.71428571428571" style="11" customWidth="1"/>
    <col min="11" max="11" width="8.71428571428571" style="11" customWidth="1"/>
    <col min="12" max="12" width="10.7142857142857" style="11" customWidth="1"/>
    <col min="13" max="13" width="8.71428571428571" style="9" customWidth="1"/>
    <col min="14" max="14" width="2.71428571428571" style="11" customWidth="1"/>
    <col min="15" max="16" width="10.7142857142857" style="11" customWidth="1"/>
    <col min="17" max="17" width="8.71428571428571" style="11" customWidth="1"/>
    <col min="18" max="18" width="2.71428571428571" style="2" customWidth="1"/>
    <col min="19" max="19" width="9.14285714285714" style="2"/>
    <col min="20" max="20" width="2.71428571428571" style="2" customWidth="1"/>
    <col min="21" max="257" width="9.14285714285714" style="2"/>
    <col min="258" max="258" width="4.71428571428571" style="2" customWidth="1"/>
    <col min="259" max="259" width="8.71428571428571" style="2" customWidth="1"/>
    <col min="260" max="260" width="7.71428571428571" style="2" customWidth="1"/>
    <col min="261" max="261" width="8.71428571428571" style="2" customWidth="1"/>
    <col min="262" max="262" width="2.71428571428571" style="2" customWidth="1"/>
    <col min="263" max="263" width="8.71428571428571" style="2" customWidth="1"/>
    <col min="264" max="264" width="2.71428571428571" style="2" customWidth="1"/>
    <col min="265" max="265" width="10.7142857142857" style="2" customWidth="1"/>
    <col min="266" max="266" width="2.71428571428571" style="2" customWidth="1"/>
    <col min="267" max="267" width="8.71428571428571" style="2" customWidth="1"/>
    <col min="268" max="268" width="10.7142857142857" style="2" customWidth="1"/>
    <col min="269" max="269" width="8.71428571428571" style="2" customWidth="1"/>
    <col min="270" max="270" width="2.71428571428571" style="2" customWidth="1"/>
    <col min="271" max="272" width="10.7142857142857" style="2" customWidth="1"/>
    <col min="273" max="273" width="8.71428571428571" style="2" customWidth="1"/>
    <col min="274" max="274" width="2.71428571428571" style="2" customWidth="1"/>
    <col min="275" max="275" width="9.14285714285714" style="2"/>
    <col min="276" max="276" width="2.71428571428571" style="2" customWidth="1"/>
    <col min="277" max="513" width="9.14285714285714" style="2"/>
    <col min="514" max="514" width="4.71428571428571" style="2" customWidth="1"/>
    <col min="515" max="515" width="8.71428571428571" style="2" customWidth="1"/>
    <col min="516" max="516" width="7.71428571428571" style="2" customWidth="1"/>
    <col min="517" max="517" width="8.71428571428571" style="2" customWidth="1"/>
    <col min="518" max="518" width="2.71428571428571" style="2" customWidth="1"/>
    <col min="519" max="519" width="8.71428571428571" style="2" customWidth="1"/>
    <col min="520" max="520" width="2.71428571428571" style="2" customWidth="1"/>
    <col min="521" max="521" width="10.7142857142857" style="2" customWidth="1"/>
    <col min="522" max="522" width="2.71428571428571" style="2" customWidth="1"/>
    <col min="523" max="523" width="8.71428571428571" style="2" customWidth="1"/>
    <col min="524" max="524" width="10.7142857142857" style="2" customWidth="1"/>
    <col min="525" max="525" width="8.71428571428571" style="2" customWidth="1"/>
    <col min="526" max="526" width="2.71428571428571" style="2" customWidth="1"/>
    <col min="527" max="528" width="10.7142857142857" style="2" customWidth="1"/>
    <col min="529" max="529" width="8.71428571428571" style="2" customWidth="1"/>
    <col min="530" max="530" width="2.71428571428571" style="2" customWidth="1"/>
    <col min="531" max="531" width="9.14285714285714" style="2"/>
    <col min="532" max="532" width="2.71428571428571" style="2" customWidth="1"/>
    <col min="533" max="769" width="9.14285714285714" style="2"/>
    <col min="770" max="770" width="4.71428571428571" style="2" customWidth="1"/>
    <col min="771" max="771" width="8.71428571428571" style="2" customWidth="1"/>
    <col min="772" max="772" width="7.71428571428571" style="2" customWidth="1"/>
    <col min="773" max="773" width="8.71428571428571" style="2" customWidth="1"/>
    <col min="774" max="774" width="2.71428571428571" style="2" customWidth="1"/>
    <col min="775" max="775" width="8.71428571428571" style="2" customWidth="1"/>
    <col min="776" max="776" width="2.71428571428571" style="2" customWidth="1"/>
    <col min="777" max="777" width="10.7142857142857" style="2" customWidth="1"/>
    <col min="778" max="778" width="2.71428571428571" style="2" customWidth="1"/>
    <col min="779" max="779" width="8.71428571428571" style="2" customWidth="1"/>
    <col min="780" max="780" width="10.7142857142857" style="2" customWidth="1"/>
    <col min="781" max="781" width="8.71428571428571" style="2" customWidth="1"/>
    <col min="782" max="782" width="2.71428571428571" style="2" customWidth="1"/>
    <col min="783" max="784" width="10.7142857142857" style="2" customWidth="1"/>
    <col min="785" max="785" width="8.71428571428571" style="2" customWidth="1"/>
    <col min="786" max="786" width="2.71428571428571" style="2" customWidth="1"/>
    <col min="787" max="787" width="9.14285714285714" style="2"/>
    <col min="788" max="788" width="2.71428571428571" style="2" customWidth="1"/>
    <col min="789" max="1025" width="9.14285714285714" style="2"/>
    <col min="1026" max="1026" width="4.71428571428571" style="2" customWidth="1"/>
    <col min="1027" max="1027" width="8.71428571428571" style="2" customWidth="1"/>
    <col min="1028" max="1028" width="7.71428571428571" style="2" customWidth="1"/>
    <col min="1029" max="1029" width="8.71428571428571" style="2" customWidth="1"/>
    <col min="1030" max="1030" width="2.71428571428571" style="2" customWidth="1"/>
    <col min="1031" max="1031" width="8.71428571428571" style="2" customWidth="1"/>
    <col min="1032" max="1032" width="2.71428571428571" style="2" customWidth="1"/>
    <col min="1033" max="1033" width="10.7142857142857" style="2" customWidth="1"/>
    <col min="1034" max="1034" width="2.71428571428571" style="2" customWidth="1"/>
    <col min="1035" max="1035" width="8.71428571428571" style="2" customWidth="1"/>
    <col min="1036" max="1036" width="10.7142857142857" style="2" customWidth="1"/>
    <col min="1037" max="1037" width="8.71428571428571" style="2" customWidth="1"/>
    <col min="1038" max="1038" width="2.71428571428571" style="2" customWidth="1"/>
    <col min="1039" max="1040" width="10.7142857142857" style="2" customWidth="1"/>
    <col min="1041" max="1041" width="8.71428571428571" style="2" customWidth="1"/>
    <col min="1042" max="1042" width="2.71428571428571" style="2" customWidth="1"/>
    <col min="1043" max="1043" width="9.14285714285714" style="2"/>
    <col min="1044" max="1044" width="2.71428571428571" style="2" customWidth="1"/>
    <col min="1045" max="1281" width="9.14285714285714" style="2"/>
    <col min="1282" max="1282" width="4.71428571428571" style="2" customWidth="1"/>
    <col min="1283" max="1283" width="8.71428571428571" style="2" customWidth="1"/>
    <col min="1284" max="1284" width="7.71428571428571" style="2" customWidth="1"/>
    <col min="1285" max="1285" width="8.71428571428571" style="2" customWidth="1"/>
    <col min="1286" max="1286" width="2.71428571428571" style="2" customWidth="1"/>
    <col min="1287" max="1287" width="8.71428571428571" style="2" customWidth="1"/>
    <col min="1288" max="1288" width="2.71428571428571" style="2" customWidth="1"/>
    <col min="1289" max="1289" width="10.7142857142857" style="2" customWidth="1"/>
    <col min="1290" max="1290" width="2.71428571428571" style="2" customWidth="1"/>
    <col min="1291" max="1291" width="8.71428571428571" style="2" customWidth="1"/>
    <col min="1292" max="1292" width="10.7142857142857" style="2" customWidth="1"/>
    <col min="1293" max="1293" width="8.71428571428571" style="2" customWidth="1"/>
    <col min="1294" max="1294" width="2.71428571428571" style="2" customWidth="1"/>
    <col min="1295" max="1296" width="10.7142857142857" style="2" customWidth="1"/>
    <col min="1297" max="1297" width="8.71428571428571" style="2" customWidth="1"/>
    <col min="1298" max="1298" width="2.71428571428571" style="2" customWidth="1"/>
    <col min="1299" max="1299" width="9.14285714285714" style="2"/>
    <col min="1300" max="1300" width="2.71428571428571" style="2" customWidth="1"/>
    <col min="1301" max="1537" width="9.14285714285714" style="2"/>
    <col min="1538" max="1538" width="4.71428571428571" style="2" customWidth="1"/>
    <col min="1539" max="1539" width="8.71428571428571" style="2" customWidth="1"/>
    <col min="1540" max="1540" width="7.71428571428571" style="2" customWidth="1"/>
    <col min="1541" max="1541" width="8.71428571428571" style="2" customWidth="1"/>
    <col min="1542" max="1542" width="2.71428571428571" style="2" customWidth="1"/>
    <col min="1543" max="1543" width="8.71428571428571" style="2" customWidth="1"/>
    <col min="1544" max="1544" width="2.71428571428571" style="2" customWidth="1"/>
    <col min="1545" max="1545" width="10.7142857142857" style="2" customWidth="1"/>
    <col min="1546" max="1546" width="2.71428571428571" style="2" customWidth="1"/>
    <col min="1547" max="1547" width="8.71428571428571" style="2" customWidth="1"/>
    <col min="1548" max="1548" width="10.7142857142857" style="2" customWidth="1"/>
    <col min="1549" max="1549" width="8.71428571428571" style="2" customWidth="1"/>
    <col min="1550" max="1550" width="2.71428571428571" style="2" customWidth="1"/>
    <col min="1551" max="1552" width="10.7142857142857" style="2" customWidth="1"/>
    <col min="1553" max="1553" width="8.71428571428571" style="2" customWidth="1"/>
    <col min="1554" max="1554" width="2.71428571428571" style="2" customWidth="1"/>
    <col min="1555" max="1555" width="9.14285714285714" style="2"/>
    <col min="1556" max="1556" width="2.71428571428571" style="2" customWidth="1"/>
    <col min="1557" max="1793" width="9.14285714285714" style="2"/>
    <col min="1794" max="1794" width="4.71428571428571" style="2" customWidth="1"/>
    <col min="1795" max="1795" width="8.71428571428571" style="2" customWidth="1"/>
    <col min="1796" max="1796" width="7.71428571428571" style="2" customWidth="1"/>
    <col min="1797" max="1797" width="8.71428571428571" style="2" customWidth="1"/>
    <col min="1798" max="1798" width="2.71428571428571" style="2" customWidth="1"/>
    <col min="1799" max="1799" width="8.71428571428571" style="2" customWidth="1"/>
    <col min="1800" max="1800" width="2.71428571428571" style="2" customWidth="1"/>
    <col min="1801" max="1801" width="10.7142857142857" style="2" customWidth="1"/>
    <col min="1802" max="1802" width="2.71428571428571" style="2" customWidth="1"/>
    <col min="1803" max="1803" width="8.71428571428571" style="2" customWidth="1"/>
    <col min="1804" max="1804" width="10.7142857142857" style="2" customWidth="1"/>
    <col min="1805" max="1805" width="8.71428571428571" style="2" customWidth="1"/>
    <col min="1806" max="1806" width="2.71428571428571" style="2" customWidth="1"/>
    <col min="1807" max="1808" width="10.7142857142857" style="2" customWidth="1"/>
    <col min="1809" max="1809" width="8.71428571428571" style="2" customWidth="1"/>
    <col min="1810" max="1810" width="2.71428571428571" style="2" customWidth="1"/>
    <col min="1811" max="1811" width="9.14285714285714" style="2"/>
    <col min="1812" max="1812" width="2.71428571428571" style="2" customWidth="1"/>
    <col min="1813" max="2049" width="9.14285714285714" style="2"/>
    <col min="2050" max="2050" width="4.71428571428571" style="2" customWidth="1"/>
    <col min="2051" max="2051" width="8.71428571428571" style="2" customWidth="1"/>
    <col min="2052" max="2052" width="7.71428571428571" style="2" customWidth="1"/>
    <col min="2053" max="2053" width="8.71428571428571" style="2" customWidth="1"/>
    <col min="2054" max="2054" width="2.71428571428571" style="2" customWidth="1"/>
    <col min="2055" max="2055" width="8.71428571428571" style="2" customWidth="1"/>
    <col min="2056" max="2056" width="2.71428571428571" style="2" customWidth="1"/>
    <col min="2057" max="2057" width="10.7142857142857" style="2" customWidth="1"/>
    <col min="2058" max="2058" width="2.71428571428571" style="2" customWidth="1"/>
    <col min="2059" max="2059" width="8.71428571428571" style="2" customWidth="1"/>
    <col min="2060" max="2060" width="10.7142857142857" style="2" customWidth="1"/>
    <col min="2061" max="2061" width="8.71428571428571" style="2" customWidth="1"/>
    <col min="2062" max="2062" width="2.71428571428571" style="2" customWidth="1"/>
    <col min="2063" max="2064" width="10.7142857142857" style="2" customWidth="1"/>
    <col min="2065" max="2065" width="8.71428571428571" style="2" customWidth="1"/>
    <col min="2066" max="2066" width="2.71428571428571" style="2" customWidth="1"/>
    <col min="2067" max="2067" width="9.14285714285714" style="2"/>
    <col min="2068" max="2068" width="2.71428571428571" style="2" customWidth="1"/>
    <col min="2069" max="2305" width="9.14285714285714" style="2"/>
    <col min="2306" max="2306" width="4.71428571428571" style="2" customWidth="1"/>
    <col min="2307" max="2307" width="8.71428571428571" style="2" customWidth="1"/>
    <col min="2308" max="2308" width="7.71428571428571" style="2" customWidth="1"/>
    <col min="2309" max="2309" width="8.71428571428571" style="2" customWidth="1"/>
    <col min="2310" max="2310" width="2.71428571428571" style="2" customWidth="1"/>
    <col min="2311" max="2311" width="8.71428571428571" style="2" customWidth="1"/>
    <col min="2312" max="2312" width="2.71428571428571" style="2" customWidth="1"/>
    <col min="2313" max="2313" width="10.7142857142857" style="2" customWidth="1"/>
    <col min="2314" max="2314" width="2.71428571428571" style="2" customWidth="1"/>
    <col min="2315" max="2315" width="8.71428571428571" style="2" customWidth="1"/>
    <col min="2316" max="2316" width="10.7142857142857" style="2" customWidth="1"/>
    <col min="2317" max="2317" width="8.71428571428571" style="2" customWidth="1"/>
    <col min="2318" max="2318" width="2.71428571428571" style="2" customWidth="1"/>
    <col min="2319" max="2320" width="10.7142857142857" style="2" customWidth="1"/>
    <col min="2321" max="2321" width="8.71428571428571" style="2" customWidth="1"/>
    <col min="2322" max="2322" width="2.71428571428571" style="2" customWidth="1"/>
    <col min="2323" max="2323" width="9.14285714285714" style="2"/>
    <col min="2324" max="2324" width="2.71428571428571" style="2" customWidth="1"/>
    <col min="2325" max="2561" width="9.14285714285714" style="2"/>
    <col min="2562" max="2562" width="4.71428571428571" style="2" customWidth="1"/>
    <col min="2563" max="2563" width="8.71428571428571" style="2" customWidth="1"/>
    <col min="2564" max="2564" width="7.71428571428571" style="2" customWidth="1"/>
    <col min="2565" max="2565" width="8.71428571428571" style="2" customWidth="1"/>
    <col min="2566" max="2566" width="2.71428571428571" style="2" customWidth="1"/>
    <col min="2567" max="2567" width="8.71428571428571" style="2" customWidth="1"/>
    <col min="2568" max="2568" width="2.71428571428571" style="2" customWidth="1"/>
    <col min="2569" max="2569" width="10.7142857142857" style="2" customWidth="1"/>
    <col min="2570" max="2570" width="2.71428571428571" style="2" customWidth="1"/>
    <col min="2571" max="2571" width="8.71428571428571" style="2" customWidth="1"/>
    <col min="2572" max="2572" width="10.7142857142857" style="2" customWidth="1"/>
    <col min="2573" max="2573" width="8.71428571428571" style="2" customWidth="1"/>
    <col min="2574" max="2574" width="2.71428571428571" style="2" customWidth="1"/>
    <col min="2575" max="2576" width="10.7142857142857" style="2" customWidth="1"/>
    <col min="2577" max="2577" width="8.71428571428571" style="2" customWidth="1"/>
    <col min="2578" max="2578" width="2.71428571428571" style="2" customWidth="1"/>
    <col min="2579" max="2579" width="9.14285714285714" style="2"/>
    <col min="2580" max="2580" width="2.71428571428571" style="2" customWidth="1"/>
    <col min="2581" max="2817" width="9.14285714285714" style="2"/>
    <col min="2818" max="2818" width="4.71428571428571" style="2" customWidth="1"/>
    <col min="2819" max="2819" width="8.71428571428571" style="2" customWidth="1"/>
    <col min="2820" max="2820" width="7.71428571428571" style="2" customWidth="1"/>
    <col min="2821" max="2821" width="8.71428571428571" style="2" customWidth="1"/>
    <col min="2822" max="2822" width="2.71428571428571" style="2" customWidth="1"/>
    <col min="2823" max="2823" width="8.71428571428571" style="2" customWidth="1"/>
    <col min="2824" max="2824" width="2.71428571428571" style="2" customWidth="1"/>
    <col min="2825" max="2825" width="10.7142857142857" style="2" customWidth="1"/>
    <col min="2826" max="2826" width="2.71428571428571" style="2" customWidth="1"/>
    <col min="2827" max="2827" width="8.71428571428571" style="2" customWidth="1"/>
    <col min="2828" max="2828" width="10.7142857142857" style="2" customWidth="1"/>
    <col min="2829" max="2829" width="8.71428571428571" style="2" customWidth="1"/>
    <col min="2830" max="2830" width="2.71428571428571" style="2" customWidth="1"/>
    <col min="2831" max="2832" width="10.7142857142857" style="2" customWidth="1"/>
    <col min="2833" max="2833" width="8.71428571428571" style="2" customWidth="1"/>
    <col min="2834" max="2834" width="2.71428571428571" style="2" customWidth="1"/>
    <col min="2835" max="2835" width="9.14285714285714" style="2"/>
    <col min="2836" max="2836" width="2.71428571428571" style="2" customWidth="1"/>
    <col min="2837" max="3073" width="9.14285714285714" style="2"/>
    <col min="3074" max="3074" width="4.71428571428571" style="2" customWidth="1"/>
    <col min="3075" max="3075" width="8.71428571428571" style="2" customWidth="1"/>
    <col min="3076" max="3076" width="7.71428571428571" style="2" customWidth="1"/>
    <col min="3077" max="3077" width="8.71428571428571" style="2" customWidth="1"/>
    <col min="3078" max="3078" width="2.71428571428571" style="2" customWidth="1"/>
    <col min="3079" max="3079" width="8.71428571428571" style="2" customWidth="1"/>
    <col min="3080" max="3080" width="2.71428571428571" style="2" customWidth="1"/>
    <col min="3081" max="3081" width="10.7142857142857" style="2" customWidth="1"/>
    <col min="3082" max="3082" width="2.71428571428571" style="2" customWidth="1"/>
    <col min="3083" max="3083" width="8.71428571428571" style="2" customWidth="1"/>
    <col min="3084" max="3084" width="10.7142857142857" style="2" customWidth="1"/>
    <col min="3085" max="3085" width="8.71428571428571" style="2" customWidth="1"/>
    <col min="3086" max="3086" width="2.71428571428571" style="2" customWidth="1"/>
    <col min="3087" max="3088" width="10.7142857142857" style="2" customWidth="1"/>
    <col min="3089" max="3089" width="8.71428571428571" style="2" customWidth="1"/>
    <col min="3090" max="3090" width="2.71428571428571" style="2" customWidth="1"/>
    <col min="3091" max="3091" width="9.14285714285714" style="2"/>
    <col min="3092" max="3092" width="2.71428571428571" style="2" customWidth="1"/>
    <col min="3093" max="3329" width="9.14285714285714" style="2"/>
    <col min="3330" max="3330" width="4.71428571428571" style="2" customWidth="1"/>
    <col min="3331" max="3331" width="8.71428571428571" style="2" customWidth="1"/>
    <col min="3332" max="3332" width="7.71428571428571" style="2" customWidth="1"/>
    <col min="3333" max="3333" width="8.71428571428571" style="2" customWidth="1"/>
    <col min="3334" max="3334" width="2.71428571428571" style="2" customWidth="1"/>
    <col min="3335" max="3335" width="8.71428571428571" style="2" customWidth="1"/>
    <col min="3336" max="3336" width="2.71428571428571" style="2" customWidth="1"/>
    <col min="3337" max="3337" width="10.7142857142857" style="2" customWidth="1"/>
    <col min="3338" max="3338" width="2.71428571428571" style="2" customWidth="1"/>
    <col min="3339" max="3339" width="8.71428571428571" style="2" customWidth="1"/>
    <col min="3340" max="3340" width="10.7142857142857" style="2" customWidth="1"/>
    <col min="3341" max="3341" width="8.71428571428571" style="2" customWidth="1"/>
    <col min="3342" max="3342" width="2.71428571428571" style="2" customWidth="1"/>
    <col min="3343" max="3344" width="10.7142857142857" style="2" customWidth="1"/>
    <col min="3345" max="3345" width="8.71428571428571" style="2" customWidth="1"/>
    <col min="3346" max="3346" width="2.71428571428571" style="2" customWidth="1"/>
    <col min="3347" max="3347" width="9.14285714285714" style="2"/>
    <col min="3348" max="3348" width="2.71428571428571" style="2" customWidth="1"/>
    <col min="3349" max="3585" width="9.14285714285714" style="2"/>
    <col min="3586" max="3586" width="4.71428571428571" style="2" customWidth="1"/>
    <col min="3587" max="3587" width="8.71428571428571" style="2" customWidth="1"/>
    <col min="3588" max="3588" width="7.71428571428571" style="2" customWidth="1"/>
    <col min="3589" max="3589" width="8.71428571428571" style="2" customWidth="1"/>
    <col min="3590" max="3590" width="2.71428571428571" style="2" customWidth="1"/>
    <col min="3591" max="3591" width="8.71428571428571" style="2" customWidth="1"/>
    <col min="3592" max="3592" width="2.71428571428571" style="2" customWidth="1"/>
    <col min="3593" max="3593" width="10.7142857142857" style="2" customWidth="1"/>
    <col min="3594" max="3594" width="2.71428571428571" style="2" customWidth="1"/>
    <col min="3595" max="3595" width="8.71428571428571" style="2" customWidth="1"/>
    <col min="3596" max="3596" width="10.7142857142857" style="2" customWidth="1"/>
    <col min="3597" max="3597" width="8.71428571428571" style="2" customWidth="1"/>
    <col min="3598" max="3598" width="2.71428571428571" style="2" customWidth="1"/>
    <col min="3599" max="3600" width="10.7142857142857" style="2" customWidth="1"/>
    <col min="3601" max="3601" width="8.71428571428571" style="2" customWidth="1"/>
    <col min="3602" max="3602" width="2.71428571428571" style="2" customWidth="1"/>
    <col min="3603" max="3603" width="9.14285714285714" style="2"/>
    <col min="3604" max="3604" width="2.71428571428571" style="2" customWidth="1"/>
    <col min="3605" max="3841" width="9.14285714285714" style="2"/>
    <col min="3842" max="3842" width="4.71428571428571" style="2" customWidth="1"/>
    <col min="3843" max="3843" width="8.71428571428571" style="2" customWidth="1"/>
    <col min="3844" max="3844" width="7.71428571428571" style="2" customWidth="1"/>
    <col min="3845" max="3845" width="8.71428571428571" style="2" customWidth="1"/>
    <col min="3846" max="3846" width="2.71428571428571" style="2" customWidth="1"/>
    <col min="3847" max="3847" width="8.71428571428571" style="2" customWidth="1"/>
    <col min="3848" max="3848" width="2.71428571428571" style="2" customWidth="1"/>
    <col min="3849" max="3849" width="10.7142857142857" style="2" customWidth="1"/>
    <col min="3850" max="3850" width="2.71428571428571" style="2" customWidth="1"/>
    <col min="3851" max="3851" width="8.71428571428571" style="2" customWidth="1"/>
    <col min="3852" max="3852" width="10.7142857142857" style="2" customWidth="1"/>
    <col min="3853" max="3853" width="8.71428571428571" style="2" customWidth="1"/>
    <col min="3854" max="3854" width="2.71428571428571" style="2" customWidth="1"/>
    <col min="3855" max="3856" width="10.7142857142857" style="2" customWidth="1"/>
    <col min="3857" max="3857" width="8.71428571428571" style="2" customWidth="1"/>
    <col min="3858" max="3858" width="2.71428571428571" style="2" customWidth="1"/>
    <col min="3859" max="3859" width="9.14285714285714" style="2"/>
    <col min="3860" max="3860" width="2.71428571428571" style="2" customWidth="1"/>
    <col min="3861" max="4097" width="9.14285714285714" style="2"/>
    <col min="4098" max="4098" width="4.71428571428571" style="2" customWidth="1"/>
    <col min="4099" max="4099" width="8.71428571428571" style="2" customWidth="1"/>
    <col min="4100" max="4100" width="7.71428571428571" style="2" customWidth="1"/>
    <col min="4101" max="4101" width="8.71428571428571" style="2" customWidth="1"/>
    <col min="4102" max="4102" width="2.71428571428571" style="2" customWidth="1"/>
    <col min="4103" max="4103" width="8.71428571428571" style="2" customWidth="1"/>
    <col min="4104" max="4104" width="2.71428571428571" style="2" customWidth="1"/>
    <col min="4105" max="4105" width="10.7142857142857" style="2" customWidth="1"/>
    <col min="4106" max="4106" width="2.71428571428571" style="2" customWidth="1"/>
    <col min="4107" max="4107" width="8.71428571428571" style="2" customWidth="1"/>
    <col min="4108" max="4108" width="10.7142857142857" style="2" customWidth="1"/>
    <col min="4109" max="4109" width="8.71428571428571" style="2" customWidth="1"/>
    <col min="4110" max="4110" width="2.71428571428571" style="2" customWidth="1"/>
    <col min="4111" max="4112" width="10.7142857142857" style="2" customWidth="1"/>
    <col min="4113" max="4113" width="8.71428571428571" style="2" customWidth="1"/>
    <col min="4114" max="4114" width="2.71428571428571" style="2" customWidth="1"/>
    <col min="4115" max="4115" width="9.14285714285714" style="2"/>
    <col min="4116" max="4116" width="2.71428571428571" style="2" customWidth="1"/>
    <col min="4117" max="4353" width="9.14285714285714" style="2"/>
    <col min="4354" max="4354" width="4.71428571428571" style="2" customWidth="1"/>
    <col min="4355" max="4355" width="8.71428571428571" style="2" customWidth="1"/>
    <col min="4356" max="4356" width="7.71428571428571" style="2" customWidth="1"/>
    <col min="4357" max="4357" width="8.71428571428571" style="2" customWidth="1"/>
    <col min="4358" max="4358" width="2.71428571428571" style="2" customWidth="1"/>
    <col min="4359" max="4359" width="8.71428571428571" style="2" customWidth="1"/>
    <col min="4360" max="4360" width="2.71428571428571" style="2" customWidth="1"/>
    <col min="4361" max="4361" width="10.7142857142857" style="2" customWidth="1"/>
    <col min="4362" max="4362" width="2.71428571428571" style="2" customWidth="1"/>
    <col min="4363" max="4363" width="8.71428571428571" style="2" customWidth="1"/>
    <col min="4364" max="4364" width="10.7142857142857" style="2" customWidth="1"/>
    <col min="4365" max="4365" width="8.71428571428571" style="2" customWidth="1"/>
    <col min="4366" max="4366" width="2.71428571428571" style="2" customWidth="1"/>
    <col min="4367" max="4368" width="10.7142857142857" style="2" customWidth="1"/>
    <col min="4369" max="4369" width="8.71428571428571" style="2" customWidth="1"/>
    <col min="4370" max="4370" width="2.71428571428571" style="2" customWidth="1"/>
    <col min="4371" max="4371" width="9.14285714285714" style="2"/>
    <col min="4372" max="4372" width="2.71428571428571" style="2" customWidth="1"/>
    <col min="4373" max="4609" width="9.14285714285714" style="2"/>
    <col min="4610" max="4610" width="4.71428571428571" style="2" customWidth="1"/>
    <col min="4611" max="4611" width="8.71428571428571" style="2" customWidth="1"/>
    <col min="4612" max="4612" width="7.71428571428571" style="2" customWidth="1"/>
    <col min="4613" max="4613" width="8.71428571428571" style="2" customWidth="1"/>
    <col min="4614" max="4614" width="2.71428571428571" style="2" customWidth="1"/>
    <col min="4615" max="4615" width="8.71428571428571" style="2" customWidth="1"/>
    <col min="4616" max="4616" width="2.71428571428571" style="2" customWidth="1"/>
    <col min="4617" max="4617" width="10.7142857142857" style="2" customWidth="1"/>
    <col min="4618" max="4618" width="2.71428571428571" style="2" customWidth="1"/>
    <col min="4619" max="4619" width="8.71428571428571" style="2" customWidth="1"/>
    <col min="4620" max="4620" width="10.7142857142857" style="2" customWidth="1"/>
    <col min="4621" max="4621" width="8.71428571428571" style="2" customWidth="1"/>
    <col min="4622" max="4622" width="2.71428571428571" style="2" customWidth="1"/>
    <col min="4623" max="4624" width="10.7142857142857" style="2" customWidth="1"/>
    <col min="4625" max="4625" width="8.71428571428571" style="2" customWidth="1"/>
    <col min="4626" max="4626" width="2.71428571428571" style="2" customWidth="1"/>
    <col min="4627" max="4627" width="9.14285714285714" style="2"/>
    <col min="4628" max="4628" width="2.71428571428571" style="2" customWidth="1"/>
    <col min="4629" max="4865" width="9.14285714285714" style="2"/>
    <col min="4866" max="4866" width="4.71428571428571" style="2" customWidth="1"/>
    <col min="4867" max="4867" width="8.71428571428571" style="2" customWidth="1"/>
    <col min="4868" max="4868" width="7.71428571428571" style="2" customWidth="1"/>
    <col min="4869" max="4869" width="8.71428571428571" style="2" customWidth="1"/>
    <col min="4870" max="4870" width="2.71428571428571" style="2" customWidth="1"/>
    <col min="4871" max="4871" width="8.71428571428571" style="2" customWidth="1"/>
    <col min="4872" max="4872" width="2.71428571428571" style="2" customWidth="1"/>
    <col min="4873" max="4873" width="10.7142857142857" style="2" customWidth="1"/>
    <col min="4874" max="4874" width="2.71428571428571" style="2" customWidth="1"/>
    <col min="4875" max="4875" width="8.71428571428571" style="2" customWidth="1"/>
    <col min="4876" max="4876" width="10.7142857142857" style="2" customWidth="1"/>
    <col min="4877" max="4877" width="8.71428571428571" style="2" customWidth="1"/>
    <col min="4878" max="4878" width="2.71428571428571" style="2" customWidth="1"/>
    <col min="4879" max="4880" width="10.7142857142857" style="2" customWidth="1"/>
    <col min="4881" max="4881" width="8.71428571428571" style="2" customWidth="1"/>
    <col min="4882" max="4882" width="2.71428571428571" style="2" customWidth="1"/>
    <col min="4883" max="4883" width="9.14285714285714" style="2"/>
    <col min="4884" max="4884" width="2.71428571428571" style="2" customWidth="1"/>
    <col min="4885" max="5121" width="9.14285714285714" style="2"/>
    <col min="5122" max="5122" width="4.71428571428571" style="2" customWidth="1"/>
    <col min="5123" max="5123" width="8.71428571428571" style="2" customWidth="1"/>
    <col min="5124" max="5124" width="7.71428571428571" style="2" customWidth="1"/>
    <col min="5125" max="5125" width="8.71428571428571" style="2" customWidth="1"/>
    <col min="5126" max="5126" width="2.71428571428571" style="2" customWidth="1"/>
    <col min="5127" max="5127" width="8.71428571428571" style="2" customWidth="1"/>
    <col min="5128" max="5128" width="2.71428571428571" style="2" customWidth="1"/>
    <col min="5129" max="5129" width="10.7142857142857" style="2" customWidth="1"/>
    <col min="5130" max="5130" width="2.71428571428571" style="2" customWidth="1"/>
    <col min="5131" max="5131" width="8.71428571428571" style="2" customWidth="1"/>
    <col min="5132" max="5132" width="10.7142857142857" style="2" customWidth="1"/>
    <col min="5133" max="5133" width="8.71428571428571" style="2" customWidth="1"/>
    <col min="5134" max="5134" width="2.71428571428571" style="2" customWidth="1"/>
    <col min="5135" max="5136" width="10.7142857142857" style="2" customWidth="1"/>
    <col min="5137" max="5137" width="8.71428571428571" style="2" customWidth="1"/>
    <col min="5138" max="5138" width="2.71428571428571" style="2" customWidth="1"/>
    <col min="5139" max="5139" width="9.14285714285714" style="2"/>
    <col min="5140" max="5140" width="2.71428571428571" style="2" customWidth="1"/>
    <col min="5141" max="5377" width="9.14285714285714" style="2"/>
    <col min="5378" max="5378" width="4.71428571428571" style="2" customWidth="1"/>
    <col min="5379" max="5379" width="8.71428571428571" style="2" customWidth="1"/>
    <col min="5380" max="5380" width="7.71428571428571" style="2" customWidth="1"/>
    <col min="5381" max="5381" width="8.71428571428571" style="2" customWidth="1"/>
    <col min="5382" max="5382" width="2.71428571428571" style="2" customWidth="1"/>
    <col min="5383" max="5383" width="8.71428571428571" style="2" customWidth="1"/>
    <col min="5384" max="5384" width="2.71428571428571" style="2" customWidth="1"/>
    <col min="5385" max="5385" width="10.7142857142857" style="2" customWidth="1"/>
    <col min="5386" max="5386" width="2.71428571428571" style="2" customWidth="1"/>
    <col min="5387" max="5387" width="8.71428571428571" style="2" customWidth="1"/>
    <col min="5388" max="5388" width="10.7142857142857" style="2" customWidth="1"/>
    <col min="5389" max="5389" width="8.71428571428571" style="2" customWidth="1"/>
    <col min="5390" max="5390" width="2.71428571428571" style="2" customWidth="1"/>
    <col min="5391" max="5392" width="10.7142857142857" style="2" customWidth="1"/>
    <col min="5393" max="5393" width="8.71428571428571" style="2" customWidth="1"/>
    <col min="5394" max="5394" width="2.71428571428571" style="2" customWidth="1"/>
    <col min="5395" max="5395" width="9.14285714285714" style="2"/>
    <col min="5396" max="5396" width="2.71428571428571" style="2" customWidth="1"/>
    <col min="5397" max="5633" width="9.14285714285714" style="2"/>
    <col min="5634" max="5634" width="4.71428571428571" style="2" customWidth="1"/>
    <col min="5635" max="5635" width="8.71428571428571" style="2" customWidth="1"/>
    <col min="5636" max="5636" width="7.71428571428571" style="2" customWidth="1"/>
    <col min="5637" max="5637" width="8.71428571428571" style="2" customWidth="1"/>
    <col min="5638" max="5638" width="2.71428571428571" style="2" customWidth="1"/>
    <col min="5639" max="5639" width="8.71428571428571" style="2" customWidth="1"/>
    <col min="5640" max="5640" width="2.71428571428571" style="2" customWidth="1"/>
    <col min="5641" max="5641" width="10.7142857142857" style="2" customWidth="1"/>
    <col min="5642" max="5642" width="2.71428571428571" style="2" customWidth="1"/>
    <col min="5643" max="5643" width="8.71428571428571" style="2" customWidth="1"/>
    <col min="5644" max="5644" width="10.7142857142857" style="2" customWidth="1"/>
    <col min="5645" max="5645" width="8.71428571428571" style="2" customWidth="1"/>
    <col min="5646" max="5646" width="2.71428571428571" style="2" customWidth="1"/>
    <col min="5647" max="5648" width="10.7142857142857" style="2" customWidth="1"/>
    <col min="5649" max="5649" width="8.71428571428571" style="2" customWidth="1"/>
    <col min="5650" max="5650" width="2.71428571428571" style="2" customWidth="1"/>
    <col min="5651" max="5651" width="9.14285714285714" style="2"/>
    <col min="5652" max="5652" width="2.71428571428571" style="2" customWidth="1"/>
    <col min="5653" max="5889" width="9.14285714285714" style="2"/>
    <col min="5890" max="5890" width="4.71428571428571" style="2" customWidth="1"/>
    <col min="5891" max="5891" width="8.71428571428571" style="2" customWidth="1"/>
    <col min="5892" max="5892" width="7.71428571428571" style="2" customWidth="1"/>
    <col min="5893" max="5893" width="8.71428571428571" style="2" customWidth="1"/>
    <col min="5894" max="5894" width="2.71428571428571" style="2" customWidth="1"/>
    <col min="5895" max="5895" width="8.71428571428571" style="2" customWidth="1"/>
    <col min="5896" max="5896" width="2.71428571428571" style="2" customWidth="1"/>
    <col min="5897" max="5897" width="10.7142857142857" style="2" customWidth="1"/>
    <col min="5898" max="5898" width="2.71428571428571" style="2" customWidth="1"/>
    <col min="5899" max="5899" width="8.71428571428571" style="2" customWidth="1"/>
    <col min="5900" max="5900" width="10.7142857142857" style="2" customWidth="1"/>
    <col min="5901" max="5901" width="8.71428571428571" style="2" customWidth="1"/>
    <col min="5902" max="5902" width="2.71428571428571" style="2" customWidth="1"/>
    <col min="5903" max="5904" width="10.7142857142857" style="2" customWidth="1"/>
    <col min="5905" max="5905" width="8.71428571428571" style="2" customWidth="1"/>
    <col min="5906" max="5906" width="2.71428571428571" style="2" customWidth="1"/>
    <col min="5907" max="5907" width="9.14285714285714" style="2"/>
    <col min="5908" max="5908" width="2.71428571428571" style="2" customWidth="1"/>
    <col min="5909" max="6145" width="9.14285714285714" style="2"/>
    <col min="6146" max="6146" width="4.71428571428571" style="2" customWidth="1"/>
    <col min="6147" max="6147" width="8.71428571428571" style="2" customWidth="1"/>
    <col min="6148" max="6148" width="7.71428571428571" style="2" customWidth="1"/>
    <col min="6149" max="6149" width="8.71428571428571" style="2" customWidth="1"/>
    <col min="6150" max="6150" width="2.71428571428571" style="2" customWidth="1"/>
    <col min="6151" max="6151" width="8.71428571428571" style="2" customWidth="1"/>
    <col min="6152" max="6152" width="2.71428571428571" style="2" customWidth="1"/>
    <col min="6153" max="6153" width="10.7142857142857" style="2" customWidth="1"/>
    <col min="6154" max="6154" width="2.71428571428571" style="2" customWidth="1"/>
    <col min="6155" max="6155" width="8.71428571428571" style="2" customWidth="1"/>
    <col min="6156" max="6156" width="10.7142857142857" style="2" customWidth="1"/>
    <col min="6157" max="6157" width="8.71428571428571" style="2" customWidth="1"/>
    <col min="6158" max="6158" width="2.71428571428571" style="2" customWidth="1"/>
    <col min="6159" max="6160" width="10.7142857142857" style="2" customWidth="1"/>
    <col min="6161" max="6161" width="8.71428571428571" style="2" customWidth="1"/>
    <col min="6162" max="6162" width="2.71428571428571" style="2" customWidth="1"/>
    <col min="6163" max="6163" width="9.14285714285714" style="2"/>
    <col min="6164" max="6164" width="2.71428571428571" style="2" customWidth="1"/>
    <col min="6165" max="6401" width="9.14285714285714" style="2"/>
    <col min="6402" max="6402" width="4.71428571428571" style="2" customWidth="1"/>
    <col min="6403" max="6403" width="8.71428571428571" style="2" customWidth="1"/>
    <col min="6404" max="6404" width="7.71428571428571" style="2" customWidth="1"/>
    <col min="6405" max="6405" width="8.71428571428571" style="2" customWidth="1"/>
    <col min="6406" max="6406" width="2.71428571428571" style="2" customWidth="1"/>
    <col min="6407" max="6407" width="8.71428571428571" style="2" customWidth="1"/>
    <col min="6408" max="6408" width="2.71428571428571" style="2" customWidth="1"/>
    <col min="6409" max="6409" width="10.7142857142857" style="2" customWidth="1"/>
    <col min="6410" max="6410" width="2.71428571428571" style="2" customWidth="1"/>
    <col min="6411" max="6411" width="8.71428571428571" style="2" customWidth="1"/>
    <col min="6412" max="6412" width="10.7142857142857" style="2" customWidth="1"/>
    <col min="6413" max="6413" width="8.71428571428571" style="2" customWidth="1"/>
    <col min="6414" max="6414" width="2.71428571428571" style="2" customWidth="1"/>
    <col min="6415" max="6416" width="10.7142857142857" style="2" customWidth="1"/>
    <col min="6417" max="6417" width="8.71428571428571" style="2" customWidth="1"/>
    <col min="6418" max="6418" width="2.71428571428571" style="2" customWidth="1"/>
    <col min="6419" max="6419" width="9.14285714285714" style="2"/>
    <col min="6420" max="6420" width="2.71428571428571" style="2" customWidth="1"/>
    <col min="6421" max="6657" width="9.14285714285714" style="2"/>
    <col min="6658" max="6658" width="4.71428571428571" style="2" customWidth="1"/>
    <col min="6659" max="6659" width="8.71428571428571" style="2" customWidth="1"/>
    <col min="6660" max="6660" width="7.71428571428571" style="2" customWidth="1"/>
    <col min="6661" max="6661" width="8.71428571428571" style="2" customWidth="1"/>
    <col min="6662" max="6662" width="2.71428571428571" style="2" customWidth="1"/>
    <col min="6663" max="6663" width="8.71428571428571" style="2" customWidth="1"/>
    <col min="6664" max="6664" width="2.71428571428571" style="2" customWidth="1"/>
    <col min="6665" max="6665" width="10.7142857142857" style="2" customWidth="1"/>
    <col min="6666" max="6666" width="2.71428571428571" style="2" customWidth="1"/>
    <col min="6667" max="6667" width="8.71428571428571" style="2" customWidth="1"/>
    <col min="6668" max="6668" width="10.7142857142857" style="2" customWidth="1"/>
    <col min="6669" max="6669" width="8.71428571428571" style="2" customWidth="1"/>
    <col min="6670" max="6670" width="2.71428571428571" style="2" customWidth="1"/>
    <col min="6671" max="6672" width="10.7142857142857" style="2" customWidth="1"/>
    <col min="6673" max="6673" width="8.71428571428571" style="2" customWidth="1"/>
    <col min="6674" max="6674" width="2.71428571428571" style="2" customWidth="1"/>
    <col min="6675" max="6675" width="9.14285714285714" style="2"/>
    <col min="6676" max="6676" width="2.71428571428571" style="2" customWidth="1"/>
    <col min="6677" max="6913" width="9.14285714285714" style="2"/>
    <col min="6914" max="6914" width="4.71428571428571" style="2" customWidth="1"/>
    <col min="6915" max="6915" width="8.71428571428571" style="2" customWidth="1"/>
    <col min="6916" max="6916" width="7.71428571428571" style="2" customWidth="1"/>
    <col min="6917" max="6917" width="8.71428571428571" style="2" customWidth="1"/>
    <col min="6918" max="6918" width="2.71428571428571" style="2" customWidth="1"/>
    <col min="6919" max="6919" width="8.71428571428571" style="2" customWidth="1"/>
    <col min="6920" max="6920" width="2.71428571428571" style="2" customWidth="1"/>
    <col min="6921" max="6921" width="10.7142857142857" style="2" customWidth="1"/>
    <col min="6922" max="6922" width="2.71428571428571" style="2" customWidth="1"/>
    <col min="6923" max="6923" width="8.71428571428571" style="2" customWidth="1"/>
    <col min="6924" max="6924" width="10.7142857142857" style="2" customWidth="1"/>
    <col min="6925" max="6925" width="8.71428571428571" style="2" customWidth="1"/>
    <col min="6926" max="6926" width="2.71428571428571" style="2" customWidth="1"/>
    <col min="6927" max="6928" width="10.7142857142857" style="2" customWidth="1"/>
    <col min="6929" max="6929" width="8.71428571428571" style="2" customWidth="1"/>
    <col min="6930" max="6930" width="2.71428571428571" style="2" customWidth="1"/>
    <col min="6931" max="6931" width="9.14285714285714" style="2"/>
    <col min="6932" max="6932" width="2.71428571428571" style="2" customWidth="1"/>
    <col min="6933" max="7169" width="9.14285714285714" style="2"/>
    <col min="7170" max="7170" width="4.71428571428571" style="2" customWidth="1"/>
    <col min="7171" max="7171" width="8.71428571428571" style="2" customWidth="1"/>
    <col min="7172" max="7172" width="7.71428571428571" style="2" customWidth="1"/>
    <col min="7173" max="7173" width="8.71428571428571" style="2" customWidth="1"/>
    <col min="7174" max="7174" width="2.71428571428571" style="2" customWidth="1"/>
    <col min="7175" max="7175" width="8.71428571428571" style="2" customWidth="1"/>
    <col min="7176" max="7176" width="2.71428571428571" style="2" customWidth="1"/>
    <col min="7177" max="7177" width="10.7142857142857" style="2" customWidth="1"/>
    <col min="7178" max="7178" width="2.71428571428571" style="2" customWidth="1"/>
    <col min="7179" max="7179" width="8.71428571428571" style="2" customWidth="1"/>
    <col min="7180" max="7180" width="10.7142857142857" style="2" customWidth="1"/>
    <col min="7181" max="7181" width="8.71428571428571" style="2" customWidth="1"/>
    <col min="7182" max="7182" width="2.71428571428571" style="2" customWidth="1"/>
    <col min="7183" max="7184" width="10.7142857142857" style="2" customWidth="1"/>
    <col min="7185" max="7185" width="8.71428571428571" style="2" customWidth="1"/>
    <col min="7186" max="7186" width="2.71428571428571" style="2" customWidth="1"/>
    <col min="7187" max="7187" width="9.14285714285714" style="2"/>
    <col min="7188" max="7188" width="2.71428571428571" style="2" customWidth="1"/>
    <col min="7189" max="7425" width="9.14285714285714" style="2"/>
    <col min="7426" max="7426" width="4.71428571428571" style="2" customWidth="1"/>
    <col min="7427" max="7427" width="8.71428571428571" style="2" customWidth="1"/>
    <col min="7428" max="7428" width="7.71428571428571" style="2" customWidth="1"/>
    <col min="7429" max="7429" width="8.71428571428571" style="2" customWidth="1"/>
    <col min="7430" max="7430" width="2.71428571428571" style="2" customWidth="1"/>
    <col min="7431" max="7431" width="8.71428571428571" style="2" customWidth="1"/>
    <col min="7432" max="7432" width="2.71428571428571" style="2" customWidth="1"/>
    <col min="7433" max="7433" width="10.7142857142857" style="2" customWidth="1"/>
    <col min="7434" max="7434" width="2.71428571428571" style="2" customWidth="1"/>
    <col min="7435" max="7435" width="8.71428571428571" style="2" customWidth="1"/>
    <col min="7436" max="7436" width="10.7142857142857" style="2" customWidth="1"/>
    <col min="7437" max="7437" width="8.71428571428571" style="2" customWidth="1"/>
    <col min="7438" max="7438" width="2.71428571428571" style="2" customWidth="1"/>
    <col min="7439" max="7440" width="10.7142857142857" style="2" customWidth="1"/>
    <col min="7441" max="7441" width="8.71428571428571" style="2" customWidth="1"/>
    <col min="7442" max="7442" width="2.71428571428571" style="2" customWidth="1"/>
    <col min="7443" max="7443" width="9.14285714285714" style="2"/>
    <col min="7444" max="7444" width="2.71428571428571" style="2" customWidth="1"/>
    <col min="7445" max="7681" width="9.14285714285714" style="2"/>
    <col min="7682" max="7682" width="4.71428571428571" style="2" customWidth="1"/>
    <col min="7683" max="7683" width="8.71428571428571" style="2" customWidth="1"/>
    <col min="7684" max="7684" width="7.71428571428571" style="2" customWidth="1"/>
    <col min="7685" max="7685" width="8.71428571428571" style="2" customWidth="1"/>
    <col min="7686" max="7686" width="2.71428571428571" style="2" customWidth="1"/>
    <col min="7687" max="7687" width="8.71428571428571" style="2" customWidth="1"/>
    <col min="7688" max="7688" width="2.71428571428571" style="2" customWidth="1"/>
    <col min="7689" max="7689" width="10.7142857142857" style="2" customWidth="1"/>
    <col min="7690" max="7690" width="2.71428571428571" style="2" customWidth="1"/>
    <col min="7691" max="7691" width="8.71428571428571" style="2" customWidth="1"/>
    <col min="7692" max="7692" width="10.7142857142857" style="2" customWidth="1"/>
    <col min="7693" max="7693" width="8.71428571428571" style="2" customWidth="1"/>
    <col min="7694" max="7694" width="2.71428571428571" style="2" customWidth="1"/>
    <col min="7695" max="7696" width="10.7142857142857" style="2" customWidth="1"/>
    <col min="7697" max="7697" width="8.71428571428571" style="2" customWidth="1"/>
    <col min="7698" max="7698" width="2.71428571428571" style="2" customWidth="1"/>
    <col min="7699" max="7699" width="9.14285714285714" style="2"/>
    <col min="7700" max="7700" width="2.71428571428571" style="2" customWidth="1"/>
    <col min="7701" max="7937" width="9.14285714285714" style="2"/>
    <col min="7938" max="7938" width="4.71428571428571" style="2" customWidth="1"/>
    <col min="7939" max="7939" width="8.71428571428571" style="2" customWidth="1"/>
    <col min="7940" max="7940" width="7.71428571428571" style="2" customWidth="1"/>
    <col min="7941" max="7941" width="8.71428571428571" style="2" customWidth="1"/>
    <col min="7942" max="7942" width="2.71428571428571" style="2" customWidth="1"/>
    <col min="7943" max="7943" width="8.71428571428571" style="2" customWidth="1"/>
    <col min="7944" max="7944" width="2.71428571428571" style="2" customWidth="1"/>
    <col min="7945" max="7945" width="10.7142857142857" style="2" customWidth="1"/>
    <col min="7946" max="7946" width="2.71428571428571" style="2" customWidth="1"/>
    <col min="7947" max="7947" width="8.71428571428571" style="2" customWidth="1"/>
    <col min="7948" max="7948" width="10.7142857142857" style="2" customWidth="1"/>
    <col min="7949" max="7949" width="8.71428571428571" style="2" customWidth="1"/>
    <col min="7950" max="7950" width="2.71428571428571" style="2" customWidth="1"/>
    <col min="7951" max="7952" width="10.7142857142857" style="2" customWidth="1"/>
    <col min="7953" max="7953" width="8.71428571428571" style="2" customWidth="1"/>
    <col min="7954" max="7954" width="2.71428571428571" style="2" customWidth="1"/>
    <col min="7955" max="7955" width="9.14285714285714" style="2"/>
    <col min="7956" max="7956" width="2.71428571428571" style="2" customWidth="1"/>
    <col min="7957" max="8193" width="9.14285714285714" style="2"/>
    <col min="8194" max="8194" width="4.71428571428571" style="2" customWidth="1"/>
    <col min="8195" max="8195" width="8.71428571428571" style="2" customWidth="1"/>
    <col min="8196" max="8196" width="7.71428571428571" style="2" customWidth="1"/>
    <col min="8197" max="8197" width="8.71428571428571" style="2" customWidth="1"/>
    <col min="8198" max="8198" width="2.71428571428571" style="2" customWidth="1"/>
    <col min="8199" max="8199" width="8.71428571428571" style="2" customWidth="1"/>
    <col min="8200" max="8200" width="2.71428571428571" style="2" customWidth="1"/>
    <col min="8201" max="8201" width="10.7142857142857" style="2" customWidth="1"/>
    <col min="8202" max="8202" width="2.71428571428571" style="2" customWidth="1"/>
    <col min="8203" max="8203" width="8.71428571428571" style="2" customWidth="1"/>
    <col min="8204" max="8204" width="10.7142857142857" style="2" customWidth="1"/>
    <col min="8205" max="8205" width="8.71428571428571" style="2" customWidth="1"/>
    <col min="8206" max="8206" width="2.71428571428571" style="2" customWidth="1"/>
    <col min="8207" max="8208" width="10.7142857142857" style="2" customWidth="1"/>
    <col min="8209" max="8209" width="8.71428571428571" style="2" customWidth="1"/>
    <col min="8210" max="8210" width="2.71428571428571" style="2" customWidth="1"/>
    <col min="8211" max="8211" width="9.14285714285714" style="2"/>
    <col min="8212" max="8212" width="2.71428571428571" style="2" customWidth="1"/>
    <col min="8213" max="8449" width="9.14285714285714" style="2"/>
    <col min="8450" max="8450" width="4.71428571428571" style="2" customWidth="1"/>
    <col min="8451" max="8451" width="8.71428571428571" style="2" customWidth="1"/>
    <col min="8452" max="8452" width="7.71428571428571" style="2" customWidth="1"/>
    <col min="8453" max="8453" width="8.71428571428571" style="2" customWidth="1"/>
    <col min="8454" max="8454" width="2.71428571428571" style="2" customWidth="1"/>
    <col min="8455" max="8455" width="8.71428571428571" style="2" customWidth="1"/>
    <col min="8456" max="8456" width="2.71428571428571" style="2" customWidth="1"/>
    <col min="8457" max="8457" width="10.7142857142857" style="2" customWidth="1"/>
    <col min="8458" max="8458" width="2.71428571428571" style="2" customWidth="1"/>
    <col min="8459" max="8459" width="8.71428571428571" style="2" customWidth="1"/>
    <col min="8460" max="8460" width="10.7142857142857" style="2" customWidth="1"/>
    <col min="8461" max="8461" width="8.71428571428571" style="2" customWidth="1"/>
    <col min="8462" max="8462" width="2.71428571428571" style="2" customWidth="1"/>
    <col min="8463" max="8464" width="10.7142857142857" style="2" customWidth="1"/>
    <col min="8465" max="8465" width="8.71428571428571" style="2" customWidth="1"/>
    <col min="8466" max="8466" width="2.71428571428571" style="2" customWidth="1"/>
    <col min="8467" max="8467" width="9.14285714285714" style="2"/>
    <col min="8468" max="8468" width="2.71428571428571" style="2" customWidth="1"/>
    <col min="8469" max="8705" width="9.14285714285714" style="2"/>
    <col min="8706" max="8706" width="4.71428571428571" style="2" customWidth="1"/>
    <col min="8707" max="8707" width="8.71428571428571" style="2" customWidth="1"/>
    <col min="8708" max="8708" width="7.71428571428571" style="2" customWidth="1"/>
    <col min="8709" max="8709" width="8.71428571428571" style="2" customWidth="1"/>
    <col min="8710" max="8710" width="2.71428571428571" style="2" customWidth="1"/>
    <col min="8711" max="8711" width="8.71428571428571" style="2" customWidth="1"/>
    <col min="8712" max="8712" width="2.71428571428571" style="2" customWidth="1"/>
    <col min="8713" max="8713" width="10.7142857142857" style="2" customWidth="1"/>
    <col min="8714" max="8714" width="2.71428571428571" style="2" customWidth="1"/>
    <col min="8715" max="8715" width="8.71428571428571" style="2" customWidth="1"/>
    <col min="8716" max="8716" width="10.7142857142857" style="2" customWidth="1"/>
    <col min="8717" max="8717" width="8.71428571428571" style="2" customWidth="1"/>
    <col min="8718" max="8718" width="2.71428571428571" style="2" customWidth="1"/>
    <col min="8719" max="8720" width="10.7142857142857" style="2" customWidth="1"/>
    <col min="8721" max="8721" width="8.71428571428571" style="2" customWidth="1"/>
    <col min="8722" max="8722" width="2.71428571428571" style="2" customWidth="1"/>
    <col min="8723" max="8723" width="9.14285714285714" style="2"/>
    <col min="8724" max="8724" width="2.71428571428571" style="2" customWidth="1"/>
    <col min="8725" max="8961" width="9.14285714285714" style="2"/>
    <col min="8962" max="8962" width="4.71428571428571" style="2" customWidth="1"/>
    <col min="8963" max="8963" width="8.71428571428571" style="2" customWidth="1"/>
    <col min="8964" max="8964" width="7.71428571428571" style="2" customWidth="1"/>
    <col min="8965" max="8965" width="8.71428571428571" style="2" customWidth="1"/>
    <col min="8966" max="8966" width="2.71428571428571" style="2" customWidth="1"/>
    <col min="8967" max="8967" width="8.71428571428571" style="2" customWidth="1"/>
    <col min="8968" max="8968" width="2.71428571428571" style="2" customWidth="1"/>
    <col min="8969" max="8969" width="10.7142857142857" style="2" customWidth="1"/>
    <col min="8970" max="8970" width="2.71428571428571" style="2" customWidth="1"/>
    <col min="8971" max="8971" width="8.71428571428571" style="2" customWidth="1"/>
    <col min="8972" max="8972" width="10.7142857142857" style="2" customWidth="1"/>
    <col min="8973" max="8973" width="8.71428571428571" style="2" customWidth="1"/>
    <col min="8974" max="8974" width="2.71428571428571" style="2" customWidth="1"/>
    <col min="8975" max="8976" width="10.7142857142857" style="2" customWidth="1"/>
    <col min="8977" max="8977" width="8.71428571428571" style="2" customWidth="1"/>
    <col min="8978" max="8978" width="2.71428571428571" style="2" customWidth="1"/>
    <col min="8979" max="8979" width="9.14285714285714" style="2"/>
    <col min="8980" max="8980" width="2.71428571428571" style="2" customWidth="1"/>
    <col min="8981" max="9217" width="9.14285714285714" style="2"/>
    <col min="9218" max="9218" width="4.71428571428571" style="2" customWidth="1"/>
    <col min="9219" max="9219" width="8.71428571428571" style="2" customWidth="1"/>
    <col min="9220" max="9220" width="7.71428571428571" style="2" customWidth="1"/>
    <col min="9221" max="9221" width="8.71428571428571" style="2" customWidth="1"/>
    <col min="9222" max="9222" width="2.71428571428571" style="2" customWidth="1"/>
    <col min="9223" max="9223" width="8.71428571428571" style="2" customWidth="1"/>
    <col min="9224" max="9224" width="2.71428571428571" style="2" customWidth="1"/>
    <col min="9225" max="9225" width="10.7142857142857" style="2" customWidth="1"/>
    <col min="9226" max="9226" width="2.71428571428571" style="2" customWidth="1"/>
    <col min="9227" max="9227" width="8.71428571428571" style="2" customWidth="1"/>
    <col min="9228" max="9228" width="10.7142857142857" style="2" customWidth="1"/>
    <col min="9229" max="9229" width="8.71428571428571" style="2" customWidth="1"/>
    <col min="9230" max="9230" width="2.71428571428571" style="2" customWidth="1"/>
    <col min="9231" max="9232" width="10.7142857142857" style="2" customWidth="1"/>
    <col min="9233" max="9233" width="8.71428571428571" style="2" customWidth="1"/>
    <col min="9234" max="9234" width="2.71428571428571" style="2" customWidth="1"/>
    <col min="9235" max="9235" width="9.14285714285714" style="2"/>
    <col min="9236" max="9236" width="2.71428571428571" style="2" customWidth="1"/>
    <col min="9237" max="9473" width="9.14285714285714" style="2"/>
    <col min="9474" max="9474" width="4.71428571428571" style="2" customWidth="1"/>
    <col min="9475" max="9475" width="8.71428571428571" style="2" customWidth="1"/>
    <col min="9476" max="9476" width="7.71428571428571" style="2" customWidth="1"/>
    <col min="9477" max="9477" width="8.71428571428571" style="2" customWidth="1"/>
    <col min="9478" max="9478" width="2.71428571428571" style="2" customWidth="1"/>
    <col min="9479" max="9479" width="8.71428571428571" style="2" customWidth="1"/>
    <col min="9480" max="9480" width="2.71428571428571" style="2" customWidth="1"/>
    <col min="9481" max="9481" width="10.7142857142857" style="2" customWidth="1"/>
    <col min="9482" max="9482" width="2.71428571428571" style="2" customWidth="1"/>
    <col min="9483" max="9483" width="8.71428571428571" style="2" customWidth="1"/>
    <col min="9484" max="9484" width="10.7142857142857" style="2" customWidth="1"/>
    <col min="9485" max="9485" width="8.71428571428571" style="2" customWidth="1"/>
    <col min="9486" max="9486" width="2.71428571428571" style="2" customWidth="1"/>
    <col min="9487" max="9488" width="10.7142857142857" style="2" customWidth="1"/>
    <col min="9489" max="9489" width="8.71428571428571" style="2" customWidth="1"/>
    <col min="9490" max="9490" width="2.71428571428571" style="2" customWidth="1"/>
    <col min="9491" max="9491" width="9.14285714285714" style="2"/>
    <col min="9492" max="9492" width="2.71428571428571" style="2" customWidth="1"/>
    <col min="9493" max="9729" width="9.14285714285714" style="2"/>
    <col min="9730" max="9730" width="4.71428571428571" style="2" customWidth="1"/>
    <col min="9731" max="9731" width="8.71428571428571" style="2" customWidth="1"/>
    <col min="9732" max="9732" width="7.71428571428571" style="2" customWidth="1"/>
    <col min="9733" max="9733" width="8.71428571428571" style="2" customWidth="1"/>
    <col min="9734" max="9734" width="2.71428571428571" style="2" customWidth="1"/>
    <col min="9735" max="9735" width="8.71428571428571" style="2" customWidth="1"/>
    <col min="9736" max="9736" width="2.71428571428571" style="2" customWidth="1"/>
    <col min="9737" max="9737" width="10.7142857142857" style="2" customWidth="1"/>
    <col min="9738" max="9738" width="2.71428571428571" style="2" customWidth="1"/>
    <col min="9739" max="9739" width="8.71428571428571" style="2" customWidth="1"/>
    <col min="9740" max="9740" width="10.7142857142857" style="2" customWidth="1"/>
    <col min="9741" max="9741" width="8.71428571428571" style="2" customWidth="1"/>
    <col min="9742" max="9742" width="2.71428571428571" style="2" customWidth="1"/>
    <col min="9743" max="9744" width="10.7142857142857" style="2" customWidth="1"/>
    <col min="9745" max="9745" width="8.71428571428571" style="2" customWidth="1"/>
    <col min="9746" max="9746" width="2.71428571428571" style="2" customWidth="1"/>
    <col min="9747" max="9747" width="9.14285714285714" style="2"/>
    <col min="9748" max="9748" width="2.71428571428571" style="2" customWidth="1"/>
    <col min="9749" max="9985" width="9.14285714285714" style="2"/>
    <col min="9986" max="9986" width="4.71428571428571" style="2" customWidth="1"/>
    <col min="9987" max="9987" width="8.71428571428571" style="2" customWidth="1"/>
    <col min="9988" max="9988" width="7.71428571428571" style="2" customWidth="1"/>
    <col min="9989" max="9989" width="8.71428571428571" style="2" customWidth="1"/>
    <col min="9990" max="9990" width="2.71428571428571" style="2" customWidth="1"/>
    <col min="9991" max="9991" width="8.71428571428571" style="2" customWidth="1"/>
    <col min="9992" max="9992" width="2.71428571428571" style="2" customWidth="1"/>
    <col min="9993" max="9993" width="10.7142857142857" style="2" customWidth="1"/>
    <col min="9994" max="9994" width="2.71428571428571" style="2" customWidth="1"/>
    <col min="9995" max="9995" width="8.71428571428571" style="2" customWidth="1"/>
    <col min="9996" max="9996" width="10.7142857142857" style="2" customWidth="1"/>
    <col min="9997" max="9997" width="8.71428571428571" style="2" customWidth="1"/>
    <col min="9998" max="9998" width="2.71428571428571" style="2" customWidth="1"/>
    <col min="9999" max="10000" width="10.7142857142857" style="2" customWidth="1"/>
    <col min="10001" max="10001" width="8.71428571428571" style="2" customWidth="1"/>
    <col min="10002" max="10002" width="2.71428571428571" style="2" customWidth="1"/>
    <col min="10003" max="10003" width="9.14285714285714" style="2"/>
    <col min="10004" max="10004" width="2.71428571428571" style="2" customWidth="1"/>
    <col min="10005" max="10241" width="9.14285714285714" style="2"/>
    <col min="10242" max="10242" width="4.71428571428571" style="2" customWidth="1"/>
    <col min="10243" max="10243" width="8.71428571428571" style="2" customWidth="1"/>
    <col min="10244" max="10244" width="7.71428571428571" style="2" customWidth="1"/>
    <col min="10245" max="10245" width="8.71428571428571" style="2" customWidth="1"/>
    <col min="10246" max="10246" width="2.71428571428571" style="2" customWidth="1"/>
    <col min="10247" max="10247" width="8.71428571428571" style="2" customWidth="1"/>
    <col min="10248" max="10248" width="2.71428571428571" style="2" customWidth="1"/>
    <col min="10249" max="10249" width="10.7142857142857" style="2" customWidth="1"/>
    <col min="10250" max="10250" width="2.71428571428571" style="2" customWidth="1"/>
    <col min="10251" max="10251" width="8.71428571428571" style="2" customWidth="1"/>
    <col min="10252" max="10252" width="10.7142857142857" style="2" customWidth="1"/>
    <col min="10253" max="10253" width="8.71428571428571" style="2" customWidth="1"/>
    <col min="10254" max="10254" width="2.71428571428571" style="2" customWidth="1"/>
    <col min="10255" max="10256" width="10.7142857142857" style="2" customWidth="1"/>
    <col min="10257" max="10257" width="8.71428571428571" style="2" customWidth="1"/>
    <col min="10258" max="10258" width="2.71428571428571" style="2" customWidth="1"/>
    <col min="10259" max="10259" width="9.14285714285714" style="2"/>
    <col min="10260" max="10260" width="2.71428571428571" style="2" customWidth="1"/>
    <col min="10261" max="10497" width="9.14285714285714" style="2"/>
    <col min="10498" max="10498" width="4.71428571428571" style="2" customWidth="1"/>
    <col min="10499" max="10499" width="8.71428571428571" style="2" customWidth="1"/>
    <col min="10500" max="10500" width="7.71428571428571" style="2" customWidth="1"/>
    <col min="10501" max="10501" width="8.71428571428571" style="2" customWidth="1"/>
    <col min="10502" max="10502" width="2.71428571428571" style="2" customWidth="1"/>
    <col min="10503" max="10503" width="8.71428571428571" style="2" customWidth="1"/>
    <col min="10504" max="10504" width="2.71428571428571" style="2" customWidth="1"/>
    <col min="10505" max="10505" width="10.7142857142857" style="2" customWidth="1"/>
    <col min="10506" max="10506" width="2.71428571428571" style="2" customWidth="1"/>
    <col min="10507" max="10507" width="8.71428571428571" style="2" customWidth="1"/>
    <col min="10508" max="10508" width="10.7142857142857" style="2" customWidth="1"/>
    <col min="10509" max="10509" width="8.71428571428571" style="2" customWidth="1"/>
    <col min="10510" max="10510" width="2.71428571428571" style="2" customWidth="1"/>
    <col min="10511" max="10512" width="10.7142857142857" style="2" customWidth="1"/>
    <col min="10513" max="10513" width="8.71428571428571" style="2" customWidth="1"/>
    <col min="10514" max="10514" width="2.71428571428571" style="2" customWidth="1"/>
    <col min="10515" max="10515" width="9.14285714285714" style="2"/>
    <col min="10516" max="10516" width="2.71428571428571" style="2" customWidth="1"/>
    <col min="10517" max="10753" width="9.14285714285714" style="2"/>
    <col min="10754" max="10754" width="4.71428571428571" style="2" customWidth="1"/>
    <col min="10755" max="10755" width="8.71428571428571" style="2" customWidth="1"/>
    <col min="10756" max="10756" width="7.71428571428571" style="2" customWidth="1"/>
    <col min="10757" max="10757" width="8.71428571428571" style="2" customWidth="1"/>
    <col min="10758" max="10758" width="2.71428571428571" style="2" customWidth="1"/>
    <col min="10759" max="10759" width="8.71428571428571" style="2" customWidth="1"/>
    <col min="10760" max="10760" width="2.71428571428571" style="2" customWidth="1"/>
    <col min="10761" max="10761" width="10.7142857142857" style="2" customWidth="1"/>
    <col min="10762" max="10762" width="2.71428571428571" style="2" customWidth="1"/>
    <col min="10763" max="10763" width="8.71428571428571" style="2" customWidth="1"/>
    <col min="10764" max="10764" width="10.7142857142857" style="2" customWidth="1"/>
    <col min="10765" max="10765" width="8.71428571428571" style="2" customWidth="1"/>
    <col min="10766" max="10766" width="2.71428571428571" style="2" customWidth="1"/>
    <col min="10767" max="10768" width="10.7142857142857" style="2" customWidth="1"/>
    <col min="10769" max="10769" width="8.71428571428571" style="2" customWidth="1"/>
    <col min="10770" max="10770" width="2.71428571428571" style="2" customWidth="1"/>
    <col min="10771" max="10771" width="9.14285714285714" style="2"/>
    <col min="10772" max="10772" width="2.71428571428571" style="2" customWidth="1"/>
    <col min="10773" max="11009" width="9.14285714285714" style="2"/>
    <col min="11010" max="11010" width="4.71428571428571" style="2" customWidth="1"/>
    <col min="11011" max="11011" width="8.71428571428571" style="2" customWidth="1"/>
    <col min="11012" max="11012" width="7.71428571428571" style="2" customWidth="1"/>
    <col min="11013" max="11013" width="8.71428571428571" style="2" customWidth="1"/>
    <col min="11014" max="11014" width="2.71428571428571" style="2" customWidth="1"/>
    <col min="11015" max="11015" width="8.71428571428571" style="2" customWidth="1"/>
    <col min="11016" max="11016" width="2.71428571428571" style="2" customWidth="1"/>
    <col min="11017" max="11017" width="10.7142857142857" style="2" customWidth="1"/>
    <col min="11018" max="11018" width="2.71428571428571" style="2" customWidth="1"/>
    <col min="11019" max="11019" width="8.71428571428571" style="2" customWidth="1"/>
    <col min="11020" max="11020" width="10.7142857142857" style="2" customWidth="1"/>
    <col min="11021" max="11021" width="8.71428571428571" style="2" customWidth="1"/>
    <col min="11022" max="11022" width="2.71428571428571" style="2" customWidth="1"/>
    <col min="11023" max="11024" width="10.7142857142857" style="2" customWidth="1"/>
    <col min="11025" max="11025" width="8.71428571428571" style="2" customWidth="1"/>
    <col min="11026" max="11026" width="2.71428571428571" style="2" customWidth="1"/>
    <col min="11027" max="11027" width="9.14285714285714" style="2"/>
    <col min="11028" max="11028" width="2.71428571428571" style="2" customWidth="1"/>
    <col min="11029" max="11265" width="9.14285714285714" style="2"/>
    <col min="11266" max="11266" width="4.71428571428571" style="2" customWidth="1"/>
    <col min="11267" max="11267" width="8.71428571428571" style="2" customWidth="1"/>
    <col min="11268" max="11268" width="7.71428571428571" style="2" customWidth="1"/>
    <col min="11269" max="11269" width="8.71428571428571" style="2" customWidth="1"/>
    <col min="11270" max="11270" width="2.71428571428571" style="2" customWidth="1"/>
    <col min="11271" max="11271" width="8.71428571428571" style="2" customWidth="1"/>
    <col min="11272" max="11272" width="2.71428571428571" style="2" customWidth="1"/>
    <col min="11273" max="11273" width="10.7142857142857" style="2" customWidth="1"/>
    <col min="11274" max="11274" width="2.71428571428571" style="2" customWidth="1"/>
    <col min="11275" max="11275" width="8.71428571428571" style="2" customWidth="1"/>
    <col min="11276" max="11276" width="10.7142857142857" style="2" customWidth="1"/>
    <col min="11277" max="11277" width="8.71428571428571" style="2" customWidth="1"/>
    <col min="11278" max="11278" width="2.71428571428571" style="2" customWidth="1"/>
    <col min="11279" max="11280" width="10.7142857142857" style="2" customWidth="1"/>
    <col min="11281" max="11281" width="8.71428571428571" style="2" customWidth="1"/>
    <col min="11282" max="11282" width="2.71428571428571" style="2" customWidth="1"/>
    <col min="11283" max="11283" width="9.14285714285714" style="2"/>
    <col min="11284" max="11284" width="2.71428571428571" style="2" customWidth="1"/>
    <col min="11285" max="11521" width="9.14285714285714" style="2"/>
    <col min="11522" max="11522" width="4.71428571428571" style="2" customWidth="1"/>
    <col min="11523" max="11523" width="8.71428571428571" style="2" customWidth="1"/>
    <col min="11524" max="11524" width="7.71428571428571" style="2" customWidth="1"/>
    <col min="11525" max="11525" width="8.71428571428571" style="2" customWidth="1"/>
    <col min="11526" max="11526" width="2.71428571428571" style="2" customWidth="1"/>
    <col min="11527" max="11527" width="8.71428571428571" style="2" customWidth="1"/>
    <col min="11528" max="11528" width="2.71428571428571" style="2" customWidth="1"/>
    <col min="11529" max="11529" width="10.7142857142857" style="2" customWidth="1"/>
    <col min="11530" max="11530" width="2.71428571428571" style="2" customWidth="1"/>
    <col min="11531" max="11531" width="8.71428571428571" style="2" customWidth="1"/>
    <col min="11532" max="11532" width="10.7142857142857" style="2" customWidth="1"/>
    <col min="11533" max="11533" width="8.71428571428571" style="2" customWidth="1"/>
    <col min="11534" max="11534" width="2.71428571428571" style="2" customWidth="1"/>
    <col min="11535" max="11536" width="10.7142857142857" style="2" customWidth="1"/>
    <col min="11537" max="11537" width="8.71428571428571" style="2" customWidth="1"/>
    <col min="11538" max="11538" width="2.71428571428571" style="2" customWidth="1"/>
    <col min="11539" max="11539" width="9.14285714285714" style="2"/>
    <col min="11540" max="11540" width="2.71428571428571" style="2" customWidth="1"/>
    <col min="11541" max="11777" width="9.14285714285714" style="2"/>
    <col min="11778" max="11778" width="4.71428571428571" style="2" customWidth="1"/>
    <col min="11779" max="11779" width="8.71428571428571" style="2" customWidth="1"/>
    <col min="11780" max="11780" width="7.71428571428571" style="2" customWidth="1"/>
    <col min="11781" max="11781" width="8.71428571428571" style="2" customWidth="1"/>
    <col min="11782" max="11782" width="2.71428571428571" style="2" customWidth="1"/>
    <col min="11783" max="11783" width="8.71428571428571" style="2" customWidth="1"/>
    <col min="11784" max="11784" width="2.71428571428571" style="2" customWidth="1"/>
    <col min="11785" max="11785" width="10.7142857142857" style="2" customWidth="1"/>
    <col min="11786" max="11786" width="2.71428571428571" style="2" customWidth="1"/>
    <col min="11787" max="11787" width="8.71428571428571" style="2" customWidth="1"/>
    <col min="11788" max="11788" width="10.7142857142857" style="2" customWidth="1"/>
    <col min="11789" max="11789" width="8.71428571428571" style="2" customWidth="1"/>
    <col min="11790" max="11790" width="2.71428571428571" style="2" customWidth="1"/>
    <col min="11791" max="11792" width="10.7142857142857" style="2" customWidth="1"/>
    <col min="11793" max="11793" width="8.71428571428571" style="2" customWidth="1"/>
    <col min="11794" max="11794" width="2.71428571428571" style="2" customWidth="1"/>
    <col min="11795" max="11795" width="9.14285714285714" style="2"/>
    <col min="11796" max="11796" width="2.71428571428571" style="2" customWidth="1"/>
    <col min="11797" max="12033" width="9.14285714285714" style="2"/>
    <col min="12034" max="12034" width="4.71428571428571" style="2" customWidth="1"/>
    <col min="12035" max="12035" width="8.71428571428571" style="2" customWidth="1"/>
    <col min="12036" max="12036" width="7.71428571428571" style="2" customWidth="1"/>
    <col min="12037" max="12037" width="8.71428571428571" style="2" customWidth="1"/>
    <col min="12038" max="12038" width="2.71428571428571" style="2" customWidth="1"/>
    <col min="12039" max="12039" width="8.71428571428571" style="2" customWidth="1"/>
    <col min="12040" max="12040" width="2.71428571428571" style="2" customWidth="1"/>
    <col min="12041" max="12041" width="10.7142857142857" style="2" customWidth="1"/>
    <col min="12042" max="12042" width="2.71428571428571" style="2" customWidth="1"/>
    <col min="12043" max="12043" width="8.71428571428571" style="2" customWidth="1"/>
    <col min="12044" max="12044" width="10.7142857142857" style="2" customWidth="1"/>
    <col min="12045" max="12045" width="8.71428571428571" style="2" customWidth="1"/>
    <col min="12046" max="12046" width="2.71428571428571" style="2" customWidth="1"/>
    <col min="12047" max="12048" width="10.7142857142857" style="2" customWidth="1"/>
    <col min="12049" max="12049" width="8.71428571428571" style="2" customWidth="1"/>
    <col min="12050" max="12050" width="2.71428571428571" style="2" customWidth="1"/>
    <col min="12051" max="12051" width="9.14285714285714" style="2"/>
    <col min="12052" max="12052" width="2.71428571428571" style="2" customWidth="1"/>
    <col min="12053" max="12289" width="9.14285714285714" style="2"/>
    <col min="12290" max="12290" width="4.71428571428571" style="2" customWidth="1"/>
    <col min="12291" max="12291" width="8.71428571428571" style="2" customWidth="1"/>
    <col min="12292" max="12292" width="7.71428571428571" style="2" customWidth="1"/>
    <col min="12293" max="12293" width="8.71428571428571" style="2" customWidth="1"/>
    <col min="12294" max="12294" width="2.71428571428571" style="2" customWidth="1"/>
    <col min="12295" max="12295" width="8.71428571428571" style="2" customWidth="1"/>
    <col min="12296" max="12296" width="2.71428571428571" style="2" customWidth="1"/>
    <col min="12297" max="12297" width="10.7142857142857" style="2" customWidth="1"/>
    <col min="12298" max="12298" width="2.71428571428571" style="2" customWidth="1"/>
    <col min="12299" max="12299" width="8.71428571428571" style="2" customWidth="1"/>
    <col min="12300" max="12300" width="10.7142857142857" style="2" customWidth="1"/>
    <col min="12301" max="12301" width="8.71428571428571" style="2" customWidth="1"/>
    <col min="12302" max="12302" width="2.71428571428571" style="2" customWidth="1"/>
    <col min="12303" max="12304" width="10.7142857142857" style="2" customWidth="1"/>
    <col min="12305" max="12305" width="8.71428571428571" style="2" customWidth="1"/>
    <col min="12306" max="12306" width="2.71428571428571" style="2" customWidth="1"/>
    <col min="12307" max="12307" width="9.14285714285714" style="2"/>
    <col min="12308" max="12308" width="2.71428571428571" style="2" customWidth="1"/>
    <col min="12309" max="12545" width="9.14285714285714" style="2"/>
    <col min="12546" max="12546" width="4.71428571428571" style="2" customWidth="1"/>
    <col min="12547" max="12547" width="8.71428571428571" style="2" customWidth="1"/>
    <col min="12548" max="12548" width="7.71428571428571" style="2" customWidth="1"/>
    <col min="12549" max="12549" width="8.71428571428571" style="2" customWidth="1"/>
    <col min="12550" max="12550" width="2.71428571428571" style="2" customWidth="1"/>
    <col min="12551" max="12551" width="8.71428571428571" style="2" customWidth="1"/>
    <col min="12552" max="12552" width="2.71428571428571" style="2" customWidth="1"/>
    <col min="12553" max="12553" width="10.7142857142857" style="2" customWidth="1"/>
    <col min="12554" max="12554" width="2.71428571428571" style="2" customWidth="1"/>
    <col min="12555" max="12555" width="8.71428571428571" style="2" customWidth="1"/>
    <col min="12556" max="12556" width="10.7142857142857" style="2" customWidth="1"/>
    <col min="12557" max="12557" width="8.71428571428571" style="2" customWidth="1"/>
    <col min="12558" max="12558" width="2.71428571428571" style="2" customWidth="1"/>
    <col min="12559" max="12560" width="10.7142857142857" style="2" customWidth="1"/>
    <col min="12561" max="12561" width="8.71428571428571" style="2" customWidth="1"/>
    <col min="12562" max="12562" width="2.71428571428571" style="2" customWidth="1"/>
    <col min="12563" max="12563" width="9.14285714285714" style="2"/>
    <col min="12564" max="12564" width="2.71428571428571" style="2" customWidth="1"/>
    <col min="12565" max="12801" width="9.14285714285714" style="2"/>
    <col min="12802" max="12802" width="4.71428571428571" style="2" customWidth="1"/>
    <col min="12803" max="12803" width="8.71428571428571" style="2" customWidth="1"/>
    <col min="12804" max="12804" width="7.71428571428571" style="2" customWidth="1"/>
    <col min="12805" max="12805" width="8.71428571428571" style="2" customWidth="1"/>
    <col min="12806" max="12806" width="2.71428571428571" style="2" customWidth="1"/>
    <col min="12807" max="12807" width="8.71428571428571" style="2" customWidth="1"/>
    <col min="12808" max="12808" width="2.71428571428571" style="2" customWidth="1"/>
    <col min="12809" max="12809" width="10.7142857142857" style="2" customWidth="1"/>
    <col min="12810" max="12810" width="2.71428571428571" style="2" customWidth="1"/>
    <col min="12811" max="12811" width="8.71428571428571" style="2" customWidth="1"/>
    <col min="12812" max="12812" width="10.7142857142857" style="2" customWidth="1"/>
    <col min="12813" max="12813" width="8.71428571428571" style="2" customWidth="1"/>
    <col min="12814" max="12814" width="2.71428571428571" style="2" customWidth="1"/>
    <col min="12815" max="12816" width="10.7142857142857" style="2" customWidth="1"/>
    <col min="12817" max="12817" width="8.71428571428571" style="2" customWidth="1"/>
    <col min="12818" max="12818" width="2.71428571428571" style="2" customWidth="1"/>
    <col min="12819" max="12819" width="9.14285714285714" style="2"/>
    <col min="12820" max="12820" width="2.71428571428571" style="2" customWidth="1"/>
    <col min="12821" max="13057" width="9.14285714285714" style="2"/>
    <col min="13058" max="13058" width="4.71428571428571" style="2" customWidth="1"/>
    <col min="13059" max="13059" width="8.71428571428571" style="2" customWidth="1"/>
    <col min="13060" max="13060" width="7.71428571428571" style="2" customWidth="1"/>
    <col min="13061" max="13061" width="8.71428571428571" style="2" customWidth="1"/>
    <col min="13062" max="13062" width="2.71428571428571" style="2" customWidth="1"/>
    <col min="13063" max="13063" width="8.71428571428571" style="2" customWidth="1"/>
    <col min="13064" max="13064" width="2.71428571428571" style="2" customWidth="1"/>
    <col min="13065" max="13065" width="10.7142857142857" style="2" customWidth="1"/>
    <col min="13066" max="13066" width="2.71428571428571" style="2" customWidth="1"/>
    <col min="13067" max="13067" width="8.71428571428571" style="2" customWidth="1"/>
    <col min="13068" max="13068" width="10.7142857142857" style="2" customWidth="1"/>
    <col min="13069" max="13069" width="8.71428571428571" style="2" customWidth="1"/>
    <col min="13070" max="13070" width="2.71428571428571" style="2" customWidth="1"/>
    <col min="13071" max="13072" width="10.7142857142857" style="2" customWidth="1"/>
    <col min="13073" max="13073" width="8.71428571428571" style="2" customWidth="1"/>
    <col min="13074" max="13074" width="2.71428571428571" style="2" customWidth="1"/>
    <col min="13075" max="13075" width="9.14285714285714" style="2"/>
    <col min="13076" max="13076" width="2.71428571428571" style="2" customWidth="1"/>
    <col min="13077" max="13313" width="9.14285714285714" style="2"/>
    <col min="13314" max="13314" width="4.71428571428571" style="2" customWidth="1"/>
    <col min="13315" max="13315" width="8.71428571428571" style="2" customWidth="1"/>
    <col min="13316" max="13316" width="7.71428571428571" style="2" customWidth="1"/>
    <col min="13317" max="13317" width="8.71428571428571" style="2" customWidth="1"/>
    <col min="13318" max="13318" width="2.71428571428571" style="2" customWidth="1"/>
    <col min="13319" max="13319" width="8.71428571428571" style="2" customWidth="1"/>
    <col min="13320" max="13320" width="2.71428571428571" style="2" customWidth="1"/>
    <col min="13321" max="13321" width="10.7142857142857" style="2" customWidth="1"/>
    <col min="13322" max="13322" width="2.71428571428571" style="2" customWidth="1"/>
    <col min="13323" max="13323" width="8.71428571428571" style="2" customWidth="1"/>
    <col min="13324" max="13324" width="10.7142857142857" style="2" customWidth="1"/>
    <col min="13325" max="13325" width="8.71428571428571" style="2" customWidth="1"/>
    <col min="13326" max="13326" width="2.71428571428571" style="2" customWidth="1"/>
    <col min="13327" max="13328" width="10.7142857142857" style="2" customWidth="1"/>
    <col min="13329" max="13329" width="8.71428571428571" style="2" customWidth="1"/>
    <col min="13330" max="13330" width="2.71428571428571" style="2" customWidth="1"/>
    <col min="13331" max="13331" width="9.14285714285714" style="2"/>
    <col min="13332" max="13332" width="2.71428571428571" style="2" customWidth="1"/>
    <col min="13333" max="13569" width="9.14285714285714" style="2"/>
    <col min="13570" max="13570" width="4.71428571428571" style="2" customWidth="1"/>
    <col min="13571" max="13571" width="8.71428571428571" style="2" customWidth="1"/>
    <col min="13572" max="13572" width="7.71428571428571" style="2" customWidth="1"/>
    <col min="13573" max="13573" width="8.71428571428571" style="2" customWidth="1"/>
    <col min="13574" max="13574" width="2.71428571428571" style="2" customWidth="1"/>
    <col min="13575" max="13575" width="8.71428571428571" style="2" customWidth="1"/>
    <col min="13576" max="13576" width="2.71428571428571" style="2" customWidth="1"/>
    <col min="13577" max="13577" width="10.7142857142857" style="2" customWidth="1"/>
    <col min="13578" max="13578" width="2.71428571428571" style="2" customWidth="1"/>
    <col min="13579" max="13579" width="8.71428571428571" style="2" customWidth="1"/>
    <col min="13580" max="13580" width="10.7142857142857" style="2" customWidth="1"/>
    <col min="13581" max="13581" width="8.71428571428571" style="2" customWidth="1"/>
    <col min="13582" max="13582" width="2.71428571428571" style="2" customWidth="1"/>
    <col min="13583" max="13584" width="10.7142857142857" style="2" customWidth="1"/>
    <col min="13585" max="13585" width="8.71428571428571" style="2" customWidth="1"/>
    <col min="13586" max="13586" width="2.71428571428571" style="2" customWidth="1"/>
    <col min="13587" max="13587" width="9.14285714285714" style="2"/>
    <col min="13588" max="13588" width="2.71428571428571" style="2" customWidth="1"/>
    <col min="13589" max="13825" width="9.14285714285714" style="2"/>
    <col min="13826" max="13826" width="4.71428571428571" style="2" customWidth="1"/>
    <col min="13827" max="13827" width="8.71428571428571" style="2" customWidth="1"/>
    <col min="13828" max="13828" width="7.71428571428571" style="2" customWidth="1"/>
    <col min="13829" max="13829" width="8.71428571428571" style="2" customWidth="1"/>
    <col min="13830" max="13830" width="2.71428571428571" style="2" customWidth="1"/>
    <col min="13831" max="13831" width="8.71428571428571" style="2" customWidth="1"/>
    <col min="13832" max="13832" width="2.71428571428571" style="2" customWidth="1"/>
    <col min="13833" max="13833" width="10.7142857142857" style="2" customWidth="1"/>
    <col min="13834" max="13834" width="2.71428571428571" style="2" customWidth="1"/>
    <col min="13835" max="13835" width="8.71428571428571" style="2" customWidth="1"/>
    <col min="13836" max="13836" width="10.7142857142857" style="2" customWidth="1"/>
    <col min="13837" max="13837" width="8.71428571428571" style="2" customWidth="1"/>
    <col min="13838" max="13838" width="2.71428571428571" style="2" customWidth="1"/>
    <col min="13839" max="13840" width="10.7142857142857" style="2" customWidth="1"/>
    <col min="13841" max="13841" width="8.71428571428571" style="2" customWidth="1"/>
    <col min="13842" max="13842" width="2.71428571428571" style="2" customWidth="1"/>
    <col min="13843" max="13843" width="9.14285714285714" style="2"/>
    <col min="13844" max="13844" width="2.71428571428571" style="2" customWidth="1"/>
    <col min="13845" max="14081" width="9.14285714285714" style="2"/>
    <col min="14082" max="14082" width="4.71428571428571" style="2" customWidth="1"/>
    <col min="14083" max="14083" width="8.71428571428571" style="2" customWidth="1"/>
    <col min="14084" max="14084" width="7.71428571428571" style="2" customWidth="1"/>
    <col min="14085" max="14085" width="8.71428571428571" style="2" customWidth="1"/>
    <col min="14086" max="14086" width="2.71428571428571" style="2" customWidth="1"/>
    <col min="14087" max="14087" width="8.71428571428571" style="2" customWidth="1"/>
    <col min="14088" max="14088" width="2.71428571428571" style="2" customWidth="1"/>
    <col min="14089" max="14089" width="10.7142857142857" style="2" customWidth="1"/>
    <col min="14090" max="14090" width="2.71428571428571" style="2" customWidth="1"/>
    <col min="14091" max="14091" width="8.71428571428571" style="2" customWidth="1"/>
    <col min="14092" max="14092" width="10.7142857142857" style="2" customWidth="1"/>
    <col min="14093" max="14093" width="8.71428571428571" style="2" customWidth="1"/>
    <col min="14094" max="14094" width="2.71428571428571" style="2" customWidth="1"/>
    <col min="14095" max="14096" width="10.7142857142857" style="2" customWidth="1"/>
    <col min="14097" max="14097" width="8.71428571428571" style="2" customWidth="1"/>
    <col min="14098" max="14098" width="2.71428571428571" style="2" customWidth="1"/>
    <col min="14099" max="14099" width="9.14285714285714" style="2"/>
    <col min="14100" max="14100" width="2.71428571428571" style="2" customWidth="1"/>
    <col min="14101" max="14337" width="9.14285714285714" style="2"/>
    <col min="14338" max="14338" width="4.71428571428571" style="2" customWidth="1"/>
    <col min="14339" max="14339" width="8.71428571428571" style="2" customWidth="1"/>
    <col min="14340" max="14340" width="7.71428571428571" style="2" customWidth="1"/>
    <col min="14341" max="14341" width="8.71428571428571" style="2" customWidth="1"/>
    <col min="14342" max="14342" width="2.71428571428571" style="2" customWidth="1"/>
    <col min="14343" max="14343" width="8.71428571428571" style="2" customWidth="1"/>
    <col min="14344" max="14344" width="2.71428571428571" style="2" customWidth="1"/>
    <col min="14345" max="14345" width="10.7142857142857" style="2" customWidth="1"/>
    <col min="14346" max="14346" width="2.71428571428571" style="2" customWidth="1"/>
    <col min="14347" max="14347" width="8.71428571428571" style="2" customWidth="1"/>
    <col min="14348" max="14348" width="10.7142857142857" style="2" customWidth="1"/>
    <col min="14349" max="14349" width="8.71428571428571" style="2" customWidth="1"/>
    <col min="14350" max="14350" width="2.71428571428571" style="2" customWidth="1"/>
    <col min="14351" max="14352" width="10.7142857142857" style="2" customWidth="1"/>
    <col min="14353" max="14353" width="8.71428571428571" style="2" customWidth="1"/>
    <col min="14354" max="14354" width="2.71428571428571" style="2" customWidth="1"/>
    <col min="14355" max="14355" width="9.14285714285714" style="2"/>
    <col min="14356" max="14356" width="2.71428571428571" style="2" customWidth="1"/>
    <col min="14357" max="14593" width="9.14285714285714" style="2"/>
    <col min="14594" max="14594" width="4.71428571428571" style="2" customWidth="1"/>
    <col min="14595" max="14595" width="8.71428571428571" style="2" customWidth="1"/>
    <col min="14596" max="14596" width="7.71428571428571" style="2" customWidth="1"/>
    <col min="14597" max="14597" width="8.71428571428571" style="2" customWidth="1"/>
    <col min="14598" max="14598" width="2.71428571428571" style="2" customWidth="1"/>
    <col min="14599" max="14599" width="8.71428571428571" style="2" customWidth="1"/>
    <col min="14600" max="14600" width="2.71428571428571" style="2" customWidth="1"/>
    <col min="14601" max="14601" width="10.7142857142857" style="2" customWidth="1"/>
    <col min="14602" max="14602" width="2.71428571428571" style="2" customWidth="1"/>
    <col min="14603" max="14603" width="8.71428571428571" style="2" customWidth="1"/>
    <col min="14604" max="14604" width="10.7142857142857" style="2" customWidth="1"/>
    <col min="14605" max="14605" width="8.71428571428571" style="2" customWidth="1"/>
    <col min="14606" max="14606" width="2.71428571428571" style="2" customWidth="1"/>
    <col min="14607" max="14608" width="10.7142857142857" style="2" customWidth="1"/>
    <col min="14609" max="14609" width="8.71428571428571" style="2" customWidth="1"/>
    <col min="14610" max="14610" width="2.71428571428571" style="2" customWidth="1"/>
    <col min="14611" max="14611" width="9.14285714285714" style="2"/>
    <col min="14612" max="14612" width="2.71428571428571" style="2" customWidth="1"/>
    <col min="14613" max="14849" width="9.14285714285714" style="2"/>
    <col min="14850" max="14850" width="4.71428571428571" style="2" customWidth="1"/>
    <col min="14851" max="14851" width="8.71428571428571" style="2" customWidth="1"/>
    <col min="14852" max="14852" width="7.71428571428571" style="2" customWidth="1"/>
    <col min="14853" max="14853" width="8.71428571428571" style="2" customWidth="1"/>
    <col min="14854" max="14854" width="2.71428571428571" style="2" customWidth="1"/>
    <col min="14855" max="14855" width="8.71428571428571" style="2" customWidth="1"/>
    <col min="14856" max="14856" width="2.71428571428571" style="2" customWidth="1"/>
    <col min="14857" max="14857" width="10.7142857142857" style="2" customWidth="1"/>
    <col min="14858" max="14858" width="2.71428571428571" style="2" customWidth="1"/>
    <col min="14859" max="14859" width="8.71428571428571" style="2" customWidth="1"/>
    <col min="14860" max="14860" width="10.7142857142857" style="2" customWidth="1"/>
    <col min="14861" max="14861" width="8.71428571428571" style="2" customWidth="1"/>
    <col min="14862" max="14862" width="2.71428571428571" style="2" customWidth="1"/>
    <col min="14863" max="14864" width="10.7142857142857" style="2" customWidth="1"/>
    <col min="14865" max="14865" width="8.71428571428571" style="2" customWidth="1"/>
    <col min="14866" max="14866" width="2.71428571428571" style="2" customWidth="1"/>
    <col min="14867" max="14867" width="9.14285714285714" style="2"/>
    <col min="14868" max="14868" width="2.71428571428571" style="2" customWidth="1"/>
    <col min="14869" max="15105" width="9.14285714285714" style="2"/>
    <col min="15106" max="15106" width="4.71428571428571" style="2" customWidth="1"/>
    <col min="15107" max="15107" width="8.71428571428571" style="2" customWidth="1"/>
    <col min="15108" max="15108" width="7.71428571428571" style="2" customWidth="1"/>
    <col min="15109" max="15109" width="8.71428571428571" style="2" customWidth="1"/>
    <col min="15110" max="15110" width="2.71428571428571" style="2" customWidth="1"/>
    <col min="15111" max="15111" width="8.71428571428571" style="2" customWidth="1"/>
    <col min="15112" max="15112" width="2.71428571428571" style="2" customWidth="1"/>
    <col min="15113" max="15113" width="10.7142857142857" style="2" customWidth="1"/>
    <col min="15114" max="15114" width="2.71428571428571" style="2" customWidth="1"/>
    <col min="15115" max="15115" width="8.71428571428571" style="2" customWidth="1"/>
    <col min="15116" max="15116" width="10.7142857142857" style="2" customWidth="1"/>
    <col min="15117" max="15117" width="8.71428571428571" style="2" customWidth="1"/>
    <col min="15118" max="15118" width="2.71428571428571" style="2" customWidth="1"/>
    <col min="15119" max="15120" width="10.7142857142857" style="2" customWidth="1"/>
    <col min="15121" max="15121" width="8.71428571428571" style="2" customWidth="1"/>
    <col min="15122" max="15122" width="2.71428571428571" style="2" customWidth="1"/>
    <col min="15123" max="15123" width="9.14285714285714" style="2"/>
    <col min="15124" max="15124" width="2.71428571428571" style="2" customWidth="1"/>
    <col min="15125" max="15361" width="9.14285714285714" style="2"/>
    <col min="15362" max="15362" width="4.71428571428571" style="2" customWidth="1"/>
    <col min="15363" max="15363" width="8.71428571428571" style="2" customWidth="1"/>
    <col min="15364" max="15364" width="7.71428571428571" style="2" customWidth="1"/>
    <col min="15365" max="15365" width="8.71428571428571" style="2" customWidth="1"/>
    <col min="15366" max="15366" width="2.71428571428571" style="2" customWidth="1"/>
    <col min="15367" max="15367" width="8.71428571428571" style="2" customWidth="1"/>
    <col min="15368" max="15368" width="2.71428571428571" style="2" customWidth="1"/>
    <col min="15369" max="15369" width="10.7142857142857" style="2" customWidth="1"/>
    <col min="15370" max="15370" width="2.71428571428571" style="2" customWidth="1"/>
    <col min="15371" max="15371" width="8.71428571428571" style="2" customWidth="1"/>
    <col min="15372" max="15372" width="10.7142857142857" style="2" customWidth="1"/>
    <col min="15373" max="15373" width="8.71428571428571" style="2" customWidth="1"/>
    <col min="15374" max="15374" width="2.71428571428571" style="2" customWidth="1"/>
    <col min="15375" max="15376" width="10.7142857142857" style="2" customWidth="1"/>
    <col min="15377" max="15377" width="8.71428571428571" style="2" customWidth="1"/>
    <col min="15378" max="15378" width="2.71428571428571" style="2" customWidth="1"/>
    <col min="15379" max="15379" width="9.14285714285714" style="2"/>
    <col min="15380" max="15380" width="2.71428571428571" style="2" customWidth="1"/>
    <col min="15381" max="15617" width="9.14285714285714" style="2"/>
    <col min="15618" max="15618" width="4.71428571428571" style="2" customWidth="1"/>
    <col min="15619" max="15619" width="8.71428571428571" style="2" customWidth="1"/>
    <col min="15620" max="15620" width="7.71428571428571" style="2" customWidth="1"/>
    <col min="15621" max="15621" width="8.71428571428571" style="2" customWidth="1"/>
    <col min="15622" max="15622" width="2.71428571428571" style="2" customWidth="1"/>
    <col min="15623" max="15623" width="8.71428571428571" style="2" customWidth="1"/>
    <col min="15624" max="15624" width="2.71428571428571" style="2" customWidth="1"/>
    <col min="15625" max="15625" width="10.7142857142857" style="2" customWidth="1"/>
    <col min="15626" max="15626" width="2.71428571428571" style="2" customWidth="1"/>
    <col min="15627" max="15627" width="8.71428571428571" style="2" customWidth="1"/>
    <col min="15628" max="15628" width="10.7142857142857" style="2" customWidth="1"/>
    <col min="15629" max="15629" width="8.71428571428571" style="2" customWidth="1"/>
    <col min="15630" max="15630" width="2.71428571428571" style="2" customWidth="1"/>
    <col min="15631" max="15632" width="10.7142857142857" style="2" customWidth="1"/>
    <col min="15633" max="15633" width="8.71428571428571" style="2" customWidth="1"/>
    <col min="15634" max="15634" width="2.71428571428571" style="2" customWidth="1"/>
    <col min="15635" max="15635" width="9.14285714285714" style="2"/>
    <col min="15636" max="15636" width="2.71428571428571" style="2" customWidth="1"/>
    <col min="15637" max="15873" width="9.14285714285714" style="2"/>
    <col min="15874" max="15874" width="4.71428571428571" style="2" customWidth="1"/>
    <col min="15875" max="15875" width="8.71428571428571" style="2" customWidth="1"/>
    <col min="15876" max="15876" width="7.71428571428571" style="2" customWidth="1"/>
    <col min="15877" max="15877" width="8.71428571428571" style="2" customWidth="1"/>
    <col min="15878" max="15878" width="2.71428571428571" style="2" customWidth="1"/>
    <col min="15879" max="15879" width="8.71428571428571" style="2" customWidth="1"/>
    <col min="15880" max="15880" width="2.71428571428571" style="2" customWidth="1"/>
    <col min="15881" max="15881" width="10.7142857142857" style="2" customWidth="1"/>
    <col min="15882" max="15882" width="2.71428571428571" style="2" customWidth="1"/>
    <col min="15883" max="15883" width="8.71428571428571" style="2" customWidth="1"/>
    <col min="15884" max="15884" width="10.7142857142857" style="2" customWidth="1"/>
    <col min="15885" max="15885" width="8.71428571428571" style="2" customWidth="1"/>
    <col min="15886" max="15886" width="2.71428571428571" style="2" customWidth="1"/>
    <col min="15887" max="15888" width="10.7142857142857" style="2" customWidth="1"/>
    <col min="15889" max="15889" width="8.71428571428571" style="2" customWidth="1"/>
    <col min="15890" max="15890" width="2.71428571428571" style="2" customWidth="1"/>
    <col min="15891" max="15891" width="9.14285714285714" style="2"/>
    <col min="15892" max="15892" width="2.71428571428571" style="2" customWidth="1"/>
    <col min="15893" max="16129" width="9.14285714285714" style="2"/>
    <col min="16130" max="16130" width="4.71428571428571" style="2" customWidth="1"/>
    <col min="16131" max="16131" width="8.71428571428571" style="2" customWidth="1"/>
    <col min="16132" max="16132" width="7.71428571428571" style="2" customWidth="1"/>
    <col min="16133" max="16133" width="8.71428571428571" style="2" customWidth="1"/>
    <col min="16134" max="16134" width="2.71428571428571" style="2" customWidth="1"/>
    <col min="16135" max="16135" width="8.71428571428571" style="2" customWidth="1"/>
    <col min="16136" max="16136" width="2.71428571428571" style="2" customWidth="1"/>
    <col min="16137" max="16137" width="10.7142857142857" style="2" customWidth="1"/>
    <col min="16138" max="16138" width="2.71428571428571" style="2" customWidth="1"/>
    <col min="16139" max="16139" width="8.71428571428571" style="2" customWidth="1"/>
    <col min="16140" max="16140" width="10.7142857142857" style="2" customWidth="1"/>
    <col min="16141" max="16141" width="8.71428571428571" style="2" customWidth="1"/>
    <col min="16142" max="16142" width="2.71428571428571" style="2" customWidth="1"/>
    <col min="16143" max="16144" width="10.7142857142857" style="2" customWidth="1"/>
    <col min="16145" max="16145" width="8.71428571428571" style="2" customWidth="1"/>
    <col min="16146" max="16146" width="2.71428571428571" style="2" customWidth="1"/>
    <col min="16147" max="16147" width="9.14285714285714" style="2"/>
    <col min="16148" max="16148" width="2.71428571428571" style="2" customWidth="1"/>
    <col min="16149" max="16384" width="9.14285714285714" style="2"/>
  </cols>
  <sheetData>
    <row r="1" spans="4:18" ht="18.75" customHeight="1">
      <c r="D1" s="1"/>
      <c r="O1" s="9"/>
      <c r="Q1" s="9"/>
      <c r="R1" s="9" t="s">
        <v>31</v>
      </c>
    </row>
    <row r="2" spans="15:18" ht="18.75" customHeight="1">
      <c r="O2" s="9"/>
      <c r="Q2" s="9"/>
      <c r="R2" s="9" t="s">
        <v>63</v>
      </c>
    </row>
    <row r="3" spans="15:17" ht="18.75" customHeight="1">
      <c r="O3" s="9"/>
      <c r="Q3" s="9"/>
    </row>
    <row r="4" spans="1:22" ht="18" customHeight="1">
      <c r="A4" s="20" t="s">
        <v>88</v>
      </c>
      <c r="B4" s="18"/>
      <c r="C4" s="18"/>
      <c r="D4" s="18"/>
      <c r="E4" s="18"/>
      <c r="F4" s="19"/>
      <c r="G4" s="22"/>
      <c r="H4" s="20"/>
      <c r="I4" s="19"/>
      <c r="J4" s="18"/>
      <c r="K4" s="18"/>
      <c r="L4" s="20"/>
      <c r="M4" s="22"/>
      <c r="N4" s="18"/>
      <c r="O4" s="18"/>
      <c r="P4" s="19"/>
      <c r="Q4" s="18"/>
      <c r="R4" s="18"/>
      <c r="S4" s="18"/>
      <c r="T4" s="18"/>
      <c r="U4" s="18"/>
      <c r="V4" s="18"/>
    </row>
    <row r="5" spans="1:22" ht="18" customHeight="1">
      <c r="A5" s="20" t="s">
        <v>51</v>
      </c>
      <c r="B5" s="18"/>
      <c r="C5" s="18"/>
      <c r="D5" s="18"/>
      <c r="E5" s="18"/>
      <c r="F5" s="19"/>
      <c r="G5" s="22"/>
      <c r="H5" s="20"/>
      <c r="I5" s="21"/>
      <c r="J5" s="18"/>
      <c r="K5" s="19"/>
      <c r="L5" s="20"/>
      <c r="M5" s="23"/>
      <c r="N5" s="18"/>
      <c r="O5" s="18"/>
      <c r="P5" s="21"/>
      <c r="Q5" s="20"/>
      <c r="R5" s="18"/>
      <c r="S5" s="18"/>
      <c r="T5" s="18"/>
      <c r="U5" s="18"/>
      <c r="V5" s="18"/>
    </row>
    <row r="6" spans="1:22" ht="18" customHeight="1">
      <c r="A6" s="20" t="s">
        <v>72</v>
      </c>
      <c r="B6" s="18"/>
      <c r="C6" s="18"/>
      <c r="D6" s="18"/>
      <c r="E6" s="18"/>
      <c r="F6" s="19"/>
      <c r="G6" s="22"/>
      <c r="H6" s="19"/>
      <c r="I6" s="19"/>
      <c r="J6" s="20"/>
      <c r="K6" s="19"/>
      <c r="L6" s="19"/>
      <c r="M6" s="22"/>
      <c r="N6" s="18"/>
      <c r="O6" s="20"/>
      <c r="P6" s="21"/>
      <c r="Q6" s="20"/>
      <c r="R6" s="18"/>
      <c r="S6" s="18"/>
      <c r="T6" s="18"/>
      <c r="U6" s="18"/>
      <c r="V6" s="18"/>
    </row>
    <row r="7" spans="1:22" ht="18" customHeight="1">
      <c r="A7" s="20" t="s">
        <v>49</v>
      </c>
      <c r="B7" s="18"/>
      <c r="C7" s="18"/>
      <c r="D7" s="18"/>
      <c r="E7" s="18"/>
      <c r="F7" s="18"/>
      <c r="G7" s="22"/>
      <c r="H7" s="19"/>
      <c r="I7" s="19"/>
      <c r="J7" s="20"/>
      <c r="K7" s="19"/>
      <c r="L7" s="19"/>
      <c r="M7" s="22"/>
      <c r="N7" s="18"/>
      <c r="O7" s="20"/>
      <c r="P7" s="21"/>
      <c r="Q7" s="20"/>
      <c r="R7" s="18"/>
      <c r="S7" s="18"/>
      <c r="T7" s="18"/>
      <c r="U7" s="18"/>
      <c r="V7" s="18"/>
    </row>
    <row r="8" spans="1:22" ht="18" customHeight="1">
      <c r="A8" s="20" t="s">
        <v>109</v>
      </c>
      <c r="B8" s="18"/>
      <c r="C8" s="18"/>
      <c r="D8" s="18"/>
      <c r="E8" s="18"/>
      <c r="F8" s="18"/>
      <c r="G8" s="22"/>
      <c r="H8" s="19"/>
      <c r="I8" s="19"/>
      <c r="J8" s="20"/>
      <c r="K8" s="19"/>
      <c r="L8" s="19"/>
      <c r="M8" s="22"/>
      <c r="N8" s="18"/>
      <c r="O8" s="20"/>
      <c r="P8" s="21"/>
      <c r="Q8" s="20"/>
      <c r="R8" s="18"/>
      <c r="S8" s="18"/>
      <c r="T8" s="18"/>
      <c r="U8" s="18"/>
      <c r="V8" s="18"/>
    </row>
    <row r="9" spans="1:22" ht="18" customHeight="1">
      <c r="A9" s="20"/>
      <c r="B9" s="18"/>
      <c r="C9" s="18"/>
      <c r="D9" s="18"/>
      <c r="E9" s="18"/>
      <c r="F9" s="19"/>
      <c r="G9" s="22"/>
      <c r="H9" s="21"/>
      <c r="I9" s="21"/>
      <c r="J9" s="18"/>
      <c r="K9" s="19"/>
      <c r="L9" s="21"/>
      <c r="M9" s="23"/>
      <c r="N9" s="18"/>
      <c r="O9" s="18"/>
      <c r="P9" s="19"/>
      <c r="Q9" s="18"/>
      <c r="R9" s="18"/>
      <c r="S9" s="18"/>
      <c r="T9" s="18"/>
      <c r="U9" s="18"/>
      <c r="V9" s="18"/>
    </row>
    <row r="10" spans="1:22" ht="18" customHeight="1">
      <c r="A10" s="20" t="s">
        <v>58</v>
      </c>
      <c r="B10" s="18"/>
      <c r="C10" s="18"/>
      <c r="D10" s="18"/>
      <c r="E10" s="18"/>
      <c r="F10" s="19"/>
      <c r="G10" s="22"/>
      <c r="H10" s="21"/>
      <c r="I10" s="21"/>
      <c r="J10" s="18"/>
      <c r="K10" s="19"/>
      <c r="L10" s="21"/>
      <c r="M10" s="23"/>
      <c r="N10" s="18"/>
      <c r="O10" s="18"/>
      <c r="P10" s="19"/>
      <c r="Q10" s="18"/>
      <c r="R10" s="18"/>
      <c r="S10" s="18"/>
      <c r="T10" s="18"/>
      <c r="U10" s="18"/>
      <c r="V10" s="18"/>
    </row>
    <row r="11" spans="15:17" ht="18.75" customHeight="1">
      <c r="O11" s="9"/>
      <c r="Q11" s="9"/>
    </row>
    <row r="12" spans="3:17" ht="18.75" customHeight="1">
      <c r="C12" s="2" t="s">
        <v>34</v>
      </c>
      <c r="O12" s="9"/>
      <c r="Q12" s="9"/>
    </row>
    <row r="13" spans="3:17" ht="18.75" customHeight="1">
      <c r="C13" s="2" t="s">
        <v>35</v>
      </c>
      <c r="O13" s="9"/>
      <c r="Q13" s="9"/>
    </row>
    <row r="14" spans="15:17" ht="10" customHeight="1">
      <c r="O14" s="9"/>
      <c r="Q14" s="9"/>
    </row>
    <row r="15" spans="7:19" ht="18.75" customHeight="1">
      <c r="G15" s="11"/>
      <c r="I15" s="11" t="s">
        <v>45</v>
      </c>
      <c r="K15" s="11" t="s">
        <v>46</v>
      </c>
      <c r="M15" s="9" t="s">
        <v>47</v>
      </c>
      <c r="O15" s="9" t="s">
        <v>69</v>
      </c>
      <c r="P15" s="2"/>
      <c r="Q15" s="2" t="s">
        <v>48</v>
      </c>
      <c r="S15" s="2" t="s">
        <v>70</v>
      </c>
    </row>
    <row r="16" spans="6:19" ht="18.75" customHeight="1">
      <c r="F16" s="7"/>
      <c r="G16" s="11"/>
      <c r="I16" s="7" t="s">
        <v>106</v>
      </c>
      <c r="K16" s="24"/>
      <c r="M16" s="7" t="s">
        <v>111</v>
      </c>
      <c r="N16" s="7"/>
      <c r="O16" s="7"/>
      <c r="P16" s="2"/>
      <c r="Q16" s="7" t="s">
        <v>110</v>
      </c>
      <c r="R16" s="7"/>
      <c r="S16" s="7"/>
    </row>
    <row r="17" spans="3:19" ht="18.75" customHeight="1">
      <c r="C17" s="2" t="s">
        <v>2</v>
      </c>
      <c r="G17" s="11"/>
      <c r="I17" s="11" t="s">
        <v>52</v>
      </c>
      <c r="K17" s="24"/>
      <c r="M17" s="11" t="s">
        <v>52</v>
      </c>
      <c r="P17" s="2"/>
      <c r="Q17" s="11" t="s">
        <v>52</v>
      </c>
      <c r="R17" s="11"/>
      <c r="S17" s="11"/>
    </row>
    <row r="18" spans="3:19" ht="18.75" customHeight="1">
      <c r="C18" s="8" t="s">
        <v>9</v>
      </c>
      <c r="F18" s="12"/>
      <c r="G18" s="12"/>
      <c r="I18" s="13" t="s">
        <v>71</v>
      </c>
      <c r="J18" s="12"/>
      <c r="K18" s="17" t="s">
        <v>16</v>
      </c>
      <c r="M18" s="13" t="s">
        <v>41</v>
      </c>
      <c r="N18" s="12"/>
      <c r="O18" s="17" t="s">
        <v>16</v>
      </c>
      <c r="P18" s="2"/>
      <c r="Q18" s="13" t="s">
        <v>41</v>
      </c>
      <c r="R18" s="12"/>
      <c r="S18" s="17" t="s">
        <v>16</v>
      </c>
    </row>
    <row r="19" spans="3:19" ht="18" customHeight="1">
      <c r="C19" s="2"/>
      <c r="G19" s="11"/>
      <c r="I19" s="9"/>
      <c r="K19" s="9"/>
      <c r="M19" s="11"/>
      <c r="P19" s="2"/>
      <c r="R19" s="11"/>
      <c r="S19" s="11"/>
    </row>
    <row r="20" spans="3:23" ht="22" customHeight="1">
      <c r="C20" s="10">
        <v>1</v>
      </c>
      <c r="D20" s="10" t="s">
        <v>17</v>
      </c>
      <c r="F20" s="15"/>
      <c r="G20" s="15"/>
      <c r="H20" s="9"/>
      <c r="I20" s="9">
        <v>0.78569562045626562</v>
      </c>
      <c r="J20" s="2"/>
      <c r="K20" s="9">
        <v>0.83532317305206238</v>
      </c>
      <c r="M20" s="9">
        <v>0.90496111976161475</v>
      </c>
      <c r="N20" s="9"/>
      <c r="O20" s="9">
        <v>0.82507548783996498</v>
      </c>
      <c r="Q20" s="9">
        <v>0.91247379454926625</v>
      </c>
      <c r="S20" s="9">
        <v>0.91433034199999996</v>
      </c>
      <c r="W20" s="14"/>
    </row>
    <row r="21" spans="3:23" ht="22" customHeight="1">
      <c r="C21" s="10">
        <v>2</v>
      </c>
      <c r="D21" s="10" t="s">
        <v>18</v>
      </c>
      <c r="F21" s="9"/>
      <c r="G21" s="15"/>
      <c r="H21" s="9"/>
      <c r="I21" s="9">
        <v>0.90023040198460103</v>
      </c>
      <c r="J21" s="2"/>
      <c r="K21" s="9">
        <v>0.6274596983252464</v>
      </c>
      <c r="M21" s="9">
        <v>0.85794391986862484</v>
      </c>
      <c r="N21" s="9"/>
      <c r="O21" s="9">
        <v>0.65062322158865915</v>
      </c>
      <c r="Q21" s="9">
        <v>0.75731056563500532</v>
      </c>
      <c r="S21" s="9">
        <v>0.75180000000000002</v>
      </c>
      <c r="W21" s="14"/>
    </row>
    <row r="22" spans="3:23" ht="22" customHeight="1">
      <c r="C22" s="10">
        <v>3</v>
      </c>
      <c r="D22" s="10" t="s">
        <v>19</v>
      </c>
      <c r="F22" s="16"/>
      <c r="G22" s="15"/>
      <c r="H22" s="9"/>
      <c r="I22" s="9">
        <v>0.80709965419906204</v>
      </c>
      <c r="J22" s="2"/>
      <c r="K22" s="9">
        <v>0.6693297055436721</v>
      </c>
      <c r="M22" s="9">
        <v>0.77907520144477616</v>
      </c>
      <c r="N22" s="9"/>
      <c r="O22" s="9">
        <v>0.66067909474867015</v>
      </c>
      <c r="Q22" s="9">
        <v>0.74289937626437585</v>
      </c>
      <c r="S22" s="9">
        <v>0.78054630300000005</v>
      </c>
      <c r="W22" s="14"/>
    </row>
    <row r="23" spans="3:23" ht="22" customHeight="1">
      <c r="C23" s="10">
        <v>4</v>
      </c>
      <c r="D23" s="10" t="s">
        <v>20</v>
      </c>
      <c r="F23" s="16"/>
      <c r="G23" s="15"/>
      <c r="H23" s="9"/>
      <c r="I23" s="9">
        <v>0.84432328498197373</v>
      </c>
      <c r="J23" s="2"/>
      <c r="K23" s="9">
        <v>0.81899939167401448</v>
      </c>
      <c r="M23" s="9">
        <v>0.82424728692190918</v>
      </c>
      <c r="N23" s="9"/>
      <c r="O23" s="9">
        <v>0.67398471868045151</v>
      </c>
      <c r="Q23" s="9">
        <v>0.93105397004803614</v>
      </c>
      <c r="S23" s="9">
        <v>0.81184690000000004</v>
      </c>
      <c r="W23" s="14"/>
    </row>
    <row r="24" spans="3:23" ht="22" customHeight="1">
      <c r="C24" s="10">
        <v>5</v>
      </c>
      <c r="D24" s="10" t="s">
        <v>21</v>
      </c>
      <c r="F24" s="16"/>
      <c r="G24" s="15"/>
      <c r="H24" s="9"/>
      <c r="I24" s="9">
        <v>0.74516017026807901</v>
      </c>
      <c r="J24" s="2"/>
      <c r="K24" s="9">
        <v>0.74166179298806745</v>
      </c>
      <c r="M24" s="9">
        <v>0.83493781367321984</v>
      </c>
      <c r="N24" s="9"/>
      <c r="O24" s="9">
        <v>0.72727263899470451</v>
      </c>
      <c r="Q24" s="9">
        <v>0.85537190082644632</v>
      </c>
      <c r="S24" s="9">
        <v>0.87035585000000004</v>
      </c>
      <c r="W24" s="14"/>
    </row>
    <row r="25" spans="3:23" ht="22" customHeight="1">
      <c r="C25" s="10">
        <v>6</v>
      </c>
      <c r="D25" s="10" t="s">
        <v>22</v>
      </c>
      <c r="F25" s="16"/>
      <c r="G25" s="15"/>
      <c r="H25" s="9"/>
      <c r="I25" s="9">
        <v>0.8405668517843945</v>
      </c>
      <c r="J25" s="2"/>
      <c r="K25" s="9">
        <v>0.5904614464752258</v>
      </c>
      <c r="M25" s="9">
        <v>0.78014067176986324</v>
      </c>
      <c r="N25" s="9"/>
      <c r="O25" s="9">
        <v>0.67335174677528253</v>
      </c>
      <c r="Q25" s="9">
        <v>0.77474871581982752</v>
      </c>
      <c r="S25" s="9">
        <v>0.81093599999999999</v>
      </c>
      <c r="W25" s="14"/>
    </row>
    <row r="26" spans="3:23" ht="22" customHeight="1">
      <c r="C26" s="10">
        <v>7</v>
      </c>
      <c r="D26" s="10" t="s">
        <v>23</v>
      </c>
      <c r="F26" s="15"/>
      <c r="G26" s="15"/>
      <c r="H26" s="9"/>
      <c r="I26" s="9">
        <v>0.85125709006097583</v>
      </c>
      <c r="J26" s="2"/>
      <c r="K26" s="9">
        <v>0.6463006442606718</v>
      </c>
      <c r="M26" s="9">
        <v>0.88391888814703545</v>
      </c>
      <c r="N26" s="9"/>
      <c r="O26" s="9">
        <v>0.69140775617260564</v>
      </c>
      <c r="Q26" s="9">
        <v>0.7510061711832573</v>
      </c>
      <c r="S26" s="9">
        <v>0.81806100000000004</v>
      </c>
      <c r="W26" s="9"/>
    </row>
    <row r="27" spans="3:23" ht="22" customHeight="1">
      <c r="C27" s="10">
        <v>8</v>
      </c>
      <c r="D27" s="10" t="s">
        <v>24</v>
      </c>
      <c r="F27" s="15"/>
      <c r="H27" s="9"/>
      <c r="I27" s="9">
        <v>0.76014623436621898</v>
      </c>
      <c r="J27" s="2"/>
      <c r="K27" s="9">
        <v>0.74940768685449211</v>
      </c>
      <c r="M27" s="9">
        <v>0.82529670180891657</v>
      </c>
      <c r="N27" s="9"/>
      <c r="O27" s="9">
        <v>0.70087601929646759</v>
      </c>
      <c r="Q27" s="9">
        <v>0.85705502612972639</v>
      </c>
      <c r="S27" s="9">
        <v>0.88504439999999995</v>
      </c>
      <c r="W27" s="9"/>
    </row>
    <row r="28" spans="3:23" ht="22" customHeight="1">
      <c r="C28" s="10">
        <v>9</v>
      </c>
      <c r="D28" s="10" t="s">
        <v>25</v>
      </c>
      <c r="F28" s="15"/>
      <c r="G28" s="16"/>
      <c r="H28" s="9"/>
      <c r="I28" s="9">
        <v>0.8387974544879967</v>
      </c>
      <c r="J28" s="2"/>
      <c r="K28" s="9">
        <v>0.78220003189631138</v>
      </c>
      <c r="M28" s="9">
        <v>0.84296079055500606</v>
      </c>
      <c r="N28" s="9"/>
      <c r="O28" s="9">
        <v>0.66923742467015046</v>
      </c>
      <c r="Q28" s="9">
        <v>0.87137301824708346</v>
      </c>
      <c r="S28" s="9">
        <v>0.86838499999999996</v>
      </c>
      <c r="W28" s="9"/>
    </row>
    <row r="29" spans="3:23" ht="22" customHeight="1">
      <c r="C29" s="10">
        <v>10</v>
      </c>
      <c r="D29" s="10" t="s">
        <v>26</v>
      </c>
      <c r="F29" s="15"/>
      <c r="G29" s="16"/>
      <c r="H29" s="9"/>
      <c r="I29" s="9">
        <v>0.86239028058827705</v>
      </c>
      <c r="J29" s="2"/>
      <c r="K29" s="9">
        <v>0.65287881328850794</v>
      </c>
      <c r="M29" s="9">
        <v>0.85348307474238239</v>
      </c>
      <c r="N29" s="9"/>
      <c r="O29" s="9">
        <v>0.7306873538299955</v>
      </c>
      <c r="Q29" s="9">
        <v>0.84974149351919404</v>
      </c>
      <c r="S29" s="9">
        <v>0.8900496</v>
      </c>
      <c r="W29" s="9"/>
    </row>
    <row r="30" spans="3:23" ht="22" customHeight="1">
      <c r="C30" s="10">
        <v>11</v>
      </c>
      <c r="D30" s="10" t="s">
        <v>27</v>
      </c>
      <c r="F30" s="15"/>
      <c r="G30" s="16"/>
      <c r="H30" s="9"/>
      <c r="I30" s="9">
        <v>0.80456088581771368</v>
      </c>
      <c r="J30" s="2"/>
      <c r="K30" s="9">
        <v>0.54712740223250844</v>
      </c>
      <c r="M30" s="9">
        <v>0.85873610334871986</v>
      </c>
      <c r="N30" s="9"/>
      <c r="O30" s="9">
        <v>0.74449077951335474</v>
      </c>
      <c r="Q30" s="9">
        <v>0.79113954094185068</v>
      </c>
      <c r="S30" s="9">
        <v>0.86416057633314158</v>
      </c>
      <c r="W30" s="9"/>
    </row>
    <row r="31" spans="3:23" ht="22" customHeight="1">
      <c r="C31" s="10">
        <v>12</v>
      </c>
      <c r="D31" s="10" t="s">
        <v>28</v>
      </c>
      <c r="F31" s="15"/>
      <c r="G31" s="16"/>
      <c r="H31" s="9"/>
      <c r="I31" s="9">
        <v>0.83006530706438963</v>
      </c>
      <c r="J31" s="2"/>
      <c r="K31" s="9">
        <v>0.80793012360783067</v>
      </c>
      <c r="M31" s="9">
        <v>0.82892109788408108</v>
      </c>
      <c r="N31" s="9"/>
      <c r="O31" s="9">
        <v>0.79300181948726267</v>
      </c>
      <c r="Q31" s="9">
        <v>0.9206777220281116</v>
      </c>
      <c r="S31" s="9">
        <v>0.88016498840213886</v>
      </c>
      <c r="W31" s="9"/>
    </row>
    <row r="32" spans="4:21" ht="21" customHeight="1">
      <c r="D32" s="10"/>
      <c r="E32" s="10"/>
      <c r="F32" s="16"/>
      <c r="H32" s="9"/>
      <c r="I32" s="9"/>
      <c r="J32" s="16"/>
      <c r="K32" s="9"/>
      <c r="L32" s="9"/>
      <c r="N32" s="9"/>
      <c r="O32" s="9"/>
      <c r="P32" s="2"/>
      <c r="Q32" s="9"/>
      <c r="S32" s="9"/>
      <c r="U32" s="9"/>
    </row>
    <row r="33" spans="3:21" ht="21" customHeight="1">
      <c r="C33" s="2" t="s">
        <v>36</v>
      </c>
      <c r="E33" s="10"/>
      <c r="F33" s="16"/>
      <c r="H33" s="9"/>
      <c r="I33" s="9"/>
      <c r="J33" s="16"/>
      <c r="K33" s="9"/>
      <c r="L33" s="9"/>
      <c r="N33" s="9"/>
      <c r="O33" s="9"/>
      <c r="P33" s="2"/>
      <c r="Q33" s="9"/>
      <c r="S33" s="9"/>
      <c r="U33" s="9"/>
    </row>
  </sheetData>
  <pageMargins left="0.5" right="1" top="1.5" bottom="0.5" header="0.5" footer="0.5"/>
  <pageSetup orientation="landscape" scale="72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V33"/>
  <sheetViews>
    <sheetView zoomScale="75" zoomScaleNormal="75" workbookViewId="0" topLeftCell="A1">
      <selection pane="topLeft" activeCell="Q20" sqref="Q20:S31"/>
    </sheetView>
  </sheetViews>
  <sheetFormatPr defaultRowHeight="18.75" customHeight="1"/>
  <cols>
    <col min="2" max="2" width="4.71428571428571" customWidth="1"/>
    <col min="3" max="3" width="8.71428571428571" customWidth="1"/>
    <col min="4" max="4" width="7.71428571428571" style="2" customWidth="1"/>
    <col min="5" max="5" width="8.71428571428571" style="2" customWidth="1"/>
    <col min="6" max="6" width="2.71428571428571" style="11" customWidth="1"/>
    <col min="7" max="7" width="8.71428571428571" style="9" customWidth="1"/>
    <col min="8" max="8" width="2.71428571428571" style="11" customWidth="1"/>
    <col min="9" max="9" width="10.7142857142857" style="11" customWidth="1"/>
    <col min="10" max="10" width="2.71428571428571" style="11" customWidth="1"/>
    <col min="11" max="11" width="8.71428571428571" style="11" customWidth="1"/>
    <col min="12" max="12" width="10.7142857142857" style="11" customWidth="1"/>
    <col min="13" max="13" width="8.71428571428571" style="9" customWidth="1"/>
    <col min="14" max="14" width="2.71428571428571" style="11" customWidth="1"/>
    <col min="15" max="16" width="10.7142857142857" style="11" customWidth="1"/>
    <col min="17" max="17" width="8.71428571428571" style="11" customWidth="1"/>
    <col min="18" max="18" width="2.71428571428571" style="2" customWidth="1"/>
    <col min="19" max="19" width="9.14285714285714" style="2"/>
    <col min="20" max="20" width="2.71428571428571" style="2" customWidth="1"/>
    <col min="21" max="257" width="9.14285714285714" style="2"/>
    <col min="258" max="258" width="4.71428571428571" style="2" customWidth="1"/>
    <col min="259" max="259" width="8.71428571428571" style="2" customWidth="1"/>
    <col min="260" max="260" width="7.71428571428571" style="2" customWidth="1"/>
    <col min="261" max="261" width="8.71428571428571" style="2" customWidth="1"/>
    <col min="262" max="262" width="2.71428571428571" style="2" customWidth="1"/>
    <col min="263" max="263" width="8.71428571428571" style="2" customWidth="1"/>
    <col min="264" max="264" width="2.71428571428571" style="2" customWidth="1"/>
    <col min="265" max="265" width="10.7142857142857" style="2" customWidth="1"/>
    <col min="266" max="266" width="2.71428571428571" style="2" customWidth="1"/>
    <col min="267" max="267" width="8.71428571428571" style="2" customWidth="1"/>
    <col min="268" max="268" width="10.7142857142857" style="2" customWidth="1"/>
    <col min="269" max="269" width="8.71428571428571" style="2" customWidth="1"/>
    <col min="270" max="270" width="2.71428571428571" style="2" customWidth="1"/>
    <col min="271" max="272" width="10.7142857142857" style="2" customWidth="1"/>
    <col min="273" max="273" width="8.71428571428571" style="2" customWidth="1"/>
    <col min="274" max="274" width="2.71428571428571" style="2" customWidth="1"/>
    <col min="275" max="275" width="9.14285714285714" style="2"/>
    <col min="276" max="276" width="2.71428571428571" style="2" customWidth="1"/>
    <col min="277" max="513" width="9.14285714285714" style="2"/>
    <col min="514" max="514" width="4.71428571428571" style="2" customWidth="1"/>
    <col min="515" max="515" width="8.71428571428571" style="2" customWidth="1"/>
    <col min="516" max="516" width="7.71428571428571" style="2" customWidth="1"/>
    <col min="517" max="517" width="8.71428571428571" style="2" customWidth="1"/>
    <col min="518" max="518" width="2.71428571428571" style="2" customWidth="1"/>
    <col min="519" max="519" width="8.71428571428571" style="2" customWidth="1"/>
    <col min="520" max="520" width="2.71428571428571" style="2" customWidth="1"/>
    <col min="521" max="521" width="10.7142857142857" style="2" customWidth="1"/>
    <col min="522" max="522" width="2.71428571428571" style="2" customWidth="1"/>
    <col min="523" max="523" width="8.71428571428571" style="2" customWidth="1"/>
    <col min="524" max="524" width="10.7142857142857" style="2" customWidth="1"/>
    <col min="525" max="525" width="8.71428571428571" style="2" customWidth="1"/>
    <col min="526" max="526" width="2.71428571428571" style="2" customWidth="1"/>
    <col min="527" max="528" width="10.7142857142857" style="2" customWidth="1"/>
    <col min="529" max="529" width="8.71428571428571" style="2" customWidth="1"/>
    <col min="530" max="530" width="2.71428571428571" style="2" customWidth="1"/>
    <col min="531" max="531" width="9.14285714285714" style="2"/>
    <col min="532" max="532" width="2.71428571428571" style="2" customWidth="1"/>
    <col min="533" max="769" width="9.14285714285714" style="2"/>
    <col min="770" max="770" width="4.71428571428571" style="2" customWidth="1"/>
    <col min="771" max="771" width="8.71428571428571" style="2" customWidth="1"/>
    <col min="772" max="772" width="7.71428571428571" style="2" customWidth="1"/>
    <col min="773" max="773" width="8.71428571428571" style="2" customWidth="1"/>
    <col min="774" max="774" width="2.71428571428571" style="2" customWidth="1"/>
    <col min="775" max="775" width="8.71428571428571" style="2" customWidth="1"/>
    <col min="776" max="776" width="2.71428571428571" style="2" customWidth="1"/>
    <col min="777" max="777" width="10.7142857142857" style="2" customWidth="1"/>
    <col min="778" max="778" width="2.71428571428571" style="2" customWidth="1"/>
    <col min="779" max="779" width="8.71428571428571" style="2" customWidth="1"/>
    <col min="780" max="780" width="10.7142857142857" style="2" customWidth="1"/>
    <col min="781" max="781" width="8.71428571428571" style="2" customWidth="1"/>
    <col min="782" max="782" width="2.71428571428571" style="2" customWidth="1"/>
    <col min="783" max="784" width="10.7142857142857" style="2" customWidth="1"/>
    <col min="785" max="785" width="8.71428571428571" style="2" customWidth="1"/>
    <col min="786" max="786" width="2.71428571428571" style="2" customWidth="1"/>
    <col min="787" max="787" width="9.14285714285714" style="2"/>
    <col min="788" max="788" width="2.71428571428571" style="2" customWidth="1"/>
    <col min="789" max="1025" width="9.14285714285714" style="2"/>
    <col min="1026" max="1026" width="4.71428571428571" style="2" customWidth="1"/>
    <col min="1027" max="1027" width="8.71428571428571" style="2" customWidth="1"/>
    <col min="1028" max="1028" width="7.71428571428571" style="2" customWidth="1"/>
    <col min="1029" max="1029" width="8.71428571428571" style="2" customWidth="1"/>
    <col min="1030" max="1030" width="2.71428571428571" style="2" customWidth="1"/>
    <col min="1031" max="1031" width="8.71428571428571" style="2" customWidth="1"/>
    <col min="1032" max="1032" width="2.71428571428571" style="2" customWidth="1"/>
    <col min="1033" max="1033" width="10.7142857142857" style="2" customWidth="1"/>
    <col min="1034" max="1034" width="2.71428571428571" style="2" customWidth="1"/>
    <col min="1035" max="1035" width="8.71428571428571" style="2" customWidth="1"/>
    <col min="1036" max="1036" width="10.7142857142857" style="2" customWidth="1"/>
    <col min="1037" max="1037" width="8.71428571428571" style="2" customWidth="1"/>
    <col min="1038" max="1038" width="2.71428571428571" style="2" customWidth="1"/>
    <col min="1039" max="1040" width="10.7142857142857" style="2" customWidth="1"/>
    <col min="1041" max="1041" width="8.71428571428571" style="2" customWidth="1"/>
    <col min="1042" max="1042" width="2.71428571428571" style="2" customWidth="1"/>
    <col min="1043" max="1043" width="9.14285714285714" style="2"/>
    <col min="1044" max="1044" width="2.71428571428571" style="2" customWidth="1"/>
    <col min="1045" max="1281" width="9.14285714285714" style="2"/>
    <col min="1282" max="1282" width="4.71428571428571" style="2" customWidth="1"/>
    <col min="1283" max="1283" width="8.71428571428571" style="2" customWidth="1"/>
    <col min="1284" max="1284" width="7.71428571428571" style="2" customWidth="1"/>
    <col min="1285" max="1285" width="8.71428571428571" style="2" customWidth="1"/>
    <col min="1286" max="1286" width="2.71428571428571" style="2" customWidth="1"/>
    <col min="1287" max="1287" width="8.71428571428571" style="2" customWidth="1"/>
    <col min="1288" max="1288" width="2.71428571428571" style="2" customWidth="1"/>
    <col min="1289" max="1289" width="10.7142857142857" style="2" customWidth="1"/>
    <col min="1290" max="1290" width="2.71428571428571" style="2" customWidth="1"/>
    <col min="1291" max="1291" width="8.71428571428571" style="2" customWidth="1"/>
    <col min="1292" max="1292" width="10.7142857142857" style="2" customWidth="1"/>
    <col min="1293" max="1293" width="8.71428571428571" style="2" customWidth="1"/>
    <col min="1294" max="1294" width="2.71428571428571" style="2" customWidth="1"/>
    <col min="1295" max="1296" width="10.7142857142857" style="2" customWidth="1"/>
    <col min="1297" max="1297" width="8.71428571428571" style="2" customWidth="1"/>
    <col min="1298" max="1298" width="2.71428571428571" style="2" customWidth="1"/>
    <col min="1299" max="1299" width="9.14285714285714" style="2"/>
    <col min="1300" max="1300" width="2.71428571428571" style="2" customWidth="1"/>
    <col min="1301" max="1537" width="9.14285714285714" style="2"/>
    <col min="1538" max="1538" width="4.71428571428571" style="2" customWidth="1"/>
    <col min="1539" max="1539" width="8.71428571428571" style="2" customWidth="1"/>
    <col min="1540" max="1540" width="7.71428571428571" style="2" customWidth="1"/>
    <col min="1541" max="1541" width="8.71428571428571" style="2" customWidth="1"/>
    <col min="1542" max="1542" width="2.71428571428571" style="2" customWidth="1"/>
    <col min="1543" max="1543" width="8.71428571428571" style="2" customWidth="1"/>
    <col min="1544" max="1544" width="2.71428571428571" style="2" customWidth="1"/>
    <col min="1545" max="1545" width="10.7142857142857" style="2" customWidth="1"/>
    <col min="1546" max="1546" width="2.71428571428571" style="2" customWidth="1"/>
    <col min="1547" max="1547" width="8.71428571428571" style="2" customWidth="1"/>
    <col min="1548" max="1548" width="10.7142857142857" style="2" customWidth="1"/>
    <col min="1549" max="1549" width="8.71428571428571" style="2" customWidth="1"/>
    <col min="1550" max="1550" width="2.71428571428571" style="2" customWidth="1"/>
    <col min="1551" max="1552" width="10.7142857142857" style="2" customWidth="1"/>
    <col min="1553" max="1553" width="8.71428571428571" style="2" customWidth="1"/>
    <col min="1554" max="1554" width="2.71428571428571" style="2" customWidth="1"/>
    <col min="1555" max="1555" width="9.14285714285714" style="2"/>
    <col min="1556" max="1556" width="2.71428571428571" style="2" customWidth="1"/>
    <col min="1557" max="1793" width="9.14285714285714" style="2"/>
    <col min="1794" max="1794" width="4.71428571428571" style="2" customWidth="1"/>
    <col min="1795" max="1795" width="8.71428571428571" style="2" customWidth="1"/>
    <col min="1796" max="1796" width="7.71428571428571" style="2" customWidth="1"/>
    <col min="1797" max="1797" width="8.71428571428571" style="2" customWidth="1"/>
    <col min="1798" max="1798" width="2.71428571428571" style="2" customWidth="1"/>
    <col min="1799" max="1799" width="8.71428571428571" style="2" customWidth="1"/>
    <col min="1800" max="1800" width="2.71428571428571" style="2" customWidth="1"/>
    <col min="1801" max="1801" width="10.7142857142857" style="2" customWidth="1"/>
    <col min="1802" max="1802" width="2.71428571428571" style="2" customWidth="1"/>
    <col min="1803" max="1803" width="8.71428571428571" style="2" customWidth="1"/>
    <col min="1804" max="1804" width="10.7142857142857" style="2" customWidth="1"/>
    <col min="1805" max="1805" width="8.71428571428571" style="2" customWidth="1"/>
    <col min="1806" max="1806" width="2.71428571428571" style="2" customWidth="1"/>
    <col min="1807" max="1808" width="10.7142857142857" style="2" customWidth="1"/>
    <col min="1809" max="1809" width="8.71428571428571" style="2" customWidth="1"/>
    <col min="1810" max="1810" width="2.71428571428571" style="2" customWidth="1"/>
    <col min="1811" max="1811" width="9.14285714285714" style="2"/>
    <col min="1812" max="1812" width="2.71428571428571" style="2" customWidth="1"/>
    <col min="1813" max="2049" width="9.14285714285714" style="2"/>
    <col min="2050" max="2050" width="4.71428571428571" style="2" customWidth="1"/>
    <col min="2051" max="2051" width="8.71428571428571" style="2" customWidth="1"/>
    <col min="2052" max="2052" width="7.71428571428571" style="2" customWidth="1"/>
    <col min="2053" max="2053" width="8.71428571428571" style="2" customWidth="1"/>
    <col min="2054" max="2054" width="2.71428571428571" style="2" customWidth="1"/>
    <col min="2055" max="2055" width="8.71428571428571" style="2" customWidth="1"/>
    <col min="2056" max="2056" width="2.71428571428571" style="2" customWidth="1"/>
    <col min="2057" max="2057" width="10.7142857142857" style="2" customWidth="1"/>
    <col min="2058" max="2058" width="2.71428571428571" style="2" customWidth="1"/>
    <col min="2059" max="2059" width="8.71428571428571" style="2" customWidth="1"/>
    <col min="2060" max="2060" width="10.7142857142857" style="2" customWidth="1"/>
    <col min="2061" max="2061" width="8.71428571428571" style="2" customWidth="1"/>
    <col min="2062" max="2062" width="2.71428571428571" style="2" customWidth="1"/>
    <col min="2063" max="2064" width="10.7142857142857" style="2" customWidth="1"/>
    <col min="2065" max="2065" width="8.71428571428571" style="2" customWidth="1"/>
    <col min="2066" max="2066" width="2.71428571428571" style="2" customWidth="1"/>
    <col min="2067" max="2067" width="9.14285714285714" style="2"/>
    <col min="2068" max="2068" width="2.71428571428571" style="2" customWidth="1"/>
    <col min="2069" max="2305" width="9.14285714285714" style="2"/>
    <col min="2306" max="2306" width="4.71428571428571" style="2" customWidth="1"/>
    <col min="2307" max="2307" width="8.71428571428571" style="2" customWidth="1"/>
    <col min="2308" max="2308" width="7.71428571428571" style="2" customWidth="1"/>
    <col min="2309" max="2309" width="8.71428571428571" style="2" customWidth="1"/>
    <col min="2310" max="2310" width="2.71428571428571" style="2" customWidth="1"/>
    <col min="2311" max="2311" width="8.71428571428571" style="2" customWidth="1"/>
    <col min="2312" max="2312" width="2.71428571428571" style="2" customWidth="1"/>
    <col min="2313" max="2313" width="10.7142857142857" style="2" customWidth="1"/>
    <col min="2314" max="2314" width="2.71428571428571" style="2" customWidth="1"/>
    <col min="2315" max="2315" width="8.71428571428571" style="2" customWidth="1"/>
    <col min="2316" max="2316" width="10.7142857142857" style="2" customWidth="1"/>
    <col min="2317" max="2317" width="8.71428571428571" style="2" customWidth="1"/>
    <col min="2318" max="2318" width="2.71428571428571" style="2" customWidth="1"/>
    <col min="2319" max="2320" width="10.7142857142857" style="2" customWidth="1"/>
    <col min="2321" max="2321" width="8.71428571428571" style="2" customWidth="1"/>
    <col min="2322" max="2322" width="2.71428571428571" style="2" customWidth="1"/>
    <col min="2323" max="2323" width="9.14285714285714" style="2"/>
    <col min="2324" max="2324" width="2.71428571428571" style="2" customWidth="1"/>
    <col min="2325" max="2561" width="9.14285714285714" style="2"/>
    <col min="2562" max="2562" width="4.71428571428571" style="2" customWidth="1"/>
    <col min="2563" max="2563" width="8.71428571428571" style="2" customWidth="1"/>
    <col min="2564" max="2564" width="7.71428571428571" style="2" customWidth="1"/>
    <col min="2565" max="2565" width="8.71428571428571" style="2" customWidth="1"/>
    <col min="2566" max="2566" width="2.71428571428571" style="2" customWidth="1"/>
    <col min="2567" max="2567" width="8.71428571428571" style="2" customWidth="1"/>
    <col min="2568" max="2568" width="2.71428571428571" style="2" customWidth="1"/>
    <col min="2569" max="2569" width="10.7142857142857" style="2" customWidth="1"/>
    <col min="2570" max="2570" width="2.71428571428571" style="2" customWidth="1"/>
    <col min="2571" max="2571" width="8.71428571428571" style="2" customWidth="1"/>
    <col min="2572" max="2572" width="10.7142857142857" style="2" customWidth="1"/>
    <col min="2573" max="2573" width="8.71428571428571" style="2" customWidth="1"/>
    <col min="2574" max="2574" width="2.71428571428571" style="2" customWidth="1"/>
    <col min="2575" max="2576" width="10.7142857142857" style="2" customWidth="1"/>
    <col min="2577" max="2577" width="8.71428571428571" style="2" customWidth="1"/>
    <col min="2578" max="2578" width="2.71428571428571" style="2" customWidth="1"/>
    <col min="2579" max="2579" width="9.14285714285714" style="2"/>
    <col min="2580" max="2580" width="2.71428571428571" style="2" customWidth="1"/>
    <col min="2581" max="2817" width="9.14285714285714" style="2"/>
    <col min="2818" max="2818" width="4.71428571428571" style="2" customWidth="1"/>
    <col min="2819" max="2819" width="8.71428571428571" style="2" customWidth="1"/>
    <col min="2820" max="2820" width="7.71428571428571" style="2" customWidth="1"/>
    <col min="2821" max="2821" width="8.71428571428571" style="2" customWidth="1"/>
    <col min="2822" max="2822" width="2.71428571428571" style="2" customWidth="1"/>
    <col min="2823" max="2823" width="8.71428571428571" style="2" customWidth="1"/>
    <col min="2824" max="2824" width="2.71428571428571" style="2" customWidth="1"/>
    <col min="2825" max="2825" width="10.7142857142857" style="2" customWidth="1"/>
    <col min="2826" max="2826" width="2.71428571428571" style="2" customWidth="1"/>
    <col min="2827" max="2827" width="8.71428571428571" style="2" customWidth="1"/>
    <col min="2828" max="2828" width="10.7142857142857" style="2" customWidth="1"/>
    <col min="2829" max="2829" width="8.71428571428571" style="2" customWidth="1"/>
    <col min="2830" max="2830" width="2.71428571428571" style="2" customWidth="1"/>
    <col min="2831" max="2832" width="10.7142857142857" style="2" customWidth="1"/>
    <col min="2833" max="2833" width="8.71428571428571" style="2" customWidth="1"/>
    <col min="2834" max="2834" width="2.71428571428571" style="2" customWidth="1"/>
    <col min="2835" max="2835" width="9.14285714285714" style="2"/>
    <col min="2836" max="2836" width="2.71428571428571" style="2" customWidth="1"/>
    <col min="2837" max="3073" width="9.14285714285714" style="2"/>
    <col min="3074" max="3074" width="4.71428571428571" style="2" customWidth="1"/>
    <col min="3075" max="3075" width="8.71428571428571" style="2" customWidth="1"/>
    <col min="3076" max="3076" width="7.71428571428571" style="2" customWidth="1"/>
    <col min="3077" max="3077" width="8.71428571428571" style="2" customWidth="1"/>
    <col min="3078" max="3078" width="2.71428571428571" style="2" customWidth="1"/>
    <col min="3079" max="3079" width="8.71428571428571" style="2" customWidth="1"/>
    <col min="3080" max="3080" width="2.71428571428571" style="2" customWidth="1"/>
    <col min="3081" max="3081" width="10.7142857142857" style="2" customWidth="1"/>
    <col min="3082" max="3082" width="2.71428571428571" style="2" customWidth="1"/>
    <col min="3083" max="3083" width="8.71428571428571" style="2" customWidth="1"/>
    <col min="3084" max="3084" width="10.7142857142857" style="2" customWidth="1"/>
    <col min="3085" max="3085" width="8.71428571428571" style="2" customWidth="1"/>
    <col min="3086" max="3086" width="2.71428571428571" style="2" customWidth="1"/>
    <col min="3087" max="3088" width="10.7142857142857" style="2" customWidth="1"/>
    <col min="3089" max="3089" width="8.71428571428571" style="2" customWidth="1"/>
    <col min="3090" max="3090" width="2.71428571428571" style="2" customWidth="1"/>
    <col min="3091" max="3091" width="9.14285714285714" style="2"/>
    <col min="3092" max="3092" width="2.71428571428571" style="2" customWidth="1"/>
    <col min="3093" max="3329" width="9.14285714285714" style="2"/>
    <col min="3330" max="3330" width="4.71428571428571" style="2" customWidth="1"/>
    <col min="3331" max="3331" width="8.71428571428571" style="2" customWidth="1"/>
    <col min="3332" max="3332" width="7.71428571428571" style="2" customWidth="1"/>
    <col min="3333" max="3333" width="8.71428571428571" style="2" customWidth="1"/>
    <col min="3334" max="3334" width="2.71428571428571" style="2" customWidth="1"/>
    <col min="3335" max="3335" width="8.71428571428571" style="2" customWidth="1"/>
    <col min="3336" max="3336" width="2.71428571428571" style="2" customWidth="1"/>
    <col min="3337" max="3337" width="10.7142857142857" style="2" customWidth="1"/>
    <col min="3338" max="3338" width="2.71428571428571" style="2" customWidth="1"/>
    <col min="3339" max="3339" width="8.71428571428571" style="2" customWidth="1"/>
    <col min="3340" max="3340" width="10.7142857142857" style="2" customWidth="1"/>
    <col min="3341" max="3341" width="8.71428571428571" style="2" customWidth="1"/>
    <col min="3342" max="3342" width="2.71428571428571" style="2" customWidth="1"/>
    <col min="3343" max="3344" width="10.7142857142857" style="2" customWidth="1"/>
    <col min="3345" max="3345" width="8.71428571428571" style="2" customWidth="1"/>
    <col min="3346" max="3346" width="2.71428571428571" style="2" customWidth="1"/>
    <col min="3347" max="3347" width="9.14285714285714" style="2"/>
    <col min="3348" max="3348" width="2.71428571428571" style="2" customWidth="1"/>
    <col min="3349" max="3585" width="9.14285714285714" style="2"/>
    <col min="3586" max="3586" width="4.71428571428571" style="2" customWidth="1"/>
    <col min="3587" max="3587" width="8.71428571428571" style="2" customWidth="1"/>
    <col min="3588" max="3588" width="7.71428571428571" style="2" customWidth="1"/>
    <col min="3589" max="3589" width="8.71428571428571" style="2" customWidth="1"/>
    <col min="3590" max="3590" width="2.71428571428571" style="2" customWidth="1"/>
    <col min="3591" max="3591" width="8.71428571428571" style="2" customWidth="1"/>
    <col min="3592" max="3592" width="2.71428571428571" style="2" customWidth="1"/>
    <col min="3593" max="3593" width="10.7142857142857" style="2" customWidth="1"/>
    <col min="3594" max="3594" width="2.71428571428571" style="2" customWidth="1"/>
    <col min="3595" max="3595" width="8.71428571428571" style="2" customWidth="1"/>
    <col min="3596" max="3596" width="10.7142857142857" style="2" customWidth="1"/>
    <col min="3597" max="3597" width="8.71428571428571" style="2" customWidth="1"/>
    <col min="3598" max="3598" width="2.71428571428571" style="2" customWidth="1"/>
    <col min="3599" max="3600" width="10.7142857142857" style="2" customWidth="1"/>
    <col min="3601" max="3601" width="8.71428571428571" style="2" customWidth="1"/>
    <col min="3602" max="3602" width="2.71428571428571" style="2" customWidth="1"/>
    <col min="3603" max="3603" width="9.14285714285714" style="2"/>
    <col min="3604" max="3604" width="2.71428571428571" style="2" customWidth="1"/>
    <col min="3605" max="3841" width="9.14285714285714" style="2"/>
    <col min="3842" max="3842" width="4.71428571428571" style="2" customWidth="1"/>
    <col min="3843" max="3843" width="8.71428571428571" style="2" customWidth="1"/>
    <col min="3844" max="3844" width="7.71428571428571" style="2" customWidth="1"/>
    <col min="3845" max="3845" width="8.71428571428571" style="2" customWidth="1"/>
    <col min="3846" max="3846" width="2.71428571428571" style="2" customWidth="1"/>
    <col min="3847" max="3847" width="8.71428571428571" style="2" customWidth="1"/>
    <col min="3848" max="3848" width="2.71428571428571" style="2" customWidth="1"/>
    <col min="3849" max="3849" width="10.7142857142857" style="2" customWidth="1"/>
    <col min="3850" max="3850" width="2.71428571428571" style="2" customWidth="1"/>
    <col min="3851" max="3851" width="8.71428571428571" style="2" customWidth="1"/>
    <col min="3852" max="3852" width="10.7142857142857" style="2" customWidth="1"/>
    <col min="3853" max="3853" width="8.71428571428571" style="2" customWidth="1"/>
    <col min="3854" max="3854" width="2.71428571428571" style="2" customWidth="1"/>
    <col min="3855" max="3856" width="10.7142857142857" style="2" customWidth="1"/>
    <col min="3857" max="3857" width="8.71428571428571" style="2" customWidth="1"/>
    <col min="3858" max="3858" width="2.71428571428571" style="2" customWidth="1"/>
    <col min="3859" max="3859" width="9.14285714285714" style="2"/>
    <col min="3860" max="3860" width="2.71428571428571" style="2" customWidth="1"/>
    <col min="3861" max="4097" width="9.14285714285714" style="2"/>
    <col min="4098" max="4098" width="4.71428571428571" style="2" customWidth="1"/>
    <col min="4099" max="4099" width="8.71428571428571" style="2" customWidth="1"/>
    <col min="4100" max="4100" width="7.71428571428571" style="2" customWidth="1"/>
    <col min="4101" max="4101" width="8.71428571428571" style="2" customWidth="1"/>
    <col min="4102" max="4102" width="2.71428571428571" style="2" customWidth="1"/>
    <col min="4103" max="4103" width="8.71428571428571" style="2" customWidth="1"/>
    <col min="4104" max="4104" width="2.71428571428571" style="2" customWidth="1"/>
    <col min="4105" max="4105" width="10.7142857142857" style="2" customWidth="1"/>
    <col min="4106" max="4106" width="2.71428571428571" style="2" customWidth="1"/>
    <col min="4107" max="4107" width="8.71428571428571" style="2" customWidth="1"/>
    <col min="4108" max="4108" width="10.7142857142857" style="2" customWidth="1"/>
    <col min="4109" max="4109" width="8.71428571428571" style="2" customWidth="1"/>
    <col min="4110" max="4110" width="2.71428571428571" style="2" customWidth="1"/>
    <col min="4111" max="4112" width="10.7142857142857" style="2" customWidth="1"/>
    <col min="4113" max="4113" width="8.71428571428571" style="2" customWidth="1"/>
    <col min="4114" max="4114" width="2.71428571428571" style="2" customWidth="1"/>
    <col min="4115" max="4115" width="9.14285714285714" style="2"/>
    <col min="4116" max="4116" width="2.71428571428571" style="2" customWidth="1"/>
    <col min="4117" max="4353" width="9.14285714285714" style="2"/>
    <col min="4354" max="4354" width="4.71428571428571" style="2" customWidth="1"/>
    <col min="4355" max="4355" width="8.71428571428571" style="2" customWidth="1"/>
    <col min="4356" max="4356" width="7.71428571428571" style="2" customWidth="1"/>
    <col min="4357" max="4357" width="8.71428571428571" style="2" customWidth="1"/>
    <col min="4358" max="4358" width="2.71428571428571" style="2" customWidth="1"/>
    <col min="4359" max="4359" width="8.71428571428571" style="2" customWidth="1"/>
    <col min="4360" max="4360" width="2.71428571428571" style="2" customWidth="1"/>
    <col min="4361" max="4361" width="10.7142857142857" style="2" customWidth="1"/>
    <col min="4362" max="4362" width="2.71428571428571" style="2" customWidth="1"/>
    <col min="4363" max="4363" width="8.71428571428571" style="2" customWidth="1"/>
    <col min="4364" max="4364" width="10.7142857142857" style="2" customWidth="1"/>
    <col min="4365" max="4365" width="8.71428571428571" style="2" customWidth="1"/>
    <col min="4366" max="4366" width="2.71428571428571" style="2" customWidth="1"/>
    <col min="4367" max="4368" width="10.7142857142857" style="2" customWidth="1"/>
    <col min="4369" max="4369" width="8.71428571428571" style="2" customWidth="1"/>
    <col min="4370" max="4370" width="2.71428571428571" style="2" customWidth="1"/>
    <col min="4371" max="4371" width="9.14285714285714" style="2"/>
    <col min="4372" max="4372" width="2.71428571428571" style="2" customWidth="1"/>
    <col min="4373" max="4609" width="9.14285714285714" style="2"/>
    <col min="4610" max="4610" width="4.71428571428571" style="2" customWidth="1"/>
    <col min="4611" max="4611" width="8.71428571428571" style="2" customWidth="1"/>
    <col min="4612" max="4612" width="7.71428571428571" style="2" customWidth="1"/>
    <col min="4613" max="4613" width="8.71428571428571" style="2" customWidth="1"/>
    <col min="4614" max="4614" width="2.71428571428571" style="2" customWidth="1"/>
    <col min="4615" max="4615" width="8.71428571428571" style="2" customWidth="1"/>
    <col min="4616" max="4616" width="2.71428571428571" style="2" customWidth="1"/>
    <col min="4617" max="4617" width="10.7142857142857" style="2" customWidth="1"/>
    <col min="4618" max="4618" width="2.71428571428571" style="2" customWidth="1"/>
    <col min="4619" max="4619" width="8.71428571428571" style="2" customWidth="1"/>
    <col min="4620" max="4620" width="10.7142857142857" style="2" customWidth="1"/>
    <col min="4621" max="4621" width="8.71428571428571" style="2" customWidth="1"/>
    <col min="4622" max="4622" width="2.71428571428571" style="2" customWidth="1"/>
    <col min="4623" max="4624" width="10.7142857142857" style="2" customWidth="1"/>
    <col min="4625" max="4625" width="8.71428571428571" style="2" customWidth="1"/>
    <col min="4626" max="4626" width="2.71428571428571" style="2" customWidth="1"/>
    <col min="4627" max="4627" width="9.14285714285714" style="2"/>
    <col min="4628" max="4628" width="2.71428571428571" style="2" customWidth="1"/>
    <col min="4629" max="4865" width="9.14285714285714" style="2"/>
    <col min="4866" max="4866" width="4.71428571428571" style="2" customWidth="1"/>
    <col min="4867" max="4867" width="8.71428571428571" style="2" customWidth="1"/>
    <col min="4868" max="4868" width="7.71428571428571" style="2" customWidth="1"/>
    <col min="4869" max="4869" width="8.71428571428571" style="2" customWidth="1"/>
    <col min="4870" max="4870" width="2.71428571428571" style="2" customWidth="1"/>
    <col min="4871" max="4871" width="8.71428571428571" style="2" customWidth="1"/>
    <col min="4872" max="4872" width="2.71428571428571" style="2" customWidth="1"/>
    <col min="4873" max="4873" width="10.7142857142857" style="2" customWidth="1"/>
    <col min="4874" max="4874" width="2.71428571428571" style="2" customWidth="1"/>
    <col min="4875" max="4875" width="8.71428571428571" style="2" customWidth="1"/>
    <col min="4876" max="4876" width="10.7142857142857" style="2" customWidth="1"/>
    <col min="4877" max="4877" width="8.71428571428571" style="2" customWidth="1"/>
    <col min="4878" max="4878" width="2.71428571428571" style="2" customWidth="1"/>
    <col min="4879" max="4880" width="10.7142857142857" style="2" customWidth="1"/>
    <col min="4881" max="4881" width="8.71428571428571" style="2" customWidth="1"/>
    <col min="4882" max="4882" width="2.71428571428571" style="2" customWidth="1"/>
    <col min="4883" max="4883" width="9.14285714285714" style="2"/>
    <col min="4884" max="4884" width="2.71428571428571" style="2" customWidth="1"/>
    <col min="4885" max="5121" width="9.14285714285714" style="2"/>
    <col min="5122" max="5122" width="4.71428571428571" style="2" customWidth="1"/>
    <col min="5123" max="5123" width="8.71428571428571" style="2" customWidth="1"/>
    <col min="5124" max="5124" width="7.71428571428571" style="2" customWidth="1"/>
    <col min="5125" max="5125" width="8.71428571428571" style="2" customWidth="1"/>
    <col min="5126" max="5126" width="2.71428571428571" style="2" customWidth="1"/>
    <col min="5127" max="5127" width="8.71428571428571" style="2" customWidth="1"/>
    <col min="5128" max="5128" width="2.71428571428571" style="2" customWidth="1"/>
    <col min="5129" max="5129" width="10.7142857142857" style="2" customWidth="1"/>
    <col min="5130" max="5130" width="2.71428571428571" style="2" customWidth="1"/>
    <col min="5131" max="5131" width="8.71428571428571" style="2" customWidth="1"/>
    <col min="5132" max="5132" width="10.7142857142857" style="2" customWidth="1"/>
    <col min="5133" max="5133" width="8.71428571428571" style="2" customWidth="1"/>
    <col min="5134" max="5134" width="2.71428571428571" style="2" customWidth="1"/>
    <col min="5135" max="5136" width="10.7142857142857" style="2" customWidth="1"/>
    <col min="5137" max="5137" width="8.71428571428571" style="2" customWidth="1"/>
    <col min="5138" max="5138" width="2.71428571428571" style="2" customWidth="1"/>
    <col min="5139" max="5139" width="9.14285714285714" style="2"/>
    <col min="5140" max="5140" width="2.71428571428571" style="2" customWidth="1"/>
    <col min="5141" max="5377" width="9.14285714285714" style="2"/>
    <col min="5378" max="5378" width="4.71428571428571" style="2" customWidth="1"/>
    <col min="5379" max="5379" width="8.71428571428571" style="2" customWidth="1"/>
    <col min="5380" max="5380" width="7.71428571428571" style="2" customWidth="1"/>
    <col min="5381" max="5381" width="8.71428571428571" style="2" customWidth="1"/>
    <col min="5382" max="5382" width="2.71428571428571" style="2" customWidth="1"/>
    <col min="5383" max="5383" width="8.71428571428571" style="2" customWidth="1"/>
    <col min="5384" max="5384" width="2.71428571428571" style="2" customWidth="1"/>
    <col min="5385" max="5385" width="10.7142857142857" style="2" customWidth="1"/>
    <col min="5386" max="5386" width="2.71428571428571" style="2" customWidth="1"/>
    <col min="5387" max="5387" width="8.71428571428571" style="2" customWidth="1"/>
    <col min="5388" max="5388" width="10.7142857142857" style="2" customWidth="1"/>
    <col min="5389" max="5389" width="8.71428571428571" style="2" customWidth="1"/>
    <col min="5390" max="5390" width="2.71428571428571" style="2" customWidth="1"/>
    <col min="5391" max="5392" width="10.7142857142857" style="2" customWidth="1"/>
    <col min="5393" max="5393" width="8.71428571428571" style="2" customWidth="1"/>
    <col min="5394" max="5394" width="2.71428571428571" style="2" customWidth="1"/>
    <col min="5395" max="5395" width="9.14285714285714" style="2"/>
    <col min="5396" max="5396" width="2.71428571428571" style="2" customWidth="1"/>
    <col min="5397" max="5633" width="9.14285714285714" style="2"/>
    <col min="5634" max="5634" width="4.71428571428571" style="2" customWidth="1"/>
    <col min="5635" max="5635" width="8.71428571428571" style="2" customWidth="1"/>
    <col min="5636" max="5636" width="7.71428571428571" style="2" customWidth="1"/>
    <col min="5637" max="5637" width="8.71428571428571" style="2" customWidth="1"/>
    <col min="5638" max="5638" width="2.71428571428571" style="2" customWidth="1"/>
    <col min="5639" max="5639" width="8.71428571428571" style="2" customWidth="1"/>
    <col min="5640" max="5640" width="2.71428571428571" style="2" customWidth="1"/>
    <col min="5641" max="5641" width="10.7142857142857" style="2" customWidth="1"/>
    <col min="5642" max="5642" width="2.71428571428571" style="2" customWidth="1"/>
    <col min="5643" max="5643" width="8.71428571428571" style="2" customWidth="1"/>
    <col min="5644" max="5644" width="10.7142857142857" style="2" customWidth="1"/>
    <col min="5645" max="5645" width="8.71428571428571" style="2" customWidth="1"/>
    <col min="5646" max="5646" width="2.71428571428571" style="2" customWidth="1"/>
    <col min="5647" max="5648" width="10.7142857142857" style="2" customWidth="1"/>
    <col min="5649" max="5649" width="8.71428571428571" style="2" customWidth="1"/>
    <col min="5650" max="5650" width="2.71428571428571" style="2" customWidth="1"/>
    <col min="5651" max="5651" width="9.14285714285714" style="2"/>
    <col min="5652" max="5652" width="2.71428571428571" style="2" customWidth="1"/>
    <col min="5653" max="5889" width="9.14285714285714" style="2"/>
    <col min="5890" max="5890" width="4.71428571428571" style="2" customWidth="1"/>
    <col min="5891" max="5891" width="8.71428571428571" style="2" customWidth="1"/>
    <col min="5892" max="5892" width="7.71428571428571" style="2" customWidth="1"/>
    <col min="5893" max="5893" width="8.71428571428571" style="2" customWidth="1"/>
    <col min="5894" max="5894" width="2.71428571428571" style="2" customWidth="1"/>
    <col min="5895" max="5895" width="8.71428571428571" style="2" customWidth="1"/>
    <col min="5896" max="5896" width="2.71428571428571" style="2" customWidth="1"/>
    <col min="5897" max="5897" width="10.7142857142857" style="2" customWidth="1"/>
    <col min="5898" max="5898" width="2.71428571428571" style="2" customWidth="1"/>
    <col min="5899" max="5899" width="8.71428571428571" style="2" customWidth="1"/>
    <col min="5900" max="5900" width="10.7142857142857" style="2" customWidth="1"/>
    <col min="5901" max="5901" width="8.71428571428571" style="2" customWidth="1"/>
    <col min="5902" max="5902" width="2.71428571428571" style="2" customWidth="1"/>
    <col min="5903" max="5904" width="10.7142857142857" style="2" customWidth="1"/>
    <col min="5905" max="5905" width="8.71428571428571" style="2" customWidth="1"/>
    <col min="5906" max="5906" width="2.71428571428571" style="2" customWidth="1"/>
    <col min="5907" max="5907" width="9.14285714285714" style="2"/>
    <col min="5908" max="5908" width="2.71428571428571" style="2" customWidth="1"/>
    <col min="5909" max="6145" width="9.14285714285714" style="2"/>
    <col min="6146" max="6146" width="4.71428571428571" style="2" customWidth="1"/>
    <col min="6147" max="6147" width="8.71428571428571" style="2" customWidth="1"/>
    <col min="6148" max="6148" width="7.71428571428571" style="2" customWidth="1"/>
    <col min="6149" max="6149" width="8.71428571428571" style="2" customWidth="1"/>
    <col min="6150" max="6150" width="2.71428571428571" style="2" customWidth="1"/>
    <col min="6151" max="6151" width="8.71428571428571" style="2" customWidth="1"/>
    <col min="6152" max="6152" width="2.71428571428571" style="2" customWidth="1"/>
    <col min="6153" max="6153" width="10.7142857142857" style="2" customWidth="1"/>
    <col min="6154" max="6154" width="2.71428571428571" style="2" customWidth="1"/>
    <col min="6155" max="6155" width="8.71428571428571" style="2" customWidth="1"/>
    <col min="6156" max="6156" width="10.7142857142857" style="2" customWidth="1"/>
    <col min="6157" max="6157" width="8.71428571428571" style="2" customWidth="1"/>
    <col min="6158" max="6158" width="2.71428571428571" style="2" customWidth="1"/>
    <col min="6159" max="6160" width="10.7142857142857" style="2" customWidth="1"/>
    <col min="6161" max="6161" width="8.71428571428571" style="2" customWidth="1"/>
    <col min="6162" max="6162" width="2.71428571428571" style="2" customWidth="1"/>
    <col min="6163" max="6163" width="9.14285714285714" style="2"/>
    <col min="6164" max="6164" width="2.71428571428571" style="2" customWidth="1"/>
    <col min="6165" max="6401" width="9.14285714285714" style="2"/>
    <col min="6402" max="6402" width="4.71428571428571" style="2" customWidth="1"/>
    <col min="6403" max="6403" width="8.71428571428571" style="2" customWidth="1"/>
    <col min="6404" max="6404" width="7.71428571428571" style="2" customWidth="1"/>
    <col min="6405" max="6405" width="8.71428571428571" style="2" customWidth="1"/>
    <col min="6406" max="6406" width="2.71428571428571" style="2" customWidth="1"/>
    <col min="6407" max="6407" width="8.71428571428571" style="2" customWidth="1"/>
    <col min="6408" max="6408" width="2.71428571428571" style="2" customWidth="1"/>
    <col min="6409" max="6409" width="10.7142857142857" style="2" customWidth="1"/>
    <col min="6410" max="6410" width="2.71428571428571" style="2" customWidth="1"/>
    <col min="6411" max="6411" width="8.71428571428571" style="2" customWidth="1"/>
    <col min="6412" max="6412" width="10.7142857142857" style="2" customWidth="1"/>
    <col min="6413" max="6413" width="8.71428571428571" style="2" customWidth="1"/>
    <col min="6414" max="6414" width="2.71428571428571" style="2" customWidth="1"/>
    <col min="6415" max="6416" width="10.7142857142857" style="2" customWidth="1"/>
    <col min="6417" max="6417" width="8.71428571428571" style="2" customWidth="1"/>
    <col min="6418" max="6418" width="2.71428571428571" style="2" customWidth="1"/>
    <col min="6419" max="6419" width="9.14285714285714" style="2"/>
    <col min="6420" max="6420" width="2.71428571428571" style="2" customWidth="1"/>
    <col min="6421" max="6657" width="9.14285714285714" style="2"/>
    <col min="6658" max="6658" width="4.71428571428571" style="2" customWidth="1"/>
    <col min="6659" max="6659" width="8.71428571428571" style="2" customWidth="1"/>
    <col min="6660" max="6660" width="7.71428571428571" style="2" customWidth="1"/>
    <col min="6661" max="6661" width="8.71428571428571" style="2" customWidth="1"/>
    <col min="6662" max="6662" width="2.71428571428571" style="2" customWidth="1"/>
    <col min="6663" max="6663" width="8.71428571428571" style="2" customWidth="1"/>
    <col min="6664" max="6664" width="2.71428571428571" style="2" customWidth="1"/>
    <col min="6665" max="6665" width="10.7142857142857" style="2" customWidth="1"/>
    <col min="6666" max="6666" width="2.71428571428571" style="2" customWidth="1"/>
    <col min="6667" max="6667" width="8.71428571428571" style="2" customWidth="1"/>
    <col min="6668" max="6668" width="10.7142857142857" style="2" customWidth="1"/>
    <col min="6669" max="6669" width="8.71428571428571" style="2" customWidth="1"/>
    <col min="6670" max="6670" width="2.71428571428571" style="2" customWidth="1"/>
    <col min="6671" max="6672" width="10.7142857142857" style="2" customWidth="1"/>
    <col min="6673" max="6673" width="8.71428571428571" style="2" customWidth="1"/>
    <col min="6674" max="6674" width="2.71428571428571" style="2" customWidth="1"/>
    <col min="6675" max="6675" width="9.14285714285714" style="2"/>
    <col min="6676" max="6676" width="2.71428571428571" style="2" customWidth="1"/>
    <col min="6677" max="6913" width="9.14285714285714" style="2"/>
    <col min="6914" max="6914" width="4.71428571428571" style="2" customWidth="1"/>
    <col min="6915" max="6915" width="8.71428571428571" style="2" customWidth="1"/>
    <col min="6916" max="6916" width="7.71428571428571" style="2" customWidth="1"/>
    <col min="6917" max="6917" width="8.71428571428571" style="2" customWidth="1"/>
    <col min="6918" max="6918" width="2.71428571428571" style="2" customWidth="1"/>
    <col min="6919" max="6919" width="8.71428571428571" style="2" customWidth="1"/>
    <col min="6920" max="6920" width="2.71428571428571" style="2" customWidth="1"/>
    <col min="6921" max="6921" width="10.7142857142857" style="2" customWidth="1"/>
    <col min="6922" max="6922" width="2.71428571428571" style="2" customWidth="1"/>
    <col min="6923" max="6923" width="8.71428571428571" style="2" customWidth="1"/>
    <col min="6924" max="6924" width="10.7142857142857" style="2" customWidth="1"/>
    <col min="6925" max="6925" width="8.71428571428571" style="2" customWidth="1"/>
    <col min="6926" max="6926" width="2.71428571428571" style="2" customWidth="1"/>
    <col min="6927" max="6928" width="10.7142857142857" style="2" customWidth="1"/>
    <col min="6929" max="6929" width="8.71428571428571" style="2" customWidth="1"/>
    <col min="6930" max="6930" width="2.71428571428571" style="2" customWidth="1"/>
    <col min="6931" max="6931" width="9.14285714285714" style="2"/>
    <col min="6932" max="6932" width="2.71428571428571" style="2" customWidth="1"/>
    <col min="6933" max="7169" width="9.14285714285714" style="2"/>
    <col min="7170" max="7170" width="4.71428571428571" style="2" customWidth="1"/>
    <col min="7171" max="7171" width="8.71428571428571" style="2" customWidth="1"/>
    <col min="7172" max="7172" width="7.71428571428571" style="2" customWidth="1"/>
    <col min="7173" max="7173" width="8.71428571428571" style="2" customWidth="1"/>
    <col min="7174" max="7174" width="2.71428571428571" style="2" customWidth="1"/>
    <col min="7175" max="7175" width="8.71428571428571" style="2" customWidth="1"/>
    <col min="7176" max="7176" width="2.71428571428571" style="2" customWidth="1"/>
    <col min="7177" max="7177" width="10.7142857142857" style="2" customWidth="1"/>
    <col min="7178" max="7178" width="2.71428571428571" style="2" customWidth="1"/>
    <col min="7179" max="7179" width="8.71428571428571" style="2" customWidth="1"/>
    <col min="7180" max="7180" width="10.7142857142857" style="2" customWidth="1"/>
    <col min="7181" max="7181" width="8.71428571428571" style="2" customWidth="1"/>
    <col min="7182" max="7182" width="2.71428571428571" style="2" customWidth="1"/>
    <col min="7183" max="7184" width="10.7142857142857" style="2" customWidth="1"/>
    <col min="7185" max="7185" width="8.71428571428571" style="2" customWidth="1"/>
    <col min="7186" max="7186" width="2.71428571428571" style="2" customWidth="1"/>
    <col min="7187" max="7187" width="9.14285714285714" style="2"/>
    <col min="7188" max="7188" width="2.71428571428571" style="2" customWidth="1"/>
    <col min="7189" max="7425" width="9.14285714285714" style="2"/>
    <col min="7426" max="7426" width="4.71428571428571" style="2" customWidth="1"/>
    <col min="7427" max="7427" width="8.71428571428571" style="2" customWidth="1"/>
    <col min="7428" max="7428" width="7.71428571428571" style="2" customWidth="1"/>
    <col min="7429" max="7429" width="8.71428571428571" style="2" customWidth="1"/>
    <col min="7430" max="7430" width="2.71428571428571" style="2" customWidth="1"/>
    <col min="7431" max="7431" width="8.71428571428571" style="2" customWidth="1"/>
    <col min="7432" max="7432" width="2.71428571428571" style="2" customWidth="1"/>
    <col min="7433" max="7433" width="10.7142857142857" style="2" customWidth="1"/>
    <col min="7434" max="7434" width="2.71428571428571" style="2" customWidth="1"/>
    <col min="7435" max="7435" width="8.71428571428571" style="2" customWidth="1"/>
    <col min="7436" max="7436" width="10.7142857142857" style="2" customWidth="1"/>
    <col min="7437" max="7437" width="8.71428571428571" style="2" customWidth="1"/>
    <col min="7438" max="7438" width="2.71428571428571" style="2" customWidth="1"/>
    <col min="7439" max="7440" width="10.7142857142857" style="2" customWidth="1"/>
    <col min="7441" max="7441" width="8.71428571428571" style="2" customWidth="1"/>
    <col min="7442" max="7442" width="2.71428571428571" style="2" customWidth="1"/>
    <col min="7443" max="7443" width="9.14285714285714" style="2"/>
    <col min="7444" max="7444" width="2.71428571428571" style="2" customWidth="1"/>
    <col min="7445" max="7681" width="9.14285714285714" style="2"/>
    <col min="7682" max="7682" width="4.71428571428571" style="2" customWidth="1"/>
    <col min="7683" max="7683" width="8.71428571428571" style="2" customWidth="1"/>
    <col min="7684" max="7684" width="7.71428571428571" style="2" customWidth="1"/>
    <col min="7685" max="7685" width="8.71428571428571" style="2" customWidth="1"/>
    <col min="7686" max="7686" width="2.71428571428571" style="2" customWidth="1"/>
    <col min="7687" max="7687" width="8.71428571428571" style="2" customWidth="1"/>
    <col min="7688" max="7688" width="2.71428571428571" style="2" customWidth="1"/>
    <col min="7689" max="7689" width="10.7142857142857" style="2" customWidth="1"/>
    <col min="7690" max="7690" width="2.71428571428571" style="2" customWidth="1"/>
    <col min="7691" max="7691" width="8.71428571428571" style="2" customWidth="1"/>
    <col min="7692" max="7692" width="10.7142857142857" style="2" customWidth="1"/>
    <col min="7693" max="7693" width="8.71428571428571" style="2" customWidth="1"/>
    <col min="7694" max="7694" width="2.71428571428571" style="2" customWidth="1"/>
    <col min="7695" max="7696" width="10.7142857142857" style="2" customWidth="1"/>
    <col min="7697" max="7697" width="8.71428571428571" style="2" customWidth="1"/>
    <col min="7698" max="7698" width="2.71428571428571" style="2" customWidth="1"/>
    <col min="7699" max="7699" width="9.14285714285714" style="2"/>
    <col min="7700" max="7700" width="2.71428571428571" style="2" customWidth="1"/>
    <col min="7701" max="7937" width="9.14285714285714" style="2"/>
    <col min="7938" max="7938" width="4.71428571428571" style="2" customWidth="1"/>
    <col min="7939" max="7939" width="8.71428571428571" style="2" customWidth="1"/>
    <col min="7940" max="7940" width="7.71428571428571" style="2" customWidth="1"/>
    <col min="7941" max="7941" width="8.71428571428571" style="2" customWidth="1"/>
    <col min="7942" max="7942" width="2.71428571428571" style="2" customWidth="1"/>
    <col min="7943" max="7943" width="8.71428571428571" style="2" customWidth="1"/>
    <col min="7944" max="7944" width="2.71428571428571" style="2" customWidth="1"/>
    <col min="7945" max="7945" width="10.7142857142857" style="2" customWidth="1"/>
    <col min="7946" max="7946" width="2.71428571428571" style="2" customWidth="1"/>
    <col min="7947" max="7947" width="8.71428571428571" style="2" customWidth="1"/>
    <col min="7948" max="7948" width="10.7142857142857" style="2" customWidth="1"/>
    <col min="7949" max="7949" width="8.71428571428571" style="2" customWidth="1"/>
    <col min="7950" max="7950" width="2.71428571428571" style="2" customWidth="1"/>
    <col min="7951" max="7952" width="10.7142857142857" style="2" customWidth="1"/>
    <col min="7953" max="7953" width="8.71428571428571" style="2" customWidth="1"/>
    <col min="7954" max="7954" width="2.71428571428571" style="2" customWidth="1"/>
    <col min="7955" max="7955" width="9.14285714285714" style="2"/>
    <col min="7956" max="7956" width="2.71428571428571" style="2" customWidth="1"/>
    <col min="7957" max="8193" width="9.14285714285714" style="2"/>
    <col min="8194" max="8194" width="4.71428571428571" style="2" customWidth="1"/>
    <col min="8195" max="8195" width="8.71428571428571" style="2" customWidth="1"/>
    <col min="8196" max="8196" width="7.71428571428571" style="2" customWidth="1"/>
    <col min="8197" max="8197" width="8.71428571428571" style="2" customWidth="1"/>
    <col min="8198" max="8198" width="2.71428571428571" style="2" customWidth="1"/>
    <col min="8199" max="8199" width="8.71428571428571" style="2" customWidth="1"/>
    <col min="8200" max="8200" width="2.71428571428571" style="2" customWidth="1"/>
    <col min="8201" max="8201" width="10.7142857142857" style="2" customWidth="1"/>
    <col min="8202" max="8202" width="2.71428571428571" style="2" customWidth="1"/>
    <col min="8203" max="8203" width="8.71428571428571" style="2" customWidth="1"/>
    <col min="8204" max="8204" width="10.7142857142857" style="2" customWidth="1"/>
    <col min="8205" max="8205" width="8.71428571428571" style="2" customWidth="1"/>
    <col min="8206" max="8206" width="2.71428571428571" style="2" customWidth="1"/>
    <col min="8207" max="8208" width="10.7142857142857" style="2" customWidth="1"/>
    <col min="8209" max="8209" width="8.71428571428571" style="2" customWidth="1"/>
    <col min="8210" max="8210" width="2.71428571428571" style="2" customWidth="1"/>
    <col min="8211" max="8211" width="9.14285714285714" style="2"/>
    <col min="8212" max="8212" width="2.71428571428571" style="2" customWidth="1"/>
    <col min="8213" max="8449" width="9.14285714285714" style="2"/>
    <col min="8450" max="8450" width="4.71428571428571" style="2" customWidth="1"/>
    <col min="8451" max="8451" width="8.71428571428571" style="2" customWidth="1"/>
    <col min="8452" max="8452" width="7.71428571428571" style="2" customWidth="1"/>
    <col min="8453" max="8453" width="8.71428571428571" style="2" customWidth="1"/>
    <col min="8454" max="8454" width="2.71428571428571" style="2" customWidth="1"/>
    <col min="8455" max="8455" width="8.71428571428571" style="2" customWidth="1"/>
    <col min="8456" max="8456" width="2.71428571428571" style="2" customWidth="1"/>
    <col min="8457" max="8457" width="10.7142857142857" style="2" customWidth="1"/>
    <col min="8458" max="8458" width="2.71428571428571" style="2" customWidth="1"/>
    <col min="8459" max="8459" width="8.71428571428571" style="2" customWidth="1"/>
    <col min="8460" max="8460" width="10.7142857142857" style="2" customWidth="1"/>
    <col min="8461" max="8461" width="8.71428571428571" style="2" customWidth="1"/>
    <col min="8462" max="8462" width="2.71428571428571" style="2" customWidth="1"/>
    <col min="8463" max="8464" width="10.7142857142857" style="2" customWidth="1"/>
    <col min="8465" max="8465" width="8.71428571428571" style="2" customWidth="1"/>
    <col min="8466" max="8466" width="2.71428571428571" style="2" customWidth="1"/>
    <col min="8467" max="8467" width="9.14285714285714" style="2"/>
    <col min="8468" max="8468" width="2.71428571428571" style="2" customWidth="1"/>
    <col min="8469" max="8705" width="9.14285714285714" style="2"/>
    <col min="8706" max="8706" width="4.71428571428571" style="2" customWidth="1"/>
    <col min="8707" max="8707" width="8.71428571428571" style="2" customWidth="1"/>
    <col min="8708" max="8708" width="7.71428571428571" style="2" customWidth="1"/>
    <col min="8709" max="8709" width="8.71428571428571" style="2" customWidth="1"/>
    <col min="8710" max="8710" width="2.71428571428571" style="2" customWidth="1"/>
    <col min="8711" max="8711" width="8.71428571428571" style="2" customWidth="1"/>
    <col min="8712" max="8712" width="2.71428571428571" style="2" customWidth="1"/>
    <col min="8713" max="8713" width="10.7142857142857" style="2" customWidth="1"/>
    <col min="8714" max="8714" width="2.71428571428571" style="2" customWidth="1"/>
    <col min="8715" max="8715" width="8.71428571428571" style="2" customWidth="1"/>
    <col min="8716" max="8716" width="10.7142857142857" style="2" customWidth="1"/>
    <col min="8717" max="8717" width="8.71428571428571" style="2" customWidth="1"/>
    <col min="8718" max="8718" width="2.71428571428571" style="2" customWidth="1"/>
    <col min="8719" max="8720" width="10.7142857142857" style="2" customWidth="1"/>
    <col min="8721" max="8721" width="8.71428571428571" style="2" customWidth="1"/>
    <col min="8722" max="8722" width="2.71428571428571" style="2" customWidth="1"/>
    <col min="8723" max="8723" width="9.14285714285714" style="2"/>
    <col min="8724" max="8724" width="2.71428571428571" style="2" customWidth="1"/>
    <col min="8725" max="8961" width="9.14285714285714" style="2"/>
    <col min="8962" max="8962" width="4.71428571428571" style="2" customWidth="1"/>
    <col min="8963" max="8963" width="8.71428571428571" style="2" customWidth="1"/>
    <col min="8964" max="8964" width="7.71428571428571" style="2" customWidth="1"/>
    <col min="8965" max="8965" width="8.71428571428571" style="2" customWidth="1"/>
    <col min="8966" max="8966" width="2.71428571428571" style="2" customWidth="1"/>
    <col min="8967" max="8967" width="8.71428571428571" style="2" customWidth="1"/>
    <col min="8968" max="8968" width="2.71428571428571" style="2" customWidth="1"/>
    <col min="8969" max="8969" width="10.7142857142857" style="2" customWidth="1"/>
    <col min="8970" max="8970" width="2.71428571428571" style="2" customWidth="1"/>
    <col min="8971" max="8971" width="8.71428571428571" style="2" customWidth="1"/>
    <col min="8972" max="8972" width="10.7142857142857" style="2" customWidth="1"/>
    <col min="8973" max="8973" width="8.71428571428571" style="2" customWidth="1"/>
    <col min="8974" max="8974" width="2.71428571428571" style="2" customWidth="1"/>
    <col min="8975" max="8976" width="10.7142857142857" style="2" customWidth="1"/>
    <col min="8977" max="8977" width="8.71428571428571" style="2" customWidth="1"/>
    <col min="8978" max="8978" width="2.71428571428571" style="2" customWidth="1"/>
    <col min="8979" max="8979" width="9.14285714285714" style="2"/>
    <col min="8980" max="8980" width="2.71428571428571" style="2" customWidth="1"/>
    <col min="8981" max="9217" width="9.14285714285714" style="2"/>
    <col min="9218" max="9218" width="4.71428571428571" style="2" customWidth="1"/>
    <col min="9219" max="9219" width="8.71428571428571" style="2" customWidth="1"/>
    <col min="9220" max="9220" width="7.71428571428571" style="2" customWidth="1"/>
    <col min="9221" max="9221" width="8.71428571428571" style="2" customWidth="1"/>
    <col min="9222" max="9222" width="2.71428571428571" style="2" customWidth="1"/>
    <col min="9223" max="9223" width="8.71428571428571" style="2" customWidth="1"/>
    <col min="9224" max="9224" width="2.71428571428571" style="2" customWidth="1"/>
    <col min="9225" max="9225" width="10.7142857142857" style="2" customWidth="1"/>
    <col min="9226" max="9226" width="2.71428571428571" style="2" customWidth="1"/>
    <col min="9227" max="9227" width="8.71428571428571" style="2" customWidth="1"/>
    <col min="9228" max="9228" width="10.7142857142857" style="2" customWidth="1"/>
    <col min="9229" max="9229" width="8.71428571428571" style="2" customWidth="1"/>
    <col min="9230" max="9230" width="2.71428571428571" style="2" customWidth="1"/>
    <col min="9231" max="9232" width="10.7142857142857" style="2" customWidth="1"/>
    <col min="9233" max="9233" width="8.71428571428571" style="2" customWidth="1"/>
    <col min="9234" max="9234" width="2.71428571428571" style="2" customWidth="1"/>
    <col min="9235" max="9235" width="9.14285714285714" style="2"/>
    <col min="9236" max="9236" width="2.71428571428571" style="2" customWidth="1"/>
    <col min="9237" max="9473" width="9.14285714285714" style="2"/>
    <col min="9474" max="9474" width="4.71428571428571" style="2" customWidth="1"/>
    <col min="9475" max="9475" width="8.71428571428571" style="2" customWidth="1"/>
    <col min="9476" max="9476" width="7.71428571428571" style="2" customWidth="1"/>
    <col min="9477" max="9477" width="8.71428571428571" style="2" customWidth="1"/>
    <col min="9478" max="9478" width="2.71428571428571" style="2" customWidth="1"/>
    <col min="9479" max="9479" width="8.71428571428571" style="2" customWidth="1"/>
    <col min="9480" max="9480" width="2.71428571428571" style="2" customWidth="1"/>
    <col min="9481" max="9481" width="10.7142857142857" style="2" customWidth="1"/>
    <col min="9482" max="9482" width="2.71428571428571" style="2" customWidth="1"/>
    <col min="9483" max="9483" width="8.71428571428571" style="2" customWidth="1"/>
    <col min="9484" max="9484" width="10.7142857142857" style="2" customWidth="1"/>
    <col min="9485" max="9485" width="8.71428571428571" style="2" customWidth="1"/>
    <col min="9486" max="9486" width="2.71428571428571" style="2" customWidth="1"/>
    <col min="9487" max="9488" width="10.7142857142857" style="2" customWidth="1"/>
    <col min="9489" max="9489" width="8.71428571428571" style="2" customWidth="1"/>
    <col min="9490" max="9490" width="2.71428571428571" style="2" customWidth="1"/>
    <col min="9491" max="9491" width="9.14285714285714" style="2"/>
    <col min="9492" max="9492" width="2.71428571428571" style="2" customWidth="1"/>
    <col min="9493" max="9729" width="9.14285714285714" style="2"/>
    <col min="9730" max="9730" width="4.71428571428571" style="2" customWidth="1"/>
    <col min="9731" max="9731" width="8.71428571428571" style="2" customWidth="1"/>
    <col min="9732" max="9732" width="7.71428571428571" style="2" customWidth="1"/>
    <col min="9733" max="9733" width="8.71428571428571" style="2" customWidth="1"/>
    <col min="9734" max="9734" width="2.71428571428571" style="2" customWidth="1"/>
    <col min="9735" max="9735" width="8.71428571428571" style="2" customWidth="1"/>
    <col min="9736" max="9736" width="2.71428571428571" style="2" customWidth="1"/>
    <col min="9737" max="9737" width="10.7142857142857" style="2" customWidth="1"/>
    <col min="9738" max="9738" width="2.71428571428571" style="2" customWidth="1"/>
    <col min="9739" max="9739" width="8.71428571428571" style="2" customWidth="1"/>
    <col min="9740" max="9740" width="10.7142857142857" style="2" customWidth="1"/>
    <col min="9741" max="9741" width="8.71428571428571" style="2" customWidth="1"/>
    <col min="9742" max="9742" width="2.71428571428571" style="2" customWidth="1"/>
    <col min="9743" max="9744" width="10.7142857142857" style="2" customWidth="1"/>
    <col min="9745" max="9745" width="8.71428571428571" style="2" customWidth="1"/>
    <col min="9746" max="9746" width="2.71428571428571" style="2" customWidth="1"/>
    <col min="9747" max="9747" width="9.14285714285714" style="2"/>
    <col min="9748" max="9748" width="2.71428571428571" style="2" customWidth="1"/>
    <col min="9749" max="9985" width="9.14285714285714" style="2"/>
    <col min="9986" max="9986" width="4.71428571428571" style="2" customWidth="1"/>
    <col min="9987" max="9987" width="8.71428571428571" style="2" customWidth="1"/>
    <col min="9988" max="9988" width="7.71428571428571" style="2" customWidth="1"/>
    <col min="9989" max="9989" width="8.71428571428571" style="2" customWidth="1"/>
    <col min="9990" max="9990" width="2.71428571428571" style="2" customWidth="1"/>
    <col min="9991" max="9991" width="8.71428571428571" style="2" customWidth="1"/>
    <col min="9992" max="9992" width="2.71428571428571" style="2" customWidth="1"/>
    <col min="9993" max="9993" width="10.7142857142857" style="2" customWidth="1"/>
    <col min="9994" max="9994" width="2.71428571428571" style="2" customWidth="1"/>
    <col min="9995" max="9995" width="8.71428571428571" style="2" customWidth="1"/>
    <col min="9996" max="9996" width="10.7142857142857" style="2" customWidth="1"/>
    <col min="9997" max="9997" width="8.71428571428571" style="2" customWidth="1"/>
    <col min="9998" max="9998" width="2.71428571428571" style="2" customWidth="1"/>
    <col min="9999" max="10000" width="10.7142857142857" style="2" customWidth="1"/>
    <col min="10001" max="10001" width="8.71428571428571" style="2" customWidth="1"/>
    <col min="10002" max="10002" width="2.71428571428571" style="2" customWidth="1"/>
    <col min="10003" max="10003" width="9.14285714285714" style="2"/>
    <col min="10004" max="10004" width="2.71428571428571" style="2" customWidth="1"/>
    <col min="10005" max="10241" width="9.14285714285714" style="2"/>
    <col min="10242" max="10242" width="4.71428571428571" style="2" customWidth="1"/>
    <col min="10243" max="10243" width="8.71428571428571" style="2" customWidth="1"/>
    <col min="10244" max="10244" width="7.71428571428571" style="2" customWidth="1"/>
    <col min="10245" max="10245" width="8.71428571428571" style="2" customWidth="1"/>
    <col min="10246" max="10246" width="2.71428571428571" style="2" customWidth="1"/>
    <col min="10247" max="10247" width="8.71428571428571" style="2" customWidth="1"/>
    <col min="10248" max="10248" width="2.71428571428571" style="2" customWidth="1"/>
    <col min="10249" max="10249" width="10.7142857142857" style="2" customWidth="1"/>
    <col min="10250" max="10250" width="2.71428571428571" style="2" customWidth="1"/>
    <col min="10251" max="10251" width="8.71428571428571" style="2" customWidth="1"/>
    <col min="10252" max="10252" width="10.7142857142857" style="2" customWidth="1"/>
    <col min="10253" max="10253" width="8.71428571428571" style="2" customWidth="1"/>
    <col min="10254" max="10254" width="2.71428571428571" style="2" customWidth="1"/>
    <col min="10255" max="10256" width="10.7142857142857" style="2" customWidth="1"/>
    <col min="10257" max="10257" width="8.71428571428571" style="2" customWidth="1"/>
    <col min="10258" max="10258" width="2.71428571428571" style="2" customWidth="1"/>
    <col min="10259" max="10259" width="9.14285714285714" style="2"/>
    <col min="10260" max="10260" width="2.71428571428571" style="2" customWidth="1"/>
    <col min="10261" max="10497" width="9.14285714285714" style="2"/>
    <col min="10498" max="10498" width="4.71428571428571" style="2" customWidth="1"/>
    <col min="10499" max="10499" width="8.71428571428571" style="2" customWidth="1"/>
    <col min="10500" max="10500" width="7.71428571428571" style="2" customWidth="1"/>
    <col min="10501" max="10501" width="8.71428571428571" style="2" customWidth="1"/>
    <col min="10502" max="10502" width="2.71428571428571" style="2" customWidth="1"/>
    <col min="10503" max="10503" width="8.71428571428571" style="2" customWidth="1"/>
    <col min="10504" max="10504" width="2.71428571428571" style="2" customWidth="1"/>
    <col min="10505" max="10505" width="10.7142857142857" style="2" customWidth="1"/>
    <col min="10506" max="10506" width="2.71428571428571" style="2" customWidth="1"/>
    <col min="10507" max="10507" width="8.71428571428571" style="2" customWidth="1"/>
    <col min="10508" max="10508" width="10.7142857142857" style="2" customWidth="1"/>
    <col min="10509" max="10509" width="8.71428571428571" style="2" customWidth="1"/>
    <col min="10510" max="10510" width="2.71428571428571" style="2" customWidth="1"/>
    <col min="10511" max="10512" width="10.7142857142857" style="2" customWidth="1"/>
    <col min="10513" max="10513" width="8.71428571428571" style="2" customWidth="1"/>
    <col min="10514" max="10514" width="2.71428571428571" style="2" customWidth="1"/>
    <col min="10515" max="10515" width="9.14285714285714" style="2"/>
    <col min="10516" max="10516" width="2.71428571428571" style="2" customWidth="1"/>
    <col min="10517" max="10753" width="9.14285714285714" style="2"/>
    <col min="10754" max="10754" width="4.71428571428571" style="2" customWidth="1"/>
    <col min="10755" max="10755" width="8.71428571428571" style="2" customWidth="1"/>
    <col min="10756" max="10756" width="7.71428571428571" style="2" customWidth="1"/>
    <col min="10757" max="10757" width="8.71428571428571" style="2" customWidth="1"/>
    <col min="10758" max="10758" width="2.71428571428571" style="2" customWidth="1"/>
    <col min="10759" max="10759" width="8.71428571428571" style="2" customWidth="1"/>
    <col min="10760" max="10760" width="2.71428571428571" style="2" customWidth="1"/>
    <col min="10761" max="10761" width="10.7142857142857" style="2" customWidth="1"/>
    <col min="10762" max="10762" width="2.71428571428571" style="2" customWidth="1"/>
    <col min="10763" max="10763" width="8.71428571428571" style="2" customWidth="1"/>
    <col min="10764" max="10764" width="10.7142857142857" style="2" customWidth="1"/>
    <col min="10765" max="10765" width="8.71428571428571" style="2" customWidth="1"/>
    <col min="10766" max="10766" width="2.71428571428571" style="2" customWidth="1"/>
    <col min="10767" max="10768" width="10.7142857142857" style="2" customWidth="1"/>
    <col min="10769" max="10769" width="8.71428571428571" style="2" customWidth="1"/>
    <col min="10770" max="10770" width="2.71428571428571" style="2" customWidth="1"/>
    <col min="10771" max="10771" width="9.14285714285714" style="2"/>
    <col min="10772" max="10772" width="2.71428571428571" style="2" customWidth="1"/>
    <col min="10773" max="11009" width="9.14285714285714" style="2"/>
    <col min="11010" max="11010" width="4.71428571428571" style="2" customWidth="1"/>
    <col min="11011" max="11011" width="8.71428571428571" style="2" customWidth="1"/>
    <col min="11012" max="11012" width="7.71428571428571" style="2" customWidth="1"/>
    <col min="11013" max="11013" width="8.71428571428571" style="2" customWidth="1"/>
    <col min="11014" max="11014" width="2.71428571428571" style="2" customWidth="1"/>
    <col min="11015" max="11015" width="8.71428571428571" style="2" customWidth="1"/>
    <col min="11016" max="11016" width="2.71428571428571" style="2" customWidth="1"/>
    <col min="11017" max="11017" width="10.7142857142857" style="2" customWidth="1"/>
    <col min="11018" max="11018" width="2.71428571428571" style="2" customWidth="1"/>
    <col min="11019" max="11019" width="8.71428571428571" style="2" customWidth="1"/>
    <col min="11020" max="11020" width="10.7142857142857" style="2" customWidth="1"/>
    <col min="11021" max="11021" width="8.71428571428571" style="2" customWidth="1"/>
    <col min="11022" max="11022" width="2.71428571428571" style="2" customWidth="1"/>
    <col min="11023" max="11024" width="10.7142857142857" style="2" customWidth="1"/>
    <col min="11025" max="11025" width="8.71428571428571" style="2" customWidth="1"/>
    <col min="11026" max="11026" width="2.71428571428571" style="2" customWidth="1"/>
    <col min="11027" max="11027" width="9.14285714285714" style="2"/>
    <col min="11028" max="11028" width="2.71428571428571" style="2" customWidth="1"/>
    <col min="11029" max="11265" width="9.14285714285714" style="2"/>
    <col min="11266" max="11266" width="4.71428571428571" style="2" customWidth="1"/>
    <col min="11267" max="11267" width="8.71428571428571" style="2" customWidth="1"/>
    <col min="11268" max="11268" width="7.71428571428571" style="2" customWidth="1"/>
    <col min="11269" max="11269" width="8.71428571428571" style="2" customWidth="1"/>
    <col min="11270" max="11270" width="2.71428571428571" style="2" customWidth="1"/>
    <col min="11271" max="11271" width="8.71428571428571" style="2" customWidth="1"/>
    <col min="11272" max="11272" width="2.71428571428571" style="2" customWidth="1"/>
    <col min="11273" max="11273" width="10.7142857142857" style="2" customWidth="1"/>
    <col min="11274" max="11274" width="2.71428571428571" style="2" customWidth="1"/>
    <col min="11275" max="11275" width="8.71428571428571" style="2" customWidth="1"/>
    <col min="11276" max="11276" width="10.7142857142857" style="2" customWidth="1"/>
    <col min="11277" max="11277" width="8.71428571428571" style="2" customWidth="1"/>
    <col min="11278" max="11278" width="2.71428571428571" style="2" customWidth="1"/>
    <col min="11279" max="11280" width="10.7142857142857" style="2" customWidth="1"/>
    <col min="11281" max="11281" width="8.71428571428571" style="2" customWidth="1"/>
    <col min="11282" max="11282" width="2.71428571428571" style="2" customWidth="1"/>
    <col min="11283" max="11283" width="9.14285714285714" style="2"/>
    <col min="11284" max="11284" width="2.71428571428571" style="2" customWidth="1"/>
    <col min="11285" max="11521" width="9.14285714285714" style="2"/>
    <col min="11522" max="11522" width="4.71428571428571" style="2" customWidth="1"/>
    <col min="11523" max="11523" width="8.71428571428571" style="2" customWidth="1"/>
    <col min="11524" max="11524" width="7.71428571428571" style="2" customWidth="1"/>
    <col min="11525" max="11525" width="8.71428571428571" style="2" customWidth="1"/>
    <col min="11526" max="11526" width="2.71428571428571" style="2" customWidth="1"/>
    <col min="11527" max="11527" width="8.71428571428571" style="2" customWidth="1"/>
    <col min="11528" max="11528" width="2.71428571428571" style="2" customWidth="1"/>
    <col min="11529" max="11529" width="10.7142857142857" style="2" customWidth="1"/>
    <col min="11530" max="11530" width="2.71428571428571" style="2" customWidth="1"/>
    <col min="11531" max="11531" width="8.71428571428571" style="2" customWidth="1"/>
    <col min="11532" max="11532" width="10.7142857142857" style="2" customWidth="1"/>
    <col min="11533" max="11533" width="8.71428571428571" style="2" customWidth="1"/>
    <col min="11534" max="11534" width="2.71428571428571" style="2" customWidth="1"/>
    <col min="11535" max="11536" width="10.7142857142857" style="2" customWidth="1"/>
    <col min="11537" max="11537" width="8.71428571428571" style="2" customWidth="1"/>
    <col min="11538" max="11538" width="2.71428571428571" style="2" customWidth="1"/>
    <col min="11539" max="11539" width="9.14285714285714" style="2"/>
    <col min="11540" max="11540" width="2.71428571428571" style="2" customWidth="1"/>
    <col min="11541" max="11777" width="9.14285714285714" style="2"/>
    <col min="11778" max="11778" width="4.71428571428571" style="2" customWidth="1"/>
    <col min="11779" max="11779" width="8.71428571428571" style="2" customWidth="1"/>
    <col min="11780" max="11780" width="7.71428571428571" style="2" customWidth="1"/>
    <col min="11781" max="11781" width="8.71428571428571" style="2" customWidth="1"/>
    <col min="11782" max="11782" width="2.71428571428571" style="2" customWidth="1"/>
    <col min="11783" max="11783" width="8.71428571428571" style="2" customWidth="1"/>
    <col min="11784" max="11784" width="2.71428571428571" style="2" customWidth="1"/>
    <col min="11785" max="11785" width="10.7142857142857" style="2" customWidth="1"/>
    <col min="11786" max="11786" width="2.71428571428571" style="2" customWidth="1"/>
    <col min="11787" max="11787" width="8.71428571428571" style="2" customWidth="1"/>
    <col min="11788" max="11788" width="10.7142857142857" style="2" customWidth="1"/>
    <col min="11789" max="11789" width="8.71428571428571" style="2" customWidth="1"/>
    <col min="11790" max="11790" width="2.71428571428571" style="2" customWidth="1"/>
    <col min="11791" max="11792" width="10.7142857142857" style="2" customWidth="1"/>
    <col min="11793" max="11793" width="8.71428571428571" style="2" customWidth="1"/>
    <col min="11794" max="11794" width="2.71428571428571" style="2" customWidth="1"/>
    <col min="11795" max="11795" width="9.14285714285714" style="2"/>
    <col min="11796" max="11796" width="2.71428571428571" style="2" customWidth="1"/>
    <col min="11797" max="12033" width="9.14285714285714" style="2"/>
    <col min="12034" max="12034" width="4.71428571428571" style="2" customWidth="1"/>
    <col min="12035" max="12035" width="8.71428571428571" style="2" customWidth="1"/>
    <col min="12036" max="12036" width="7.71428571428571" style="2" customWidth="1"/>
    <col min="12037" max="12037" width="8.71428571428571" style="2" customWidth="1"/>
    <col min="12038" max="12038" width="2.71428571428571" style="2" customWidth="1"/>
    <col min="12039" max="12039" width="8.71428571428571" style="2" customWidth="1"/>
    <col min="12040" max="12040" width="2.71428571428571" style="2" customWidth="1"/>
    <col min="12041" max="12041" width="10.7142857142857" style="2" customWidth="1"/>
    <col min="12042" max="12042" width="2.71428571428571" style="2" customWidth="1"/>
    <col min="12043" max="12043" width="8.71428571428571" style="2" customWidth="1"/>
    <col min="12044" max="12044" width="10.7142857142857" style="2" customWidth="1"/>
    <col min="12045" max="12045" width="8.71428571428571" style="2" customWidth="1"/>
    <col min="12046" max="12046" width="2.71428571428571" style="2" customWidth="1"/>
    <col min="12047" max="12048" width="10.7142857142857" style="2" customWidth="1"/>
    <col min="12049" max="12049" width="8.71428571428571" style="2" customWidth="1"/>
    <col min="12050" max="12050" width="2.71428571428571" style="2" customWidth="1"/>
    <col min="12051" max="12051" width="9.14285714285714" style="2"/>
    <col min="12052" max="12052" width="2.71428571428571" style="2" customWidth="1"/>
    <col min="12053" max="12289" width="9.14285714285714" style="2"/>
    <col min="12290" max="12290" width="4.71428571428571" style="2" customWidth="1"/>
    <col min="12291" max="12291" width="8.71428571428571" style="2" customWidth="1"/>
    <col min="12292" max="12292" width="7.71428571428571" style="2" customWidth="1"/>
    <col min="12293" max="12293" width="8.71428571428571" style="2" customWidth="1"/>
    <col min="12294" max="12294" width="2.71428571428571" style="2" customWidth="1"/>
    <col min="12295" max="12295" width="8.71428571428571" style="2" customWidth="1"/>
    <col min="12296" max="12296" width="2.71428571428571" style="2" customWidth="1"/>
    <col min="12297" max="12297" width="10.7142857142857" style="2" customWidth="1"/>
    <col min="12298" max="12298" width="2.71428571428571" style="2" customWidth="1"/>
    <col min="12299" max="12299" width="8.71428571428571" style="2" customWidth="1"/>
    <col min="12300" max="12300" width="10.7142857142857" style="2" customWidth="1"/>
    <col min="12301" max="12301" width="8.71428571428571" style="2" customWidth="1"/>
    <col min="12302" max="12302" width="2.71428571428571" style="2" customWidth="1"/>
    <col min="12303" max="12304" width="10.7142857142857" style="2" customWidth="1"/>
    <col min="12305" max="12305" width="8.71428571428571" style="2" customWidth="1"/>
    <col min="12306" max="12306" width="2.71428571428571" style="2" customWidth="1"/>
    <col min="12307" max="12307" width="9.14285714285714" style="2"/>
    <col min="12308" max="12308" width="2.71428571428571" style="2" customWidth="1"/>
    <col min="12309" max="12545" width="9.14285714285714" style="2"/>
    <col min="12546" max="12546" width="4.71428571428571" style="2" customWidth="1"/>
    <col min="12547" max="12547" width="8.71428571428571" style="2" customWidth="1"/>
    <col min="12548" max="12548" width="7.71428571428571" style="2" customWidth="1"/>
    <col min="12549" max="12549" width="8.71428571428571" style="2" customWidth="1"/>
    <col min="12550" max="12550" width="2.71428571428571" style="2" customWidth="1"/>
    <col min="12551" max="12551" width="8.71428571428571" style="2" customWidth="1"/>
    <col min="12552" max="12552" width="2.71428571428571" style="2" customWidth="1"/>
    <col min="12553" max="12553" width="10.7142857142857" style="2" customWidth="1"/>
    <col min="12554" max="12554" width="2.71428571428571" style="2" customWidth="1"/>
    <col min="12555" max="12555" width="8.71428571428571" style="2" customWidth="1"/>
    <col min="12556" max="12556" width="10.7142857142857" style="2" customWidth="1"/>
    <col min="12557" max="12557" width="8.71428571428571" style="2" customWidth="1"/>
    <col min="12558" max="12558" width="2.71428571428571" style="2" customWidth="1"/>
    <col min="12559" max="12560" width="10.7142857142857" style="2" customWidth="1"/>
    <col min="12561" max="12561" width="8.71428571428571" style="2" customWidth="1"/>
    <col min="12562" max="12562" width="2.71428571428571" style="2" customWidth="1"/>
    <col min="12563" max="12563" width="9.14285714285714" style="2"/>
    <col min="12564" max="12564" width="2.71428571428571" style="2" customWidth="1"/>
    <col min="12565" max="12801" width="9.14285714285714" style="2"/>
    <col min="12802" max="12802" width="4.71428571428571" style="2" customWidth="1"/>
    <col min="12803" max="12803" width="8.71428571428571" style="2" customWidth="1"/>
    <col min="12804" max="12804" width="7.71428571428571" style="2" customWidth="1"/>
    <col min="12805" max="12805" width="8.71428571428571" style="2" customWidth="1"/>
    <col min="12806" max="12806" width="2.71428571428571" style="2" customWidth="1"/>
    <col min="12807" max="12807" width="8.71428571428571" style="2" customWidth="1"/>
    <col min="12808" max="12808" width="2.71428571428571" style="2" customWidth="1"/>
    <col min="12809" max="12809" width="10.7142857142857" style="2" customWidth="1"/>
    <col min="12810" max="12810" width="2.71428571428571" style="2" customWidth="1"/>
    <col min="12811" max="12811" width="8.71428571428571" style="2" customWidth="1"/>
    <col min="12812" max="12812" width="10.7142857142857" style="2" customWidth="1"/>
    <col min="12813" max="12813" width="8.71428571428571" style="2" customWidth="1"/>
    <col min="12814" max="12814" width="2.71428571428571" style="2" customWidth="1"/>
    <col min="12815" max="12816" width="10.7142857142857" style="2" customWidth="1"/>
    <col min="12817" max="12817" width="8.71428571428571" style="2" customWidth="1"/>
    <col min="12818" max="12818" width="2.71428571428571" style="2" customWidth="1"/>
    <col min="12819" max="12819" width="9.14285714285714" style="2"/>
    <col min="12820" max="12820" width="2.71428571428571" style="2" customWidth="1"/>
    <col min="12821" max="13057" width="9.14285714285714" style="2"/>
    <col min="13058" max="13058" width="4.71428571428571" style="2" customWidth="1"/>
    <col min="13059" max="13059" width="8.71428571428571" style="2" customWidth="1"/>
    <col min="13060" max="13060" width="7.71428571428571" style="2" customWidth="1"/>
    <col min="13061" max="13061" width="8.71428571428571" style="2" customWidth="1"/>
    <col min="13062" max="13062" width="2.71428571428571" style="2" customWidth="1"/>
    <col min="13063" max="13063" width="8.71428571428571" style="2" customWidth="1"/>
    <col min="13064" max="13064" width="2.71428571428571" style="2" customWidth="1"/>
    <col min="13065" max="13065" width="10.7142857142857" style="2" customWidth="1"/>
    <col min="13066" max="13066" width="2.71428571428571" style="2" customWidth="1"/>
    <col min="13067" max="13067" width="8.71428571428571" style="2" customWidth="1"/>
    <col min="13068" max="13068" width="10.7142857142857" style="2" customWidth="1"/>
    <col min="13069" max="13069" width="8.71428571428571" style="2" customWidth="1"/>
    <col min="13070" max="13070" width="2.71428571428571" style="2" customWidth="1"/>
    <col min="13071" max="13072" width="10.7142857142857" style="2" customWidth="1"/>
    <col min="13073" max="13073" width="8.71428571428571" style="2" customWidth="1"/>
    <col min="13074" max="13074" width="2.71428571428571" style="2" customWidth="1"/>
    <col min="13075" max="13075" width="9.14285714285714" style="2"/>
    <col min="13076" max="13076" width="2.71428571428571" style="2" customWidth="1"/>
    <col min="13077" max="13313" width="9.14285714285714" style="2"/>
    <col min="13314" max="13314" width="4.71428571428571" style="2" customWidth="1"/>
    <col min="13315" max="13315" width="8.71428571428571" style="2" customWidth="1"/>
    <col min="13316" max="13316" width="7.71428571428571" style="2" customWidth="1"/>
    <col min="13317" max="13317" width="8.71428571428571" style="2" customWidth="1"/>
    <col min="13318" max="13318" width="2.71428571428571" style="2" customWidth="1"/>
    <col min="13319" max="13319" width="8.71428571428571" style="2" customWidth="1"/>
    <col min="13320" max="13320" width="2.71428571428571" style="2" customWidth="1"/>
    <col min="13321" max="13321" width="10.7142857142857" style="2" customWidth="1"/>
    <col min="13322" max="13322" width="2.71428571428571" style="2" customWidth="1"/>
    <col min="13323" max="13323" width="8.71428571428571" style="2" customWidth="1"/>
    <col min="13324" max="13324" width="10.7142857142857" style="2" customWidth="1"/>
    <col min="13325" max="13325" width="8.71428571428571" style="2" customWidth="1"/>
    <col min="13326" max="13326" width="2.71428571428571" style="2" customWidth="1"/>
    <col min="13327" max="13328" width="10.7142857142857" style="2" customWidth="1"/>
    <col min="13329" max="13329" width="8.71428571428571" style="2" customWidth="1"/>
    <col min="13330" max="13330" width="2.71428571428571" style="2" customWidth="1"/>
    <col min="13331" max="13331" width="9.14285714285714" style="2"/>
    <col min="13332" max="13332" width="2.71428571428571" style="2" customWidth="1"/>
    <col min="13333" max="13569" width="9.14285714285714" style="2"/>
    <col min="13570" max="13570" width="4.71428571428571" style="2" customWidth="1"/>
    <col min="13571" max="13571" width="8.71428571428571" style="2" customWidth="1"/>
    <col min="13572" max="13572" width="7.71428571428571" style="2" customWidth="1"/>
    <col min="13573" max="13573" width="8.71428571428571" style="2" customWidth="1"/>
    <col min="13574" max="13574" width="2.71428571428571" style="2" customWidth="1"/>
    <col min="13575" max="13575" width="8.71428571428571" style="2" customWidth="1"/>
    <col min="13576" max="13576" width="2.71428571428571" style="2" customWidth="1"/>
    <col min="13577" max="13577" width="10.7142857142857" style="2" customWidth="1"/>
    <col min="13578" max="13578" width="2.71428571428571" style="2" customWidth="1"/>
    <col min="13579" max="13579" width="8.71428571428571" style="2" customWidth="1"/>
    <col min="13580" max="13580" width="10.7142857142857" style="2" customWidth="1"/>
    <col min="13581" max="13581" width="8.71428571428571" style="2" customWidth="1"/>
    <col min="13582" max="13582" width="2.71428571428571" style="2" customWidth="1"/>
    <col min="13583" max="13584" width="10.7142857142857" style="2" customWidth="1"/>
    <col min="13585" max="13585" width="8.71428571428571" style="2" customWidth="1"/>
    <col min="13586" max="13586" width="2.71428571428571" style="2" customWidth="1"/>
    <col min="13587" max="13587" width="9.14285714285714" style="2"/>
    <col min="13588" max="13588" width="2.71428571428571" style="2" customWidth="1"/>
    <col min="13589" max="13825" width="9.14285714285714" style="2"/>
    <col min="13826" max="13826" width="4.71428571428571" style="2" customWidth="1"/>
    <col min="13827" max="13827" width="8.71428571428571" style="2" customWidth="1"/>
    <col min="13828" max="13828" width="7.71428571428571" style="2" customWidth="1"/>
    <col min="13829" max="13829" width="8.71428571428571" style="2" customWidth="1"/>
    <col min="13830" max="13830" width="2.71428571428571" style="2" customWidth="1"/>
    <col min="13831" max="13831" width="8.71428571428571" style="2" customWidth="1"/>
    <col min="13832" max="13832" width="2.71428571428571" style="2" customWidth="1"/>
    <col min="13833" max="13833" width="10.7142857142857" style="2" customWidth="1"/>
    <col min="13834" max="13834" width="2.71428571428571" style="2" customWidth="1"/>
    <col min="13835" max="13835" width="8.71428571428571" style="2" customWidth="1"/>
    <col min="13836" max="13836" width="10.7142857142857" style="2" customWidth="1"/>
    <col min="13837" max="13837" width="8.71428571428571" style="2" customWidth="1"/>
    <col min="13838" max="13838" width="2.71428571428571" style="2" customWidth="1"/>
    <col min="13839" max="13840" width="10.7142857142857" style="2" customWidth="1"/>
    <col min="13841" max="13841" width="8.71428571428571" style="2" customWidth="1"/>
    <col min="13842" max="13842" width="2.71428571428571" style="2" customWidth="1"/>
    <col min="13843" max="13843" width="9.14285714285714" style="2"/>
    <col min="13844" max="13844" width="2.71428571428571" style="2" customWidth="1"/>
    <col min="13845" max="14081" width="9.14285714285714" style="2"/>
    <col min="14082" max="14082" width="4.71428571428571" style="2" customWidth="1"/>
    <col min="14083" max="14083" width="8.71428571428571" style="2" customWidth="1"/>
    <col min="14084" max="14084" width="7.71428571428571" style="2" customWidth="1"/>
    <col min="14085" max="14085" width="8.71428571428571" style="2" customWidth="1"/>
    <col min="14086" max="14086" width="2.71428571428571" style="2" customWidth="1"/>
    <col min="14087" max="14087" width="8.71428571428571" style="2" customWidth="1"/>
    <col min="14088" max="14088" width="2.71428571428571" style="2" customWidth="1"/>
    <col min="14089" max="14089" width="10.7142857142857" style="2" customWidth="1"/>
    <col min="14090" max="14090" width="2.71428571428571" style="2" customWidth="1"/>
    <col min="14091" max="14091" width="8.71428571428571" style="2" customWidth="1"/>
    <col min="14092" max="14092" width="10.7142857142857" style="2" customWidth="1"/>
    <col min="14093" max="14093" width="8.71428571428571" style="2" customWidth="1"/>
    <col min="14094" max="14094" width="2.71428571428571" style="2" customWidth="1"/>
    <col min="14095" max="14096" width="10.7142857142857" style="2" customWidth="1"/>
    <col min="14097" max="14097" width="8.71428571428571" style="2" customWidth="1"/>
    <col min="14098" max="14098" width="2.71428571428571" style="2" customWidth="1"/>
    <col min="14099" max="14099" width="9.14285714285714" style="2"/>
    <col min="14100" max="14100" width="2.71428571428571" style="2" customWidth="1"/>
    <col min="14101" max="14337" width="9.14285714285714" style="2"/>
    <col min="14338" max="14338" width="4.71428571428571" style="2" customWidth="1"/>
    <col min="14339" max="14339" width="8.71428571428571" style="2" customWidth="1"/>
    <col min="14340" max="14340" width="7.71428571428571" style="2" customWidth="1"/>
    <col min="14341" max="14341" width="8.71428571428571" style="2" customWidth="1"/>
    <col min="14342" max="14342" width="2.71428571428571" style="2" customWidth="1"/>
    <col min="14343" max="14343" width="8.71428571428571" style="2" customWidth="1"/>
    <col min="14344" max="14344" width="2.71428571428571" style="2" customWidth="1"/>
    <col min="14345" max="14345" width="10.7142857142857" style="2" customWidth="1"/>
    <col min="14346" max="14346" width="2.71428571428571" style="2" customWidth="1"/>
    <col min="14347" max="14347" width="8.71428571428571" style="2" customWidth="1"/>
    <col min="14348" max="14348" width="10.7142857142857" style="2" customWidth="1"/>
    <col min="14349" max="14349" width="8.71428571428571" style="2" customWidth="1"/>
    <col min="14350" max="14350" width="2.71428571428571" style="2" customWidth="1"/>
    <col min="14351" max="14352" width="10.7142857142857" style="2" customWidth="1"/>
    <col min="14353" max="14353" width="8.71428571428571" style="2" customWidth="1"/>
    <col min="14354" max="14354" width="2.71428571428571" style="2" customWidth="1"/>
    <col min="14355" max="14355" width="9.14285714285714" style="2"/>
    <col min="14356" max="14356" width="2.71428571428571" style="2" customWidth="1"/>
    <col min="14357" max="14593" width="9.14285714285714" style="2"/>
    <col min="14594" max="14594" width="4.71428571428571" style="2" customWidth="1"/>
    <col min="14595" max="14595" width="8.71428571428571" style="2" customWidth="1"/>
    <col min="14596" max="14596" width="7.71428571428571" style="2" customWidth="1"/>
    <col min="14597" max="14597" width="8.71428571428571" style="2" customWidth="1"/>
    <col min="14598" max="14598" width="2.71428571428571" style="2" customWidth="1"/>
    <col min="14599" max="14599" width="8.71428571428571" style="2" customWidth="1"/>
    <col min="14600" max="14600" width="2.71428571428571" style="2" customWidth="1"/>
    <col min="14601" max="14601" width="10.7142857142857" style="2" customWidth="1"/>
    <col min="14602" max="14602" width="2.71428571428571" style="2" customWidth="1"/>
    <col min="14603" max="14603" width="8.71428571428571" style="2" customWidth="1"/>
    <col min="14604" max="14604" width="10.7142857142857" style="2" customWidth="1"/>
    <col min="14605" max="14605" width="8.71428571428571" style="2" customWidth="1"/>
    <col min="14606" max="14606" width="2.71428571428571" style="2" customWidth="1"/>
    <col min="14607" max="14608" width="10.7142857142857" style="2" customWidth="1"/>
    <col min="14609" max="14609" width="8.71428571428571" style="2" customWidth="1"/>
    <col min="14610" max="14610" width="2.71428571428571" style="2" customWidth="1"/>
    <col min="14611" max="14611" width="9.14285714285714" style="2"/>
    <col min="14612" max="14612" width="2.71428571428571" style="2" customWidth="1"/>
    <col min="14613" max="14849" width="9.14285714285714" style="2"/>
    <col min="14850" max="14850" width="4.71428571428571" style="2" customWidth="1"/>
    <col min="14851" max="14851" width="8.71428571428571" style="2" customWidth="1"/>
    <col min="14852" max="14852" width="7.71428571428571" style="2" customWidth="1"/>
    <col min="14853" max="14853" width="8.71428571428571" style="2" customWidth="1"/>
    <col min="14854" max="14854" width="2.71428571428571" style="2" customWidth="1"/>
    <col min="14855" max="14855" width="8.71428571428571" style="2" customWidth="1"/>
    <col min="14856" max="14856" width="2.71428571428571" style="2" customWidth="1"/>
    <col min="14857" max="14857" width="10.7142857142857" style="2" customWidth="1"/>
    <col min="14858" max="14858" width="2.71428571428571" style="2" customWidth="1"/>
    <col min="14859" max="14859" width="8.71428571428571" style="2" customWidth="1"/>
    <col min="14860" max="14860" width="10.7142857142857" style="2" customWidth="1"/>
    <col min="14861" max="14861" width="8.71428571428571" style="2" customWidth="1"/>
    <col min="14862" max="14862" width="2.71428571428571" style="2" customWidth="1"/>
    <col min="14863" max="14864" width="10.7142857142857" style="2" customWidth="1"/>
    <col min="14865" max="14865" width="8.71428571428571" style="2" customWidth="1"/>
    <col min="14866" max="14866" width="2.71428571428571" style="2" customWidth="1"/>
    <col min="14867" max="14867" width="9.14285714285714" style="2"/>
    <col min="14868" max="14868" width="2.71428571428571" style="2" customWidth="1"/>
    <col min="14869" max="15105" width="9.14285714285714" style="2"/>
    <col min="15106" max="15106" width="4.71428571428571" style="2" customWidth="1"/>
    <col min="15107" max="15107" width="8.71428571428571" style="2" customWidth="1"/>
    <col min="15108" max="15108" width="7.71428571428571" style="2" customWidth="1"/>
    <col min="15109" max="15109" width="8.71428571428571" style="2" customWidth="1"/>
    <col min="15110" max="15110" width="2.71428571428571" style="2" customWidth="1"/>
    <col min="15111" max="15111" width="8.71428571428571" style="2" customWidth="1"/>
    <col min="15112" max="15112" width="2.71428571428571" style="2" customWidth="1"/>
    <col min="15113" max="15113" width="10.7142857142857" style="2" customWidth="1"/>
    <col min="15114" max="15114" width="2.71428571428571" style="2" customWidth="1"/>
    <col min="15115" max="15115" width="8.71428571428571" style="2" customWidth="1"/>
    <col min="15116" max="15116" width="10.7142857142857" style="2" customWidth="1"/>
    <col min="15117" max="15117" width="8.71428571428571" style="2" customWidth="1"/>
    <col min="15118" max="15118" width="2.71428571428571" style="2" customWidth="1"/>
    <col min="15119" max="15120" width="10.7142857142857" style="2" customWidth="1"/>
    <col min="15121" max="15121" width="8.71428571428571" style="2" customWidth="1"/>
    <col min="15122" max="15122" width="2.71428571428571" style="2" customWidth="1"/>
    <col min="15123" max="15123" width="9.14285714285714" style="2"/>
    <col min="15124" max="15124" width="2.71428571428571" style="2" customWidth="1"/>
    <col min="15125" max="15361" width="9.14285714285714" style="2"/>
    <col min="15362" max="15362" width="4.71428571428571" style="2" customWidth="1"/>
    <col min="15363" max="15363" width="8.71428571428571" style="2" customWidth="1"/>
    <col min="15364" max="15364" width="7.71428571428571" style="2" customWidth="1"/>
    <col min="15365" max="15365" width="8.71428571428571" style="2" customWidth="1"/>
    <col min="15366" max="15366" width="2.71428571428571" style="2" customWidth="1"/>
    <col min="15367" max="15367" width="8.71428571428571" style="2" customWidth="1"/>
    <col min="15368" max="15368" width="2.71428571428571" style="2" customWidth="1"/>
    <col min="15369" max="15369" width="10.7142857142857" style="2" customWidth="1"/>
    <col min="15370" max="15370" width="2.71428571428571" style="2" customWidth="1"/>
    <col min="15371" max="15371" width="8.71428571428571" style="2" customWidth="1"/>
    <col min="15372" max="15372" width="10.7142857142857" style="2" customWidth="1"/>
    <col min="15373" max="15373" width="8.71428571428571" style="2" customWidth="1"/>
    <col min="15374" max="15374" width="2.71428571428571" style="2" customWidth="1"/>
    <col min="15375" max="15376" width="10.7142857142857" style="2" customWidth="1"/>
    <col min="15377" max="15377" width="8.71428571428571" style="2" customWidth="1"/>
    <col min="15378" max="15378" width="2.71428571428571" style="2" customWidth="1"/>
    <col min="15379" max="15379" width="9.14285714285714" style="2"/>
    <col min="15380" max="15380" width="2.71428571428571" style="2" customWidth="1"/>
    <col min="15381" max="15617" width="9.14285714285714" style="2"/>
    <col min="15618" max="15618" width="4.71428571428571" style="2" customWidth="1"/>
    <col min="15619" max="15619" width="8.71428571428571" style="2" customWidth="1"/>
    <col min="15620" max="15620" width="7.71428571428571" style="2" customWidth="1"/>
    <col min="15621" max="15621" width="8.71428571428571" style="2" customWidth="1"/>
    <col min="15622" max="15622" width="2.71428571428571" style="2" customWidth="1"/>
    <col min="15623" max="15623" width="8.71428571428571" style="2" customWidth="1"/>
    <col min="15624" max="15624" width="2.71428571428571" style="2" customWidth="1"/>
    <col min="15625" max="15625" width="10.7142857142857" style="2" customWidth="1"/>
    <col min="15626" max="15626" width="2.71428571428571" style="2" customWidth="1"/>
    <col min="15627" max="15627" width="8.71428571428571" style="2" customWidth="1"/>
    <col min="15628" max="15628" width="10.7142857142857" style="2" customWidth="1"/>
    <col min="15629" max="15629" width="8.71428571428571" style="2" customWidth="1"/>
    <col min="15630" max="15630" width="2.71428571428571" style="2" customWidth="1"/>
    <col min="15631" max="15632" width="10.7142857142857" style="2" customWidth="1"/>
    <col min="15633" max="15633" width="8.71428571428571" style="2" customWidth="1"/>
    <col min="15634" max="15634" width="2.71428571428571" style="2" customWidth="1"/>
    <col min="15635" max="15635" width="9.14285714285714" style="2"/>
    <col min="15636" max="15636" width="2.71428571428571" style="2" customWidth="1"/>
    <col min="15637" max="15873" width="9.14285714285714" style="2"/>
    <col min="15874" max="15874" width="4.71428571428571" style="2" customWidth="1"/>
    <col min="15875" max="15875" width="8.71428571428571" style="2" customWidth="1"/>
    <col min="15876" max="15876" width="7.71428571428571" style="2" customWidth="1"/>
    <col min="15877" max="15877" width="8.71428571428571" style="2" customWidth="1"/>
    <col min="15878" max="15878" width="2.71428571428571" style="2" customWidth="1"/>
    <col min="15879" max="15879" width="8.71428571428571" style="2" customWidth="1"/>
    <col min="15880" max="15880" width="2.71428571428571" style="2" customWidth="1"/>
    <col min="15881" max="15881" width="10.7142857142857" style="2" customWidth="1"/>
    <col min="15882" max="15882" width="2.71428571428571" style="2" customWidth="1"/>
    <col min="15883" max="15883" width="8.71428571428571" style="2" customWidth="1"/>
    <col min="15884" max="15884" width="10.7142857142857" style="2" customWidth="1"/>
    <col min="15885" max="15885" width="8.71428571428571" style="2" customWidth="1"/>
    <col min="15886" max="15886" width="2.71428571428571" style="2" customWidth="1"/>
    <col min="15887" max="15888" width="10.7142857142857" style="2" customWidth="1"/>
    <col min="15889" max="15889" width="8.71428571428571" style="2" customWidth="1"/>
    <col min="15890" max="15890" width="2.71428571428571" style="2" customWidth="1"/>
    <col min="15891" max="15891" width="9.14285714285714" style="2"/>
    <col min="15892" max="15892" width="2.71428571428571" style="2" customWidth="1"/>
    <col min="15893" max="16129" width="9.14285714285714" style="2"/>
    <col min="16130" max="16130" width="4.71428571428571" style="2" customWidth="1"/>
    <col min="16131" max="16131" width="8.71428571428571" style="2" customWidth="1"/>
    <col min="16132" max="16132" width="7.71428571428571" style="2" customWidth="1"/>
    <col min="16133" max="16133" width="8.71428571428571" style="2" customWidth="1"/>
    <col min="16134" max="16134" width="2.71428571428571" style="2" customWidth="1"/>
    <col min="16135" max="16135" width="8.71428571428571" style="2" customWidth="1"/>
    <col min="16136" max="16136" width="2.71428571428571" style="2" customWidth="1"/>
    <col min="16137" max="16137" width="10.7142857142857" style="2" customWidth="1"/>
    <col min="16138" max="16138" width="2.71428571428571" style="2" customWidth="1"/>
    <col min="16139" max="16139" width="8.71428571428571" style="2" customWidth="1"/>
    <col min="16140" max="16140" width="10.7142857142857" style="2" customWidth="1"/>
    <col min="16141" max="16141" width="8.71428571428571" style="2" customWidth="1"/>
    <col min="16142" max="16142" width="2.71428571428571" style="2" customWidth="1"/>
    <col min="16143" max="16144" width="10.7142857142857" style="2" customWidth="1"/>
    <col min="16145" max="16145" width="8.71428571428571" style="2" customWidth="1"/>
    <col min="16146" max="16146" width="2.71428571428571" style="2" customWidth="1"/>
    <col min="16147" max="16147" width="9.14285714285714" style="2"/>
    <col min="16148" max="16148" width="2.71428571428571" style="2" customWidth="1"/>
    <col min="16149" max="16384" width="9.14285714285714" style="2"/>
  </cols>
  <sheetData>
    <row r="1" spans="4:18" ht="18.75" customHeight="1">
      <c r="D1" s="1"/>
      <c r="O1" s="9"/>
      <c r="Q1" s="9"/>
      <c r="R1" s="9" t="s">
        <v>31</v>
      </c>
    </row>
    <row r="2" spans="15:18" ht="18.75" customHeight="1">
      <c r="O2" s="9"/>
      <c r="Q2" s="9"/>
      <c r="R2" s="9" t="s">
        <v>64</v>
      </c>
    </row>
    <row r="3" spans="15:17" ht="18.75" customHeight="1">
      <c r="O3" s="9"/>
      <c r="Q3" s="9"/>
    </row>
    <row r="4" spans="1:22" ht="18" customHeight="1">
      <c r="A4" s="20" t="s">
        <v>88</v>
      </c>
      <c r="B4" s="18"/>
      <c r="C4" s="18"/>
      <c r="D4" s="18"/>
      <c r="E4" s="18"/>
      <c r="F4" s="19"/>
      <c r="G4" s="22"/>
      <c r="H4" s="20"/>
      <c r="I4" s="19"/>
      <c r="J4" s="18"/>
      <c r="K4" s="18"/>
      <c r="L4" s="20"/>
      <c r="M4" s="22"/>
      <c r="N4" s="18"/>
      <c r="O4" s="18"/>
      <c r="P4" s="19"/>
      <c r="Q4" s="18"/>
      <c r="R4" s="18"/>
      <c r="S4" s="18"/>
      <c r="T4" s="18"/>
      <c r="U4" s="18"/>
      <c r="V4" s="18"/>
    </row>
    <row r="5" spans="1:22" ht="18" customHeight="1">
      <c r="A5" s="20" t="s">
        <v>51</v>
      </c>
      <c r="B5" s="18"/>
      <c r="C5" s="18"/>
      <c r="D5" s="18"/>
      <c r="E5" s="18"/>
      <c r="F5" s="19"/>
      <c r="G5" s="22"/>
      <c r="H5" s="20"/>
      <c r="I5" s="21"/>
      <c r="J5" s="18"/>
      <c r="K5" s="19"/>
      <c r="L5" s="20"/>
      <c r="M5" s="23"/>
      <c r="N5" s="18"/>
      <c r="O5" s="18"/>
      <c r="P5" s="21"/>
      <c r="Q5" s="20"/>
      <c r="R5" s="18"/>
      <c r="S5" s="18"/>
      <c r="T5" s="18"/>
      <c r="U5" s="18"/>
      <c r="V5" s="18"/>
    </row>
    <row r="6" spans="1:22" ht="18" customHeight="1">
      <c r="A6" s="20" t="s">
        <v>72</v>
      </c>
      <c r="B6" s="18"/>
      <c r="C6" s="18"/>
      <c r="D6" s="18"/>
      <c r="E6" s="18"/>
      <c r="F6" s="19"/>
      <c r="G6" s="22"/>
      <c r="H6" s="19"/>
      <c r="I6" s="19"/>
      <c r="J6" s="20"/>
      <c r="K6" s="19"/>
      <c r="L6" s="19"/>
      <c r="M6" s="22"/>
      <c r="N6" s="18"/>
      <c r="O6" s="20"/>
      <c r="P6" s="21"/>
      <c r="Q6" s="20"/>
      <c r="R6" s="18"/>
      <c r="S6" s="18"/>
      <c r="T6" s="18"/>
      <c r="U6" s="18"/>
      <c r="V6" s="18"/>
    </row>
    <row r="7" spans="1:22" ht="18" customHeight="1">
      <c r="A7" s="20" t="s">
        <v>49</v>
      </c>
      <c r="B7" s="18"/>
      <c r="C7" s="18"/>
      <c r="D7" s="18"/>
      <c r="E7" s="18"/>
      <c r="F7" s="18"/>
      <c r="G7" s="22"/>
      <c r="H7" s="19"/>
      <c r="I7" s="19"/>
      <c r="J7" s="20"/>
      <c r="K7" s="19"/>
      <c r="L7" s="19"/>
      <c r="M7" s="22"/>
      <c r="N7" s="18"/>
      <c r="O7" s="20"/>
      <c r="P7" s="21"/>
      <c r="Q7" s="20"/>
      <c r="R7" s="18"/>
      <c r="S7" s="18"/>
      <c r="T7" s="18"/>
      <c r="U7" s="18"/>
      <c r="V7" s="18"/>
    </row>
    <row r="8" spans="1:22" ht="18" customHeight="1">
      <c r="A8" s="20" t="s">
        <v>109</v>
      </c>
      <c r="B8" s="18"/>
      <c r="C8" s="18"/>
      <c r="D8" s="18"/>
      <c r="E8" s="18"/>
      <c r="F8" s="18"/>
      <c r="G8" s="22"/>
      <c r="H8" s="19"/>
      <c r="I8" s="19"/>
      <c r="J8" s="20"/>
      <c r="K8" s="19"/>
      <c r="L8" s="19"/>
      <c r="M8" s="22"/>
      <c r="N8" s="18"/>
      <c r="O8" s="20"/>
      <c r="P8" s="21"/>
      <c r="Q8" s="20"/>
      <c r="R8" s="18"/>
      <c r="S8" s="18"/>
      <c r="T8" s="18"/>
      <c r="U8" s="18"/>
      <c r="V8" s="18"/>
    </row>
    <row r="9" spans="1:22" ht="18" customHeight="1">
      <c r="A9" s="20"/>
      <c r="B9" s="18"/>
      <c r="C9" s="18"/>
      <c r="D9" s="18"/>
      <c r="E9" s="18"/>
      <c r="F9" s="19"/>
      <c r="G9" s="22"/>
      <c r="H9" s="21"/>
      <c r="I9" s="21"/>
      <c r="J9" s="18"/>
      <c r="K9" s="19"/>
      <c r="L9" s="21"/>
      <c r="M9" s="23"/>
      <c r="N9" s="18"/>
      <c r="O9" s="18"/>
      <c r="P9" s="19"/>
      <c r="Q9" s="18"/>
      <c r="R9" s="18"/>
      <c r="S9" s="18"/>
      <c r="T9" s="18"/>
      <c r="U9" s="18"/>
      <c r="V9" s="18"/>
    </row>
    <row r="10" spans="1:22" ht="18" customHeight="1">
      <c r="A10" s="20" t="s">
        <v>58</v>
      </c>
      <c r="B10" s="18"/>
      <c r="C10" s="18"/>
      <c r="D10" s="18"/>
      <c r="E10" s="18"/>
      <c r="F10" s="19"/>
      <c r="G10" s="22"/>
      <c r="H10" s="21"/>
      <c r="I10" s="21"/>
      <c r="J10" s="18"/>
      <c r="K10" s="19"/>
      <c r="L10" s="21"/>
      <c r="M10" s="23"/>
      <c r="N10" s="18"/>
      <c r="O10" s="18"/>
      <c r="P10" s="19"/>
      <c r="Q10" s="18"/>
      <c r="R10" s="18"/>
      <c r="S10" s="18"/>
      <c r="T10" s="18"/>
      <c r="U10" s="18"/>
      <c r="V10" s="18"/>
    </row>
    <row r="11" spans="15:17" ht="18.75" customHeight="1">
      <c r="O11" s="9"/>
      <c r="Q11" s="9"/>
    </row>
    <row r="12" spans="3:17" ht="18.75" customHeight="1">
      <c r="C12" s="2" t="s">
        <v>59</v>
      </c>
      <c r="O12" s="9"/>
      <c r="Q12" s="9"/>
    </row>
    <row r="13" spans="3:17" ht="18.75" customHeight="1">
      <c r="C13" s="2" t="s">
        <v>35</v>
      </c>
      <c r="O13" s="9"/>
      <c r="Q13" s="9"/>
    </row>
    <row r="14" spans="15:17" ht="10" customHeight="1">
      <c r="O14" s="9"/>
      <c r="Q14" s="9"/>
    </row>
    <row r="15" spans="7:19" ht="18.75" customHeight="1">
      <c r="G15" s="11"/>
      <c r="I15" s="11" t="s">
        <v>45</v>
      </c>
      <c r="K15" s="11" t="s">
        <v>46</v>
      </c>
      <c r="M15" s="9" t="s">
        <v>47</v>
      </c>
      <c r="O15" s="9" t="s">
        <v>69</v>
      </c>
      <c r="P15" s="2"/>
      <c r="Q15" s="2" t="s">
        <v>48</v>
      </c>
      <c r="S15" s="2" t="s">
        <v>70</v>
      </c>
    </row>
    <row r="16" spans="6:17" ht="18.75" customHeight="1">
      <c r="F16" s="7"/>
      <c r="G16" s="11"/>
      <c r="I16" s="7" t="s">
        <v>107</v>
      </c>
      <c r="J16" s="7"/>
      <c r="K16" s="7"/>
      <c r="L16" s="2"/>
      <c r="M16" s="7" t="s">
        <v>108</v>
      </c>
      <c r="N16" s="7"/>
      <c r="O16" s="7"/>
      <c r="Q16" s="7" t="s">
        <v>110</v>
      </c>
    </row>
    <row r="17" spans="3:19" ht="18.75" customHeight="1">
      <c r="C17" s="2" t="s">
        <v>2</v>
      </c>
      <c r="G17" s="11"/>
      <c r="I17" s="11" t="s">
        <v>52</v>
      </c>
      <c r="L17" s="2"/>
      <c r="M17" s="11" t="s">
        <v>52</v>
      </c>
      <c r="Q17" s="11" t="s">
        <v>52</v>
      </c>
      <c r="R17" s="11"/>
      <c r="S17" s="11"/>
    </row>
    <row r="18" spans="3:19" ht="18.75" customHeight="1">
      <c r="C18" s="8" t="s">
        <v>9</v>
      </c>
      <c r="F18" s="12"/>
      <c r="G18" s="12"/>
      <c r="I18" s="13" t="s">
        <v>41</v>
      </c>
      <c r="J18" s="12"/>
      <c r="K18" s="17" t="s">
        <v>16</v>
      </c>
      <c r="L18" s="2"/>
      <c r="M18" s="13" t="s">
        <v>41</v>
      </c>
      <c r="N18" s="12"/>
      <c r="O18" s="17" t="s">
        <v>16</v>
      </c>
      <c r="Q18" s="13" t="s">
        <v>41</v>
      </c>
      <c r="R18" s="12"/>
      <c r="S18" s="17" t="s">
        <v>16</v>
      </c>
    </row>
    <row r="19" spans="3:13" ht="18" customHeight="1">
      <c r="C19" s="2"/>
      <c r="G19" s="11"/>
      <c r="L19" s="2"/>
      <c r="M19" s="11"/>
    </row>
    <row r="20" spans="3:19" ht="22" customHeight="1">
      <c r="C20" s="10">
        <v>1</v>
      </c>
      <c r="D20" s="10" t="s">
        <v>17</v>
      </c>
      <c r="F20" s="15"/>
      <c r="G20" s="15"/>
      <c r="H20" s="9"/>
      <c r="I20" s="9">
        <v>0.86770533837625341</v>
      </c>
      <c r="J20" s="2"/>
      <c r="K20" s="9">
        <v>0.9072329488778359</v>
      </c>
      <c r="L20" s="2"/>
      <c r="M20" s="9">
        <v>0.94713731450488825</v>
      </c>
      <c r="N20" s="9"/>
      <c r="O20" s="9">
        <v>0.92537603563346105</v>
      </c>
      <c r="Q20" s="11">
        <v>0.92893088700838955</v>
      </c>
      <c r="S20" s="9">
        <v>0.92667370000000004</v>
      </c>
    </row>
    <row r="21" spans="3:19" ht="22" customHeight="1">
      <c r="C21" s="10">
        <v>2</v>
      </c>
      <c r="D21" s="10" t="s">
        <v>18</v>
      </c>
      <c r="F21" s="9"/>
      <c r="G21" s="15"/>
      <c r="H21" s="9"/>
      <c r="I21" s="9">
        <v>0.90121357584593809</v>
      </c>
      <c r="J21" s="2"/>
      <c r="K21" s="9">
        <v>0.93807560400594958</v>
      </c>
      <c r="L21" s="2"/>
      <c r="M21" s="9">
        <v>0.91565241989448098</v>
      </c>
      <c r="N21" s="9"/>
      <c r="O21" s="9">
        <v>0.91230281196990903</v>
      </c>
      <c r="Q21" s="11">
        <v>0.91258806371581802</v>
      </c>
      <c r="S21" s="9">
        <v>0.91573780000000005</v>
      </c>
    </row>
    <row r="22" spans="3:19" ht="22" customHeight="1">
      <c r="C22" s="10">
        <v>3</v>
      </c>
      <c r="D22" s="10" t="s">
        <v>19</v>
      </c>
      <c r="F22" s="16"/>
      <c r="G22" s="15"/>
      <c r="H22" s="9"/>
      <c r="I22" s="9">
        <v>0.91690745715663557</v>
      </c>
      <c r="J22" s="2"/>
      <c r="K22" s="9">
        <v>0.89931506856187104</v>
      </c>
      <c r="L22" s="2"/>
      <c r="M22" s="9">
        <v>0.92051372458892389</v>
      </c>
      <c r="N22" s="9"/>
      <c r="O22" s="9">
        <v>0.89230008482149492</v>
      </c>
      <c r="Q22" s="11">
        <v>0.96156853296777067</v>
      </c>
      <c r="S22" s="9">
        <v>0.92279929999999999</v>
      </c>
    </row>
    <row r="23" spans="3:19" ht="22" customHeight="1">
      <c r="C23" s="10">
        <v>4</v>
      </c>
      <c r="D23" s="10" t="s">
        <v>20</v>
      </c>
      <c r="F23" s="16"/>
      <c r="G23" s="15"/>
      <c r="H23" s="9"/>
      <c r="I23" s="9">
        <v>0.92395372034091328</v>
      </c>
      <c r="J23" s="2"/>
      <c r="K23" s="9">
        <v>0.90669085799913929</v>
      </c>
      <c r="L23" s="2"/>
      <c r="M23" s="9">
        <v>0.96163737704802366</v>
      </c>
      <c r="N23" s="9"/>
      <c r="O23" s="9">
        <v>0.90044584828486807</v>
      </c>
      <c r="Q23" s="11">
        <v>0.95653080667440549</v>
      </c>
      <c r="S23" s="9">
        <v>0.91356190000000004</v>
      </c>
    </row>
    <row r="24" spans="3:19" ht="22" customHeight="1">
      <c r="C24" s="10">
        <v>5</v>
      </c>
      <c r="D24" s="10" t="s">
        <v>21</v>
      </c>
      <c r="F24" s="16"/>
      <c r="G24" s="15"/>
      <c r="H24" s="9"/>
      <c r="I24" s="9">
        <v>0.94276512208311236</v>
      </c>
      <c r="J24" s="2"/>
      <c r="K24" s="9">
        <v>0.88831883256988009</v>
      </c>
      <c r="L24" s="2"/>
      <c r="M24" s="9">
        <v>0.98433794598527458</v>
      </c>
      <c r="N24" s="9"/>
      <c r="O24" s="9">
        <v>0.90744784349422269</v>
      </c>
      <c r="Q24" s="11">
        <v>0.93336593470515505</v>
      </c>
      <c r="S24" s="9">
        <v>0.8943989</v>
      </c>
    </row>
    <row r="25" spans="3:19" ht="22" customHeight="1">
      <c r="C25" s="10">
        <v>6</v>
      </c>
      <c r="D25" s="10" t="s">
        <v>22</v>
      </c>
      <c r="F25" s="16"/>
      <c r="G25" s="15"/>
      <c r="H25" s="9"/>
      <c r="I25" s="9">
        <v>0.88718180542151581</v>
      </c>
      <c r="J25" s="2"/>
      <c r="K25" s="9">
        <v>0.92334264409900291</v>
      </c>
      <c r="L25" s="2"/>
      <c r="M25" s="9">
        <v>0.88673818634298074</v>
      </c>
      <c r="N25" s="9"/>
      <c r="O25" s="9">
        <v>0.91188258193393046</v>
      </c>
      <c r="Q25" s="11">
        <v>0.85544056219369558</v>
      </c>
      <c r="S25" s="9">
        <v>0.91241410000000001</v>
      </c>
    </row>
    <row r="26" spans="3:19" ht="22" customHeight="1">
      <c r="C26" s="10">
        <v>7</v>
      </c>
      <c r="D26" s="10" t="s">
        <v>23</v>
      </c>
      <c r="F26" s="15"/>
      <c r="G26" s="15"/>
      <c r="H26" s="9"/>
      <c r="I26" s="9">
        <v>0.89707817342367391</v>
      </c>
      <c r="J26" s="2"/>
      <c r="K26" s="9">
        <v>0.90669420000000001</v>
      </c>
      <c r="L26" s="2"/>
      <c r="M26" s="9">
        <v>0.88328447370816177</v>
      </c>
      <c r="N26" s="9"/>
      <c r="O26" s="9">
        <v>0.89996151276940151</v>
      </c>
      <c r="Q26" s="11">
        <v>0.84525697350712148</v>
      </c>
      <c r="S26" s="9">
        <v>0.90867010000000004</v>
      </c>
    </row>
    <row r="27" spans="3:19" ht="22" customHeight="1">
      <c r="C27" s="10">
        <v>8</v>
      </c>
      <c r="D27" s="10" t="s">
        <v>24</v>
      </c>
      <c r="F27" s="15"/>
      <c r="H27" s="9"/>
      <c r="I27" s="9">
        <v>0.96724494700780272</v>
      </c>
      <c r="J27" s="2"/>
      <c r="K27" s="9">
        <v>0.91051919999999997</v>
      </c>
      <c r="L27" s="2"/>
      <c r="M27" s="9">
        <v>0.88094741533478405</v>
      </c>
      <c r="N27" s="9"/>
      <c r="O27" s="9">
        <v>0.91064581719079318</v>
      </c>
      <c r="Q27" s="11">
        <v>0.86850162000187592</v>
      </c>
      <c r="S27" s="9">
        <v>0.92424729999999999</v>
      </c>
    </row>
    <row r="28" spans="3:19" ht="22" customHeight="1">
      <c r="C28" s="10">
        <v>9</v>
      </c>
      <c r="D28" s="10" t="s">
        <v>25</v>
      </c>
      <c r="F28" s="15"/>
      <c r="G28" s="16"/>
      <c r="H28" s="9"/>
      <c r="I28" s="9">
        <v>0.87680929928499984</v>
      </c>
      <c r="J28" s="2"/>
      <c r="K28" s="9">
        <v>0.90697456355707229</v>
      </c>
      <c r="L28" s="2"/>
      <c r="M28" s="9">
        <v>0.96475898756638268</v>
      </c>
      <c r="N28" s="9"/>
      <c r="O28" s="9">
        <v>0.91042834632556446</v>
      </c>
      <c r="Q28" s="11">
        <v>0.89734965902067021</v>
      </c>
      <c r="S28" s="9">
        <v>0.88600190000000001</v>
      </c>
    </row>
    <row r="29" spans="3:19" ht="22" customHeight="1">
      <c r="C29" s="10">
        <v>10</v>
      </c>
      <c r="D29" s="10" t="s">
        <v>26</v>
      </c>
      <c r="F29" s="15"/>
      <c r="G29" s="16"/>
      <c r="H29" s="9"/>
      <c r="I29" s="9">
        <v>0.9616621896922346</v>
      </c>
      <c r="J29" s="2"/>
      <c r="K29" s="9">
        <v>0.86982534655546706</v>
      </c>
      <c r="L29" s="2"/>
      <c r="M29" s="9">
        <v>0.94106439333771241</v>
      </c>
      <c r="N29" s="9"/>
      <c r="O29" s="9">
        <v>0.90564375723136858</v>
      </c>
      <c r="Q29" s="11">
        <v>0.94459814037759748</v>
      </c>
      <c r="S29" s="9">
        <v>0.88559719999999997</v>
      </c>
    </row>
    <row r="30" spans="3:19" ht="22" customHeight="1">
      <c r="C30" s="10">
        <v>11</v>
      </c>
      <c r="D30" s="10" t="s">
        <v>27</v>
      </c>
      <c r="F30" s="15"/>
      <c r="G30" s="16"/>
      <c r="H30" s="9"/>
      <c r="I30" s="9">
        <v>0.89287445709416502</v>
      </c>
      <c r="J30" s="2"/>
      <c r="K30" s="9">
        <v>0.89720363587438445</v>
      </c>
      <c r="L30" s="2"/>
      <c r="M30" s="9">
        <v>0.87368896819951281</v>
      </c>
      <c r="N30" s="9"/>
      <c r="O30" s="9">
        <v>0.90598451106267963</v>
      </c>
      <c r="Q30" s="11">
        <v>0.84056521297832876</v>
      </c>
      <c r="S30" s="9">
        <v>0.92829589999999995</v>
      </c>
    </row>
    <row r="31" spans="3:19" ht="22" customHeight="1">
      <c r="C31" s="10">
        <v>12</v>
      </c>
      <c r="D31" s="10" t="s">
        <v>28</v>
      </c>
      <c r="F31" s="15"/>
      <c r="G31" s="16"/>
      <c r="H31" s="9"/>
      <c r="I31" s="9">
        <v>0.97429452529844784</v>
      </c>
      <c r="J31" s="2"/>
      <c r="K31" s="9">
        <v>0.92782494014766836</v>
      </c>
      <c r="L31" s="2"/>
      <c r="M31" s="9">
        <v>0.88502118731713508</v>
      </c>
      <c r="N31" s="9"/>
      <c r="O31" s="9">
        <v>0.93034621124917927</v>
      </c>
      <c r="Q31" s="11">
        <v>0.92326239513866859</v>
      </c>
      <c r="S31" s="9">
        <v>0.92878810000000001</v>
      </c>
    </row>
    <row r="32" spans="4:21" ht="21" customHeight="1">
      <c r="D32" s="10"/>
      <c r="E32" s="10"/>
      <c r="F32" s="16"/>
      <c r="H32" s="9"/>
      <c r="I32" s="9"/>
      <c r="J32" s="16"/>
      <c r="K32" s="9"/>
      <c r="L32" s="9"/>
      <c r="N32" s="9"/>
      <c r="O32" s="9"/>
      <c r="P32" s="2"/>
      <c r="Q32" s="9"/>
      <c r="S32" s="9"/>
      <c r="U32" s="9"/>
    </row>
    <row r="33" spans="3:21" ht="21" customHeight="1">
      <c r="C33" s="2" t="s">
        <v>36</v>
      </c>
      <c r="E33" s="10"/>
      <c r="F33" s="16"/>
      <c r="H33" s="9"/>
      <c r="I33" s="9"/>
      <c r="J33" s="16"/>
      <c r="K33" s="9"/>
      <c r="L33" s="9"/>
      <c r="N33" s="9"/>
      <c r="O33" s="9"/>
      <c r="P33" s="2"/>
      <c r="Q33" s="9"/>
      <c r="S33" s="9"/>
      <c r="U33" s="9"/>
    </row>
  </sheetData>
  <pageMargins left="0.5" right="1" top="1.5" bottom="0.5" header="0.5" footer="0.5"/>
  <pageSetup orientation="landscape" scale="72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V33"/>
  <sheetViews>
    <sheetView zoomScale="75" zoomScaleNormal="75" workbookViewId="0" topLeftCell="A1">
      <selection pane="topLeft" activeCell="Q37" sqref="Q37"/>
    </sheetView>
  </sheetViews>
  <sheetFormatPr defaultRowHeight="18.75" customHeight="1"/>
  <cols>
    <col min="2" max="2" width="4.71428571428571" customWidth="1"/>
    <col min="3" max="3" width="8.71428571428571" customWidth="1"/>
    <col min="4" max="4" width="7.71428571428571" style="2" customWidth="1"/>
    <col min="5" max="5" width="8.71428571428571" style="2" customWidth="1"/>
    <col min="6" max="6" width="2.71428571428571" style="11" customWidth="1"/>
    <col min="7" max="7" width="8.71428571428571" style="9" customWidth="1"/>
    <col min="8" max="8" width="2.71428571428571" style="11" customWidth="1"/>
    <col min="9" max="9" width="10.7142857142857" style="11" customWidth="1"/>
    <col min="10" max="10" width="2.71428571428571" style="11" customWidth="1"/>
    <col min="11" max="11" width="8.71428571428571" style="11" customWidth="1"/>
    <col min="12" max="12" width="10.7142857142857" style="11" customWidth="1"/>
    <col min="13" max="13" width="8.71428571428571" style="9" customWidth="1"/>
    <col min="14" max="14" width="2.71428571428571" style="11" customWidth="1"/>
    <col min="15" max="16" width="10.7142857142857" style="11" customWidth="1"/>
    <col min="17" max="17" width="9.42857142857143" style="11" customWidth="1"/>
    <col min="18" max="18" width="2.71428571428571" style="2" customWidth="1"/>
    <col min="19" max="19" width="9.14285714285714" style="2"/>
    <col min="20" max="20" width="2.71428571428571" style="2" customWidth="1"/>
    <col min="21" max="257" width="9.14285714285714" style="2"/>
    <col min="258" max="258" width="4.71428571428571" style="2" customWidth="1"/>
    <col min="259" max="259" width="8.71428571428571" style="2" customWidth="1"/>
    <col min="260" max="260" width="7.71428571428571" style="2" customWidth="1"/>
    <col min="261" max="261" width="8.71428571428571" style="2" customWidth="1"/>
    <col min="262" max="262" width="2.71428571428571" style="2" customWidth="1"/>
    <col min="263" max="263" width="8.71428571428571" style="2" customWidth="1"/>
    <col min="264" max="264" width="2.71428571428571" style="2" customWidth="1"/>
    <col min="265" max="265" width="10.7142857142857" style="2" customWidth="1"/>
    <col min="266" max="266" width="2.71428571428571" style="2" customWidth="1"/>
    <col min="267" max="267" width="8.71428571428571" style="2" customWidth="1"/>
    <col min="268" max="268" width="10.7142857142857" style="2" customWidth="1"/>
    <col min="269" max="269" width="8.71428571428571" style="2" customWidth="1"/>
    <col min="270" max="270" width="2.71428571428571" style="2" customWidth="1"/>
    <col min="271" max="272" width="10.7142857142857" style="2" customWidth="1"/>
    <col min="273" max="273" width="8.71428571428571" style="2" customWidth="1"/>
    <col min="274" max="274" width="2.71428571428571" style="2" customWidth="1"/>
    <col min="275" max="275" width="9.14285714285714" style="2"/>
    <col min="276" max="276" width="2.71428571428571" style="2" customWidth="1"/>
    <col min="277" max="513" width="9.14285714285714" style="2"/>
    <col min="514" max="514" width="4.71428571428571" style="2" customWidth="1"/>
    <col min="515" max="515" width="8.71428571428571" style="2" customWidth="1"/>
    <col min="516" max="516" width="7.71428571428571" style="2" customWidth="1"/>
    <col min="517" max="517" width="8.71428571428571" style="2" customWidth="1"/>
    <col min="518" max="518" width="2.71428571428571" style="2" customWidth="1"/>
    <col min="519" max="519" width="8.71428571428571" style="2" customWidth="1"/>
    <col min="520" max="520" width="2.71428571428571" style="2" customWidth="1"/>
    <col min="521" max="521" width="10.7142857142857" style="2" customWidth="1"/>
    <col min="522" max="522" width="2.71428571428571" style="2" customWidth="1"/>
    <col min="523" max="523" width="8.71428571428571" style="2" customWidth="1"/>
    <col min="524" max="524" width="10.7142857142857" style="2" customWidth="1"/>
    <col min="525" max="525" width="8.71428571428571" style="2" customWidth="1"/>
    <col min="526" max="526" width="2.71428571428571" style="2" customWidth="1"/>
    <col min="527" max="528" width="10.7142857142857" style="2" customWidth="1"/>
    <col min="529" max="529" width="8.71428571428571" style="2" customWidth="1"/>
    <col min="530" max="530" width="2.71428571428571" style="2" customWidth="1"/>
    <col min="531" max="531" width="9.14285714285714" style="2"/>
    <col min="532" max="532" width="2.71428571428571" style="2" customWidth="1"/>
    <col min="533" max="769" width="9.14285714285714" style="2"/>
    <col min="770" max="770" width="4.71428571428571" style="2" customWidth="1"/>
    <col min="771" max="771" width="8.71428571428571" style="2" customWidth="1"/>
    <col min="772" max="772" width="7.71428571428571" style="2" customWidth="1"/>
    <col min="773" max="773" width="8.71428571428571" style="2" customWidth="1"/>
    <col min="774" max="774" width="2.71428571428571" style="2" customWidth="1"/>
    <col min="775" max="775" width="8.71428571428571" style="2" customWidth="1"/>
    <col min="776" max="776" width="2.71428571428571" style="2" customWidth="1"/>
    <col min="777" max="777" width="10.7142857142857" style="2" customWidth="1"/>
    <col min="778" max="778" width="2.71428571428571" style="2" customWidth="1"/>
    <col min="779" max="779" width="8.71428571428571" style="2" customWidth="1"/>
    <col min="780" max="780" width="10.7142857142857" style="2" customWidth="1"/>
    <col min="781" max="781" width="8.71428571428571" style="2" customWidth="1"/>
    <col min="782" max="782" width="2.71428571428571" style="2" customWidth="1"/>
    <col min="783" max="784" width="10.7142857142857" style="2" customWidth="1"/>
    <col min="785" max="785" width="8.71428571428571" style="2" customWidth="1"/>
    <col min="786" max="786" width="2.71428571428571" style="2" customWidth="1"/>
    <col min="787" max="787" width="9.14285714285714" style="2"/>
    <col min="788" max="788" width="2.71428571428571" style="2" customWidth="1"/>
    <col min="789" max="1025" width="9.14285714285714" style="2"/>
    <col min="1026" max="1026" width="4.71428571428571" style="2" customWidth="1"/>
    <col min="1027" max="1027" width="8.71428571428571" style="2" customWidth="1"/>
    <col min="1028" max="1028" width="7.71428571428571" style="2" customWidth="1"/>
    <col min="1029" max="1029" width="8.71428571428571" style="2" customWidth="1"/>
    <col min="1030" max="1030" width="2.71428571428571" style="2" customWidth="1"/>
    <col min="1031" max="1031" width="8.71428571428571" style="2" customWidth="1"/>
    <col min="1032" max="1032" width="2.71428571428571" style="2" customWidth="1"/>
    <col min="1033" max="1033" width="10.7142857142857" style="2" customWidth="1"/>
    <col min="1034" max="1034" width="2.71428571428571" style="2" customWidth="1"/>
    <col min="1035" max="1035" width="8.71428571428571" style="2" customWidth="1"/>
    <col min="1036" max="1036" width="10.7142857142857" style="2" customWidth="1"/>
    <col min="1037" max="1037" width="8.71428571428571" style="2" customWidth="1"/>
    <col min="1038" max="1038" width="2.71428571428571" style="2" customWidth="1"/>
    <col min="1039" max="1040" width="10.7142857142857" style="2" customWidth="1"/>
    <col min="1041" max="1041" width="8.71428571428571" style="2" customWidth="1"/>
    <col min="1042" max="1042" width="2.71428571428571" style="2" customWidth="1"/>
    <col min="1043" max="1043" width="9.14285714285714" style="2"/>
    <col min="1044" max="1044" width="2.71428571428571" style="2" customWidth="1"/>
    <col min="1045" max="1281" width="9.14285714285714" style="2"/>
    <col min="1282" max="1282" width="4.71428571428571" style="2" customWidth="1"/>
    <col min="1283" max="1283" width="8.71428571428571" style="2" customWidth="1"/>
    <col min="1284" max="1284" width="7.71428571428571" style="2" customWidth="1"/>
    <col min="1285" max="1285" width="8.71428571428571" style="2" customWidth="1"/>
    <col min="1286" max="1286" width="2.71428571428571" style="2" customWidth="1"/>
    <col min="1287" max="1287" width="8.71428571428571" style="2" customWidth="1"/>
    <col min="1288" max="1288" width="2.71428571428571" style="2" customWidth="1"/>
    <col min="1289" max="1289" width="10.7142857142857" style="2" customWidth="1"/>
    <col min="1290" max="1290" width="2.71428571428571" style="2" customWidth="1"/>
    <col min="1291" max="1291" width="8.71428571428571" style="2" customWidth="1"/>
    <col min="1292" max="1292" width="10.7142857142857" style="2" customWidth="1"/>
    <col min="1293" max="1293" width="8.71428571428571" style="2" customWidth="1"/>
    <col min="1294" max="1294" width="2.71428571428571" style="2" customWidth="1"/>
    <col min="1295" max="1296" width="10.7142857142857" style="2" customWidth="1"/>
    <col min="1297" max="1297" width="8.71428571428571" style="2" customWidth="1"/>
    <col min="1298" max="1298" width="2.71428571428571" style="2" customWidth="1"/>
    <col min="1299" max="1299" width="9.14285714285714" style="2"/>
    <col min="1300" max="1300" width="2.71428571428571" style="2" customWidth="1"/>
    <col min="1301" max="1537" width="9.14285714285714" style="2"/>
    <col min="1538" max="1538" width="4.71428571428571" style="2" customWidth="1"/>
    <col min="1539" max="1539" width="8.71428571428571" style="2" customWidth="1"/>
    <col min="1540" max="1540" width="7.71428571428571" style="2" customWidth="1"/>
    <col min="1541" max="1541" width="8.71428571428571" style="2" customWidth="1"/>
    <col min="1542" max="1542" width="2.71428571428571" style="2" customWidth="1"/>
    <col min="1543" max="1543" width="8.71428571428571" style="2" customWidth="1"/>
    <col min="1544" max="1544" width="2.71428571428571" style="2" customWidth="1"/>
    <col min="1545" max="1545" width="10.7142857142857" style="2" customWidth="1"/>
    <col min="1546" max="1546" width="2.71428571428571" style="2" customWidth="1"/>
    <col min="1547" max="1547" width="8.71428571428571" style="2" customWidth="1"/>
    <col min="1548" max="1548" width="10.7142857142857" style="2" customWidth="1"/>
    <col min="1549" max="1549" width="8.71428571428571" style="2" customWidth="1"/>
    <col min="1550" max="1550" width="2.71428571428571" style="2" customWidth="1"/>
    <col min="1551" max="1552" width="10.7142857142857" style="2" customWidth="1"/>
    <col min="1553" max="1553" width="8.71428571428571" style="2" customWidth="1"/>
    <col min="1554" max="1554" width="2.71428571428571" style="2" customWidth="1"/>
    <col min="1555" max="1555" width="9.14285714285714" style="2"/>
    <col min="1556" max="1556" width="2.71428571428571" style="2" customWidth="1"/>
    <col min="1557" max="1793" width="9.14285714285714" style="2"/>
    <col min="1794" max="1794" width="4.71428571428571" style="2" customWidth="1"/>
    <col min="1795" max="1795" width="8.71428571428571" style="2" customWidth="1"/>
    <col min="1796" max="1796" width="7.71428571428571" style="2" customWidth="1"/>
    <col min="1797" max="1797" width="8.71428571428571" style="2" customWidth="1"/>
    <col min="1798" max="1798" width="2.71428571428571" style="2" customWidth="1"/>
    <col min="1799" max="1799" width="8.71428571428571" style="2" customWidth="1"/>
    <col min="1800" max="1800" width="2.71428571428571" style="2" customWidth="1"/>
    <col min="1801" max="1801" width="10.7142857142857" style="2" customWidth="1"/>
    <col min="1802" max="1802" width="2.71428571428571" style="2" customWidth="1"/>
    <col min="1803" max="1803" width="8.71428571428571" style="2" customWidth="1"/>
    <col min="1804" max="1804" width="10.7142857142857" style="2" customWidth="1"/>
    <col min="1805" max="1805" width="8.71428571428571" style="2" customWidth="1"/>
    <col min="1806" max="1806" width="2.71428571428571" style="2" customWidth="1"/>
    <col min="1807" max="1808" width="10.7142857142857" style="2" customWidth="1"/>
    <col min="1809" max="1809" width="8.71428571428571" style="2" customWidth="1"/>
    <col min="1810" max="1810" width="2.71428571428571" style="2" customWidth="1"/>
    <col min="1811" max="1811" width="9.14285714285714" style="2"/>
    <col min="1812" max="1812" width="2.71428571428571" style="2" customWidth="1"/>
    <col min="1813" max="2049" width="9.14285714285714" style="2"/>
    <col min="2050" max="2050" width="4.71428571428571" style="2" customWidth="1"/>
    <col min="2051" max="2051" width="8.71428571428571" style="2" customWidth="1"/>
    <col min="2052" max="2052" width="7.71428571428571" style="2" customWidth="1"/>
    <col min="2053" max="2053" width="8.71428571428571" style="2" customWidth="1"/>
    <col min="2054" max="2054" width="2.71428571428571" style="2" customWidth="1"/>
    <col min="2055" max="2055" width="8.71428571428571" style="2" customWidth="1"/>
    <col min="2056" max="2056" width="2.71428571428571" style="2" customWidth="1"/>
    <col min="2057" max="2057" width="10.7142857142857" style="2" customWidth="1"/>
    <col min="2058" max="2058" width="2.71428571428571" style="2" customWidth="1"/>
    <col min="2059" max="2059" width="8.71428571428571" style="2" customWidth="1"/>
    <col min="2060" max="2060" width="10.7142857142857" style="2" customWidth="1"/>
    <col min="2061" max="2061" width="8.71428571428571" style="2" customWidth="1"/>
    <col min="2062" max="2062" width="2.71428571428571" style="2" customWidth="1"/>
    <col min="2063" max="2064" width="10.7142857142857" style="2" customWidth="1"/>
    <col min="2065" max="2065" width="8.71428571428571" style="2" customWidth="1"/>
    <col min="2066" max="2066" width="2.71428571428571" style="2" customWidth="1"/>
    <col min="2067" max="2067" width="9.14285714285714" style="2"/>
    <col min="2068" max="2068" width="2.71428571428571" style="2" customWidth="1"/>
    <col min="2069" max="2305" width="9.14285714285714" style="2"/>
    <col min="2306" max="2306" width="4.71428571428571" style="2" customWidth="1"/>
    <col min="2307" max="2307" width="8.71428571428571" style="2" customWidth="1"/>
    <col min="2308" max="2308" width="7.71428571428571" style="2" customWidth="1"/>
    <col min="2309" max="2309" width="8.71428571428571" style="2" customWidth="1"/>
    <col min="2310" max="2310" width="2.71428571428571" style="2" customWidth="1"/>
    <col min="2311" max="2311" width="8.71428571428571" style="2" customWidth="1"/>
    <col min="2312" max="2312" width="2.71428571428571" style="2" customWidth="1"/>
    <col min="2313" max="2313" width="10.7142857142857" style="2" customWidth="1"/>
    <col min="2314" max="2314" width="2.71428571428571" style="2" customWidth="1"/>
    <col min="2315" max="2315" width="8.71428571428571" style="2" customWidth="1"/>
    <col min="2316" max="2316" width="10.7142857142857" style="2" customWidth="1"/>
    <col min="2317" max="2317" width="8.71428571428571" style="2" customWidth="1"/>
    <col min="2318" max="2318" width="2.71428571428571" style="2" customWidth="1"/>
    <col min="2319" max="2320" width="10.7142857142857" style="2" customWidth="1"/>
    <col min="2321" max="2321" width="8.71428571428571" style="2" customWidth="1"/>
    <col min="2322" max="2322" width="2.71428571428571" style="2" customWidth="1"/>
    <col min="2323" max="2323" width="9.14285714285714" style="2"/>
    <col min="2324" max="2324" width="2.71428571428571" style="2" customWidth="1"/>
    <col min="2325" max="2561" width="9.14285714285714" style="2"/>
    <col min="2562" max="2562" width="4.71428571428571" style="2" customWidth="1"/>
    <col min="2563" max="2563" width="8.71428571428571" style="2" customWidth="1"/>
    <col min="2564" max="2564" width="7.71428571428571" style="2" customWidth="1"/>
    <col min="2565" max="2565" width="8.71428571428571" style="2" customWidth="1"/>
    <col min="2566" max="2566" width="2.71428571428571" style="2" customWidth="1"/>
    <col min="2567" max="2567" width="8.71428571428571" style="2" customWidth="1"/>
    <col min="2568" max="2568" width="2.71428571428571" style="2" customWidth="1"/>
    <col min="2569" max="2569" width="10.7142857142857" style="2" customWidth="1"/>
    <col min="2570" max="2570" width="2.71428571428571" style="2" customWidth="1"/>
    <col min="2571" max="2571" width="8.71428571428571" style="2" customWidth="1"/>
    <col min="2572" max="2572" width="10.7142857142857" style="2" customWidth="1"/>
    <col min="2573" max="2573" width="8.71428571428571" style="2" customWidth="1"/>
    <col min="2574" max="2574" width="2.71428571428571" style="2" customWidth="1"/>
    <col min="2575" max="2576" width="10.7142857142857" style="2" customWidth="1"/>
    <col min="2577" max="2577" width="8.71428571428571" style="2" customWidth="1"/>
    <col min="2578" max="2578" width="2.71428571428571" style="2" customWidth="1"/>
    <col min="2579" max="2579" width="9.14285714285714" style="2"/>
    <col min="2580" max="2580" width="2.71428571428571" style="2" customWidth="1"/>
    <col min="2581" max="2817" width="9.14285714285714" style="2"/>
    <col min="2818" max="2818" width="4.71428571428571" style="2" customWidth="1"/>
    <col min="2819" max="2819" width="8.71428571428571" style="2" customWidth="1"/>
    <col min="2820" max="2820" width="7.71428571428571" style="2" customWidth="1"/>
    <col min="2821" max="2821" width="8.71428571428571" style="2" customWidth="1"/>
    <col min="2822" max="2822" width="2.71428571428571" style="2" customWidth="1"/>
    <col min="2823" max="2823" width="8.71428571428571" style="2" customWidth="1"/>
    <col min="2824" max="2824" width="2.71428571428571" style="2" customWidth="1"/>
    <col min="2825" max="2825" width="10.7142857142857" style="2" customWidth="1"/>
    <col min="2826" max="2826" width="2.71428571428571" style="2" customWidth="1"/>
    <col min="2827" max="2827" width="8.71428571428571" style="2" customWidth="1"/>
    <col min="2828" max="2828" width="10.7142857142857" style="2" customWidth="1"/>
    <col min="2829" max="2829" width="8.71428571428571" style="2" customWidth="1"/>
    <col min="2830" max="2830" width="2.71428571428571" style="2" customWidth="1"/>
    <col min="2831" max="2832" width="10.7142857142857" style="2" customWidth="1"/>
    <col min="2833" max="2833" width="8.71428571428571" style="2" customWidth="1"/>
    <col min="2834" max="2834" width="2.71428571428571" style="2" customWidth="1"/>
    <col min="2835" max="2835" width="9.14285714285714" style="2"/>
    <col min="2836" max="2836" width="2.71428571428571" style="2" customWidth="1"/>
    <col min="2837" max="3073" width="9.14285714285714" style="2"/>
    <col min="3074" max="3074" width="4.71428571428571" style="2" customWidth="1"/>
    <col min="3075" max="3075" width="8.71428571428571" style="2" customWidth="1"/>
    <col min="3076" max="3076" width="7.71428571428571" style="2" customWidth="1"/>
    <col min="3077" max="3077" width="8.71428571428571" style="2" customWidth="1"/>
    <col min="3078" max="3078" width="2.71428571428571" style="2" customWidth="1"/>
    <col min="3079" max="3079" width="8.71428571428571" style="2" customWidth="1"/>
    <col min="3080" max="3080" width="2.71428571428571" style="2" customWidth="1"/>
    <col min="3081" max="3081" width="10.7142857142857" style="2" customWidth="1"/>
    <col min="3082" max="3082" width="2.71428571428571" style="2" customWidth="1"/>
    <col min="3083" max="3083" width="8.71428571428571" style="2" customWidth="1"/>
    <col min="3084" max="3084" width="10.7142857142857" style="2" customWidth="1"/>
    <col min="3085" max="3085" width="8.71428571428571" style="2" customWidth="1"/>
    <col min="3086" max="3086" width="2.71428571428571" style="2" customWidth="1"/>
    <col min="3087" max="3088" width="10.7142857142857" style="2" customWidth="1"/>
    <col min="3089" max="3089" width="8.71428571428571" style="2" customWidth="1"/>
    <col min="3090" max="3090" width="2.71428571428571" style="2" customWidth="1"/>
    <col min="3091" max="3091" width="9.14285714285714" style="2"/>
    <col min="3092" max="3092" width="2.71428571428571" style="2" customWidth="1"/>
    <col min="3093" max="3329" width="9.14285714285714" style="2"/>
    <col min="3330" max="3330" width="4.71428571428571" style="2" customWidth="1"/>
    <col min="3331" max="3331" width="8.71428571428571" style="2" customWidth="1"/>
    <col min="3332" max="3332" width="7.71428571428571" style="2" customWidth="1"/>
    <col min="3333" max="3333" width="8.71428571428571" style="2" customWidth="1"/>
    <col min="3334" max="3334" width="2.71428571428571" style="2" customWidth="1"/>
    <col min="3335" max="3335" width="8.71428571428571" style="2" customWidth="1"/>
    <col min="3336" max="3336" width="2.71428571428571" style="2" customWidth="1"/>
    <col min="3337" max="3337" width="10.7142857142857" style="2" customWidth="1"/>
    <col min="3338" max="3338" width="2.71428571428571" style="2" customWidth="1"/>
    <col min="3339" max="3339" width="8.71428571428571" style="2" customWidth="1"/>
    <col min="3340" max="3340" width="10.7142857142857" style="2" customWidth="1"/>
    <col min="3341" max="3341" width="8.71428571428571" style="2" customWidth="1"/>
    <col min="3342" max="3342" width="2.71428571428571" style="2" customWidth="1"/>
    <col min="3343" max="3344" width="10.7142857142857" style="2" customWidth="1"/>
    <col min="3345" max="3345" width="8.71428571428571" style="2" customWidth="1"/>
    <col min="3346" max="3346" width="2.71428571428571" style="2" customWidth="1"/>
    <col min="3347" max="3347" width="9.14285714285714" style="2"/>
    <col min="3348" max="3348" width="2.71428571428571" style="2" customWidth="1"/>
    <col min="3349" max="3585" width="9.14285714285714" style="2"/>
    <col min="3586" max="3586" width="4.71428571428571" style="2" customWidth="1"/>
    <col min="3587" max="3587" width="8.71428571428571" style="2" customWidth="1"/>
    <col min="3588" max="3588" width="7.71428571428571" style="2" customWidth="1"/>
    <col min="3589" max="3589" width="8.71428571428571" style="2" customWidth="1"/>
    <col min="3590" max="3590" width="2.71428571428571" style="2" customWidth="1"/>
    <col min="3591" max="3591" width="8.71428571428571" style="2" customWidth="1"/>
    <col min="3592" max="3592" width="2.71428571428571" style="2" customWidth="1"/>
    <col min="3593" max="3593" width="10.7142857142857" style="2" customWidth="1"/>
    <col min="3594" max="3594" width="2.71428571428571" style="2" customWidth="1"/>
    <col min="3595" max="3595" width="8.71428571428571" style="2" customWidth="1"/>
    <col min="3596" max="3596" width="10.7142857142857" style="2" customWidth="1"/>
    <col min="3597" max="3597" width="8.71428571428571" style="2" customWidth="1"/>
    <col min="3598" max="3598" width="2.71428571428571" style="2" customWidth="1"/>
    <col min="3599" max="3600" width="10.7142857142857" style="2" customWidth="1"/>
    <col min="3601" max="3601" width="8.71428571428571" style="2" customWidth="1"/>
    <col min="3602" max="3602" width="2.71428571428571" style="2" customWidth="1"/>
    <col min="3603" max="3603" width="9.14285714285714" style="2"/>
    <col min="3604" max="3604" width="2.71428571428571" style="2" customWidth="1"/>
    <col min="3605" max="3841" width="9.14285714285714" style="2"/>
    <col min="3842" max="3842" width="4.71428571428571" style="2" customWidth="1"/>
    <col min="3843" max="3843" width="8.71428571428571" style="2" customWidth="1"/>
    <col min="3844" max="3844" width="7.71428571428571" style="2" customWidth="1"/>
    <col min="3845" max="3845" width="8.71428571428571" style="2" customWidth="1"/>
    <col min="3846" max="3846" width="2.71428571428571" style="2" customWidth="1"/>
    <col min="3847" max="3847" width="8.71428571428571" style="2" customWidth="1"/>
    <col min="3848" max="3848" width="2.71428571428571" style="2" customWidth="1"/>
    <col min="3849" max="3849" width="10.7142857142857" style="2" customWidth="1"/>
    <col min="3850" max="3850" width="2.71428571428571" style="2" customWidth="1"/>
    <col min="3851" max="3851" width="8.71428571428571" style="2" customWidth="1"/>
    <col min="3852" max="3852" width="10.7142857142857" style="2" customWidth="1"/>
    <col min="3853" max="3853" width="8.71428571428571" style="2" customWidth="1"/>
    <col min="3854" max="3854" width="2.71428571428571" style="2" customWidth="1"/>
    <col min="3855" max="3856" width="10.7142857142857" style="2" customWidth="1"/>
    <col min="3857" max="3857" width="8.71428571428571" style="2" customWidth="1"/>
    <col min="3858" max="3858" width="2.71428571428571" style="2" customWidth="1"/>
    <col min="3859" max="3859" width="9.14285714285714" style="2"/>
    <col min="3860" max="3860" width="2.71428571428571" style="2" customWidth="1"/>
    <col min="3861" max="4097" width="9.14285714285714" style="2"/>
    <col min="4098" max="4098" width="4.71428571428571" style="2" customWidth="1"/>
    <col min="4099" max="4099" width="8.71428571428571" style="2" customWidth="1"/>
    <col min="4100" max="4100" width="7.71428571428571" style="2" customWidth="1"/>
    <col min="4101" max="4101" width="8.71428571428571" style="2" customWidth="1"/>
    <col min="4102" max="4102" width="2.71428571428571" style="2" customWidth="1"/>
    <col min="4103" max="4103" width="8.71428571428571" style="2" customWidth="1"/>
    <col min="4104" max="4104" width="2.71428571428571" style="2" customWidth="1"/>
    <col min="4105" max="4105" width="10.7142857142857" style="2" customWidth="1"/>
    <col min="4106" max="4106" width="2.71428571428571" style="2" customWidth="1"/>
    <col min="4107" max="4107" width="8.71428571428571" style="2" customWidth="1"/>
    <col min="4108" max="4108" width="10.7142857142857" style="2" customWidth="1"/>
    <col min="4109" max="4109" width="8.71428571428571" style="2" customWidth="1"/>
    <col min="4110" max="4110" width="2.71428571428571" style="2" customWidth="1"/>
    <col min="4111" max="4112" width="10.7142857142857" style="2" customWidth="1"/>
    <col min="4113" max="4113" width="8.71428571428571" style="2" customWidth="1"/>
    <col min="4114" max="4114" width="2.71428571428571" style="2" customWidth="1"/>
    <col min="4115" max="4115" width="9.14285714285714" style="2"/>
    <col min="4116" max="4116" width="2.71428571428571" style="2" customWidth="1"/>
    <col min="4117" max="4353" width="9.14285714285714" style="2"/>
    <col min="4354" max="4354" width="4.71428571428571" style="2" customWidth="1"/>
    <col min="4355" max="4355" width="8.71428571428571" style="2" customWidth="1"/>
    <col min="4356" max="4356" width="7.71428571428571" style="2" customWidth="1"/>
    <col min="4357" max="4357" width="8.71428571428571" style="2" customWidth="1"/>
    <col min="4358" max="4358" width="2.71428571428571" style="2" customWidth="1"/>
    <col min="4359" max="4359" width="8.71428571428571" style="2" customWidth="1"/>
    <col min="4360" max="4360" width="2.71428571428571" style="2" customWidth="1"/>
    <col min="4361" max="4361" width="10.7142857142857" style="2" customWidth="1"/>
    <col min="4362" max="4362" width="2.71428571428571" style="2" customWidth="1"/>
    <col min="4363" max="4363" width="8.71428571428571" style="2" customWidth="1"/>
    <col min="4364" max="4364" width="10.7142857142857" style="2" customWidth="1"/>
    <col min="4365" max="4365" width="8.71428571428571" style="2" customWidth="1"/>
    <col min="4366" max="4366" width="2.71428571428571" style="2" customWidth="1"/>
    <col min="4367" max="4368" width="10.7142857142857" style="2" customWidth="1"/>
    <col min="4369" max="4369" width="8.71428571428571" style="2" customWidth="1"/>
    <col min="4370" max="4370" width="2.71428571428571" style="2" customWidth="1"/>
    <col min="4371" max="4371" width="9.14285714285714" style="2"/>
    <col min="4372" max="4372" width="2.71428571428571" style="2" customWidth="1"/>
    <col min="4373" max="4609" width="9.14285714285714" style="2"/>
    <col min="4610" max="4610" width="4.71428571428571" style="2" customWidth="1"/>
    <col min="4611" max="4611" width="8.71428571428571" style="2" customWidth="1"/>
    <col min="4612" max="4612" width="7.71428571428571" style="2" customWidth="1"/>
    <col min="4613" max="4613" width="8.71428571428571" style="2" customWidth="1"/>
    <col min="4614" max="4614" width="2.71428571428571" style="2" customWidth="1"/>
    <col min="4615" max="4615" width="8.71428571428571" style="2" customWidth="1"/>
    <col min="4616" max="4616" width="2.71428571428571" style="2" customWidth="1"/>
    <col min="4617" max="4617" width="10.7142857142857" style="2" customWidth="1"/>
    <col min="4618" max="4618" width="2.71428571428571" style="2" customWidth="1"/>
    <col min="4619" max="4619" width="8.71428571428571" style="2" customWidth="1"/>
    <col min="4620" max="4620" width="10.7142857142857" style="2" customWidth="1"/>
    <col min="4621" max="4621" width="8.71428571428571" style="2" customWidth="1"/>
    <col min="4622" max="4622" width="2.71428571428571" style="2" customWidth="1"/>
    <col min="4623" max="4624" width="10.7142857142857" style="2" customWidth="1"/>
    <col min="4625" max="4625" width="8.71428571428571" style="2" customWidth="1"/>
    <col min="4626" max="4626" width="2.71428571428571" style="2" customWidth="1"/>
    <col min="4627" max="4627" width="9.14285714285714" style="2"/>
    <col min="4628" max="4628" width="2.71428571428571" style="2" customWidth="1"/>
    <col min="4629" max="4865" width="9.14285714285714" style="2"/>
    <col min="4866" max="4866" width="4.71428571428571" style="2" customWidth="1"/>
    <col min="4867" max="4867" width="8.71428571428571" style="2" customWidth="1"/>
    <col min="4868" max="4868" width="7.71428571428571" style="2" customWidth="1"/>
    <col min="4869" max="4869" width="8.71428571428571" style="2" customWidth="1"/>
    <col min="4870" max="4870" width="2.71428571428571" style="2" customWidth="1"/>
    <col min="4871" max="4871" width="8.71428571428571" style="2" customWidth="1"/>
    <col min="4872" max="4872" width="2.71428571428571" style="2" customWidth="1"/>
    <col min="4873" max="4873" width="10.7142857142857" style="2" customWidth="1"/>
    <col min="4874" max="4874" width="2.71428571428571" style="2" customWidth="1"/>
    <col min="4875" max="4875" width="8.71428571428571" style="2" customWidth="1"/>
    <col min="4876" max="4876" width="10.7142857142857" style="2" customWidth="1"/>
    <col min="4877" max="4877" width="8.71428571428571" style="2" customWidth="1"/>
    <col min="4878" max="4878" width="2.71428571428571" style="2" customWidth="1"/>
    <col min="4879" max="4880" width="10.7142857142857" style="2" customWidth="1"/>
    <col min="4881" max="4881" width="8.71428571428571" style="2" customWidth="1"/>
    <col min="4882" max="4882" width="2.71428571428571" style="2" customWidth="1"/>
    <col min="4883" max="4883" width="9.14285714285714" style="2"/>
    <col min="4884" max="4884" width="2.71428571428571" style="2" customWidth="1"/>
    <col min="4885" max="5121" width="9.14285714285714" style="2"/>
    <col min="5122" max="5122" width="4.71428571428571" style="2" customWidth="1"/>
    <col min="5123" max="5123" width="8.71428571428571" style="2" customWidth="1"/>
    <col min="5124" max="5124" width="7.71428571428571" style="2" customWidth="1"/>
    <col min="5125" max="5125" width="8.71428571428571" style="2" customWidth="1"/>
    <col min="5126" max="5126" width="2.71428571428571" style="2" customWidth="1"/>
    <col min="5127" max="5127" width="8.71428571428571" style="2" customWidth="1"/>
    <col min="5128" max="5128" width="2.71428571428571" style="2" customWidth="1"/>
    <col min="5129" max="5129" width="10.7142857142857" style="2" customWidth="1"/>
    <col min="5130" max="5130" width="2.71428571428571" style="2" customWidth="1"/>
    <col min="5131" max="5131" width="8.71428571428571" style="2" customWidth="1"/>
    <col min="5132" max="5132" width="10.7142857142857" style="2" customWidth="1"/>
    <col min="5133" max="5133" width="8.71428571428571" style="2" customWidth="1"/>
    <col min="5134" max="5134" width="2.71428571428571" style="2" customWidth="1"/>
    <col min="5135" max="5136" width="10.7142857142857" style="2" customWidth="1"/>
    <col min="5137" max="5137" width="8.71428571428571" style="2" customWidth="1"/>
    <col min="5138" max="5138" width="2.71428571428571" style="2" customWidth="1"/>
    <col min="5139" max="5139" width="9.14285714285714" style="2"/>
    <col min="5140" max="5140" width="2.71428571428571" style="2" customWidth="1"/>
    <col min="5141" max="5377" width="9.14285714285714" style="2"/>
    <col min="5378" max="5378" width="4.71428571428571" style="2" customWidth="1"/>
    <col min="5379" max="5379" width="8.71428571428571" style="2" customWidth="1"/>
    <col min="5380" max="5380" width="7.71428571428571" style="2" customWidth="1"/>
    <col min="5381" max="5381" width="8.71428571428571" style="2" customWidth="1"/>
    <col min="5382" max="5382" width="2.71428571428571" style="2" customWidth="1"/>
    <col min="5383" max="5383" width="8.71428571428571" style="2" customWidth="1"/>
    <col min="5384" max="5384" width="2.71428571428571" style="2" customWidth="1"/>
    <col min="5385" max="5385" width="10.7142857142857" style="2" customWidth="1"/>
    <col min="5386" max="5386" width="2.71428571428571" style="2" customWidth="1"/>
    <col min="5387" max="5387" width="8.71428571428571" style="2" customWidth="1"/>
    <col min="5388" max="5388" width="10.7142857142857" style="2" customWidth="1"/>
    <col min="5389" max="5389" width="8.71428571428571" style="2" customWidth="1"/>
    <col min="5390" max="5390" width="2.71428571428571" style="2" customWidth="1"/>
    <col min="5391" max="5392" width="10.7142857142857" style="2" customWidth="1"/>
    <col min="5393" max="5393" width="8.71428571428571" style="2" customWidth="1"/>
    <col min="5394" max="5394" width="2.71428571428571" style="2" customWidth="1"/>
    <col min="5395" max="5395" width="9.14285714285714" style="2"/>
    <col min="5396" max="5396" width="2.71428571428571" style="2" customWidth="1"/>
    <col min="5397" max="5633" width="9.14285714285714" style="2"/>
    <col min="5634" max="5634" width="4.71428571428571" style="2" customWidth="1"/>
    <col min="5635" max="5635" width="8.71428571428571" style="2" customWidth="1"/>
    <col min="5636" max="5636" width="7.71428571428571" style="2" customWidth="1"/>
    <col min="5637" max="5637" width="8.71428571428571" style="2" customWidth="1"/>
    <col min="5638" max="5638" width="2.71428571428571" style="2" customWidth="1"/>
    <col min="5639" max="5639" width="8.71428571428571" style="2" customWidth="1"/>
    <col min="5640" max="5640" width="2.71428571428571" style="2" customWidth="1"/>
    <col min="5641" max="5641" width="10.7142857142857" style="2" customWidth="1"/>
    <col min="5642" max="5642" width="2.71428571428571" style="2" customWidth="1"/>
    <col min="5643" max="5643" width="8.71428571428571" style="2" customWidth="1"/>
    <col min="5644" max="5644" width="10.7142857142857" style="2" customWidth="1"/>
    <col min="5645" max="5645" width="8.71428571428571" style="2" customWidth="1"/>
    <col min="5646" max="5646" width="2.71428571428571" style="2" customWidth="1"/>
    <col min="5647" max="5648" width="10.7142857142857" style="2" customWidth="1"/>
    <col min="5649" max="5649" width="8.71428571428571" style="2" customWidth="1"/>
    <col min="5650" max="5650" width="2.71428571428571" style="2" customWidth="1"/>
    <col min="5651" max="5651" width="9.14285714285714" style="2"/>
    <col min="5652" max="5652" width="2.71428571428571" style="2" customWidth="1"/>
    <col min="5653" max="5889" width="9.14285714285714" style="2"/>
    <col min="5890" max="5890" width="4.71428571428571" style="2" customWidth="1"/>
    <col min="5891" max="5891" width="8.71428571428571" style="2" customWidth="1"/>
    <col min="5892" max="5892" width="7.71428571428571" style="2" customWidth="1"/>
    <col min="5893" max="5893" width="8.71428571428571" style="2" customWidth="1"/>
    <col min="5894" max="5894" width="2.71428571428571" style="2" customWidth="1"/>
    <col min="5895" max="5895" width="8.71428571428571" style="2" customWidth="1"/>
    <col min="5896" max="5896" width="2.71428571428571" style="2" customWidth="1"/>
    <col min="5897" max="5897" width="10.7142857142857" style="2" customWidth="1"/>
    <col min="5898" max="5898" width="2.71428571428571" style="2" customWidth="1"/>
    <col min="5899" max="5899" width="8.71428571428571" style="2" customWidth="1"/>
    <col min="5900" max="5900" width="10.7142857142857" style="2" customWidth="1"/>
    <col min="5901" max="5901" width="8.71428571428571" style="2" customWidth="1"/>
    <col min="5902" max="5902" width="2.71428571428571" style="2" customWidth="1"/>
    <col min="5903" max="5904" width="10.7142857142857" style="2" customWidth="1"/>
    <col min="5905" max="5905" width="8.71428571428571" style="2" customWidth="1"/>
    <col min="5906" max="5906" width="2.71428571428571" style="2" customWidth="1"/>
    <col min="5907" max="5907" width="9.14285714285714" style="2"/>
    <col min="5908" max="5908" width="2.71428571428571" style="2" customWidth="1"/>
    <col min="5909" max="6145" width="9.14285714285714" style="2"/>
    <col min="6146" max="6146" width="4.71428571428571" style="2" customWidth="1"/>
    <col min="6147" max="6147" width="8.71428571428571" style="2" customWidth="1"/>
    <col min="6148" max="6148" width="7.71428571428571" style="2" customWidth="1"/>
    <col min="6149" max="6149" width="8.71428571428571" style="2" customWidth="1"/>
    <col min="6150" max="6150" width="2.71428571428571" style="2" customWidth="1"/>
    <col min="6151" max="6151" width="8.71428571428571" style="2" customWidth="1"/>
    <col min="6152" max="6152" width="2.71428571428571" style="2" customWidth="1"/>
    <col min="6153" max="6153" width="10.7142857142857" style="2" customWidth="1"/>
    <col min="6154" max="6154" width="2.71428571428571" style="2" customWidth="1"/>
    <col min="6155" max="6155" width="8.71428571428571" style="2" customWidth="1"/>
    <col min="6156" max="6156" width="10.7142857142857" style="2" customWidth="1"/>
    <col min="6157" max="6157" width="8.71428571428571" style="2" customWidth="1"/>
    <col min="6158" max="6158" width="2.71428571428571" style="2" customWidth="1"/>
    <col min="6159" max="6160" width="10.7142857142857" style="2" customWidth="1"/>
    <col min="6161" max="6161" width="8.71428571428571" style="2" customWidth="1"/>
    <col min="6162" max="6162" width="2.71428571428571" style="2" customWidth="1"/>
    <col min="6163" max="6163" width="9.14285714285714" style="2"/>
    <col min="6164" max="6164" width="2.71428571428571" style="2" customWidth="1"/>
    <col min="6165" max="6401" width="9.14285714285714" style="2"/>
    <col min="6402" max="6402" width="4.71428571428571" style="2" customWidth="1"/>
    <col min="6403" max="6403" width="8.71428571428571" style="2" customWidth="1"/>
    <col min="6404" max="6404" width="7.71428571428571" style="2" customWidth="1"/>
    <col min="6405" max="6405" width="8.71428571428571" style="2" customWidth="1"/>
    <col min="6406" max="6406" width="2.71428571428571" style="2" customWidth="1"/>
    <col min="6407" max="6407" width="8.71428571428571" style="2" customWidth="1"/>
    <col min="6408" max="6408" width="2.71428571428571" style="2" customWidth="1"/>
    <col min="6409" max="6409" width="10.7142857142857" style="2" customWidth="1"/>
    <col min="6410" max="6410" width="2.71428571428571" style="2" customWidth="1"/>
    <col min="6411" max="6411" width="8.71428571428571" style="2" customWidth="1"/>
    <col min="6412" max="6412" width="10.7142857142857" style="2" customWidth="1"/>
    <col min="6413" max="6413" width="8.71428571428571" style="2" customWidth="1"/>
    <col min="6414" max="6414" width="2.71428571428571" style="2" customWidth="1"/>
    <col min="6415" max="6416" width="10.7142857142857" style="2" customWidth="1"/>
    <col min="6417" max="6417" width="8.71428571428571" style="2" customWidth="1"/>
    <col min="6418" max="6418" width="2.71428571428571" style="2" customWidth="1"/>
    <col min="6419" max="6419" width="9.14285714285714" style="2"/>
    <col min="6420" max="6420" width="2.71428571428571" style="2" customWidth="1"/>
    <col min="6421" max="6657" width="9.14285714285714" style="2"/>
    <col min="6658" max="6658" width="4.71428571428571" style="2" customWidth="1"/>
    <col min="6659" max="6659" width="8.71428571428571" style="2" customWidth="1"/>
    <col min="6660" max="6660" width="7.71428571428571" style="2" customWidth="1"/>
    <col min="6661" max="6661" width="8.71428571428571" style="2" customWidth="1"/>
    <col min="6662" max="6662" width="2.71428571428571" style="2" customWidth="1"/>
    <col min="6663" max="6663" width="8.71428571428571" style="2" customWidth="1"/>
    <col min="6664" max="6664" width="2.71428571428571" style="2" customWidth="1"/>
    <col min="6665" max="6665" width="10.7142857142857" style="2" customWidth="1"/>
    <col min="6666" max="6666" width="2.71428571428571" style="2" customWidth="1"/>
    <col min="6667" max="6667" width="8.71428571428571" style="2" customWidth="1"/>
    <col min="6668" max="6668" width="10.7142857142857" style="2" customWidth="1"/>
    <col min="6669" max="6669" width="8.71428571428571" style="2" customWidth="1"/>
    <col min="6670" max="6670" width="2.71428571428571" style="2" customWidth="1"/>
    <col min="6671" max="6672" width="10.7142857142857" style="2" customWidth="1"/>
    <col min="6673" max="6673" width="8.71428571428571" style="2" customWidth="1"/>
    <col min="6674" max="6674" width="2.71428571428571" style="2" customWidth="1"/>
    <col min="6675" max="6675" width="9.14285714285714" style="2"/>
    <col min="6676" max="6676" width="2.71428571428571" style="2" customWidth="1"/>
    <col min="6677" max="6913" width="9.14285714285714" style="2"/>
    <col min="6914" max="6914" width="4.71428571428571" style="2" customWidth="1"/>
    <col min="6915" max="6915" width="8.71428571428571" style="2" customWidth="1"/>
    <col min="6916" max="6916" width="7.71428571428571" style="2" customWidth="1"/>
    <col min="6917" max="6917" width="8.71428571428571" style="2" customWidth="1"/>
    <col min="6918" max="6918" width="2.71428571428571" style="2" customWidth="1"/>
    <col min="6919" max="6919" width="8.71428571428571" style="2" customWidth="1"/>
    <col min="6920" max="6920" width="2.71428571428571" style="2" customWidth="1"/>
    <col min="6921" max="6921" width="10.7142857142857" style="2" customWidth="1"/>
    <col min="6922" max="6922" width="2.71428571428571" style="2" customWidth="1"/>
    <col min="6923" max="6923" width="8.71428571428571" style="2" customWidth="1"/>
    <col min="6924" max="6924" width="10.7142857142857" style="2" customWidth="1"/>
    <col min="6925" max="6925" width="8.71428571428571" style="2" customWidth="1"/>
    <col min="6926" max="6926" width="2.71428571428571" style="2" customWidth="1"/>
    <col min="6927" max="6928" width="10.7142857142857" style="2" customWidth="1"/>
    <col min="6929" max="6929" width="8.71428571428571" style="2" customWidth="1"/>
    <col min="6930" max="6930" width="2.71428571428571" style="2" customWidth="1"/>
    <col min="6931" max="6931" width="9.14285714285714" style="2"/>
    <col min="6932" max="6932" width="2.71428571428571" style="2" customWidth="1"/>
    <col min="6933" max="7169" width="9.14285714285714" style="2"/>
    <col min="7170" max="7170" width="4.71428571428571" style="2" customWidth="1"/>
    <col min="7171" max="7171" width="8.71428571428571" style="2" customWidth="1"/>
    <col min="7172" max="7172" width="7.71428571428571" style="2" customWidth="1"/>
    <col min="7173" max="7173" width="8.71428571428571" style="2" customWidth="1"/>
    <col min="7174" max="7174" width="2.71428571428571" style="2" customWidth="1"/>
    <col min="7175" max="7175" width="8.71428571428571" style="2" customWidth="1"/>
    <col min="7176" max="7176" width="2.71428571428571" style="2" customWidth="1"/>
    <col min="7177" max="7177" width="10.7142857142857" style="2" customWidth="1"/>
    <col min="7178" max="7178" width="2.71428571428571" style="2" customWidth="1"/>
    <col min="7179" max="7179" width="8.71428571428571" style="2" customWidth="1"/>
    <col min="7180" max="7180" width="10.7142857142857" style="2" customWidth="1"/>
    <col min="7181" max="7181" width="8.71428571428571" style="2" customWidth="1"/>
    <col min="7182" max="7182" width="2.71428571428571" style="2" customWidth="1"/>
    <col min="7183" max="7184" width="10.7142857142857" style="2" customWidth="1"/>
    <col min="7185" max="7185" width="8.71428571428571" style="2" customWidth="1"/>
    <col min="7186" max="7186" width="2.71428571428571" style="2" customWidth="1"/>
    <col min="7187" max="7187" width="9.14285714285714" style="2"/>
    <col min="7188" max="7188" width="2.71428571428571" style="2" customWidth="1"/>
    <col min="7189" max="7425" width="9.14285714285714" style="2"/>
    <col min="7426" max="7426" width="4.71428571428571" style="2" customWidth="1"/>
    <col min="7427" max="7427" width="8.71428571428571" style="2" customWidth="1"/>
    <col min="7428" max="7428" width="7.71428571428571" style="2" customWidth="1"/>
    <col min="7429" max="7429" width="8.71428571428571" style="2" customWidth="1"/>
    <col min="7430" max="7430" width="2.71428571428571" style="2" customWidth="1"/>
    <col min="7431" max="7431" width="8.71428571428571" style="2" customWidth="1"/>
    <col min="7432" max="7432" width="2.71428571428571" style="2" customWidth="1"/>
    <col min="7433" max="7433" width="10.7142857142857" style="2" customWidth="1"/>
    <col min="7434" max="7434" width="2.71428571428571" style="2" customWidth="1"/>
    <col min="7435" max="7435" width="8.71428571428571" style="2" customWidth="1"/>
    <col min="7436" max="7436" width="10.7142857142857" style="2" customWidth="1"/>
    <col min="7437" max="7437" width="8.71428571428571" style="2" customWidth="1"/>
    <col min="7438" max="7438" width="2.71428571428571" style="2" customWidth="1"/>
    <col min="7439" max="7440" width="10.7142857142857" style="2" customWidth="1"/>
    <col min="7441" max="7441" width="8.71428571428571" style="2" customWidth="1"/>
    <col min="7442" max="7442" width="2.71428571428571" style="2" customWidth="1"/>
    <col min="7443" max="7443" width="9.14285714285714" style="2"/>
    <col min="7444" max="7444" width="2.71428571428571" style="2" customWidth="1"/>
    <col min="7445" max="7681" width="9.14285714285714" style="2"/>
    <col min="7682" max="7682" width="4.71428571428571" style="2" customWidth="1"/>
    <col min="7683" max="7683" width="8.71428571428571" style="2" customWidth="1"/>
    <col min="7684" max="7684" width="7.71428571428571" style="2" customWidth="1"/>
    <col min="7685" max="7685" width="8.71428571428571" style="2" customWidth="1"/>
    <col min="7686" max="7686" width="2.71428571428571" style="2" customWidth="1"/>
    <col min="7687" max="7687" width="8.71428571428571" style="2" customWidth="1"/>
    <col min="7688" max="7688" width="2.71428571428571" style="2" customWidth="1"/>
    <col min="7689" max="7689" width="10.7142857142857" style="2" customWidth="1"/>
    <col min="7690" max="7690" width="2.71428571428571" style="2" customWidth="1"/>
    <col min="7691" max="7691" width="8.71428571428571" style="2" customWidth="1"/>
    <col min="7692" max="7692" width="10.7142857142857" style="2" customWidth="1"/>
    <col min="7693" max="7693" width="8.71428571428571" style="2" customWidth="1"/>
    <col min="7694" max="7694" width="2.71428571428571" style="2" customWidth="1"/>
    <col min="7695" max="7696" width="10.7142857142857" style="2" customWidth="1"/>
    <col min="7697" max="7697" width="8.71428571428571" style="2" customWidth="1"/>
    <col min="7698" max="7698" width="2.71428571428571" style="2" customWidth="1"/>
    <col min="7699" max="7699" width="9.14285714285714" style="2"/>
    <col min="7700" max="7700" width="2.71428571428571" style="2" customWidth="1"/>
    <col min="7701" max="7937" width="9.14285714285714" style="2"/>
    <col min="7938" max="7938" width="4.71428571428571" style="2" customWidth="1"/>
    <col min="7939" max="7939" width="8.71428571428571" style="2" customWidth="1"/>
    <col min="7940" max="7940" width="7.71428571428571" style="2" customWidth="1"/>
    <col min="7941" max="7941" width="8.71428571428571" style="2" customWidth="1"/>
    <col min="7942" max="7942" width="2.71428571428571" style="2" customWidth="1"/>
    <col min="7943" max="7943" width="8.71428571428571" style="2" customWidth="1"/>
    <col min="7944" max="7944" width="2.71428571428571" style="2" customWidth="1"/>
    <col min="7945" max="7945" width="10.7142857142857" style="2" customWidth="1"/>
    <col min="7946" max="7946" width="2.71428571428571" style="2" customWidth="1"/>
    <col min="7947" max="7947" width="8.71428571428571" style="2" customWidth="1"/>
    <col min="7948" max="7948" width="10.7142857142857" style="2" customWidth="1"/>
    <col min="7949" max="7949" width="8.71428571428571" style="2" customWidth="1"/>
    <col min="7950" max="7950" width="2.71428571428571" style="2" customWidth="1"/>
    <col min="7951" max="7952" width="10.7142857142857" style="2" customWidth="1"/>
    <col min="7953" max="7953" width="8.71428571428571" style="2" customWidth="1"/>
    <col min="7954" max="7954" width="2.71428571428571" style="2" customWidth="1"/>
    <col min="7955" max="7955" width="9.14285714285714" style="2"/>
    <col min="7956" max="7956" width="2.71428571428571" style="2" customWidth="1"/>
    <col min="7957" max="8193" width="9.14285714285714" style="2"/>
    <col min="8194" max="8194" width="4.71428571428571" style="2" customWidth="1"/>
    <col min="8195" max="8195" width="8.71428571428571" style="2" customWidth="1"/>
    <col min="8196" max="8196" width="7.71428571428571" style="2" customWidth="1"/>
    <col min="8197" max="8197" width="8.71428571428571" style="2" customWidth="1"/>
    <col min="8198" max="8198" width="2.71428571428571" style="2" customWidth="1"/>
    <col min="8199" max="8199" width="8.71428571428571" style="2" customWidth="1"/>
    <col min="8200" max="8200" width="2.71428571428571" style="2" customWidth="1"/>
    <col min="8201" max="8201" width="10.7142857142857" style="2" customWidth="1"/>
    <col min="8202" max="8202" width="2.71428571428571" style="2" customWidth="1"/>
    <col min="8203" max="8203" width="8.71428571428571" style="2" customWidth="1"/>
    <col min="8204" max="8204" width="10.7142857142857" style="2" customWidth="1"/>
    <col min="8205" max="8205" width="8.71428571428571" style="2" customWidth="1"/>
    <col min="8206" max="8206" width="2.71428571428571" style="2" customWidth="1"/>
    <col min="8207" max="8208" width="10.7142857142857" style="2" customWidth="1"/>
    <col min="8209" max="8209" width="8.71428571428571" style="2" customWidth="1"/>
    <col min="8210" max="8210" width="2.71428571428571" style="2" customWidth="1"/>
    <col min="8211" max="8211" width="9.14285714285714" style="2"/>
    <col min="8212" max="8212" width="2.71428571428571" style="2" customWidth="1"/>
    <col min="8213" max="8449" width="9.14285714285714" style="2"/>
    <col min="8450" max="8450" width="4.71428571428571" style="2" customWidth="1"/>
    <col min="8451" max="8451" width="8.71428571428571" style="2" customWidth="1"/>
    <col min="8452" max="8452" width="7.71428571428571" style="2" customWidth="1"/>
    <col min="8453" max="8453" width="8.71428571428571" style="2" customWidth="1"/>
    <col min="8454" max="8454" width="2.71428571428571" style="2" customWidth="1"/>
    <col min="8455" max="8455" width="8.71428571428571" style="2" customWidth="1"/>
    <col min="8456" max="8456" width="2.71428571428571" style="2" customWidth="1"/>
    <col min="8457" max="8457" width="10.7142857142857" style="2" customWidth="1"/>
    <col min="8458" max="8458" width="2.71428571428571" style="2" customWidth="1"/>
    <col min="8459" max="8459" width="8.71428571428571" style="2" customWidth="1"/>
    <col min="8460" max="8460" width="10.7142857142857" style="2" customWidth="1"/>
    <col min="8461" max="8461" width="8.71428571428571" style="2" customWidth="1"/>
    <col min="8462" max="8462" width="2.71428571428571" style="2" customWidth="1"/>
    <col min="8463" max="8464" width="10.7142857142857" style="2" customWidth="1"/>
    <col min="8465" max="8465" width="8.71428571428571" style="2" customWidth="1"/>
    <col min="8466" max="8466" width="2.71428571428571" style="2" customWidth="1"/>
    <col min="8467" max="8467" width="9.14285714285714" style="2"/>
    <col min="8468" max="8468" width="2.71428571428571" style="2" customWidth="1"/>
    <col min="8469" max="8705" width="9.14285714285714" style="2"/>
    <col min="8706" max="8706" width="4.71428571428571" style="2" customWidth="1"/>
    <col min="8707" max="8707" width="8.71428571428571" style="2" customWidth="1"/>
    <col min="8708" max="8708" width="7.71428571428571" style="2" customWidth="1"/>
    <col min="8709" max="8709" width="8.71428571428571" style="2" customWidth="1"/>
    <col min="8710" max="8710" width="2.71428571428571" style="2" customWidth="1"/>
    <col min="8711" max="8711" width="8.71428571428571" style="2" customWidth="1"/>
    <col min="8712" max="8712" width="2.71428571428571" style="2" customWidth="1"/>
    <col min="8713" max="8713" width="10.7142857142857" style="2" customWidth="1"/>
    <col min="8714" max="8714" width="2.71428571428571" style="2" customWidth="1"/>
    <col min="8715" max="8715" width="8.71428571428571" style="2" customWidth="1"/>
    <col min="8716" max="8716" width="10.7142857142857" style="2" customWidth="1"/>
    <col min="8717" max="8717" width="8.71428571428571" style="2" customWidth="1"/>
    <col min="8718" max="8718" width="2.71428571428571" style="2" customWidth="1"/>
    <col min="8719" max="8720" width="10.7142857142857" style="2" customWidth="1"/>
    <col min="8721" max="8721" width="8.71428571428571" style="2" customWidth="1"/>
    <col min="8722" max="8722" width="2.71428571428571" style="2" customWidth="1"/>
    <col min="8723" max="8723" width="9.14285714285714" style="2"/>
    <col min="8724" max="8724" width="2.71428571428571" style="2" customWidth="1"/>
    <col min="8725" max="8961" width="9.14285714285714" style="2"/>
    <col min="8962" max="8962" width="4.71428571428571" style="2" customWidth="1"/>
    <col min="8963" max="8963" width="8.71428571428571" style="2" customWidth="1"/>
    <col min="8964" max="8964" width="7.71428571428571" style="2" customWidth="1"/>
    <col min="8965" max="8965" width="8.71428571428571" style="2" customWidth="1"/>
    <col min="8966" max="8966" width="2.71428571428571" style="2" customWidth="1"/>
    <col min="8967" max="8967" width="8.71428571428571" style="2" customWidth="1"/>
    <col min="8968" max="8968" width="2.71428571428571" style="2" customWidth="1"/>
    <col min="8969" max="8969" width="10.7142857142857" style="2" customWidth="1"/>
    <col min="8970" max="8970" width="2.71428571428571" style="2" customWidth="1"/>
    <col min="8971" max="8971" width="8.71428571428571" style="2" customWidth="1"/>
    <col min="8972" max="8972" width="10.7142857142857" style="2" customWidth="1"/>
    <col min="8973" max="8973" width="8.71428571428571" style="2" customWidth="1"/>
    <col min="8974" max="8974" width="2.71428571428571" style="2" customWidth="1"/>
    <col min="8975" max="8976" width="10.7142857142857" style="2" customWidth="1"/>
    <col min="8977" max="8977" width="8.71428571428571" style="2" customWidth="1"/>
    <col min="8978" max="8978" width="2.71428571428571" style="2" customWidth="1"/>
    <col min="8979" max="8979" width="9.14285714285714" style="2"/>
    <col min="8980" max="8980" width="2.71428571428571" style="2" customWidth="1"/>
    <col min="8981" max="9217" width="9.14285714285714" style="2"/>
    <col min="9218" max="9218" width="4.71428571428571" style="2" customWidth="1"/>
    <col min="9219" max="9219" width="8.71428571428571" style="2" customWidth="1"/>
    <col min="9220" max="9220" width="7.71428571428571" style="2" customWidth="1"/>
    <col min="9221" max="9221" width="8.71428571428571" style="2" customWidth="1"/>
    <col min="9222" max="9222" width="2.71428571428571" style="2" customWidth="1"/>
    <col min="9223" max="9223" width="8.71428571428571" style="2" customWidth="1"/>
    <col min="9224" max="9224" width="2.71428571428571" style="2" customWidth="1"/>
    <col min="9225" max="9225" width="10.7142857142857" style="2" customWidth="1"/>
    <col min="9226" max="9226" width="2.71428571428571" style="2" customWidth="1"/>
    <col min="9227" max="9227" width="8.71428571428571" style="2" customWidth="1"/>
    <col min="9228" max="9228" width="10.7142857142857" style="2" customWidth="1"/>
    <col min="9229" max="9229" width="8.71428571428571" style="2" customWidth="1"/>
    <col min="9230" max="9230" width="2.71428571428571" style="2" customWidth="1"/>
    <col min="9231" max="9232" width="10.7142857142857" style="2" customWidth="1"/>
    <col min="9233" max="9233" width="8.71428571428571" style="2" customWidth="1"/>
    <col min="9234" max="9234" width="2.71428571428571" style="2" customWidth="1"/>
    <col min="9235" max="9235" width="9.14285714285714" style="2"/>
    <col min="9236" max="9236" width="2.71428571428571" style="2" customWidth="1"/>
    <col min="9237" max="9473" width="9.14285714285714" style="2"/>
    <col min="9474" max="9474" width="4.71428571428571" style="2" customWidth="1"/>
    <col min="9475" max="9475" width="8.71428571428571" style="2" customWidth="1"/>
    <col min="9476" max="9476" width="7.71428571428571" style="2" customWidth="1"/>
    <col min="9477" max="9477" width="8.71428571428571" style="2" customWidth="1"/>
    <col min="9478" max="9478" width="2.71428571428571" style="2" customWidth="1"/>
    <col min="9479" max="9479" width="8.71428571428571" style="2" customWidth="1"/>
    <col min="9480" max="9480" width="2.71428571428571" style="2" customWidth="1"/>
    <col min="9481" max="9481" width="10.7142857142857" style="2" customWidth="1"/>
    <col min="9482" max="9482" width="2.71428571428571" style="2" customWidth="1"/>
    <col min="9483" max="9483" width="8.71428571428571" style="2" customWidth="1"/>
    <col min="9484" max="9484" width="10.7142857142857" style="2" customWidth="1"/>
    <col min="9485" max="9485" width="8.71428571428571" style="2" customWidth="1"/>
    <col min="9486" max="9486" width="2.71428571428571" style="2" customWidth="1"/>
    <col min="9487" max="9488" width="10.7142857142857" style="2" customWidth="1"/>
    <col min="9489" max="9489" width="8.71428571428571" style="2" customWidth="1"/>
    <col min="9490" max="9490" width="2.71428571428571" style="2" customWidth="1"/>
    <col min="9491" max="9491" width="9.14285714285714" style="2"/>
    <col min="9492" max="9492" width="2.71428571428571" style="2" customWidth="1"/>
    <col min="9493" max="9729" width="9.14285714285714" style="2"/>
    <col min="9730" max="9730" width="4.71428571428571" style="2" customWidth="1"/>
    <col min="9731" max="9731" width="8.71428571428571" style="2" customWidth="1"/>
    <col min="9732" max="9732" width="7.71428571428571" style="2" customWidth="1"/>
    <col min="9733" max="9733" width="8.71428571428571" style="2" customWidth="1"/>
    <col min="9734" max="9734" width="2.71428571428571" style="2" customWidth="1"/>
    <col min="9735" max="9735" width="8.71428571428571" style="2" customWidth="1"/>
    <col min="9736" max="9736" width="2.71428571428571" style="2" customWidth="1"/>
    <col min="9737" max="9737" width="10.7142857142857" style="2" customWidth="1"/>
    <col min="9738" max="9738" width="2.71428571428571" style="2" customWidth="1"/>
    <col min="9739" max="9739" width="8.71428571428571" style="2" customWidth="1"/>
    <col min="9740" max="9740" width="10.7142857142857" style="2" customWidth="1"/>
    <col min="9741" max="9741" width="8.71428571428571" style="2" customWidth="1"/>
    <col min="9742" max="9742" width="2.71428571428571" style="2" customWidth="1"/>
    <col min="9743" max="9744" width="10.7142857142857" style="2" customWidth="1"/>
    <col min="9745" max="9745" width="8.71428571428571" style="2" customWidth="1"/>
    <col min="9746" max="9746" width="2.71428571428571" style="2" customWidth="1"/>
    <col min="9747" max="9747" width="9.14285714285714" style="2"/>
    <col min="9748" max="9748" width="2.71428571428571" style="2" customWidth="1"/>
    <col min="9749" max="9985" width="9.14285714285714" style="2"/>
    <col min="9986" max="9986" width="4.71428571428571" style="2" customWidth="1"/>
    <col min="9987" max="9987" width="8.71428571428571" style="2" customWidth="1"/>
    <col min="9988" max="9988" width="7.71428571428571" style="2" customWidth="1"/>
    <col min="9989" max="9989" width="8.71428571428571" style="2" customWidth="1"/>
    <col min="9990" max="9990" width="2.71428571428571" style="2" customWidth="1"/>
    <col min="9991" max="9991" width="8.71428571428571" style="2" customWidth="1"/>
    <col min="9992" max="9992" width="2.71428571428571" style="2" customWidth="1"/>
    <col min="9993" max="9993" width="10.7142857142857" style="2" customWidth="1"/>
    <col min="9994" max="9994" width="2.71428571428571" style="2" customWidth="1"/>
    <col min="9995" max="9995" width="8.71428571428571" style="2" customWidth="1"/>
    <col min="9996" max="9996" width="10.7142857142857" style="2" customWidth="1"/>
    <col min="9997" max="9997" width="8.71428571428571" style="2" customWidth="1"/>
    <col min="9998" max="9998" width="2.71428571428571" style="2" customWidth="1"/>
    <col min="9999" max="10000" width="10.7142857142857" style="2" customWidth="1"/>
    <col min="10001" max="10001" width="8.71428571428571" style="2" customWidth="1"/>
    <col min="10002" max="10002" width="2.71428571428571" style="2" customWidth="1"/>
    <col min="10003" max="10003" width="9.14285714285714" style="2"/>
    <col min="10004" max="10004" width="2.71428571428571" style="2" customWidth="1"/>
    <col min="10005" max="10241" width="9.14285714285714" style="2"/>
    <col min="10242" max="10242" width="4.71428571428571" style="2" customWidth="1"/>
    <col min="10243" max="10243" width="8.71428571428571" style="2" customWidth="1"/>
    <col min="10244" max="10244" width="7.71428571428571" style="2" customWidth="1"/>
    <col min="10245" max="10245" width="8.71428571428571" style="2" customWidth="1"/>
    <col min="10246" max="10246" width="2.71428571428571" style="2" customWidth="1"/>
    <col min="10247" max="10247" width="8.71428571428571" style="2" customWidth="1"/>
    <col min="10248" max="10248" width="2.71428571428571" style="2" customWidth="1"/>
    <col min="10249" max="10249" width="10.7142857142857" style="2" customWidth="1"/>
    <col min="10250" max="10250" width="2.71428571428571" style="2" customWidth="1"/>
    <col min="10251" max="10251" width="8.71428571428571" style="2" customWidth="1"/>
    <col min="10252" max="10252" width="10.7142857142857" style="2" customWidth="1"/>
    <col min="10253" max="10253" width="8.71428571428571" style="2" customWidth="1"/>
    <col min="10254" max="10254" width="2.71428571428571" style="2" customWidth="1"/>
    <col min="10255" max="10256" width="10.7142857142857" style="2" customWidth="1"/>
    <col min="10257" max="10257" width="8.71428571428571" style="2" customWidth="1"/>
    <col min="10258" max="10258" width="2.71428571428571" style="2" customWidth="1"/>
    <col min="10259" max="10259" width="9.14285714285714" style="2"/>
    <col min="10260" max="10260" width="2.71428571428571" style="2" customWidth="1"/>
    <col min="10261" max="10497" width="9.14285714285714" style="2"/>
    <col min="10498" max="10498" width="4.71428571428571" style="2" customWidth="1"/>
    <col min="10499" max="10499" width="8.71428571428571" style="2" customWidth="1"/>
    <col min="10500" max="10500" width="7.71428571428571" style="2" customWidth="1"/>
    <col min="10501" max="10501" width="8.71428571428571" style="2" customWidth="1"/>
    <col min="10502" max="10502" width="2.71428571428571" style="2" customWidth="1"/>
    <col min="10503" max="10503" width="8.71428571428571" style="2" customWidth="1"/>
    <col min="10504" max="10504" width="2.71428571428571" style="2" customWidth="1"/>
    <col min="10505" max="10505" width="10.7142857142857" style="2" customWidth="1"/>
    <col min="10506" max="10506" width="2.71428571428571" style="2" customWidth="1"/>
    <col min="10507" max="10507" width="8.71428571428571" style="2" customWidth="1"/>
    <col min="10508" max="10508" width="10.7142857142857" style="2" customWidth="1"/>
    <col min="10509" max="10509" width="8.71428571428571" style="2" customWidth="1"/>
    <col min="10510" max="10510" width="2.71428571428571" style="2" customWidth="1"/>
    <col min="10511" max="10512" width="10.7142857142857" style="2" customWidth="1"/>
    <col min="10513" max="10513" width="8.71428571428571" style="2" customWidth="1"/>
    <col min="10514" max="10514" width="2.71428571428571" style="2" customWidth="1"/>
    <col min="10515" max="10515" width="9.14285714285714" style="2"/>
    <col min="10516" max="10516" width="2.71428571428571" style="2" customWidth="1"/>
    <col min="10517" max="10753" width="9.14285714285714" style="2"/>
    <col min="10754" max="10754" width="4.71428571428571" style="2" customWidth="1"/>
    <col min="10755" max="10755" width="8.71428571428571" style="2" customWidth="1"/>
    <col min="10756" max="10756" width="7.71428571428571" style="2" customWidth="1"/>
    <col min="10757" max="10757" width="8.71428571428571" style="2" customWidth="1"/>
    <col min="10758" max="10758" width="2.71428571428571" style="2" customWidth="1"/>
    <col min="10759" max="10759" width="8.71428571428571" style="2" customWidth="1"/>
    <col min="10760" max="10760" width="2.71428571428571" style="2" customWidth="1"/>
    <col min="10761" max="10761" width="10.7142857142857" style="2" customWidth="1"/>
    <col min="10762" max="10762" width="2.71428571428571" style="2" customWidth="1"/>
    <col min="10763" max="10763" width="8.71428571428571" style="2" customWidth="1"/>
    <col min="10764" max="10764" width="10.7142857142857" style="2" customWidth="1"/>
    <col min="10765" max="10765" width="8.71428571428571" style="2" customWidth="1"/>
    <col min="10766" max="10766" width="2.71428571428571" style="2" customWidth="1"/>
    <col min="10767" max="10768" width="10.7142857142857" style="2" customWidth="1"/>
    <col min="10769" max="10769" width="8.71428571428571" style="2" customWidth="1"/>
    <col min="10770" max="10770" width="2.71428571428571" style="2" customWidth="1"/>
    <col min="10771" max="10771" width="9.14285714285714" style="2"/>
    <col min="10772" max="10772" width="2.71428571428571" style="2" customWidth="1"/>
    <col min="10773" max="11009" width="9.14285714285714" style="2"/>
    <col min="11010" max="11010" width="4.71428571428571" style="2" customWidth="1"/>
    <col min="11011" max="11011" width="8.71428571428571" style="2" customWidth="1"/>
    <col min="11012" max="11012" width="7.71428571428571" style="2" customWidth="1"/>
    <col min="11013" max="11013" width="8.71428571428571" style="2" customWidth="1"/>
    <col min="11014" max="11014" width="2.71428571428571" style="2" customWidth="1"/>
    <col min="11015" max="11015" width="8.71428571428571" style="2" customWidth="1"/>
    <col min="11016" max="11016" width="2.71428571428571" style="2" customWidth="1"/>
    <col min="11017" max="11017" width="10.7142857142857" style="2" customWidth="1"/>
    <col min="11018" max="11018" width="2.71428571428571" style="2" customWidth="1"/>
    <col min="11019" max="11019" width="8.71428571428571" style="2" customWidth="1"/>
    <col min="11020" max="11020" width="10.7142857142857" style="2" customWidth="1"/>
    <col min="11021" max="11021" width="8.71428571428571" style="2" customWidth="1"/>
    <col min="11022" max="11022" width="2.71428571428571" style="2" customWidth="1"/>
    <col min="11023" max="11024" width="10.7142857142857" style="2" customWidth="1"/>
    <col min="11025" max="11025" width="8.71428571428571" style="2" customWidth="1"/>
    <col min="11026" max="11026" width="2.71428571428571" style="2" customWidth="1"/>
    <col min="11027" max="11027" width="9.14285714285714" style="2"/>
    <col min="11028" max="11028" width="2.71428571428571" style="2" customWidth="1"/>
    <col min="11029" max="11265" width="9.14285714285714" style="2"/>
    <col min="11266" max="11266" width="4.71428571428571" style="2" customWidth="1"/>
    <col min="11267" max="11267" width="8.71428571428571" style="2" customWidth="1"/>
    <col min="11268" max="11268" width="7.71428571428571" style="2" customWidth="1"/>
    <col min="11269" max="11269" width="8.71428571428571" style="2" customWidth="1"/>
    <col min="11270" max="11270" width="2.71428571428571" style="2" customWidth="1"/>
    <col min="11271" max="11271" width="8.71428571428571" style="2" customWidth="1"/>
    <col min="11272" max="11272" width="2.71428571428571" style="2" customWidth="1"/>
    <col min="11273" max="11273" width="10.7142857142857" style="2" customWidth="1"/>
    <col min="11274" max="11274" width="2.71428571428571" style="2" customWidth="1"/>
    <col min="11275" max="11275" width="8.71428571428571" style="2" customWidth="1"/>
    <col min="11276" max="11276" width="10.7142857142857" style="2" customWidth="1"/>
    <col min="11277" max="11277" width="8.71428571428571" style="2" customWidth="1"/>
    <col min="11278" max="11278" width="2.71428571428571" style="2" customWidth="1"/>
    <col min="11279" max="11280" width="10.7142857142857" style="2" customWidth="1"/>
    <col min="11281" max="11281" width="8.71428571428571" style="2" customWidth="1"/>
    <col min="11282" max="11282" width="2.71428571428571" style="2" customWidth="1"/>
    <col min="11283" max="11283" width="9.14285714285714" style="2"/>
    <col min="11284" max="11284" width="2.71428571428571" style="2" customWidth="1"/>
    <col min="11285" max="11521" width="9.14285714285714" style="2"/>
    <col min="11522" max="11522" width="4.71428571428571" style="2" customWidth="1"/>
    <col min="11523" max="11523" width="8.71428571428571" style="2" customWidth="1"/>
    <col min="11524" max="11524" width="7.71428571428571" style="2" customWidth="1"/>
    <col min="11525" max="11525" width="8.71428571428571" style="2" customWidth="1"/>
    <col min="11526" max="11526" width="2.71428571428571" style="2" customWidth="1"/>
    <col min="11527" max="11527" width="8.71428571428571" style="2" customWidth="1"/>
    <col min="11528" max="11528" width="2.71428571428571" style="2" customWidth="1"/>
    <col min="11529" max="11529" width="10.7142857142857" style="2" customWidth="1"/>
    <col min="11530" max="11530" width="2.71428571428571" style="2" customWidth="1"/>
    <col min="11531" max="11531" width="8.71428571428571" style="2" customWidth="1"/>
    <col min="11532" max="11532" width="10.7142857142857" style="2" customWidth="1"/>
    <col min="11533" max="11533" width="8.71428571428571" style="2" customWidth="1"/>
    <col min="11534" max="11534" width="2.71428571428571" style="2" customWidth="1"/>
    <col min="11535" max="11536" width="10.7142857142857" style="2" customWidth="1"/>
    <col min="11537" max="11537" width="8.71428571428571" style="2" customWidth="1"/>
    <col min="11538" max="11538" width="2.71428571428571" style="2" customWidth="1"/>
    <col min="11539" max="11539" width="9.14285714285714" style="2"/>
    <col min="11540" max="11540" width="2.71428571428571" style="2" customWidth="1"/>
    <col min="11541" max="11777" width="9.14285714285714" style="2"/>
    <col min="11778" max="11778" width="4.71428571428571" style="2" customWidth="1"/>
    <col min="11779" max="11779" width="8.71428571428571" style="2" customWidth="1"/>
    <col min="11780" max="11780" width="7.71428571428571" style="2" customWidth="1"/>
    <col min="11781" max="11781" width="8.71428571428571" style="2" customWidth="1"/>
    <col min="11782" max="11782" width="2.71428571428571" style="2" customWidth="1"/>
    <col min="11783" max="11783" width="8.71428571428571" style="2" customWidth="1"/>
    <col min="11784" max="11784" width="2.71428571428571" style="2" customWidth="1"/>
    <col min="11785" max="11785" width="10.7142857142857" style="2" customWidth="1"/>
    <col min="11786" max="11786" width="2.71428571428571" style="2" customWidth="1"/>
    <col min="11787" max="11787" width="8.71428571428571" style="2" customWidth="1"/>
    <col min="11788" max="11788" width="10.7142857142857" style="2" customWidth="1"/>
    <col min="11789" max="11789" width="8.71428571428571" style="2" customWidth="1"/>
    <col min="11790" max="11790" width="2.71428571428571" style="2" customWidth="1"/>
    <col min="11791" max="11792" width="10.7142857142857" style="2" customWidth="1"/>
    <col min="11793" max="11793" width="8.71428571428571" style="2" customWidth="1"/>
    <col min="11794" max="11794" width="2.71428571428571" style="2" customWidth="1"/>
    <col min="11795" max="11795" width="9.14285714285714" style="2"/>
    <col min="11796" max="11796" width="2.71428571428571" style="2" customWidth="1"/>
    <col min="11797" max="12033" width="9.14285714285714" style="2"/>
    <col min="12034" max="12034" width="4.71428571428571" style="2" customWidth="1"/>
    <col min="12035" max="12035" width="8.71428571428571" style="2" customWidth="1"/>
    <col min="12036" max="12036" width="7.71428571428571" style="2" customWidth="1"/>
    <col min="12037" max="12037" width="8.71428571428571" style="2" customWidth="1"/>
    <col min="12038" max="12038" width="2.71428571428571" style="2" customWidth="1"/>
    <col min="12039" max="12039" width="8.71428571428571" style="2" customWidth="1"/>
    <col min="12040" max="12040" width="2.71428571428571" style="2" customWidth="1"/>
    <col min="12041" max="12041" width="10.7142857142857" style="2" customWidth="1"/>
    <col min="12042" max="12042" width="2.71428571428571" style="2" customWidth="1"/>
    <col min="12043" max="12043" width="8.71428571428571" style="2" customWidth="1"/>
    <col min="12044" max="12044" width="10.7142857142857" style="2" customWidth="1"/>
    <col min="12045" max="12045" width="8.71428571428571" style="2" customWidth="1"/>
    <col min="12046" max="12046" width="2.71428571428571" style="2" customWidth="1"/>
    <col min="12047" max="12048" width="10.7142857142857" style="2" customWidth="1"/>
    <col min="12049" max="12049" width="8.71428571428571" style="2" customWidth="1"/>
    <col min="12050" max="12050" width="2.71428571428571" style="2" customWidth="1"/>
    <col min="12051" max="12051" width="9.14285714285714" style="2"/>
    <col min="12052" max="12052" width="2.71428571428571" style="2" customWidth="1"/>
    <col min="12053" max="12289" width="9.14285714285714" style="2"/>
    <col min="12290" max="12290" width="4.71428571428571" style="2" customWidth="1"/>
    <col min="12291" max="12291" width="8.71428571428571" style="2" customWidth="1"/>
    <col min="12292" max="12292" width="7.71428571428571" style="2" customWidth="1"/>
    <col min="12293" max="12293" width="8.71428571428571" style="2" customWidth="1"/>
    <col min="12294" max="12294" width="2.71428571428571" style="2" customWidth="1"/>
    <col min="12295" max="12295" width="8.71428571428571" style="2" customWidth="1"/>
    <col min="12296" max="12296" width="2.71428571428571" style="2" customWidth="1"/>
    <col min="12297" max="12297" width="10.7142857142857" style="2" customWidth="1"/>
    <col min="12298" max="12298" width="2.71428571428571" style="2" customWidth="1"/>
    <col min="12299" max="12299" width="8.71428571428571" style="2" customWidth="1"/>
    <col min="12300" max="12300" width="10.7142857142857" style="2" customWidth="1"/>
    <col min="12301" max="12301" width="8.71428571428571" style="2" customWidth="1"/>
    <col min="12302" max="12302" width="2.71428571428571" style="2" customWidth="1"/>
    <col min="12303" max="12304" width="10.7142857142857" style="2" customWidth="1"/>
    <col min="12305" max="12305" width="8.71428571428571" style="2" customWidth="1"/>
    <col min="12306" max="12306" width="2.71428571428571" style="2" customWidth="1"/>
    <col min="12307" max="12307" width="9.14285714285714" style="2"/>
    <col min="12308" max="12308" width="2.71428571428571" style="2" customWidth="1"/>
    <col min="12309" max="12545" width="9.14285714285714" style="2"/>
    <col min="12546" max="12546" width="4.71428571428571" style="2" customWidth="1"/>
    <col min="12547" max="12547" width="8.71428571428571" style="2" customWidth="1"/>
    <col min="12548" max="12548" width="7.71428571428571" style="2" customWidth="1"/>
    <col min="12549" max="12549" width="8.71428571428571" style="2" customWidth="1"/>
    <col min="12550" max="12550" width="2.71428571428571" style="2" customWidth="1"/>
    <col min="12551" max="12551" width="8.71428571428571" style="2" customWidth="1"/>
    <col min="12552" max="12552" width="2.71428571428571" style="2" customWidth="1"/>
    <col min="12553" max="12553" width="10.7142857142857" style="2" customWidth="1"/>
    <col min="12554" max="12554" width="2.71428571428571" style="2" customWidth="1"/>
    <col min="12555" max="12555" width="8.71428571428571" style="2" customWidth="1"/>
    <col min="12556" max="12556" width="10.7142857142857" style="2" customWidth="1"/>
    <col min="12557" max="12557" width="8.71428571428571" style="2" customWidth="1"/>
    <col min="12558" max="12558" width="2.71428571428571" style="2" customWidth="1"/>
    <col min="12559" max="12560" width="10.7142857142857" style="2" customWidth="1"/>
    <col min="12561" max="12561" width="8.71428571428571" style="2" customWidth="1"/>
    <col min="12562" max="12562" width="2.71428571428571" style="2" customWidth="1"/>
    <col min="12563" max="12563" width="9.14285714285714" style="2"/>
    <col min="12564" max="12564" width="2.71428571428571" style="2" customWidth="1"/>
    <col min="12565" max="12801" width="9.14285714285714" style="2"/>
    <col min="12802" max="12802" width="4.71428571428571" style="2" customWidth="1"/>
    <col min="12803" max="12803" width="8.71428571428571" style="2" customWidth="1"/>
    <col min="12804" max="12804" width="7.71428571428571" style="2" customWidth="1"/>
    <col min="12805" max="12805" width="8.71428571428571" style="2" customWidth="1"/>
    <col min="12806" max="12806" width="2.71428571428571" style="2" customWidth="1"/>
    <col min="12807" max="12807" width="8.71428571428571" style="2" customWidth="1"/>
    <col min="12808" max="12808" width="2.71428571428571" style="2" customWidth="1"/>
    <col min="12809" max="12809" width="10.7142857142857" style="2" customWidth="1"/>
    <col min="12810" max="12810" width="2.71428571428571" style="2" customWidth="1"/>
    <col min="12811" max="12811" width="8.71428571428571" style="2" customWidth="1"/>
    <col min="12812" max="12812" width="10.7142857142857" style="2" customWidth="1"/>
    <col min="12813" max="12813" width="8.71428571428571" style="2" customWidth="1"/>
    <col min="12814" max="12814" width="2.71428571428571" style="2" customWidth="1"/>
    <col min="12815" max="12816" width="10.7142857142857" style="2" customWidth="1"/>
    <col min="12817" max="12817" width="8.71428571428571" style="2" customWidth="1"/>
    <col min="12818" max="12818" width="2.71428571428571" style="2" customWidth="1"/>
    <col min="12819" max="12819" width="9.14285714285714" style="2"/>
    <col min="12820" max="12820" width="2.71428571428571" style="2" customWidth="1"/>
    <col min="12821" max="13057" width="9.14285714285714" style="2"/>
    <col min="13058" max="13058" width="4.71428571428571" style="2" customWidth="1"/>
    <col min="13059" max="13059" width="8.71428571428571" style="2" customWidth="1"/>
    <col min="13060" max="13060" width="7.71428571428571" style="2" customWidth="1"/>
    <col min="13061" max="13061" width="8.71428571428571" style="2" customWidth="1"/>
    <col min="13062" max="13062" width="2.71428571428571" style="2" customWidth="1"/>
    <col min="13063" max="13063" width="8.71428571428571" style="2" customWidth="1"/>
    <col min="13064" max="13064" width="2.71428571428571" style="2" customWidth="1"/>
    <col min="13065" max="13065" width="10.7142857142857" style="2" customWidth="1"/>
    <col min="13066" max="13066" width="2.71428571428571" style="2" customWidth="1"/>
    <col min="13067" max="13067" width="8.71428571428571" style="2" customWidth="1"/>
    <col min="13068" max="13068" width="10.7142857142857" style="2" customWidth="1"/>
    <col min="13069" max="13069" width="8.71428571428571" style="2" customWidth="1"/>
    <col min="13070" max="13070" width="2.71428571428571" style="2" customWidth="1"/>
    <col min="13071" max="13072" width="10.7142857142857" style="2" customWidth="1"/>
    <col min="13073" max="13073" width="8.71428571428571" style="2" customWidth="1"/>
    <col min="13074" max="13074" width="2.71428571428571" style="2" customWidth="1"/>
    <col min="13075" max="13075" width="9.14285714285714" style="2"/>
    <col min="13076" max="13076" width="2.71428571428571" style="2" customWidth="1"/>
    <col min="13077" max="13313" width="9.14285714285714" style="2"/>
    <col min="13314" max="13314" width="4.71428571428571" style="2" customWidth="1"/>
    <col min="13315" max="13315" width="8.71428571428571" style="2" customWidth="1"/>
    <col min="13316" max="13316" width="7.71428571428571" style="2" customWidth="1"/>
    <col min="13317" max="13317" width="8.71428571428571" style="2" customWidth="1"/>
    <col min="13318" max="13318" width="2.71428571428571" style="2" customWidth="1"/>
    <col min="13319" max="13319" width="8.71428571428571" style="2" customWidth="1"/>
    <col min="13320" max="13320" width="2.71428571428571" style="2" customWidth="1"/>
    <col min="13321" max="13321" width="10.7142857142857" style="2" customWidth="1"/>
    <col min="13322" max="13322" width="2.71428571428571" style="2" customWidth="1"/>
    <col min="13323" max="13323" width="8.71428571428571" style="2" customWidth="1"/>
    <col min="13324" max="13324" width="10.7142857142857" style="2" customWidth="1"/>
    <col min="13325" max="13325" width="8.71428571428571" style="2" customWidth="1"/>
    <col min="13326" max="13326" width="2.71428571428571" style="2" customWidth="1"/>
    <col min="13327" max="13328" width="10.7142857142857" style="2" customWidth="1"/>
    <col min="13329" max="13329" width="8.71428571428571" style="2" customWidth="1"/>
    <col min="13330" max="13330" width="2.71428571428571" style="2" customWidth="1"/>
    <col min="13331" max="13331" width="9.14285714285714" style="2"/>
    <col min="13332" max="13332" width="2.71428571428571" style="2" customWidth="1"/>
    <col min="13333" max="13569" width="9.14285714285714" style="2"/>
    <col min="13570" max="13570" width="4.71428571428571" style="2" customWidth="1"/>
    <col min="13571" max="13571" width="8.71428571428571" style="2" customWidth="1"/>
    <col min="13572" max="13572" width="7.71428571428571" style="2" customWidth="1"/>
    <col min="13573" max="13573" width="8.71428571428571" style="2" customWidth="1"/>
    <col min="13574" max="13574" width="2.71428571428571" style="2" customWidth="1"/>
    <col min="13575" max="13575" width="8.71428571428571" style="2" customWidth="1"/>
    <col min="13576" max="13576" width="2.71428571428571" style="2" customWidth="1"/>
    <col min="13577" max="13577" width="10.7142857142857" style="2" customWidth="1"/>
    <col min="13578" max="13578" width="2.71428571428571" style="2" customWidth="1"/>
    <col min="13579" max="13579" width="8.71428571428571" style="2" customWidth="1"/>
    <col min="13580" max="13580" width="10.7142857142857" style="2" customWidth="1"/>
    <col min="13581" max="13581" width="8.71428571428571" style="2" customWidth="1"/>
    <col min="13582" max="13582" width="2.71428571428571" style="2" customWidth="1"/>
    <col min="13583" max="13584" width="10.7142857142857" style="2" customWidth="1"/>
    <col min="13585" max="13585" width="8.71428571428571" style="2" customWidth="1"/>
    <col min="13586" max="13586" width="2.71428571428571" style="2" customWidth="1"/>
    <col min="13587" max="13587" width="9.14285714285714" style="2"/>
    <col min="13588" max="13588" width="2.71428571428571" style="2" customWidth="1"/>
    <col min="13589" max="13825" width="9.14285714285714" style="2"/>
    <col min="13826" max="13826" width="4.71428571428571" style="2" customWidth="1"/>
    <col min="13827" max="13827" width="8.71428571428571" style="2" customWidth="1"/>
    <col min="13828" max="13828" width="7.71428571428571" style="2" customWidth="1"/>
    <col min="13829" max="13829" width="8.71428571428571" style="2" customWidth="1"/>
    <col min="13830" max="13830" width="2.71428571428571" style="2" customWidth="1"/>
    <col min="13831" max="13831" width="8.71428571428571" style="2" customWidth="1"/>
    <col min="13832" max="13832" width="2.71428571428571" style="2" customWidth="1"/>
    <col min="13833" max="13833" width="10.7142857142857" style="2" customWidth="1"/>
    <col min="13834" max="13834" width="2.71428571428571" style="2" customWidth="1"/>
    <col min="13835" max="13835" width="8.71428571428571" style="2" customWidth="1"/>
    <col min="13836" max="13836" width="10.7142857142857" style="2" customWidth="1"/>
    <col min="13837" max="13837" width="8.71428571428571" style="2" customWidth="1"/>
    <col min="13838" max="13838" width="2.71428571428571" style="2" customWidth="1"/>
    <col min="13839" max="13840" width="10.7142857142857" style="2" customWidth="1"/>
    <col min="13841" max="13841" width="8.71428571428571" style="2" customWidth="1"/>
    <col min="13842" max="13842" width="2.71428571428571" style="2" customWidth="1"/>
    <col min="13843" max="13843" width="9.14285714285714" style="2"/>
    <col min="13844" max="13844" width="2.71428571428571" style="2" customWidth="1"/>
    <col min="13845" max="14081" width="9.14285714285714" style="2"/>
    <col min="14082" max="14082" width="4.71428571428571" style="2" customWidth="1"/>
    <col min="14083" max="14083" width="8.71428571428571" style="2" customWidth="1"/>
    <col min="14084" max="14084" width="7.71428571428571" style="2" customWidth="1"/>
    <col min="14085" max="14085" width="8.71428571428571" style="2" customWidth="1"/>
    <col min="14086" max="14086" width="2.71428571428571" style="2" customWidth="1"/>
    <col min="14087" max="14087" width="8.71428571428571" style="2" customWidth="1"/>
    <col min="14088" max="14088" width="2.71428571428571" style="2" customWidth="1"/>
    <col min="14089" max="14089" width="10.7142857142857" style="2" customWidth="1"/>
    <col min="14090" max="14090" width="2.71428571428571" style="2" customWidth="1"/>
    <col min="14091" max="14091" width="8.71428571428571" style="2" customWidth="1"/>
    <col min="14092" max="14092" width="10.7142857142857" style="2" customWidth="1"/>
    <col min="14093" max="14093" width="8.71428571428571" style="2" customWidth="1"/>
    <col min="14094" max="14094" width="2.71428571428571" style="2" customWidth="1"/>
    <col min="14095" max="14096" width="10.7142857142857" style="2" customWidth="1"/>
    <col min="14097" max="14097" width="8.71428571428571" style="2" customWidth="1"/>
    <col min="14098" max="14098" width="2.71428571428571" style="2" customWidth="1"/>
    <col min="14099" max="14099" width="9.14285714285714" style="2"/>
    <col min="14100" max="14100" width="2.71428571428571" style="2" customWidth="1"/>
    <col min="14101" max="14337" width="9.14285714285714" style="2"/>
    <col min="14338" max="14338" width="4.71428571428571" style="2" customWidth="1"/>
    <col min="14339" max="14339" width="8.71428571428571" style="2" customWidth="1"/>
    <col min="14340" max="14340" width="7.71428571428571" style="2" customWidth="1"/>
    <col min="14341" max="14341" width="8.71428571428571" style="2" customWidth="1"/>
    <col min="14342" max="14342" width="2.71428571428571" style="2" customWidth="1"/>
    <col min="14343" max="14343" width="8.71428571428571" style="2" customWidth="1"/>
    <col min="14344" max="14344" width="2.71428571428571" style="2" customWidth="1"/>
    <col min="14345" max="14345" width="10.7142857142857" style="2" customWidth="1"/>
    <col min="14346" max="14346" width="2.71428571428571" style="2" customWidth="1"/>
    <col min="14347" max="14347" width="8.71428571428571" style="2" customWidth="1"/>
    <col min="14348" max="14348" width="10.7142857142857" style="2" customWidth="1"/>
    <col min="14349" max="14349" width="8.71428571428571" style="2" customWidth="1"/>
    <col min="14350" max="14350" width="2.71428571428571" style="2" customWidth="1"/>
    <col min="14351" max="14352" width="10.7142857142857" style="2" customWidth="1"/>
    <col min="14353" max="14353" width="8.71428571428571" style="2" customWidth="1"/>
    <col min="14354" max="14354" width="2.71428571428571" style="2" customWidth="1"/>
    <col min="14355" max="14355" width="9.14285714285714" style="2"/>
    <col min="14356" max="14356" width="2.71428571428571" style="2" customWidth="1"/>
    <col min="14357" max="14593" width="9.14285714285714" style="2"/>
    <col min="14594" max="14594" width="4.71428571428571" style="2" customWidth="1"/>
    <col min="14595" max="14595" width="8.71428571428571" style="2" customWidth="1"/>
    <col min="14596" max="14596" width="7.71428571428571" style="2" customWidth="1"/>
    <col min="14597" max="14597" width="8.71428571428571" style="2" customWidth="1"/>
    <col min="14598" max="14598" width="2.71428571428571" style="2" customWidth="1"/>
    <col min="14599" max="14599" width="8.71428571428571" style="2" customWidth="1"/>
    <col min="14600" max="14600" width="2.71428571428571" style="2" customWidth="1"/>
    <col min="14601" max="14601" width="10.7142857142857" style="2" customWidth="1"/>
    <col min="14602" max="14602" width="2.71428571428571" style="2" customWidth="1"/>
    <col min="14603" max="14603" width="8.71428571428571" style="2" customWidth="1"/>
    <col min="14604" max="14604" width="10.7142857142857" style="2" customWidth="1"/>
    <col min="14605" max="14605" width="8.71428571428571" style="2" customWidth="1"/>
    <col min="14606" max="14606" width="2.71428571428571" style="2" customWidth="1"/>
    <col min="14607" max="14608" width="10.7142857142857" style="2" customWidth="1"/>
    <col min="14609" max="14609" width="8.71428571428571" style="2" customWidth="1"/>
    <col min="14610" max="14610" width="2.71428571428571" style="2" customWidth="1"/>
    <col min="14611" max="14611" width="9.14285714285714" style="2"/>
    <col min="14612" max="14612" width="2.71428571428571" style="2" customWidth="1"/>
    <col min="14613" max="14849" width="9.14285714285714" style="2"/>
    <col min="14850" max="14850" width="4.71428571428571" style="2" customWidth="1"/>
    <col min="14851" max="14851" width="8.71428571428571" style="2" customWidth="1"/>
    <col min="14852" max="14852" width="7.71428571428571" style="2" customWidth="1"/>
    <col min="14853" max="14853" width="8.71428571428571" style="2" customWidth="1"/>
    <col min="14854" max="14854" width="2.71428571428571" style="2" customWidth="1"/>
    <col min="14855" max="14855" width="8.71428571428571" style="2" customWidth="1"/>
    <col min="14856" max="14856" width="2.71428571428571" style="2" customWidth="1"/>
    <col min="14857" max="14857" width="10.7142857142857" style="2" customWidth="1"/>
    <col min="14858" max="14858" width="2.71428571428571" style="2" customWidth="1"/>
    <col min="14859" max="14859" width="8.71428571428571" style="2" customWidth="1"/>
    <col min="14860" max="14860" width="10.7142857142857" style="2" customWidth="1"/>
    <col min="14861" max="14861" width="8.71428571428571" style="2" customWidth="1"/>
    <col min="14862" max="14862" width="2.71428571428571" style="2" customWidth="1"/>
    <col min="14863" max="14864" width="10.7142857142857" style="2" customWidth="1"/>
    <col min="14865" max="14865" width="8.71428571428571" style="2" customWidth="1"/>
    <col min="14866" max="14866" width="2.71428571428571" style="2" customWidth="1"/>
    <col min="14867" max="14867" width="9.14285714285714" style="2"/>
    <col min="14868" max="14868" width="2.71428571428571" style="2" customWidth="1"/>
    <col min="14869" max="15105" width="9.14285714285714" style="2"/>
    <col min="15106" max="15106" width="4.71428571428571" style="2" customWidth="1"/>
    <col min="15107" max="15107" width="8.71428571428571" style="2" customWidth="1"/>
    <col min="15108" max="15108" width="7.71428571428571" style="2" customWidth="1"/>
    <col min="15109" max="15109" width="8.71428571428571" style="2" customWidth="1"/>
    <col min="15110" max="15110" width="2.71428571428571" style="2" customWidth="1"/>
    <col min="15111" max="15111" width="8.71428571428571" style="2" customWidth="1"/>
    <col min="15112" max="15112" width="2.71428571428571" style="2" customWidth="1"/>
    <col min="15113" max="15113" width="10.7142857142857" style="2" customWidth="1"/>
    <col min="15114" max="15114" width="2.71428571428571" style="2" customWidth="1"/>
    <col min="15115" max="15115" width="8.71428571428571" style="2" customWidth="1"/>
    <col min="15116" max="15116" width="10.7142857142857" style="2" customWidth="1"/>
    <col min="15117" max="15117" width="8.71428571428571" style="2" customWidth="1"/>
    <col min="15118" max="15118" width="2.71428571428571" style="2" customWidth="1"/>
    <col min="15119" max="15120" width="10.7142857142857" style="2" customWidth="1"/>
    <col min="15121" max="15121" width="8.71428571428571" style="2" customWidth="1"/>
    <col min="15122" max="15122" width="2.71428571428571" style="2" customWidth="1"/>
    <col min="15123" max="15123" width="9.14285714285714" style="2"/>
    <col min="15124" max="15124" width="2.71428571428571" style="2" customWidth="1"/>
    <col min="15125" max="15361" width="9.14285714285714" style="2"/>
    <col min="15362" max="15362" width="4.71428571428571" style="2" customWidth="1"/>
    <col min="15363" max="15363" width="8.71428571428571" style="2" customWidth="1"/>
    <col min="15364" max="15364" width="7.71428571428571" style="2" customWidth="1"/>
    <col min="15365" max="15365" width="8.71428571428571" style="2" customWidth="1"/>
    <col min="15366" max="15366" width="2.71428571428571" style="2" customWidth="1"/>
    <col min="15367" max="15367" width="8.71428571428571" style="2" customWidth="1"/>
    <col min="15368" max="15368" width="2.71428571428571" style="2" customWidth="1"/>
    <col min="15369" max="15369" width="10.7142857142857" style="2" customWidth="1"/>
    <col min="15370" max="15370" width="2.71428571428571" style="2" customWidth="1"/>
    <col min="15371" max="15371" width="8.71428571428571" style="2" customWidth="1"/>
    <col min="15372" max="15372" width="10.7142857142857" style="2" customWidth="1"/>
    <col min="15373" max="15373" width="8.71428571428571" style="2" customWidth="1"/>
    <col min="15374" max="15374" width="2.71428571428571" style="2" customWidth="1"/>
    <col min="15375" max="15376" width="10.7142857142857" style="2" customWidth="1"/>
    <col min="15377" max="15377" width="8.71428571428571" style="2" customWidth="1"/>
    <col min="15378" max="15378" width="2.71428571428571" style="2" customWidth="1"/>
    <col min="15379" max="15379" width="9.14285714285714" style="2"/>
    <col min="15380" max="15380" width="2.71428571428571" style="2" customWidth="1"/>
    <col min="15381" max="15617" width="9.14285714285714" style="2"/>
    <col min="15618" max="15618" width="4.71428571428571" style="2" customWidth="1"/>
    <col min="15619" max="15619" width="8.71428571428571" style="2" customWidth="1"/>
    <col min="15620" max="15620" width="7.71428571428571" style="2" customWidth="1"/>
    <col min="15621" max="15621" width="8.71428571428571" style="2" customWidth="1"/>
    <col min="15622" max="15622" width="2.71428571428571" style="2" customWidth="1"/>
    <col min="15623" max="15623" width="8.71428571428571" style="2" customWidth="1"/>
    <col min="15624" max="15624" width="2.71428571428571" style="2" customWidth="1"/>
    <col min="15625" max="15625" width="10.7142857142857" style="2" customWidth="1"/>
    <col min="15626" max="15626" width="2.71428571428571" style="2" customWidth="1"/>
    <col min="15627" max="15627" width="8.71428571428571" style="2" customWidth="1"/>
    <col min="15628" max="15628" width="10.7142857142857" style="2" customWidth="1"/>
    <col min="15629" max="15629" width="8.71428571428571" style="2" customWidth="1"/>
    <col min="15630" max="15630" width="2.71428571428571" style="2" customWidth="1"/>
    <col min="15631" max="15632" width="10.7142857142857" style="2" customWidth="1"/>
    <col min="15633" max="15633" width="8.71428571428571" style="2" customWidth="1"/>
    <col min="15634" max="15634" width="2.71428571428571" style="2" customWidth="1"/>
    <col min="15635" max="15635" width="9.14285714285714" style="2"/>
    <col min="15636" max="15636" width="2.71428571428571" style="2" customWidth="1"/>
    <col min="15637" max="15873" width="9.14285714285714" style="2"/>
    <col min="15874" max="15874" width="4.71428571428571" style="2" customWidth="1"/>
    <col min="15875" max="15875" width="8.71428571428571" style="2" customWidth="1"/>
    <col min="15876" max="15876" width="7.71428571428571" style="2" customWidth="1"/>
    <col min="15877" max="15877" width="8.71428571428571" style="2" customWidth="1"/>
    <col min="15878" max="15878" width="2.71428571428571" style="2" customWidth="1"/>
    <col min="15879" max="15879" width="8.71428571428571" style="2" customWidth="1"/>
    <col min="15880" max="15880" width="2.71428571428571" style="2" customWidth="1"/>
    <col min="15881" max="15881" width="10.7142857142857" style="2" customWidth="1"/>
    <col min="15882" max="15882" width="2.71428571428571" style="2" customWidth="1"/>
    <col min="15883" max="15883" width="8.71428571428571" style="2" customWidth="1"/>
    <col min="15884" max="15884" width="10.7142857142857" style="2" customWidth="1"/>
    <col min="15885" max="15885" width="8.71428571428571" style="2" customWidth="1"/>
    <col min="15886" max="15886" width="2.71428571428571" style="2" customWidth="1"/>
    <col min="15887" max="15888" width="10.7142857142857" style="2" customWidth="1"/>
    <col min="15889" max="15889" width="8.71428571428571" style="2" customWidth="1"/>
    <col min="15890" max="15890" width="2.71428571428571" style="2" customWidth="1"/>
    <col min="15891" max="15891" width="9.14285714285714" style="2"/>
    <col min="15892" max="15892" width="2.71428571428571" style="2" customWidth="1"/>
    <col min="15893" max="16129" width="9.14285714285714" style="2"/>
    <col min="16130" max="16130" width="4.71428571428571" style="2" customWidth="1"/>
    <col min="16131" max="16131" width="8.71428571428571" style="2" customWidth="1"/>
    <col min="16132" max="16132" width="7.71428571428571" style="2" customWidth="1"/>
    <col min="16133" max="16133" width="8.71428571428571" style="2" customWidth="1"/>
    <col min="16134" max="16134" width="2.71428571428571" style="2" customWidth="1"/>
    <col min="16135" max="16135" width="8.71428571428571" style="2" customWidth="1"/>
    <col min="16136" max="16136" width="2.71428571428571" style="2" customWidth="1"/>
    <col min="16137" max="16137" width="10.7142857142857" style="2" customWidth="1"/>
    <col min="16138" max="16138" width="2.71428571428571" style="2" customWidth="1"/>
    <col min="16139" max="16139" width="8.71428571428571" style="2" customWidth="1"/>
    <col min="16140" max="16140" width="10.7142857142857" style="2" customWidth="1"/>
    <col min="16141" max="16141" width="8.71428571428571" style="2" customWidth="1"/>
    <col min="16142" max="16142" width="2.71428571428571" style="2" customWidth="1"/>
    <col min="16143" max="16144" width="10.7142857142857" style="2" customWidth="1"/>
    <col min="16145" max="16145" width="8.71428571428571" style="2" customWidth="1"/>
    <col min="16146" max="16146" width="2.71428571428571" style="2" customWidth="1"/>
    <col min="16147" max="16147" width="9.14285714285714" style="2"/>
    <col min="16148" max="16148" width="2.71428571428571" style="2" customWidth="1"/>
    <col min="16149" max="16384" width="9.14285714285714" style="2"/>
  </cols>
  <sheetData>
    <row r="1" spans="4:18" ht="18.75" customHeight="1">
      <c r="D1" s="1"/>
      <c r="O1" s="9"/>
      <c r="Q1" s="9"/>
      <c r="R1" s="9" t="s">
        <v>31</v>
      </c>
    </row>
    <row r="2" spans="15:18" ht="18.75" customHeight="1">
      <c r="O2" s="9"/>
      <c r="Q2" s="9"/>
      <c r="R2" s="9" t="s">
        <v>65</v>
      </c>
    </row>
    <row r="3" spans="15:17" ht="18.75" customHeight="1">
      <c r="O3" s="9"/>
      <c r="Q3" s="9"/>
    </row>
    <row r="4" spans="1:22" ht="18" customHeight="1">
      <c r="A4" s="20" t="s">
        <v>96</v>
      </c>
      <c r="B4" s="18"/>
      <c r="C4" s="18"/>
      <c r="D4" s="18"/>
      <c r="E4" s="18"/>
      <c r="F4" s="19"/>
      <c r="G4" s="22"/>
      <c r="H4" s="20"/>
      <c r="I4" s="19"/>
      <c r="J4" s="18"/>
      <c r="K4" s="18"/>
      <c r="L4" s="20"/>
      <c r="M4" s="22"/>
      <c r="N4" s="18"/>
      <c r="O4" s="18"/>
      <c r="P4" s="19"/>
      <c r="Q4" s="18"/>
      <c r="R4" s="18"/>
      <c r="S4" s="18"/>
      <c r="T4" s="18"/>
      <c r="U4" s="18"/>
      <c r="V4" s="18"/>
    </row>
    <row r="5" spans="1:22" ht="18" customHeight="1">
      <c r="A5" s="20" t="s">
        <v>51</v>
      </c>
      <c r="B5" s="18"/>
      <c r="C5" s="18"/>
      <c r="D5" s="18"/>
      <c r="E5" s="18"/>
      <c r="F5" s="19"/>
      <c r="G5" s="22"/>
      <c r="H5" s="20"/>
      <c r="I5" s="21"/>
      <c r="J5" s="18"/>
      <c r="K5" s="19"/>
      <c r="L5" s="20"/>
      <c r="M5" s="23"/>
      <c r="N5" s="18"/>
      <c r="O5" s="18"/>
      <c r="P5" s="21"/>
      <c r="Q5" s="20"/>
      <c r="R5" s="18"/>
      <c r="S5" s="18"/>
      <c r="T5" s="18"/>
      <c r="U5" s="18"/>
      <c r="V5" s="18"/>
    </row>
    <row r="6" spans="1:22" ht="18" customHeight="1">
      <c r="A6" s="20" t="s">
        <v>72</v>
      </c>
      <c r="B6" s="18"/>
      <c r="C6" s="18"/>
      <c r="D6" s="18"/>
      <c r="E6" s="18"/>
      <c r="F6" s="19"/>
      <c r="G6" s="22"/>
      <c r="H6" s="19"/>
      <c r="I6" s="19"/>
      <c r="J6" s="20"/>
      <c r="K6" s="19"/>
      <c r="L6" s="19"/>
      <c r="M6" s="22"/>
      <c r="N6" s="18"/>
      <c r="O6" s="20"/>
      <c r="P6" s="21"/>
      <c r="Q6" s="20"/>
      <c r="R6" s="18"/>
      <c r="S6" s="18"/>
      <c r="T6" s="18"/>
      <c r="U6" s="18"/>
      <c r="V6" s="18"/>
    </row>
    <row r="7" spans="1:22" ht="18" customHeight="1">
      <c r="A7" s="20" t="s">
        <v>49</v>
      </c>
      <c r="B7" s="18"/>
      <c r="C7" s="18"/>
      <c r="D7" s="18"/>
      <c r="E7" s="18"/>
      <c r="F7" s="18"/>
      <c r="G7" s="22"/>
      <c r="H7" s="19"/>
      <c r="I7" s="19"/>
      <c r="J7" s="20"/>
      <c r="K7" s="19"/>
      <c r="L7" s="19"/>
      <c r="M7" s="22"/>
      <c r="N7" s="18"/>
      <c r="O7" s="20"/>
      <c r="P7" s="21"/>
      <c r="Q7" s="20"/>
      <c r="R7" s="18"/>
      <c r="S7" s="18"/>
      <c r="T7" s="18"/>
      <c r="U7" s="18"/>
      <c r="V7" s="18"/>
    </row>
    <row r="8" spans="1:22" ht="18" customHeight="1">
      <c r="A8" s="20" t="s">
        <v>109</v>
      </c>
      <c r="B8" s="18"/>
      <c r="C8" s="18"/>
      <c r="D8" s="18"/>
      <c r="E8" s="18"/>
      <c r="F8" s="18"/>
      <c r="G8" s="22"/>
      <c r="H8" s="19"/>
      <c r="I8" s="19"/>
      <c r="J8" s="20"/>
      <c r="K8" s="19"/>
      <c r="L8" s="19"/>
      <c r="M8" s="22"/>
      <c r="N8" s="18"/>
      <c r="O8" s="20"/>
      <c r="P8" s="21"/>
      <c r="Q8" s="20"/>
      <c r="R8" s="18"/>
      <c r="S8" s="18"/>
      <c r="T8" s="18"/>
      <c r="U8" s="18"/>
      <c r="V8" s="18"/>
    </row>
    <row r="9" spans="1:22" ht="18" customHeight="1">
      <c r="A9" s="20"/>
      <c r="B9" s="18"/>
      <c r="C9" s="18"/>
      <c r="D9" s="18"/>
      <c r="E9" s="18"/>
      <c r="F9" s="19"/>
      <c r="G9" s="22"/>
      <c r="H9" s="21"/>
      <c r="I9" s="21"/>
      <c r="J9" s="18"/>
      <c r="K9" s="19"/>
      <c r="L9" s="21"/>
      <c r="M9" s="23"/>
      <c r="N9" s="18"/>
      <c r="O9" s="18"/>
      <c r="P9" s="19"/>
      <c r="Q9" s="18"/>
      <c r="R9" s="18"/>
      <c r="S9" s="18"/>
      <c r="T9" s="18"/>
      <c r="U9" s="18"/>
      <c r="V9" s="18"/>
    </row>
    <row r="10" spans="1:22" ht="18" customHeight="1">
      <c r="A10" s="20" t="s">
        <v>58</v>
      </c>
      <c r="B10" s="18"/>
      <c r="C10" s="18"/>
      <c r="D10" s="18"/>
      <c r="E10" s="18"/>
      <c r="F10" s="19"/>
      <c r="G10" s="22"/>
      <c r="H10" s="21"/>
      <c r="I10" s="21"/>
      <c r="J10" s="18"/>
      <c r="K10" s="19"/>
      <c r="L10" s="21"/>
      <c r="M10" s="23"/>
      <c r="N10" s="18"/>
      <c r="O10" s="18"/>
      <c r="P10" s="19"/>
      <c r="Q10" s="18"/>
      <c r="R10" s="18"/>
      <c r="S10" s="18"/>
      <c r="T10" s="18"/>
      <c r="U10" s="18"/>
      <c r="V10" s="18"/>
    </row>
    <row r="11" spans="15:17" ht="18.75" customHeight="1">
      <c r="O11" s="9"/>
      <c r="Q11" s="9"/>
    </row>
    <row r="12" spans="3:17" ht="18.75" customHeight="1">
      <c r="C12" s="2" t="s">
        <v>54</v>
      </c>
      <c r="O12" s="9"/>
      <c r="Q12" s="9"/>
    </row>
    <row r="13" spans="3:17" ht="18.75" customHeight="1">
      <c r="C13" s="2" t="s">
        <v>35</v>
      </c>
      <c r="O13" s="9"/>
      <c r="Q13" s="9"/>
    </row>
    <row r="14" spans="15:17" ht="10" customHeight="1">
      <c r="O14" s="9"/>
      <c r="Q14" s="9"/>
    </row>
    <row r="15" spans="7:19" ht="18.75" customHeight="1">
      <c r="G15" s="11"/>
      <c r="I15" s="11" t="s">
        <v>45</v>
      </c>
      <c r="K15" s="11" t="s">
        <v>46</v>
      </c>
      <c r="M15" s="9" t="s">
        <v>47</v>
      </c>
      <c r="O15" s="9" t="s">
        <v>69</v>
      </c>
      <c r="P15" s="2"/>
      <c r="Q15" s="2" t="s">
        <v>48</v>
      </c>
      <c r="S15" s="2" t="s">
        <v>70</v>
      </c>
    </row>
    <row r="16" spans="6:17" ht="18.75" customHeight="1">
      <c r="F16" s="7"/>
      <c r="G16" s="11"/>
      <c r="I16" s="7" t="s">
        <v>107</v>
      </c>
      <c r="J16" s="7"/>
      <c r="K16" s="7"/>
      <c r="L16" s="2"/>
      <c r="M16" s="7" t="s">
        <v>108</v>
      </c>
      <c r="N16" s="7"/>
      <c r="O16" s="7"/>
      <c r="Q16" s="7" t="s">
        <v>110</v>
      </c>
    </row>
    <row r="17" spans="3:19" ht="18.75" customHeight="1">
      <c r="C17" s="2" t="s">
        <v>2</v>
      </c>
      <c r="G17" s="11"/>
      <c r="I17" s="11" t="s">
        <v>52</v>
      </c>
      <c r="L17" s="2"/>
      <c r="M17" s="11" t="s">
        <v>52</v>
      </c>
      <c r="Q17" s="11" t="s">
        <v>52</v>
      </c>
      <c r="R17" s="11"/>
      <c r="S17" s="11"/>
    </row>
    <row r="18" spans="3:19" ht="18.75" customHeight="1">
      <c r="C18" s="8" t="s">
        <v>9</v>
      </c>
      <c r="F18" s="12"/>
      <c r="G18" s="12"/>
      <c r="I18" s="13" t="s">
        <v>41</v>
      </c>
      <c r="J18" s="12"/>
      <c r="K18" s="17" t="s">
        <v>16</v>
      </c>
      <c r="L18" s="2"/>
      <c r="M18" s="13" t="s">
        <v>41</v>
      </c>
      <c r="N18" s="12"/>
      <c r="O18" s="17" t="s">
        <v>16</v>
      </c>
      <c r="Q18" s="13" t="s">
        <v>41</v>
      </c>
      <c r="R18" s="12"/>
      <c r="S18" s="17" t="s">
        <v>16</v>
      </c>
    </row>
    <row r="19" spans="3:13" ht="18" customHeight="1">
      <c r="C19" s="2"/>
      <c r="G19" s="11"/>
      <c r="L19" s="2"/>
      <c r="M19" s="11"/>
    </row>
    <row r="20" spans="3:19" ht="22" customHeight="1">
      <c r="C20" s="10">
        <v>1</v>
      </c>
      <c r="D20" s="10" t="s">
        <v>17</v>
      </c>
      <c r="F20" s="15"/>
      <c r="G20" s="15"/>
      <c r="H20" s="9"/>
      <c r="I20" s="9">
        <v>0.94383072193922901</v>
      </c>
      <c r="J20" s="2"/>
      <c r="K20" s="9">
        <v>0.94171123440605875</v>
      </c>
      <c r="M20" s="9">
        <v>0.95835861546895629</v>
      </c>
      <c r="N20" s="9"/>
      <c r="O20" s="9">
        <v>0.89617901600089556</v>
      </c>
      <c r="Q20" s="9">
        <v>0.97194681732056187</v>
      </c>
      <c r="R20" s="9"/>
      <c r="S20" s="9">
        <v>0.92622647000000002</v>
      </c>
    </row>
    <row r="21" spans="3:19" ht="22" customHeight="1">
      <c r="C21" s="10">
        <v>2</v>
      </c>
      <c r="D21" s="10" t="s">
        <v>18</v>
      </c>
      <c r="F21" s="9"/>
      <c r="G21" s="15"/>
      <c r="H21" s="9"/>
      <c r="I21" s="9">
        <v>0.94032206355028702</v>
      </c>
      <c r="J21" s="2"/>
      <c r="K21" s="9">
        <v>0.89061495434746885</v>
      </c>
      <c r="M21" s="9">
        <v>0.95238333327723712</v>
      </c>
      <c r="N21" s="9"/>
      <c r="O21" s="9">
        <v>0.8609100358097449</v>
      </c>
      <c r="Q21" s="9">
        <v>0.96751827868167317</v>
      </c>
      <c r="R21" s="9"/>
      <c r="S21" s="9">
        <v>0.93480099999999999</v>
      </c>
    </row>
    <row r="22" spans="3:19" ht="22" customHeight="1">
      <c r="C22" s="10">
        <v>3</v>
      </c>
      <c r="D22" s="10" t="s">
        <v>19</v>
      </c>
      <c r="F22" s="16"/>
      <c r="G22" s="15"/>
      <c r="H22" s="9"/>
      <c r="I22" s="9">
        <v>0.95251669685800955</v>
      </c>
      <c r="J22" s="2"/>
      <c r="K22" s="9">
        <v>0.90851142943703045</v>
      </c>
      <c r="M22" s="9">
        <v>0.9194678654671179</v>
      </c>
      <c r="N22" s="9"/>
      <c r="O22" s="9">
        <v>0.88016019513294719</v>
      </c>
      <c r="Q22" s="9">
        <v>0.96800893887446005</v>
      </c>
      <c r="R22" s="9"/>
      <c r="S22" s="9">
        <v>0.92152369999999995</v>
      </c>
    </row>
    <row r="23" spans="3:19" ht="22" customHeight="1">
      <c r="C23" s="10">
        <v>4</v>
      </c>
      <c r="D23" s="10" t="s">
        <v>20</v>
      </c>
      <c r="F23" s="16"/>
      <c r="G23" s="15"/>
      <c r="H23" s="9"/>
      <c r="I23" s="9">
        <v>0.95707372069140217</v>
      </c>
      <c r="J23" s="2"/>
      <c r="K23" s="9">
        <v>0.89604865218408369</v>
      </c>
      <c r="M23" s="9">
        <v>0.97413289374037271</v>
      </c>
      <c r="N23" s="9"/>
      <c r="O23" s="9">
        <v>0.84033574899628416</v>
      </c>
      <c r="Q23" s="9">
        <v>0.99245230746798219</v>
      </c>
      <c r="R23" s="9"/>
      <c r="S23" s="9">
        <v>0.89215714999999995</v>
      </c>
    </row>
    <row r="24" spans="3:19" ht="22" customHeight="1">
      <c r="C24" s="10">
        <v>5</v>
      </c>
      <c r="D24" s="10" t="s">
        <v>21</v>
      </c>
      <c r="F24" s="16"/>
      <c r="G24" s="15"/>
      <c r="H24" s="9"/>
      <c r="I24" s="9">
        <v>0.9905913029281731</v>
      </c>
      <c r="J24" s="2"/>
      <c r="K24" s="9">
        <v>0.88958237212776359</v>
      </c>
      <c r="M24" s="9">
        <v>0.96766143837846386</v>
      </c>
      <c r="N24" s="9"/>
      <c r="O24" s="9">
        <v>0.84219050858765054</v>
      </c>
      <c r="Q24" s="9">
        <v>0.98384040964369535</v>
      </c>
      <c r="R24" s="9"/>
      <c r="S24" s="9">
        <v>0.90372015000000006</v>
      </c>
    </row>
    <row r="25" spans="3:19" ht="22" customHeight="1">
      <c r="C25" s="10">
        <v>6</v>
      </c>
      <c r="D25" s="10" t="s">
        <v>22</v>
      </c>
      <c r="F25" s="16"/>
      <c r="G25" s="15"/>
      <c r="H25" s="9"/>
      <c r="I25" s="9">
        <v>0.94603210008769412</v>
      </c>
      <c r="J25" s="2"/>
      <c r="K25" s="9">
        <v>0.87718058278013844</v>
      </c>
      <c r="M25" s="9">
        <v>0.97039609807992522</v>
      </c>
      <c r="N25" s="9"/>
      <c r="O25" s="9">
        <v>0.82074143422584345</v>
      </c>
      <c r="Q25" s="9">
        <v>0.93420579747328791</v>
      </c>
      <c r="R25" s="9"/>
      <c r="S25" s="9">
        <v>0.91375561800000005</v>
      </c>
    </row>
    <row r="26" spans="3:19" ht="22" customHeight="1">
      <c r="C26" s="10">
        <v>7</v>
      </c>
      <c r="D26" s="10" t="s">
        <v>23</v>
      </c>
      <c r="F26" s="15"/>
      <c r="G26" s="15"/>
      <c r="H26" s="9"/>
      <c r="I26" s="9">
        <v>0.9342025592832236</v>
      </c>
      <c r="J26" s="2"/>
      <c r="K26" s="9">
        <v>0.83423821461425829</v>
      </c>
      <c r="M26" s="9">
        <v>0.94898802042833186</v>
      </c>
      <c r="N26" s="9"/>
      <c r="O26" s="9">
        <v>0.83670884471634355</v>
      </c>
      <c r="Q26" s="9">
        <v>0.95181492696490122</v>
      </c>
      <c r="R26" s="9"/>
      <c r="S26" s="9">
        <v>0.92399889999999996</v>
      </c>
    </row>
    <row r="27" spans="3:19" ht="22" customHeight="1">
      <c r="C27" s="10">
        <v>8</v>
      </c>
      <c r="D27" s="10" t="s">
        <v>24</v>
      </c>
      <c r="F27" s="15"/>
      <c r="H27" s="9"/>
      <c r="I27" s="9">
        <v>0.93897469538367961</v>
      </c>
      <c r="J27" s="2"/>
      <c r="K27" s="9">
        <v>0.85350718018296168</v>
      </c>
      <c r="M27" s="9">
        <v>0.92173954385516366</v>
      </c>
      <c r="N27" s="9"/>
      <c r="O27" s="9">
        <v>0.83810647036148356</v>
      </c>
      <c r="Q27" s="9">
        <v>0.94803677091939542</v>
      </c>
      <c r="R27" s="9"/>
      <c r="S27" s="9">
        <v>0.91092200000000001</v>
      </c>
    </row>
    <row r="28" spans="3:19" ht="22" customHeight="1">
      <c r="C28" s="10">
        <v>9</v>
      </c>
      <c r="D28" s="10" t="s">
        <v>25</v>
      </c>
      <c r="F28" s="15"/>
      <c r="G28" s="16"/>
      <c r="H28" s="9"/>
      <c r="I28" s="9">
        <v>0.92553169760316822</v>
      </c>
      <c r="J28" s="2"/>
      <c r="K28" s="9">
        <v>0.83605287496334102</v>
      </c>
      <c r="M28" s="9">
        <v>0.9702634155002714</v>
      </c>
      <c r="N28" s="9"/>
      <c r="O28" s="9">
        <v>0.81630619198184806</v>
      </c>
      <c r="Q28" s="9">
        <v>0.89227875098852116</v>
      </c>
      <c r="R28" s="9"/>
      <c r="S28" s="9">
        <v>0.91072518899999999</v>
      </c>
    </row>
    <row r="29" spans="3:19" ht="22" customHeight="1">
      <c r="C29" s="10">
        <v>10</v>
      </c>
      <c r="D29" s="10" t="s">
        <v>26</v>
      </c>
      <c r="F29" s="15"/>
      <c r="G29" s="16"/>
      <c r="H29" s="9"/>
      <c r="I29" s="9">
        <v>0.96888828844207986</v>
      </c>
      <c r="J29" s="2"/>
      <c r="K29" s="9">
        <v>0.80907252034123611</v>
      </c>
      <c r="M29" s="9">
        <v>0.97855489464536405</v>
      </c>
      <c r="N29" s="9"/>
      <c r="O29" s="9">
        <v>0.76187086669009507</v>
      </c>
      <c r="Q29" s="9">
        <v>0.91418378563324276</v>
      </c>
      <c r="R29" s="9"/>
      <c r="S29" s="9">
        <v>0.90091913999999995</v>
      </c>
    </row>
    <row r="30" spans="3:19" ht="22" customHeight="1">
      <c r="C30" s="10">
        <v>11</v>
      </c>
      <c r="D30" s="10" t="s">
        <v>27</v>
      </c>
      <c r="F30" s="15"/>
      <c r="G30" s="16"/>
      <c r="H30" s="9"/>
      <c r="I30" s="9">
        <v>0.9230798507582505</v>
      </c>
      <c r="J30" s="2"/>
      <c r="K30" s="9">
        <v>0.80037241372574686</v>
      </c>
      <c r="M30" s="9">
        <v>0.93511523138712815</v>
      </c>
      <c r="N30" s="9"/>
      <c r="O30" s="9">
        <v>0.7971554366732716</v>
      </c>
      <c r="Q30" s="9">
        <v>0.90391626954989535</v>
      </c>
      <c r="R30" s="9"/>
      <c r="S30" s="9">
        <v>0.90231076708811098</v>
      </c>
    </row>
    <row r="31" spans="3:19" ht="22" customHeight="1">
      <c r="C31" s="10">
        <v>12</v>
      </c>
      <c r="D31" s="10" t="s">
        <v>28</v>
      </c>
      <c r="F31" s="15"/>
      <c r="G31" s="16"/>
      <c r="H31" s="9"/>
      <c r="I31" s="9">
        <v>0.93979679226721113</v>
      </c>
      <c r="J31" s="2"/>
      <c r="K31" s="9">
        <v>0.80322983911221668</v>
      </c>
      <c r="M31" s="9">
        <v>0.95703571246283492</v>
      </c>
      <c r="N31" s="9"/>
      <c r="O31" s="9">
        <v>0.78462807220044906</v>
      </c>
      <c r="Q31" s="9">
        <v>0.99594761707204238</v>
      </c>
      <c r="R31" s="9"/>
      <c r="S31" s="9">
        <v>0.93406934939997766</v>
      </c>
    </row>
    <row r="32" spans="4:21" ht="21" customHeight="1">
      <c r="D32" s="10"/>
      <c r="E32" s="10"/>
      <c r="F32" s="16"/>
      <c r="H32" s="9"/>
      <c r="I32" s="9"/>
      <c r="J32" s="16"/>
      <c r="K32" s="9"/>
      <c r="L32" s="9"/>
      <c r="N32" s="9"/>
      <c r="O32" s="9"/>
      <c r="P32" s="2"/>
      <c r="Q32" s="9"/>
      <c r="S32" s="9"/>
      <c r="U32" s="9"/>
    </row>
    <row r="33" spans="3:21" ht="21" customHeight="1">
      <c r="C33" s="2" t="s">
        <v>36</v>
      </c>
      <c r="E33" s="10"/>
      <c r="F33" s="16"/>
      <c r="H33" s="9"/>
      <c r="I33" s="9"/>
      <c r="J33" s="16"/>
      <c r="K33" s="9"/>
      <c r="L33" s="9"/>
      <c r="N33" s="9"/>
      <c r="O33" s="9"/>
      <c r="P33" s="2"/>
      <c r="Q33" s="9"/>
      <c r="S33" s="9"/>
      <c r="U33" s="9"/>
    </row>
  </sheetData>
  <pageMargins left="0.5" right="1" top="1.5" bottom="0.5" header="0.5" footer="0.5"/>
  <pageSetup orientation="landscape" scale="72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V33"/>
  <sheetViews>
    <sheetView zoomScale="75" zoomScaleNormal="75" workbookViewId="0" topLeftCell="A1">
      <selection pane="topLeft" activeCell="AA30" sqref="AA30"/>
    </sheetView>
  </sheetViews>
  <sheetFormatPr defaultRowHeight="18.75" customHeight="1"/>
  <cols>
    <col min="2" max="2" width="4.71428571428571" customWidth="1"/>
    <col min="3" max="3" width="8.71428571428571" customWidth="1"/>
    <col min="4" max="4" width="7.71428571428571" style="2" customWidth="1"/>
    <col min="5" max="5" width="8.71428571428571" style="2" customWidth="1"/>
    <col min="6" max="6" width="2.71428571428571" style="11" customWidth="1"/>
    <col min="7" max="7" width="8.71428571428571" style="9" customWidth="1"/>
    <col min="8" max="8" width="2.71428571428571" style="11" customWidth="1"/>
    <col min="9" max="9" width="10.7142857142857" style="11" customWidth="1"/>
    <col min="10" max="10" width="2.71428571428571" style="11" customWidth="1"/>
    <col min="11" max="11" width="8.71428571428571" style="11" customWidth="1"/>
    <col min="12" max="12" width="10.7142857142857" style="11" customWidth="1"/>
    <col min="13" max="13" width="8.71428571428571" style="9" customWidth="1"/>
    <col min="14" max="14" width="2.71428571428571" style="11" customWidth="1"/>
    <col min="15" max="16" width="10.7142857142857" style="11" customWidth="1"/>
    <col min="17" max="17" width="8.71428571428571" style="11" customWidth="1"/>
    <col min="18" max="18" width="2.71428571428571" style="2" customWidth="1"/>
    <col min="19" max="19" width="9.14285714285714" style="2"/>
    <col min="20" max="20" width="2.71428571428571" style="2" customWidth="1"/>
    <col min="21" max="257" width="9.14285714285714" style="2"/>
    <col min="258" max="258" width="4.71428571428571" style="2" customWidth="1"/>
    <col min="259" max="259" width="8.71428571428571" style="2" customWidth="1"/>
    <col min="260" max="260" width="7.71428571428571" style="2" customWidth="1"/>
    <col min="261" max="261" width="8.71428571428571" style="2" customWidth="1"/>
    <col min="262" max="262" width="2.71428571428571" style="2" customWidth="1"/>
    <col min="263" max="263" width="8.71428571428571" style="2" customWidth="1"/>
    <col min="264" max="264" width="2.71428571428571" style="2" customWidth="1"/>
    <col min="265" max="265" width="10.7142857142857" style="2" customWidth="1"/>
    <col min="266" max="266" width="2.71428571428571" style="2" customWidth="1"/>
    <col min="267" max="267" width="8.71428571428571" style="2" customWidth="1"/>
    <col min="268" max="268" width="10.7142857142857" style="2" customWidth="1"/>
    <col min="269" max="269" width="8.71428571428571" style="2" customWidth="1"/>
    <col min="270" max="270" width="2.71428571428571" style="2" customWidth="1"/>
    <col min="271" max="272" width="10.7142857142857" style="2" customWidth="1"/>
    <col min="273" max="273" width="8.71428571428571" style="2" customWidth="1"/>
    <col min="274" max="274" width="2.71428571428571" style="2" customWidth="1"/>
    <col min="275" max="275" width="9.14285714285714" style="2"/>
    <col min="276" max="276" width="2.71428571428571" style="2" customWidth="1"/>
    <col min="277" max="513" width="9.14285714285714" style="2"/>
    <col min="514" max="514" width="4.71428571428571" style="2" customWidth="1"/>
    <col min="515" max="515" width="8.71428571428571" style="2" customWidth="1"/>
    <col min="516" max="516" width="7.71428571428571" style="2" customWidth="1"/>
    <col min="517" max="517" width="8.71428571428571" style="2" customWidth="1"/>
    <col min="518" max="518" width="2.71428571428571" style="2" customWidth="1"/>
    <col min="519" max="519" width="8.71428571428571" style="2" customWidth="1"/>
    <col min="520" max="520" width="2.71428571428571" style="2" customWidth="1"/>
    <col min="521" max="521" width="10.7142857142857" style="2" customWidth="1"/>
    <col min="522" max="522" width="2.71428571428571" style="2" customWidth="1"/>
    <col min="523" max="523" width="8.71428571428571" style="2" customWidth="1"/>
    <col min="524" max="524" width="10.7142857142857" style="2" customWidth="1"/>
    <col min="525" max="525" width="8.71428571428571" style="2" customWidth="1"/>
    <col min="526" max="526" width="2.71428571428571" style="2" customWidth="1"/>
    <col min="527" max="528" width="10.7142857142857" style="2" customWidth="1"/>
    <col min="529" max="529" width="8.71428571428571" style="2" customWidth="1"/>
    <col min="530" max="530" width="2.71428571428571" style="2" customWidth="1"/>
    <col min="531" max="531" width="9.14285714285714" style="2"/>
    <col min="532" max="532" width="2.71428571428571" style="2" customWidth="1"/>
    <col min="533" max="769" width="9.14285714285714" style="2"/>
    <col min="770" max="770" width="4.71428571428571" style="2" customWidth="1"/>
    <col min="771" max="771" width="8.71428571428571" style="2" customWidth="1"/>
    <col min="772" max="772" width="7.71428571428571" style="2" customWidth="1"/>
    <col min="773" max="773" width="8.71428571428571" style="2" customWidth="1"/>
    <col min="774" max="774" width="2.71428571428571" style="2" customWidth="1"/>
    <col min="775" max="775" width="8.71428571428571" style="2" customWidth="1"/>
    <col min="776" max="776" width="2.71428571428571" style="2" customWidth="1"/>
    <col min="777" max="777" width="10.7142857142857" style="2" customWidth="1"/>
    <col min="778" max="778" width="2.71428571428571" style="2" customWidth="1"/>
    <col min="779" max="779" width="8.71428571428571" style="2" customWidth="1"/>
    <col min="780" max="780" width="10.7142857142857" style="2" customWidth="1"/>
    <col min="781" max="781" width="8.71428571428571" style="2" customWidth="1"/>
    <col min="782" max="782" width="2.71428571428571" style="2" customWidth="1"/>
    <col min="783" max="784" width="10.7142857142857" style="2" customWidth="1"/>
    <col min="785" max="785" width="8.71428571428571" style="2" customWidth="1"/>
    <col min="786" max="786" width="2.71428571428571" style="2" customWidth="1"/>
    <col min="787" max="787" width="9.14285714285714" style="2"/>
    <col min="788" max="788" width="2.71428571428571" style="2" customWidth="1"/>
    <col min="789" max="1025" width="9.14285714285714" style="2"/>
    <col min="1026" max="1026" width="4.71428571428571" style="2" customWidth="1"/>
    <col min="1027" max="1027" width="8.71428571428571" style="2" customWidth="1"/>
    <col min="1028" max="1028" width="7.71428571428571" style="2" customWidth="1"/>
    <col min="1029" max="1029" width="8.71428571428571" style="2" customWidth="1"/>
    <col min="1030" max="1030" width="2.71428571428571" style="2" customWidth="1"/>
    <col min="1031" max="1031" width="8.71428571428571" style="2" customWidth="1"/>
    <col min="1032" max="1032" width="2.71428571428571" style="2" customWidth="1"/>
    <col min="1033" max="1033" width="10.7142857142857" style="2" customWidth="1"/>
    <col min="1034" max="1034" width="2.71428571428571" style="2" customWidth="1"/>
    <col min="1035" max="1035" width="8.71428571428571" style="2" customWidth="1"/>
    <col min="1036" max="1036" width="10.7142857142857" style="2" customWidth="1"/>
    <col min="1037" max="1037" width="8.71428571428571" style="2" customWidth="1"/>
    <col min="1038" max="1038" width="2.71428571428571" style="2" customWidth="1"/>
    <col min="1039" max="1040" width="10.7142857142857" style="2" customWidth="1"/>
    <col min="1041" max="1041" width="8.71428571428571" style="2" customWidth="1"/>
    <col min="1042" max="1042" width="2.71428571428571" style="2" customWidth="1"/>
    <col min="1043" max="1043" width="9.14285714285714" style="2"/>
    <col min="1044" max="1044" width="2.71428571428571" style="2" customWidth="1"/>
    <col min="1045" max="1281" width="9.14285714285714" style="2"/>
    <col min="1282" max="1282" width="4.71428571428571" style="2" customWidth="1"/>
    <col min="1283" max="1283" width="8.71428571428571" style="2" customWidth="1"/>
    <col min="1284" max="1284" width="7.71428571428571" style="2" customWidth="1"/>
    <col min="1285" max="1285" width="8.71428571428571" style="2" customWidth="1"/>
    <col min="1286" max="1286" width="2.71428571428571" style="2" customWidth="1"/>
    <col min="1287" max="1287" width="8.71428571428571" style="2" customWidth="1"/>
    <col min="1288" max="1288" width="2.71428571428571" style="2" customWidth="1"/>
    <col min="1289" max="1289" width="10.7142857142857" style="2" customWidth="1"/>
    <col min="1290" max="1290" width="2.71428571428571" style="2" customWidth="1"/>
    <col min="1291" max="1291" width="8.71428571428571" style="2" customWidth="1"/>
    <col min="1292" max="1292" width="10.7142857142857" style="2" customWidth="1"/>
    <col min="1293" max="1293" width="8.71428571428571" style="2" customWidth="1"/>
    <col min="1294" max="1294" width="2.71428571428571" style="2" customWidth="1"/>
    <col min="1295" max="1296" width="10.7142857142857" style="2" customWidth="1"/>
    <col min="1297" max="1297" width="8.71428571428571" style="2" customWidth="1"/>
    <col min="1298" max="1298" width="2.71428571428571" style="2" customWidth="1"/>
    <col min="1299" max="1299" width="9.14285714285714" style="2"/>
    <col min="1300" max="1300" width="2.71428571428571" style="2" customWidth="1"/>
    <col min="1301" max="1537" width="9.14285714285714" style="2"/>
    <col min="1538" max="1538" width="4.71428571428571" style="2" customWidth="1"/>
    <col min="1539" max="1539" width="8.71428571428571" style="2" customWidth="1"/>
    <col min="1540" max="1540" width="7.71428571428571" style="2" customWidth="1"/>
    <col min="1541" max="1541" width="8.71428571428571" style="2" customWidth="1"/>
    <col min="1542" max="1542" width="2.71428571428571" style="2" customWidth="1"/>
    <col min="1543" max="1543" width="8.71428571428571" style="2" customWidth="1"/>
    <col min="1544" max="1544" width="2.71428571428571" style="2" customWidth="1"/>
    <col min="1545" max="1545" width="10.7142857142857" style="2" customWidth="1"/>
    <col min="1546" max="1546" width="2.71428571428571" style="2" customWidth="1"/>
    <col min="1547" max="1547" width="8.71428571428571" style="2" customWidth="1"/>
    <col min="1548" max="1548" width="10.7142857142857" style="2" customWidth="1"/>
    <col min="1549" max="1549" width="8.71428571428571" style="2" customWidth="1"/>
    <col min="1550" max="1550" width="2.71428571428571" style="2" customWidth="1"/>
    <col min="1551" max="1552" width="10.7142857142857" style="2" customWidth="1"/>
    <col min="1553" max="1553" width="8.71428571428571" style="2" customWidth="1"/>
    <col min="1554" max="1554" width="2.71428571428571" style="2" customWidth="1"/>
    <col min="1555" max="1555" width="9.14285714285714" style="2"/>
    <col min="1556" max="1556" width="2.71428571428571" style="2" customWidth="1"/>
    <col min="1557" max="1793" width="9.14285714285714" style="2"/>
    <col min="1794" max="1794" width="4.71428571428571" style="2" customWidth="1"/>
    <col min="1795" max="1795" width="8.71428571428571" style="2" customWidth="1"/>
    <col min="1796" max="1796" width="7.71428571428571" style="2" customWidth="1"/>
    <col min="1797" max="1797" width="8.71428571428571" style="2" customWidth="1"/>
    <col min="1798" max="1798" width="2.71428571428571" style="2" customWidth="1"/>
    <col min="1799" max="1799" width="8.71428571428571" style="2" customWidth="1"/>
    <col min="1800" max="1800" width="2.71428571428571" style="2" customWidth="1"/>
    <col min="1801" max="1801" width="10.7142857142857" style="2" customWidth="1"/>
    <col min="1802" max="1802" width="2.71428571428571" style="2" customWidth="1"/>
    <col min="1803" max="1803" width="8.71428571428571" style="2" customWidth="1"/>
    <col min="1804" max="1804" width="10.7142857142857" style="2" customWidth="1"/>
    <col min="1805" max="1805" width="8.71428571428571" style="2" customWidth="1"/>
    <col min="1806" max="1806" width="2.71428571428571" style="2" customWidth="1"/>
    <col min="1807" max="1808" width="10.7142857142857" style="2" customWidth="1"/>
    <col min="1809" max="1809" width="8.71428571428571" style="2" customWidth="1"/>
    <col min="1810" max="1810" width="2.71428571428571" style="2" customWidth="1"/>
    <col min="1811" max="1811" width="9.14285714285714" style="2"/>
    <col min="1812" max="1812" width="2.71428571428571" style="2" customWidth="1"/>
    <col min="1813" max="2049" width="9.14285714285714" style="2"/>
    <col min="2050" max="2050" width="4.71428571428571" style="2" customWidth="1"/>
    <col min="2051" max="2051" width="8.71428571428571" style="2" customWidth="1"/>
    <col min="2052" max="2052" width="7.71428571428571" style="2" customWidth="1"/>
    <col min="2053" max="2053" width="8.71428571428571" style="2" customWidth="1"/>
    <col min="2054" max="2054" width="2.71428571428571" style="2" customWidth="1"/>
    <col min="2055" max="2055" width="8.71428571428571" style="2" customWidth="1"/>
    <col min="2056" max="2056" width="2.71428571428571" style="2" customWidth="1"/>
    <col min="2057" max="2057" width="10.7142857142857" style="2" customWidth="1"/>
    <col min="2058" max="2058" width="2.71428571428571" style="2" customWidth="1"/>
    <col min="2059" max="2059" width="8.71428571428571" style="2" customWidth="1"/>
    <col min="2060" max="2060" width="10.7142857142857" style="2" customWidth="1"/>
    <col min="2061" max="2061" width="8.71428571428571" style="2" customWidth="1"/>
    <col min="2062" max="2062" width="2.71428571428571" style="2" customWidth="1"/>
    <col min="2063" max="2064" width="10.7142857142857" style="2" customWidth="1"/>
    <col min="2065" max="2065" width="8.71428571428571" style="2" customWidth="1"/>
    <col min="2066" max="2066" width="2.71428571428571" style="2" customWidth="1"/>
    <col min="2067" max="2067" width="9.14285714285714" style="2"/>
    <col min="2068" max="2068" width="2.71428571428571" style="2" customWidth="1"/>
    <col min="2069" max="2305" width="9.14285714285714" style="2"/>
    <col min="2306" max="2306" width="4.71428571428571" style="2" customWidth="1"/>
    <col min="2307" max="2307" width="8.71428571428571" style="2" customWidth="1"/>
    <col min="2308" max="2308" width="7.71428571428571" style="2" customWidth="1"/>
    <col min="2309" max="2309" width="8.71428571428571" style="2" customWidth="1"/>
    <col min="2310" max="2310" width="2.71428571428571" style="2" customWidth="1"/>
    <col min="2311" max="2311" width="8.71428571428571" style="2" customWidth="1"/>
    <col min="2312" max="2312" width="2.71428571428571" style="2" customWidth="1"/>
    <col min="2313" max="2313" width="10.7142857142857" style="2" customWidth="1"/>
    <col min="2314" max="2314" width="2.71428571428571" style="2" customWidth="1"/>
    <col min="2315" max="2315" width="8.71428571428571" style="2" customWidth="1"/>
    <col min="2316" max="2316" width="10.7142857142857" style="2" customWidth="1"/>
    <col min="2317" max="2317" width="8.71428571428571" style="2" customWidth="1"/>
    <col min="2318" max="2318" width="2.71428571428571" style="2" customWidth="1"/>
    <col min="2319" max="2320" width="10.7142857142857" style="2" customWidth="1"/>
    <col min="2321" max="2321" width="8.71428571428571" style="2" customWidth="1"/>
    <col min="2322" max="2322" width="2.71428571428571" style="2" customWidth="1"/>
    <col min="2323" max="2323" width="9.14285714285714" style="2"/>
    <col min="2324" max="2324" width="2.71428571428571" style="2" customWidth="1"/>
    <col min="2325" max="2561" width="9.14285714285714" style="2"/>
    <col min="2562" max="2562" width="4.71428571428571" style="2" customWidth="1"/>
    <col min="2563" max="2563" width="8.71428571428571" style="2" customWidth="1"/>
    <col min="2564" max="2564" width="7.71428571428571" style="2" customWidth="1"/>
    <col min="2565" max="2565" width="8.71428571428571" style="2" customWidth="1"/>
    <col min="2566" max="2566" width="2.71428571428571" style="2" customWidth="1"/>
    <col min="2567" max="2567" width="8.71428571428571" style="2" customWidth="1"/>
    <col min="2568" max="2568" width="2.71428571428571" style="2" customWidth="1"/>
    <col min="2569" max="2569" width="10.7142857142857" style="2" customWidth="1"/>
    <col min="2570" max="2570" width="2.71428571428571" style="2" customWidth="1"/>
    <col min="2571" max="2571" width="8.71428571428571" style="2" customWidth="1"/>
    <col min="2572" max="2572" width="10.7142857142857" style="2" customWidth="1"/>
    <col min="2573" max="2573" width="8.71428571428571" style="2" customWidth="1"/>
    <col min="2574" max="2574" width="2.71428571428571" style="2" customWidth="1"/>
    <col min="2575" max="2576" width="10.7142857142857" style="2" customWidth="1"/>
    <col min="2577" max="2577" width="8.71428571428571" style="2" customWidth="1"/>
    <col min="2578" max="2578" width="2.71428571428571" style="2" customWidth="1"/>
    <col min="2579" max="2579" width="9.14285714285714" style="2"/>
    <col min="2580" max="2580" width="2.71428571428571" style="2" customWidth="1"/>
    <col min="2581" max="2817" width="9.14285714285714" style="2"/>
    <col min="2818" max="2818" width="4.71428571428571" style="2" customWidth="1"/>
    <col min="2819" max="2819" width="8.71428571428571" style="2" customWidth="1"/>
    <col min="2820" max="2820" width="7.71428571428571" style="2" customWidth="1"/>
    <col min="2821" max="2821" width="8.71428571428571" style="2" customWidth="1"/>
    <col min="2822" max="2822" width="2.71428571428571" style="2" customWidth="1"/>
    <col min="2823" max="2823" width="8.71428571428571" style="2" customWidth="1"/>
    <col min="2824" max="2824" width="2.71428571428571" style="2" customWidth="1"/>
    <col min="2825" max="2825" width="10.7142857142857" style="2" customWidth="1"/>
    <col min="2826" max="2826" width="2.71428571428571" style="2" customWidth="1"/>
    <col min="2827" max="2827" width="8.71428571428571" style="2" customWidth="1"/>
    <col min="2828" max="2828" width="10.7142857142857" style="2" customWidth="1"/>
    <col min="2829" max="2829" width="8.71428571428571" style="2" customWidth="1"/>
    <col min="2830" max="2830" width="2.71428571428571" style="2" customWidth="1"/>
    <col min="2831" max="2832" width="10.7142857142857" style="2" customWidth="1"/>
    <col min="2833" max="2833" width="8.71428571428571" style="2" customWidth="1"/>
    <col min="2834" max="2834" width="2.71428571428571" style="2" customWidth="1"/>
    <col min="2835" max="2835" width="9.14285714285714" style="2"/>
    <col min="2836" max="2836" width="2.71428571428571" style="2" customWidth="1"/>
    <col min="2837" max="3073" width="9.14285714285714" style="2"/>
    <col min="3074" max="3074" width="4.71428571428571" style="2" customWidth="1"/>
    <col min="3075" max="3075" width="8.71428571428571" style="2" customWidth="1"/>
    <col min="3076" max="3076" width="7.71428571428571" style="2" customWidth="1"/>
    <col min="3077" max="3077" width="8.71428571428571" style="2" customWidth="1"/>
    <col min="3078" max="3078" width="2.71428571428571" style="2" customWidth="1"/>
    <col min="3079" max="3079" width="8.71428571428571" style="2" customWidth="1"/>
    <col min="3080" max="3080" width="2.71428571428571" style="2" customWidth="1"/>
    <col min="3081" max="3081" width="10.7142857142857" style="2" customWidth="1"/>
    <col min="3082" max="3082" width="2.71428571428571" style="2" customWidth="1"/>
    <col min="3083" max="3083" width="8.71428571428571" style="2" customWidth="1"/>
    <col min="3084" max="3084" width="10.7142857142857" style="2" customWidth="1"/>
    <col min="3085" max="3085" width="8.71428571428571" style="2" customWidth="1"/>
    <col min="3086" max="3086" width="2.71428571428571" style="2" customWidth="1"/>
    <col min="3087" max="3088" width="10.7142857142857" style="2" customWidth="1"/>
    <col min="3089" max="3089" width="8.71428571428571" style="2" customWidth="1"/>
    <col min="3090" max="3090" width="2.71428571428571" style="2" customWidth="1"/>
    <col min="3091" max="3091" width="9.14285714285714" style="2"/>
    <col min="3092" max="3092" width="2.71428571428571" style="2" customWidth="1"/>
    <col min="3093" max="3329" width="9.14285714285714" style="2"/>
    <col min="3330" max="3330" width="4.71428571428571" style="2" customWidth="1"/>
    <col min="3331" max="3331" width="8.71428571428571" style="2" customWidth="1"/>
    <col min="3332" max="3332" width="7.71428571428571" style="2" customWidth="1"/>
    <col min="3333" max="3333" width="8.71428571428571" style="2" customWidth="1"/>
    <col min="3334" max="3334" width="2.71428571428571" style="2" customWidth="1"/>
    <col min="3335" max="3335" width="8.71428571428571" style="2" customWidth="1"/>
    <col min="3336" max="3336" width="2.71428571428571" style="2" customWidth="1"/>
    <col min="3337" max="3337" width="10.7142857142857" style="2" customWidth="1"/>
    <col min="3338" max="3338" width="2.71428571428571" style="2" customWidth="1"/>
    <col min="3339" max="3339" width="8.71428571428571" style="2" customWidth="1"/>
    <col min="3340" max="3340" width="10.7142857142857" style="2" customWidth="1"/>
    <col min="3341" max="3341" width="8.71428571428571" style="2" customWidth="1"/>
    <col min="3342" max="3342" width="2.71428571428571" style="2" customWidth="1"/>
    <col min="3343" max="3344" width="10.7142857142857" style="2" customWidth="1"/>
    <col min="3345" max="3345" width="8.71428571428571" style="2" customWidth="1"/>
    <col min="3346" max="3346" width="2.71428571428571" style="2" customWidth="1"/>
    <col min="3347" max="3347" width="9.14285714285714" style="2"/>
    <col min="3348" max="3348" width="2.71428571428571" style="2" customWidth="1"/>
    <col min="3349" max="3585" width="9.14285714285714" style="2"/>
    <col min="3586" max="3586" width="4.71428571428571" style="2" customWidth="1"/>
    <col min="3587" max="3587" width="8.71428571428571" style="2" customWidth="1"/>
    <col min="3588" max="3588" width="7.71428571428571" style="2" customWidth="1"/>
    <col min="3589" max="3589" width="8.71428571428571" style="2" customWidth="1"/>
    <col min="3590" max="3590" width="2.71428571428571" style="2" customWidth="1"/>
    <col min="3591" max="3591" width="8.71428571428571" style="2" customWidth="1"/>
    <col min="3592" max="3592" width="2.71428571428571" style="2" customWidth="1"/>
    <col min="3593" max="3593" width="10.7142857142857" style="2" customWidth="1"/>
    <col min="3594" max="3594" width="2.71428571428571" style="2" customWidth="1"/>
    <col min="3595" max="3595" width="8.71428571428571" style="2" customWidth="1"/>
    <col min="3596" max="3596" width="10.7142857142857" style="2" customWidth="1"/>
    <col min="3597" max="3597" width="8.71428571428571" style="2" customWidth="1"/>
    <col min="3598" max="3598" width="2.71428571428571" style="2" customWidth="1"/>
    <col min="3599" max="3600" width="10.7142857142857" style="2" customWidth="1"/>
    <col min="3601" max="3601" width="8.71428571428571" style="2" customWidth="1"/>
    <col min="3602" max="3602" width="2.71428571428571" style="2" customWidth="1"/>
    <col min="3603" max="3603" width="9.14285714285714" style="2"/>
    <col min="3604" max="3604" width="2.71428571428571" style="2" customWidth="1"/>
    <col min="3605" max="3841" width="9.14285714285714" style="2"/>
    <col min="3842" max="3842" width="4.71428571428571" style="2" customWidth="1"/>
    <col min="3843" max="3843" width="8.71428571428571" style="2" customWidth="1"/>
    <col min="3844" max="3844" width="7.71428571428571" style="2" customWidth="1"/>
    <col min="3845" max="3845" width="8.71428571428571" style="2" customWidth="1"/>
    <col min="3846" max="3846" width="2.71428571428571" style="2" customWidth="1"/>
    <col min="3847" max="3847" width="8.71428571428571" style="2" customWidth="1"/>
    <col min="3848" max="3848" width="2.71428571428571" style="2" customWidth="1"/>
    <col min="3849" max="3849" width="10.7142857142857" style="2" customWidth="1"/>
    <col min="3850" max="3850" width="2.71428571428571" style="2" customWidth="1"/>
    <col min="3851" max="3851" width="8.71428571428571" style="2" customWidth="1"/>
    <col min="3852" max="3852" width="10.7142857142857" style="2" customWidth="1"/>
    <col min="3853" max="3853" width="8.71428571428571" style="2" customWidth="1"/>
    <col min="3854" max="3854" width="2.71428571428571" style="2" customWidth="1"/>
    <col min="3855" max="3856" width="10.7142857142857" style="2" customWidth="1"/>
    <col min="3857" max="3857" width="8.71428571428571" style="2" customWidth="1"/>
    <col min="3858" max="3858" width="2.71428571428571" style="2" customWidth="1"/>
    <col min="3859" max="3859" width="9.14285714285714" style="2"/>
    <col min="3860" max="3860" width="2.71428571428571" style="2" customWidth="1"/>
    <col min="3861" max="4097" width="9.14285714285714" style="2"/>
    <col min="4098" max="4098" width="4.71428571428571" style="2" customWidth="1"/>
    <col min="4099" max="4099" width="8.71428571428571" style="2" customWidth="1"/>
    <col min="4100" max="4100" width="7.71428571428571" style="2" customWidth="1"/>
    <col min="4101" max="4101" width="8.71428571428571" style="2" customWidth="1"/>
    <col min="4102" max="4102" width="2.71428571428571" style="2" customWidth="1"/>
    <col min="4103" max="4103" width="8.71428571428571" style="2" customWidth="1"/>
    <col min="4104" max="4104" width="2.71428571428571" style="2" customWidth="1"/>
    <col min="4105" max="4105" width="10.7142857142857" style="2" customWidth="1"/>
    <col min="4106" max="4106" width="2.71428571428571" style="2" customWidth="1"/>
    <col min="4107" max="4107" width="8.71428571428571" style="2" customWidth="1"/>
    <col min="4108" max="4108" width="10.7142857142857" style="2" customWidth="1"/>
    <col min="4109" max="4109" width="8.71428571428571" style="2" customWidth="1"/>
    <col min="4110" max="4110" width="2.71428571428571" style="2" customWidth="1"/>
    <col min="4111" max="4112" width="10.7142857142857" style="2" customWidth="1"/>
    <col min="4113" max="4113" width="8.71428571428571" style="2" customWidth="1"/>
    <col min="4114" max="4114" width="2.71428571428571" style="2" customWidth="1"/>
    <col min="4115" max="4115" width="9.14285714285714" style="2"/>
    <col min="4116" max="4116" width="2.71428571428571" style="2" customWidth="1"/>
    <col min="4117" max="4353" width="9.14285714285714" style="2"/>
    <col min="4354" max="4354" width="4.71428571428571" style="2" customWidth="1"/>
    <col min="4355" max="4355" width="8.71428571428571" style="2" customWidth="1"/>
    <col min="4356" max="4356" width="7.71428571428571" style="2" customWidth="1"/>
    <col min="4357" max="4357" width="8.71428571428571" style="2" customWidth="1"/>
    <col min="4358" max="4358" width="2.71428571428571" style="2" customWidth="1"/>
    <col min="4359" max="4359" width="8.71428571428571" style="2" customWidth="1"/>
    <col min="4360" max="4360" width="2.71428571428571" style="2" customWidth="1"/>
    <col min="4361" max="4361" width="10.7142857142857" style="2" customWidth="1"/>
    <col min="4362" max="4362" width="2.71428571428571" style="2" customWidth="1"/>
    <col min="4363" max="4363" width="8.71428571428571" style="2" customWidth="1"/>
    <col min="4364" max="4364" width="10.7142857142857" style="2" customWidth="1"/>
    <col min="4365" max="4365" width="8.71428571428571" style="2" customWidth="1"/>
    <col min="4366" max="4366" width="2.71428571428571" style="2" customWidth="1"/>
    <col min="4367" max="4368" width="10.7142857142857" style="2" customWidth="1"/>
    <col min="4369" max="4369" width="8.71428571428571" style="2" customWidth="1"/>
    <col min="4370" max="4370" width="2.71428571428571" style="2" customWidth="1"/>
    <col min="4371" max="4371" width="9.14285714285714" style="2"/>
    <col min="4372" max="4372" width="2.71428571428571" style="2" customWidth="1"/>
    <col min="4373" max="4609" width="9.14285714285714" style="2"/>
    <col min="4610" max="4610" width="4.71428571428571" style="2" customWidth="1"/>
    <col min="4611" max="4611" width="8.71428571428571" style="2" customWidth="1"/>
    <col min="4612" max="4612" width="7.71428571428571" style="2" customWidth="1"/>
    <col min="4613" max="4613" width="8.71428571428571" style="2" customWidth="1"/>
    <col min="4614" max="4614" width="2.71428571428571" style="2" customWidth="1"/>
    <col min="4615" max="4615" width="8.71428571428571" style="2" customWidth="1"/>
    <col min="4616" max="4616" width="2.71428571428571" style="2" customWidth="1"/>
    <col min="4617" max="4617" width="10.7142857142857" style="2" customWidth="1"/>
    <col min="4618" max="4618" width="2.71428571428571" style="2" customWidth="1"/>
    <col min="4619" max="4619" width="8.71428571428571" style="2" customWidth="1"/>
    <col min="4620" max="4620" width="10.7142857142857" style="2" customWidth="1"/>
    <col min="4621" max="4621" width="8.71428571428571" style="2" customWidth="1"/>
    <col min="4622" max="4622" width="2.71428571428571" style="2" customWidth="1"/>
    <col min="4623" max="4624" width="10.7142857142857" style="2" customWidth="1"/>
    <col min="4625" max="4625" width="8.71428571428571" style="2" customWidth="1"/>
    <col min="4626" max="4626" width="2.71428571428571" style="2" customWidth="1"/>
    <col min="4627" max="4627" width="9.14285714285714" style="2"/>
    <col min="4628" max="4628" width="2.71428571428571" style="2" customWidth="1"/>
    <col min="4629" max="4865" width="9.14285714285714" style="2"/>
    <col min="4866" max="4866" width="4.71428571428571" style="2" customWidth="1"/>
    <col min="4867" max="4867" width="8.71428571428571" style="2" customWidth="1"/>
    <col min="4868" max="4868" width="7.71428571428571" style="2" customWidth="1"/>
    <col min="4869" max="4869" width="8.71428571428571" style="2" customWidth="1"/>
    <col min="4870" max="4870" width="2.71428571428571" style="2" customWidth="1"/>
    <col min="4871" max="4871" width="8.71428571428571" style="2" customWidth="1"/>
    <col min="4872" max="4872" width="2.71428571428571" style="2" customWidth="1"/>
    <col min="4873" max="4873" width="10.7142857142857" style="2" customWidth="1"/>
    <col min="4874" max="4874" width="2.71428571428571" style="2" customWidth="1"/>
    <col min="4875" max="4875" width="8.71428571428571" style="2" customWidth="1"/>
    <col min="4876" max="4876" width="10.7142857142857" style="2" customWidth="1"/>
    <col min="4877" max="4877" width="8.71428571428571" style="2" customWidth="1"/>
    <col min="4878" max="4878" width="2.71428571428571" style="2" customWidth="1"/>
    <col min="4879" max="4880" width="10.7142857142857" style="2" customWidth="1"/>
    <col min="4881" max="4881" width="8.71428571428571" style="2" customWidth="1"/>
    <col min="4882" max="4882" width="2.71428571428571" style="2" customWidth="1"/>
    <col min="4883" max="4883" width="9.14285714285714" style="2"/>
    <col min="4884" max="4884" width="2.71428571428571" style="2" customWidth="1"/>
    <col min="4885" max="5121" width="9.14285714285714" style="2"/>
    <col min="5122" max="5122" width="4.71428571428571" style="2" customWidth="1"/>
    <col min="5123" max="5123" width="8.71428571428571" style="2" customWidth="1"/>
    <col min="5124" max="5124" width="7.71428571428571" style="2" customWidth="1"/>
    <col min="5125" max="5125" width="8.71428571428571" style="2" customWidth="1"/>
    <col min="5126" max="5126" width="2.71428571428571" style="2" customWidth="1"/>
    <col min="5127" max="5127" width="8.71428571428571" style="2" customWidth="1"/>
    <col min="5128" max="5128" width="2.71428571428571" style="2" customWidth="1"/>
    <col min="5129" max="5129" width="10.7142857142857" style="2" customWidth="1"/>
    <col min="5130" max="5130" width="2.71428571428571" style="2" customWidth="1"/>
    <col min="5131" max="5131" width="8.71428571428571" style="2" customWidth="1"/>
    <col min="5132" max="5132" width="10.7142857142857" style="2" customWidth="1"/>
    <col min="5133" max="5133" width="8.71428571428571" style="2" customWidth="1"/>
    <col min="5134" max="5134" width="2.71428571428571" style="2" customWidth="1"/>
    <col min="5135" max="5136" width="10.7142857142857" style="2" customWidth="1"/>
    <col min="5137" max="5137" width="8.71428571428571" style="2" customWidth="1"/>
    <col min="5138" max="5138" width="2.71428571428571" style="2" customWidth="1"/>
    <col min="5139" max="5139" width="9.14285714285714" style="2"/>
    <col min="5140" max="5140" width="2.71428571428571" style="2" customWidth="1"/>
    <col min="5141" max="5377" width="9.14285714285714" style="2"/>
    <col min="5378" max="5378" width="4.71428571428571" style="2" customWidth="1"/>
    <col min="5379" max="5379" width="8.71428571428571" style="2" customWidth="1"/>
    <col min="5380" max="5380" width="7.71428571428571" style="2" customWidth="1"/>
    <col min="5381" max="5381" width="8.71428571428571" style="2" customWidth="1"/>
    <col min="5382" max="5382" width="2.71428571428571" style="2" customWidth="1"/>
    <col min="5383" max="5383" width="8.71428571428571" style="2" customWidth="1"/>
    <col min="5384" max="5384" width="2.71428571428571" style="2" customWidth="1"/>
    <col min="5385" max="5385" width="10.7142857142857" style="2" customWidth="1"/>
    <col min="5386" max="5386" width="2.71428571428571" style="2" customWidth="1"/>
    <col min="5387" max="5387" width="8.71428571428571" style="2" customWidth="1"/>
    <col min="5388" max="5388" width="10.7142857142857" style="2" customWidth="1"/>
    <col min="5389" max="5389" width="8.71428571428571" style="2" customWidth="1"/>
    <col min="5390" max="5390" width="2.71428571428571" style="2" customWidth="1"/>
    <col min="5391" max="5392" width="10.7142857142857" style="2" customWidth="1"/>
    <col min="5393" max="5393" width="8.71428571428571" style="2" customWidth="1"/>
    <col min="5394" max="5394" width="2.71428571428571" style="2" customWidth="1"/>
    <col min="5395" max="5395" width="9.14285714285714" style="2"/>
    <col min="5396" max="5396" width="2.71428571428571" style="2" customWidth="1"/>
    <col min="5397" max="5633" width="9.14285714285714" style="2"/>
    <col min="5634" max="5634" width="4.71428571428571" style="2" customWidth="1"/>
    <col min="5635" max="5635" width="8.71428571428571" style="2" customWidth="1"/>
    <col min="5636" max="5636" width="7.71428571428571" style="2" customWidth="1"/>
    <col min="5637" max="5637" width="8.71428571428571" style="2" customWidth="1"/>
    <col min="5638" max="5638" width="2.71428571428571" style="2" customWidth="1"/>
    <col min="5639" max="5639" width="8.71428571428571" style="2" customWidth="1"/>
    <col min="5640" max="5640" width="2.71428571428571" style="2" customWidth="1"/>
    <col min="5641" max="5641" width="10.7142857142857" style="2" customWidth="1"/>
    <col min="5642" max="5642" width="2.71428571428571" style="2" customWidth="1"/>
    <col min="5643" max="5643" width="8.71428571428571" style="2" customWidth="1"/>
    <col min="5644" max="5644" width="10.7142857142857" style="2" customWidth="1"/>
    <col min="5645" max="5645" width="8.71428571428571" style="2" customWidth="1"/>
    <col min="5646" max="5646" width="2.71428571428571" style="2" customWidth="1"/>
    <col min="5647" max="5648" width="10.7142857142857" style="2" customWidth="1"/>
    <col min="5649" max="5649" width="8.71428571428571" style="2" customWidth="1"/>
    <col min="5650" max="5650" width="2.71428571428571" style="2" customWidth="1"/>
    <col min="5651" max="5651" width="9.14285714285714" style="2"/>
    <col min="5652" max="5652" width="2.71428571428571" style="2" customWidth="1"/>
    <col min="5653" max="5889" width="9.14285714285714" style="2"/>
    <col min="5890" max="5890" width="4.71428571428571" style="2" customWidth="1"/>
    <col min="5891" max="5891" width="8.71428571428571" style="2" customWidth="1"/>
    <col min="5892" max="5892" width="7.71428571428571" style="2" customWidth="1"/>
    <col min="5893" max="5893" width="8.71428571428571" style="2" customWidth="1"/>
    <col min="5894" max="5894" width="2.71428571428571" style="2" customWidth="1"/>
    <col min="5895" max="5895" width="8.71428571428571" style="2" customWidth="1"/>
    <col min="5896" max="5896" width="2.71428571428571" style="2" customWidth="1"/>
    <col min="5897" max="5897" width="10.7142857142857" style="2" customWidth="1"/>
    <col min="5898" max="5898" width="2.71428571428571" style="2" customWidth="1"/>
    <col min="5899" max="5899" width="8.71428571428571" style="2" customWidth="1"/>
    <col min="5900" max="5900" width="10.7142857142857" style="2" customWidth="1"/>
    <col min="5901" max="5901" width="8.71428571428571" style="2" customWidth="1"/>
    <col min="5902" max="5902" width="2.71428571428571" style="2" customWidth="1"/>
    <col min="5903" max="5904" width="10.7142857142857" style="2" customWidth="1"/>
    <col min="5905" max="5905" width="8.71428571428571" style="2" customWidth="1"/>
    <col min="5906" max="5906" width="2.71428571428571" style="2" customWidth="1"/>
    <col min="5907" max="5907" width="9.14285714285714" style="2"/>
    <col min="5908" max="5908" width="2.71428571428571" style="2" customWidth="1"/>
    <col min="5909" max="6145" width="9.14285714285714" style="2"/>
    <col min="6146" max="6146" width="4.71428571428571" style="2" customWidth="1"/>
    <col min="6147" max="6147" width="8.71428571428571" style="2" customWidth="1"/>
    <col min="6148" max="6148" width="7.71428571428571" style="2" customWidth="1"/>
    <col min="6149" max="6149" width="8.71428571428571" style="2" customWidth="1"/>
    <col min="6150" max="6150" width="2.71428571428571" style="2" customWidth="1"/>
    <col min="6151" max="6151" width="8.71428571428571" style="2" customWidth="1"/>
    <col min="6152" max="6152" width="2.71428571428571" style="2" customWidth="1"/>
    <col min="6153" max="6153" width="10.7142857142857" style="2" customWidth="1"/>
    <col min="6154" max="6154" width="2.71428571428571" style="2" customWidth="1"/>
    <col min="6155" max="6155" width="8.71428571428571" style="2" customWidth="1"/>
    <col min="6156" max="6156" width="10.7142857142857" style="2" customWidth="1"/>
    <col min="6157" max="6157" width="8.71428571428571" style="2" customWidth="1"/>
    <col min="6158" max="6158" width="2.71428571428571" style="2" customWidth="1"/>
    <col min="6159" max="6160" width="10.7142857142857" style="2" customWidth="1"/>
    <col min="6161" max="6161" width="8.71428571428571" style="2" customWidth="1"/>
    <col min="6162" max="6162" width="2.71428571428571" style="2" customWidth="1"/>
    <col min="6163" max="6163" width="9.14285714285714" style="2"/>
    <col min="6164" max="6164" width="2.71428571428571" style="2" customWidth="1"/>
    <col min="6165" max="6401" width="9.14285714285714" style="2"/>
    <col min="6402" max="6402" width="4.71428571428571" style="2" customWidth="1"/>
    <col min="6403" max="6403" width="8.71428571428571" style="2" customWidth="1"/>
    <col min="6404" max="6404" width="7.71428571428571" style="2" customWidth="1"/>
    <col min="6405" max="6405" width="8.71428571428571" style="2" customWidth="1"/>
    <col min="6406" max="6406" width="2.71428571428571" style="2" customWidth="1"/>
    <col min="6407" max="6407" width="8.71428571428571" style="2" customWidth="1"/>
    <col min="6408" max="6408" width="2.71428571428571" style="2" customWidth="1"/>
    <col min="6409" max="6409" width="10.7142857142857" style="2" customWidth="1"/>
    <col min="6410" max="6410" width="2.71428571428571" style="2" customWidth="1"/>
    <col min="6411" max="6411" width="8.71428571428571" style="2" customWidth="1"/>
    <col min="6412" max="6412" width="10.7142857142857" style="2" customWidth="1"/>
    <col min="6413" max="6413" width="8.71428571428571" style="2" customWidth="1"/>
    <col min="6414" max="6414" width="2.71428571428571" style="2" customWidth="1"/>
    <col min="6415" max="6416" width="10.7142857142857" style="2" customWidth="1"/>
    <col min="6417" max="6417" width="8.71428571428571" style="2" customWidth="1"/>
    <col min="6418" max="6418" width="2.71428571428571" style="2" customWidth="1"/>
    <col min="6419" max="6419" width="9.14285714285714" style="2"/>
    <col min="6420" max="6420" width="2.71428571428571" style="2" customWidth="1"/>
    <col min="6421" max="6657" width="9.14285714285714" style="2"/>
    <col min="6658" max="6658" width="4.71428571428571" style="2" customWidth="1"/>
    <col min="6659" max="6659" width="8.71428571428571" style="2" customWidth="1"/>
    <col min="6660" max="6660" width="7.71428571428571" style="2" customWidth="1"/>
    <col min="6661" max="6661" width="8.71428571428571" style="2" customWidth="1"/>
    <col min="6662" max="6662" width="2.71428571428571" style="2" customWidth="1"/>
    <col min="6663" max="6663" width="8.71428571428571" style="2" customWidth="1"/>
    <col min="6664" max="6664" width="2.71428571428571" style="2" customWidth="1"/>
    <col min="6665" max="6665" width="10.7142857142857" style="2" customWidth="1"/>
    <col min="6666" max="6666" width="2.71428571428571" style="2" customWidth="1"/>
    <col min="6667" max="6667" width="8.71428571428571" style="2" customWidth="1"/>
    <col min="6668" max="6668" width="10.7142857142857" style="2" customWidth="1"/>
    <col min="6669" max="6669" width="8.71428571428571" style="2" customWidth="1"/>
    <col min="6670" max="6670" width="2.71428571428571" style="2" customWidth="1"/>
    <col min="6671" max="6672" width="10.7142857142857" style="2" customWidth="1"/>
    <col min="6673" max="6673" width="8.71428571428571" style="2" customWidth="1"/>
    <col min="6674" max="6674" width="2.71428571428571" style="2" customWidth="1"/>
    <col min="6675" max="6675" width="9.14285714285714" style="2"/>
    <col min="6676" max="6676" width="2.71428571428571" style="2" customWidth="1"/>
    <col min="6677" max="6913" width="9.14285714285714" style="2"/>
    <col min="6914" max="6914" width="4.71428571428571" style="2" customWidth="1"/>
    <col min="6915" max="6915" width="8.71428571428571" style="2" customWidth="1"/>
    <col min="6916" max="6916" width="7.71428571428571" style="2" customWidth="1"/>
    <col min="6917" max="6917" width="8.71428571428571" style="2" customWidth="1"/>
    <col min="6918" max="6918" width="2.71428571428571" style="2" customWidth="1"/>
    <col min="6919" max="6919" width="8.71428571428571" style="2" customWidth="1"/>
    <col min="6920" max="6920" width="2.71428571428571" style="2" customWidth="1"/>
    <col min="6921" max="6921" width="10.7142857142857" style="2" customWidth="1"/>
    <col min="6922" max="6922" width="2.71428571428571" style="2" customWidth="1"/>
    <col min="6923" max="6923" width="8.71428571428571" style="2" customWidth="1"/>
    <col min="6924" max="6924" width="10.7142857142857" style="2" customWidth="1"/>
    <col min="6925" max="6925" width="8.71428571428571" style="2" customWidth="1"/>
    <col min="6926" max="6926" width="2.71428571428571" style="2" customWidth="1"/>
    <col min="6927" max="6928" width="10.7142857142857" style="2" customWidth="1"/>
    <col min="6929" max="6929" width="8.71428571428571" style="2" customWidth="1"/>
    <col min="6930" max="6930" width="2.71428571428571" style="2" customWidth="1"/>
    <col min="6931" max="6931" width="9.14285714285714" style="2"/>
    <col min="6932" max="6932" width="2.71428571428571" style="2" customWidth="1"/>
    <col min="6933" max="7169" width="9.14285714285714" style="2"/>
    <col min="7170" max="7170" width="4.71428571428571" style="2" customWidth="1"/>
    <col min="7171" max="7171" width="8.71428571428571" style="2" customWidth="1"/>
    <col min="7172" max="7172" width="7.71428571428571" style="2" customWidth="1"/>
    <col min="7173" max="7173" width="8.71428571428571" style="2" customWidth="1"/>
    <col min="7174" max="7174" width="2.71428571428571" style="2" customWidth="1"/>
    <col min="7175" max="7175" width="8.71428571428571" style="2" customWidth="1"/>
    <col min="7176" max="7176" width="2.71428571428571" style="2" customWidth="1"/>
    <col min="7177" max="7177" width="10.7142857142857" style="2" customWidth="1"/>
    <col min="7178" max="7178" width="2.71428571428571" style="2" customWidth="1"/>
    <col min="7179" max="7179" width="8.71428571428571" style="2" customWidth="1"/>
    <col min="7180" max="7180" width="10.7142857142857" style="2" customWidth="1"/>
    <col min="7181" max="7181" width="8.71428571428571" style="2" customWidth="1"/>
    <col min="7182" max="7182" width="2.71428571428571" style="2" customWidth="1"/>
    <col min="7183" max="7184" width="10.7142857142857" style="2" customWidth="1"/>
    <col min="7185" max="7185" width="8.71428571428571" style="2" customWidth="1"/>
    <col min="7186" max="7186" width="2.71428571428571" style="2" customWidth="1"/>
    <col min="7187" max="7187" width="9.14285714285714" style="2"/>
    <col min="7188" max="7188" width="2.71428571428571" style="2" customWidth="1"/>
    <col min="7189" max="7425" width="9.14285714285714" style="2"/>
    <col min="7426" max="7426" width="4.71428571428571" style="2" customWidth="1"/>
    <col min="7427" max="7427" width="8.71428571428571" style="2" customWidth="1"/>
    <col min="7428" max="7428" width="7.71428571428571" style="2" customWidth="1"/>
    <col min="7429" max="7429" width="8.71428571428571" style="2" customWidth="1"/>
    <col min="7430" max="7430" width="2.71428571428571" style="2" customWidth="1"/>
    <col min="7431" max="7431" width="8.71428571428571" style="2" customWidth="1"/>
    <col min="7432" max="7432" width="2.71428571428571" style="2" customWidth="1"/>
    <col min="7433" max="7433" width="10.7142857142857" style="2" customWidth="1"/>
    <col min="7434" max="7434" width="2.71428571428571" style="2" customWidth="1"/>
    <col min="7435" max="7435" width="8.71428571428571" style="2" customWidth="1"/>
    <col min="7436" max="7436" width="10.7142857142857" style="2" customWidth="1"/>
    <col min="7437" max="7437" width="8.71428571428571" style="2" customWidth="1"/>
    <col min="7438" max="7438" width="2.71428571428571" style="2" customWidth="1"/>
    <col min="7439" max="7440" width="10.7142857142857" style="2" customWidth="1"/>
    <col min="7441" max="7441" width="8.71428571428571" style="2" customWidth="1"/>
    <col min="7442" max="7442" width="2.71428571428571" style="2" customWidth="1"/>
    <col min="7443" max="7443" width="9.14285714285714" style="2"/>
    <col min="7444" max="7444" width="2.71428571428571" style="2" customWidth="1"/>
    <col min="7445" max="7681" width="9.14285714285714" style="2"/>
    <col min="7682" max="7682" width="4.71428571428571" style="2" customWidth="1"/>
    <col min="7683" max="7683" width="8.71428571428571" style="2" customWidth="1"/>
    <col min="7684" max="7684" width="7.71428571428571" style="2" customWidth="1"/>
    <col min="7685" max="7685" width="8.71428571428571" style="2" customWidth="1"/>
    <col min="7686" max="7686" width="2.71428571428571" style="2" customWidth="1"/>
    <col min="7687" max="7687" width="8.71428571428571" style="2" customWidth="1"/>
    <col min="7688" max="7688" width="2.71428571428571" style="2" customWidth="1"/>
    <col min="7689" max="7689" width="10.7142857142857" style="2" customWidth="1"/>
    <col min="7690" max="7690" width="2.71428571428571" style="2" customWidth="1"/>
    <col min="7691" max="7691" width="8.71428571428571" style="2" customWidth="1"/>
    <col min="7692" max="7692" width="10.7142857142857" style="2" customWidth="1"/>
    <col min="7693" max="7693" width="8.71428571428571" style="2" customWidth="1"/>
    <col min="7694" max="7694" width="2.71428571428571" style="2" customWidth="1"/>
    <col min="7695" max="7696" width="10.7142857142857" style="2" customWidth="1"/>
    <col min="7697" max="7697" width="8.71428571428571" style="2" customWidth="1"/>
    <col min="7698" max="7698" width="2.71428571428571" style="2" customWidth="1"/>
    <col min="7699" max="7699" width="9.14285714285714" style="2"/>
    <col min="7700" max="7700" width="2.71428571428571" style="2" customWidth="1"/>
    <col min="7701" max="7937" width="9.14285714285714" style="2"/>
    <col min="7938" max="7938" width="4.71428571428571" style="2" customWidth="1"/>
    <col min="7939" max="7939" width="8.71428571428571" style="2" customWidth="1"/>
    <col min="7940" max="7940" width="7.71428571428571" style="2" customWidth="1"/>
    <col min="7941" max="7941" width="8.71428571428571" style="2" customWidth="1"/>
    <col min="7942" max="7942" width="2.71428571428571" style="2" customWidth="1"/>
    <col min="7943" max="7943" width="8.71428571428571" style="2" customWidth="1"/>
    <col min="7944" max="7944" width="2.71428571428571" style="2" customWidth="1"/>
    <col min="7945" max="7945" width="10.7142857142857" style="2" customWidth="1"/>
    <col min="7946" max="7946" width="2.71428571428571" style="2" customWidth="1"/>
    <col min="7947" max="7947" width="8.71428571428571" style="2" customWidth="1"/>
    <col min="7948" max="7948" width="10.7142857142857" style="2" customWidth="1"/>
    <col min="7949" max="7949" width="8.71428571428571" style="2" customWidth="1"/>
    <col min="7950" max="7950" width="2.71428571428571" style="2" customWidth="1"/>
    <col min="7951" max="7952" width="10.7142857142857" style="2" customWidth="1"/>
    <col min="7953" max="7953" width="8.71428571428571" style="2" customWidth="1"/>
    <col min="7954" max="7954" width="2.71428571428571" style="2" customWidth="1"/>
    <col min="7955" max="7955" width="9.14285714285714" style="2"/>
    <col min="7956" max="7956" width="2.71428571428571" style="2" customWidth="1"/>
    <col min="7957" max="8193" width="9.14285714285714" style="2"/>
    <col min="8194" max="8194" width="4.71428571428571" style="2" customWidth="1"/>
    <col min="8195" max="8195" width="8.71428571428571" style="2" customWidth="1"/>
    <col min="8196" max="8196" width="7.71428571428571" style="2" customWidth="1"/>
    <col min="8197" max="8197" width="8.71428571428571" style="2" customWidth="1"/>
    <col min="8198" max="8198" width="2.71428571428571" style="2" customWidth="1"/>
    <col min="8199" max="8199" width="8.71428571428571" style="2" customWidth="1"/>
    <col min="8200" max="8200" width="2.71428571428571" style="2" customWidth="1"/>
    <col min="8201" max="8201" width="10.7142857142857" style="2" customWidth="1"/>
    <col min="8202" max="8202" width="2.71428571428571" style="2" customWidth="1"/>
    <col min="8203" max="8203" width="8.71428571428571" style="2" customWidth="1"/>
    <col min="8204" max="8204" width="10.7142857142857" style="2" customWidth="1"/>
    <col min="8205" max="8205" width="8.71428571428571" style="2" customWidth="1"/>
    <col min="8206" max="8206" width="2.71428571428571" style="2" customWidth="1"/>
    <col min="8207" max="8208" width="10.7142857142857" style="2" customWidth="1"/>
    <col min="8209" max="8209" width="8.71428571428571" style="2" customWidth="1"/>
    <col min="8210" max="8210" width="2.71428571428571" style="2" customWidth="1"/>
    <col min="8211" max="8211" width="9.14285714285714" style="2"/>
    <col min="8212" max="8212" width="2.71428571428571" style="2" customWidth="1"/>
    <col min="8213" max="8449" width="9.14285714285714" style="2"/>
    <col min="8450" max="8450" width="4.71428571428571" style="2" customWidth="1"/>
    <col min="8451" max="8451" width="8.71428571428571" style="2" customWidth="1"/>
    <col min="8452" max="8452" width="7.71428571428571" style="2" customWidth="1"/>
    <col min="8453" max="8453" width="8.71428571428571" style="2" customWidth="1"/>
    <col min="8454" max="8454" width="2.71428571428571" style="2" customWidth="1"/>
    <col min="8455" max="8455" width="8.71428571428571" style="2" customWidth="1"/>
    <col min="8456" max="8456" width="2.71428571428571" style="2" customWidth="1"/>
    <col min="8457" max="8457" width="10.7142857142857" style="2" customWidth="1"/>
    <col min="8458" max="8458" width="2.71428571428571" style="2" customWidth="1"/>
    <col min="8459" max="8459" width="8.71428571428571" style="2" customWidth="1"/>
    <col min="8460" max="8460" width="10.7142857142857" style="2" customWidth="1"/>
    <col min="8461" max="8461" width="8.71428571428571" style="2" customWidth="1"/>
    <col min="8462" max="8462" width="2.71428571428571" style="2" customWidth="1"/>
    <col min="8463" max="8464" width="10.7142857142857" style="2" customWidth="1"/>
    <col min="8465" max="8465" width="8.71428571428571" style="2" customWidth="1"/>
    <col min="8466" max="8466" width="2.71428571428571" style="2" customWidth="1"/>
    <col min="8467" max="8467" width="9.14285714285714" style="2"/>
    <col min="8468" max="8468" width="2.71428571428571" style="2" customWidth="1"/>
    <col min="8469" max="8705" width="9.14285714285714" style="2"/>
    <col min="8706" max="8706" width="4.71428571428571" style="2" customWidth="1"/>
    <col min="8707" max="8707" width="8.71428571428571" style="2" customWidth="1"/>
    <col min="8708" max="8708" width="7.71428571428571" style="2" customWidth="1"/>
    <col min="8709" max="8709" width="8.71428571428571" style="2" customWidth="1"/>
    <col min="8710" max="8710" width="2.71428571428571" style="2" customWidth="1"/>
    <col min="8711" max="8711" width="8.71428571428571" style="2" customWidth="1"/>
    <col min="8712" max="8712" width="2.71428571428571" style="2" customWidth="1"/>
    <col min="8713" max="8713" width="10.7142857142857" style="2" customWidth="1"/>
    <col min="8714" max="8714" width="2.71428571428571" style="2" customWidth="1"/>
    <col min="8715" max="8715" width="8.71428571428571" style="2" customWidth="1"/>
    <col min="8716" max="8716" width="10.7142857142857" style="2" customWidth="1"/>
    <col min="8717" max="8717" width="8.71428571428571" style="2" customWidth="1"/>
    <col min="8718" max="8718" width="2.71428571428571" style="2" customWidth="1"/>
    <col min="8719" max="8720" width="10.7142857142857" style="2" customWidth="1"/>
    <col min="8721" max="8721" width="8.71428571428571" style="2" customWidth="1"/>
    <col min="8722" max="8722" width="2.71428571428571" style="2" customWidth="1"/>
    <col min="8723" max="8723" width="9.14285714285714" style="2"/>
    <col min="8724" max="8724" width="2.71428571428571" style="2" customWidth="1"/>
    <col min="8725" max="8961" width="9.14285714285714" style="2"/>
    <col min="8962" max="8962" width="4.71428571428571" style="2" customWidth="1"/>
    <col min="8963" max="8963" width="8.71428571428571" style="2" customWidth="1"/>
    <col min="8964" max="8964" width="7.71428571428571" style="2" customWidth="1"/>
    <col min="8965" max="8965" width="8.71428571428571" style="2" customWidth="1"/>
    <col min="8966" max="8966" width="2.71428571428571" style="2" customWidth="1"/>
    <col min="8967" max="8967" width="8.71428571428571" style="2" customWidth="1"/>
    <col min="8968" max="8968" width="2.71428571428571" style="2" customWidth="1"/>
    <col min="8969" max="8969" width="10.7142857142857" style="2" customWidth="1"/>
    <col min="8970" max="8970" width="2.71428571428571" style="2" customWidth="1"/>
    <col min="8971" max="8971" width="8.71428571428571" style="2" customWidth="1"/>
    <col min="8972" max="8972" width="10.7142857142857" style="2" customWidth="1"/>
    <col min="8973" max="8973" width="8.71428571428571" style="2" customWidth="1"/>
    <col min="8974" max="8974" width="2.71428571428571" style="2" customWidth="1"/>
    <col min="8975" max="8976" width="10.7142857142857" style="2" customWidth="1"/>
    <col min="8977" max="8977" width="8.71428571428571" style="2" customWidth="1"/>
    <col min="8978" max="8978" width="2.71428571428571" style="2" customWidth="1"/>
    <col min="8979" max="8979" width="9.14285714285714" style="2"/>
    <col min="8980" max="8980" width="2.71428571428571" style="2" customWidth="1"/>
    <col min="8981" max="9217" width="9.14285714285714" style="2"/>
    <col min="9218" max="9218" width="4.71428571428571" style="2" customWidth="1"/>
    <col min="9219" max="9219" width="8.71428571428571" style="2" customWidth="1"/>
    <col min="9220" max="9220" width="7.71428571428571" style="2" customWidth="1"/>
    <col min="9221" max="9221" width="8.71428571428571" style="2" customWidth="1"/>
    <col min="9222" max="9222" width="2.71428571428571" style="2" customWidth="1"/>
    <col min="9223" max="9223" width="8.71428571428571" style="2" customWidth="1"/>
    <col min="9224" max="9224" width="2.71428571428571" style="2" customWidth="1"/>
    <col min="9225" max="9225" width="10.7142857142857" style="2" customWidth="1"/>
    <col min="9226" max="9226" width="2.71428571428571" style="2" customWidth="1"/>
    <col min="9227" max="9227" width="8.71428571428571" style="2" customWidth="1"/>
    <col min="9228" max="9228" width="10.7142857142857" style="2" customWidth="1"/>
    <col min="9229" max="9229" width="8.71428571428571" style="2" customWidth="1"/>
    <col min="9230" max="9230" width="2.71428571428571" style="2" customWidth="1"/>
    <col min="9231" max="9232" width="10.7142857142857" style="2" customWidth="1"/>
    <col min="9233" max="9233" width="8.71428571428571" style="2" customWidth="1"/>
    <col min="9234" max="9234" width="2.71428571428571" style="2" customWidth="1"/>
    <col min="9235" max="9235" width="9.14285714285714" style="2"/>
    <col min="9236" max="9236" width="2.71428571428571" style="2" customWidth="1"/>
    <col min="9237" max="9473" width="9.14285714285714" style="2"/>
    <col min="9474" max="9474" width="4.71428571428571" style="2" customWidth="1"/>
    <col min="9475" max="9475" width="8.71428571428571" style="2" customWidth="1"/>
    <col min="9476" max="9476" width="7.71428571428571" style="2" customWidth="1"/>
    <col min="9477" max="9477" width="8.71428571428571" style="2" customWidth="1"/>
    <col min="9478" max="9478" width="2.71428571428571" style="2" customWidth="1"/>
    <col min="9479" max="9479" width="8.71428571428571" style="2" customWidth="1"/>
    <col min="9480" max="9480" width="2.71428571428571" style="2" customWidth="1"/>
    <col min="9481" max="9481" width="10.7142857142857" style="2" customWidth="1"/>
    <col min="9482" max="9482" width="2.71428571428571" style="2" customWidth="1"/>
    <col min="9483" max="9483" width="8.71428571428571" style="2" customWidth="1"/>
    <col min="9484" max="9484" width="10.7142857142857" style="2" customWidth="1"/>
    <col min="9485" max="9485" width="8.71428571428571" style="2" customWidth="1"/>
    <col min="9486" max="9486" width="2.71428571428571" style="2" customWidth="1"/>
    <col min="9487" max="9488" width="10.7142857142857" style="2" customWidth="1"/>
    <col min="9489" max="9489" width="8.71428571428571" style="2" customWidth="1"/>
    <col min="9490" max="9490" width="2.71428571428571" style="2" customWidth="1"/>
    <col min="9491" max="9491" width="9.14285714285714" style="2"/>
    <col min="9492" max="9492" width="2.71428571428571" style="2" customWidth="1"/>
    <col min="9493" max="9729" width="9.14285714285714" style="2"/>
    <col min="9730" max="9730" width="4.71428571428571" style="2" customWidth="1"/>
    <col min="9731" max="9731" width="8.71428571428571" style="2" customWidth="1"/>
    <col min="9732" max="9732" width="7.71428571428571" style="2" customWidth="1"/>
    <col min="9733" max="9733" width="8.71428571428571" style="2" customWidth="1"/>
    <col min="9734" max="9734" width="2.71428571428571" style="2" customWidth="1"/>
    <col min="9735" max="9735" width="8.71428571428571" style="2" customWidth="1"/>
    <col min="9736" max="9736" width="2.71428571428571" style="2" customWidth="1"/>
    <col min="9737" max="9737" width="10.7142857142857" style="2" customWidth="1"/>
    <col min="9738" max="9738" width="2.71428571428571" style="2" customWidth="1"/>
    <col min="9739" max="9739" width="8.71428571428571" style="2" customWidth="1"/>
    <col min="9740" max="9740" width="10.7142857142857" style="2" customWidth="1"/>
    <col min="9741" max="9741" width="8.71428571428571" style="2" customWidth="1"/>
    <col min="9742" max="9742" width="2.71428571428571" style="2" customWidth="1"/>
    <col min="9743" max="9744" width="10.7142857142857" style="2" customWidth="1"/>
    <col min="9745" max="9745" width="8.71428571428571" style="2" customWidth="1"/>
    <col min="9746" max="9746" width="2.71428571428571" style="2" customWidth="1"/>
    <col min="9747" max="9747" width="9.14285714285714" style="2"/>
    <col min="9748" max="9748" width="2.71428571428571" style="2" customWidth="1"/>
    <col min="9749" max="9985" width="9.14285714285714" style="2"/>
    <col min="9986" max="9986" width="4.71428571428571" style="2" customWidth="1"/>
    <col min="9987" max="9987" width="8.71428571428571" style="2" customWidth="1"/>
    <col min="9988" max="9988" width="7.71428571428571" style="2" customWidth="1"/>
    <col min="9989" max="9989" width="8.71428571428571" style="2" customWidth="1"/>
    <col min="9990" max="9990" width="2.71428571428571" style="2" customWidth="1"/>
    <col min="9991" max="9991" width="8.71428571428571" style="2" customWidth="1"/>
    <col min="9992" max="9992" width="2.71428571428571" style="2" customWidth="1"/>
    <col min="9993" max="9993" width="10.7142857142857" style="2" customWidth="1"/>
    <col min="9994" max="9994" width="2.71428571428571" style="2" customWidth="1"/>
    <col min="9995" max="9995" width="8.71428571428571" style="2" customWidth="1"/>
    <col min="9996" max="9996" width="10.7142857142857" style="2" customWidth="1"/>
    <col min="9997" max="9997" width="8.71428571428571" style="2" customWidth="1"/>
    <col min="9998" max="9998" width="2.71428571428571" style="2" customWidth="1"/>
    <col min="9999" max="10000" width="10.7142857142857" style="2" customWidth="1"/>
    <col min="10001" max="10001" width="8.71428571428571" style="2" customWidth="1"/>
    <col min="10002" max="10002" width="2.71428571428571" style="2" customWidth="1"/>
    <col min="10003" max="10003" width="9.14285714285714" style="2"/>
    <col min="10004" max="10004" width="2.71428571428571" style="2" customWidth="1"/>
    <col min="10005" max="10241" width="9.14285714285714" style="2"/>
    <col min="10242" max="10242" width="4.71428571428571" style="2" customWidth="1"/>
    <col min="10243" max="10243" width="8.71428571428571" style="2" customWidth="1"/>
    <col min="10244" max="10244" width="7.71428571428571" style="2" customWidth="1"/>
    <col min="10245" max="10245" width="8.71428571428571" style="2" customWidth="1"/>
    <col min="10246" max="10246" width="2.71428571428571" style="2" customWidth="1"/>
    <col min="10247" max="10247" width="8.71428571428571" style="2" customWidth="1"/>
    <col min="10248" max="10248" width="2.71428571428571" style="2" customWidth="1"/>
    <col min="10249" max="10249" width="10.7142857142857" style="2" customWidth="1"/>
    <col min="10250" max="10250" width="2.71428571428571" style="2" customWidth="1"/>
    <col min="10251" max="10251" width="8.71428571428571" style="2" customWidth="1"/>
    <col min="10252" max="10252" width="10.7142857142857" style="2" customWidth="1"/>
    <col min="10253" max="10253" width="8.71428571428571" style="2" customWidth="1"/>
    <col min="10254" max="10254" width="2.71428571428571" style="2" customWidth="1"/>
    <col min="10255" max="10256" width="10.7142857142857" style="2" customWidth="1"/>
    <col min="10257" max="10257" width="8.71428571428571" style="2" customWidth="1"/>
    <col min="10258" max="10258" width="2.71428571428571" style="2" customWidth="1"/>
    <col min="10259" max="10259" width="9.14285714285714" style="2"/>
    <col min="10260" max="10260" width="2.71428571428571" style="2" customWidth="1"/>
    <col min="10261" max="10497" width="9.14285714285714" style="2"/>
    <col min="10498" max="10498" width="4.71428571428571" style="2" customWidth="1"/>
    <col min="10499" max="10499" width="8.71428571428571" style="2" customWidth="1"/>
    <col min="10500" max="10500" width="7.71428571428571" style="2" customWidth="1"/>
    <col min="10501" max="10501" width="8.71428571428571" style="2" customWidth="1"/>
    <col min="10502" max="10502" width="2.71428571428571" style="2" customWidth="1"/>
    <col min="10503" max="10503" width="8.71428571428571" style="2" customWidth="1"/>
    <col min="10504" max="10504" width="2.71428571428571" style="2" customWidth="1"/>
    <col min="10505" max="10505" width="10.7142857142857" style="2" customWidth="1"/>
    <col min="10506" max="10506" width="2.71428571428571" style="2" customWidth="1"/>
    <col min="10507" max="10507" width="8.71428571428571" style="2" customWidth="1"/>
    <col min="10508" max="10508" width="10.7142857142857" style="2" customWidth="1"/>
    <col min="10509" max="10509" width="8.71428571428571" style="2" customWidth="1"/>
    <col min="10510" max="10510" width="2.71428571428571" style="2" customWidth="1"/>
    <col min="10511" max="10512" width="10.7142857142857" style="2" customWidth="1"/>
    <col min="10513" max="10513" width="8.71428571428571" style="2" customWidth="1"/>
    <col min="10514" max="10514" width="2.71428571428571" style="2" customWidth="1"/>
    <col min="10515" max="10515" width="9.14285714285714" style="2"/>
    <col min="10516" max="10516" width="2.71428571428571" style="2" customWidth="1"/>
    <col min="10517" max="10753" width="9.14285714285714" style="2"/>
    <col min="10754" max="10754" width="4.71428571428571" style="2" customWidth="1"/>
    <col min="10755" max="10755" width="8.71428571428571" style="2" customWidth="1"/>
    <col min="10756" max="10756" width="7.71428571428571" style="2" customWidth="1"/>
    <col min="10757" max="10757" width="8.71428571428571" style="2" customWidth="1"/>
    <col min="10758" max="10758" width="2.71428571428571" style="2" customWidth="1"/>
    <col min="10759" max="10759" width="8.71428571428571" style="2" customWidth="1"/>
    <col min="10760" max="10760" width="2.71428571428571" style="2" customWidth="1"/>
    <col min="10761" max="10761" width="10.7142857142857" style="2" customWidth="1"/>
    <col min="10762" max="10762" width="2.71428571428571" style="2" customWidth="1"/>
    <col min="10763" max="10763" width="8.71428571428571" style="2" customWidth="1"/>
    <col min="10764" max="10764" width="10.7142857142857" style="2" customWidth="1"/>
    <col min="10765" max="10765" width="8.71428571428571" style="2" customWidth="1"/>
    <col min="10766" max="10766" width="2.71428571428571" style="2" customWidth="1"/>
    <col min="10767" max="10768" width="10.7142857142857" style="2" customWidth="1"/>
    <col min="10769" max="10769" width="8.71428571428571" style="2" customWidth="1"/>
    <col min="10770" max="10770" width="2.71428571428571" style="2" customWidth="1"/>
    <col min="10771" max="10771" width="9.14285714285714" style="2"/>
    <col min="10772" max="10772" width="2.71428571428571" style="2" customWidth="1"/>
    <col min="10773" max="11009" width="9.14285714285714" style="2"/>
    <col min="11010" max="11010" width="4.71428571428571" style="2" customWidth="1"/>
    <col min="11011" max="11011" width="8.71428571428571" style="2" customWidth="1"/>
    <col min="11012" max="11012" width="7.71428571428571" style="2" customWidth="1"/>
    <col min="11013" max="11013" width="8.71428571428571" style="2" customWidth="1"/>
    <col min="11014" max="11014" width="2.71428571428571" style="2" customWidth="1"/>
    <col min="11015" max="11015" width="8.71428571428571" style="2" customWidth="1"/>
    <col min="11016" max="11016" width="2.71428571428571" style="2" customWidth="1"/>
    <col min="11017" max="11017" width="10.7142857142857" style="2" customWidth="1"/>
    <col min="11018" max="11018" width="2.71428571428571" style="2" customWidth="1"/>
    <col min="11019" max="11019" width="8.71428571428571" style="2" customWidth="1"/>
    <col min="11020" max="11020" width="10.7142857142857" style="2" customWidth="1"/>
    <col min="11021" max="11021" width="8.71428571428571" style="2" customWidth="1"/>
    <col min="11022" max="11022" width="2.71428571428571" style="2" customWidth="1"/>
    <col min="11023" max="11024" width="10.7142857142857" style="2" customWidth="1"/>
    <col min="11025" max="11025" width="8.71428571428571" style="2" customWidth="1"/>
    <col min="11026" max="11026" width="2.71428571428571" style="2" customWidth="1"/>
    <col min="11027" max="11027" width="9.14285714285714" style="2"/>
    <col min="11028" max="11028" width="2.71428571428571" style="2" customWidth="1"/>
    <col min="11029" max="11265" width="9.14285714285714" style="2"/>
    <col min="11266" max="11266" width="4.71428571428571" style="2" customWidth="1"/>
    <col min="11267" max="11267" width="8.71428571428571" style="2" customWidth="1"/>
    <col min="11268" max="11268" width="7.71428571428571" style="2" customWidth="1"/>
    <col min="11269" max="11269" width="8.71428571428571" style="2" customWidth="1"/>
    <col min="11270" max="11270" width="2.71428571428571" style="2" customWidth="1"/>
    <col min="11271" max="11271" width="8.71428571428571" style="2" customWidth="1"/>
    <col min="11272" max="11272" width="2.71428571428571" style="2" customWidth="1"/>
    <col min="11273" max="11273" width="10.7142857142857" style="2" customWidth="1"/>
    <col min="11274" max="11274" width="2.71428571428571" style="2" customWidth="1"/>
    <col min="11275" max="11275" width="8.71428571428571" style="2" customWidth="1"/>
    <col min="11276" max="11276" width="10.7142857142857" style="2" customWidth="1"/>
    <col min="11277" max="11277" width="8.71428571428571" style="2" customWidth="1"/>
    <col min="11278" max="11278" width="2.71428571428571" style="2" customWidth="1"/>
    <col min="11279" max="11280" width="10.7142857142857" style="2" customWidth="1"/>
    <col min="11281" max="11281" width="8.71428571428571" style="2" customWidth="1"/>
    <col min="11282" max="11282" width="2.71428571428571" style="2" customWidth="1"/>
    <col min="11283" max="11283" width="9.14285714285714" style="2"/>
    <col min="11284" max="11284" width="2.71428571428571" style="2" customWidth="1"/>
    <col min="11285" max="11521" width="9.14285714285714" style="2"/>
    <col min="11522" max="11522" width="4.71428571428571" style="2" customWidth="1"/>
    <col min="11523" max="11523" width="8.71428571428571" style="2" customWidth="1"/>
    <col min="11524" max="11524" width="7.71428571428571" style="2" customWidth="1"/>
    <col min="11525" max="11525" width="8.71428571428571" style="2" customWidth="1"/>
    <col min="11526" max="11526" width="2.71428571428571" style="2" customWidth="1"/>
    <col min="11527" max="11527" width="8.71428571428571" style="2" customWidth="1"/>
    <col min="11528" max="11528" width="2.71428571428571" style="2" customWidth="1"/>
    <col min="11529" max="11529" width="10.7142857142857" style="2" customWidth="1"/>
    <col min="11530" max="11530" width="2.71428571428571" style="2" customWidth="1"/>
    <col min="11531" max="11531" width="8.71428571428571" style="2" customWidth="1"/>
    <col min="11532" max="11532" width="10.7142857142857" style="2" customWidth="1"/>
    <col min="11533" max="11533" width="8.71428571428571" style="2" customWidth="1"/>
    <col min="11534" max="11534" width="2.71428571428571" style="2" customWidth="1"/>
    <col min="11535" max="11536" width="10.7142857142857" style="2" customWidth="1"/>
    <col min="11537" max="11537" width="8.71428571428571" style="2" customWidth="1"/>
    <col min="11538" max="11538" width="2.71428571428571" style="2" customWidth="1"/>
    <col min="11539" max="11539" width="9.14285714285714" style="2"/>
    <col min="11540" max="11540" width="2.71428571428571" style="2" customWidth="1"/>
    <col min="11541" max="11777" width="9.14285714285714" style="2"/>
    <col min="11778" max="11778" width="4.71428571428571" style="2" customWidth="1"/>
    <col min="11779" max="11779" width="8.71428571428571" style="2" customWidth="1"/>
    <col min="11780" max="11780" width="7.71428571428571" style="2" customWidth="1"/>
    <col min="11781" max="11781" width="8.71428571428571" style="2" customWidth="1"/>
    <col min="11782" max="11782" width="2.71428571428571" style="2" customWidth="1"/>
    <col min="11783" max="11783" width="8.71428571428571" style="2" customWidth="1"/>
    <col min="11784" max="11784" width="2.71428571428571" style="2" customWidth="1"/>
    <col min="11785" max="11785" width="10.7142857142857" style="2" customWidth="1"/>
    <col min="11786" max="11786" width="2.71428571428571" style="2" customWidth="1"/>
    <col min="11787" max="11787" width="8.71428571428571" style="2" customWidth="1"/>
    <col min="11788" max="11788" width="10.7142857142857" style="2" customWidth="1"/>
    <col min="11789" max="11789" width="8.71428571428571" style="2" customWidth="1"/>
    <col min="11790" max="11790" width="2.71428571428571" style="2" customWidth="1"/>
    <col min="11791" max="11792" width="10.7142857142857" style="2" customWidth="1"/>
    <col min="11793" max="11793" width="8.71428571428571" style="2" customWidth="1"/>
    <col min="11794" max="11794" width="2.71428571428571" style="2" customWidth="1"/>
    <col min="11795" max="11795" width="9.14285714285714" style="2"/>
    <col min="11796" max="11796" width="2.71428571428571" style="2" customWidth="1"/>
    <col min="11797" max="12033" width="9.14285714285714" style="2"/>
    <col min="12034" max="12034" width="4.71428571428571" style="2" customWidth="1"/>
    <col min="12035" max="12035" width="8.71428571428571" style="2" customWidth="1"/>
    <col min="12036" max="12036" width="7.71428571428571" style="2" customWidth="1"/>
    <col min="12037" max="12037" width="8.71428571428571" style="2" customWidth="1"/>
    <col min="12038" max="12038" width="2.71428571428571" style="2" customWidth="1"/>
    <col min="12039" max="12039" width="8.71428571428571" style="2" customWidth="1"/>
    <col min="12040" max="12040" width="2.71428571428571" style="2" customWidth="1"/>
    <col min="12041" max="12041" width="10.7142857142857" style="2" customWidth="1"/>
    <col min="12042" max="12042" width="2.71428571428571" style="2" customWidth="1"/>
    <col min="12043" max="12043" width="8.71428571428571" style="2" customWidth="1"/>
    <col min="12044" max="12044" width="10.7142857142857" style="2" customWidth="1"/>
    <col min="12045" max="12045" width="8.71428571428571" style="2" customWidth="1"/>
    <col min="12046" max="12046" width="2.71428571428571" style="2" customWidth="1"/>
    <col min="12047" max="12048" width="10.7142857142857" style="2" customWidth="1"/>
    <col min="12049" max="12049" width="8.71428571428571" style="2" customWidth="1"/>
    <col min="12050" max="12050" width="2.71428571428571" style="2" customWidth="1"/>
    <col min="12051" max="12051" width="9.14285714285714" style="2"/>
    <col min="12052" max="12052" width="2.71428571428571" style="2" customWidth="1"/>
    <col min="12053" max="12289" width="9.14285714285714" style="2"/>
    <col min="12290" max="12290" width="4.71428571428571" style="2" customWidth="1"/>
    <col min="12291" max="12291" width="8.71428571428571" style="2" customWidth="1"/>
    <col min="12292" max="12292" width="7.71428571428571" style="2" customWidth="1"/>
    <col min="12293" max="12293" width="8.71428571428571" style="2" customWidth="1"/>
    <col min="12294" max="12294" width="2.71428571428571" style="2" customWidth="1"/>
    <col min="12295" max="12295" width="8.71428571428571" style="2" customWidth="1"/>
    <col min="12296" max="12296" width="2.71428571428571" style="2" customWidth="1"/>
    <col min="12297" max="12297" width="10.7142857142857" style="2" customWidth="1"/>
    <col min="12298" max="12298" width="2.71428571428571" style="2" customWidth="1"/>
    <col min="12299" max="12299" width="8.71428571428571" style="2" customWidth="1"/>
    <col min="12300" max="12300" width="10.7142857142857" style="2" customWidth="1"/>
    <col min="12301" max="12301" width="8.71428571428571" style="2" customWidth="1"/>
    <col min="12302" max="12302" width="2.71428571428571" style="2" customWidth="1"/>
    <col min="12303" max="12304" width="10.7142857142857" style="2" customWidth="1"/>
    <col min="12305" max="12305" width="8.71428571428571" style="2" customWidth="1"/>
    <col min="12306" max="12306" width="2.71428571428571" style="2" customWidth="1"/>
    <col min="12307" max="12307" width="9.14285714285714" style="2"/>
    <col min="12308" max="12308" width="2.71428571428571" style="2" customWidth="1"/>
    <col min="12309" max="12545" width="9.14285714285714" style="2"/>
    <col min="12546" max="12546" width="4.71428571428571" style="2" customWidth="1"/>
    <col min="12547" max="12547" width="8.71428571428571" style="2" customWidth="1"/>
    <col min="12548" max="12548" width="7.71428571428571" style="2" customWidth="1"/>
    <col min="12549" max="12549" width="8.71428571428571" style="2" customWidth="1"/>
    <col min="12550" max="12550" width="2.71428571428571" style="2" customWidth="1"/>
    <col min="12551" max="12551" width="8.71428571428571" style="2" customWidth="1"/>
    <col min="12552" max="12552" width="2.71428571428571" style="2" customWidth="1"/>
    <col min="12553" max="12553" width="10.7142857142857" style="2" customWidth="1"/>
    <col min="12554" max="12554" width="2.71428571428571" style="2" customWidth="1"/>
    <col min="12555" max="12555" width="8.71428571428571" style="2" customWidth="1"/>
    <col min="12556" max="12556" width="10.7142857142857" style="2" customWidth="1"/>
    <col min="12557" max="12557" width="8.71428571428571" style="2" customWidth="1"/>
    <col min="12558" max="12558" width="2.71428571428571" style="2" customWidth="1"/>
    <col min="12559" max="12560" width="10.7142857142857" style="2" customWidth="1"/>
    <col min="12561" max="12561" width="8.71428571428571" style="2" customWidth="1"/>
    <col min="12562" max="12562" width="2.71428571428571" style="2" customWidth="1"/>
    <col min="12563" max="12563" width="9.14285714285714" style="2"/>
    <col min="12564" max="12564" width="2.71428571428571" style="2" customWidth="1"/>
    <col min="12565" max="12801" width="9.14285714285714" style="2"/>
    <col min="12802" max="12802" width="4.71428571428571" style="2" customWidth="1"/>
    <col min="12803" max="12803" width="8.71428571428571" style="2" customWidth="1"/>
    <col min="12804" max="12804" width="7.71428571428571" style="2" customWidth="1"/>
    <col min="12805" max="12805" width="8.71428571428571" style="2" customWidth="1"/>
    <col min="12806" max="12806" width="2.71428571428571" style="2" customWidth="1"/>
    <col min="12807" max="12807" width="8.71428571428571" style="2" customWidth="1"/>
    <col min="12808" max="12808" width="2.71428571428571" style="2" customWidth="1"/>
    <col min="12809" max="12809" width="10.7142857142857" style="2" customWidth="1"/>
    <col min="12810" max="12810" width="2.71428571428571" style="2" customWidth="1"/>
    <col min="12811" max="12811" width="8.71428571428571" style="2" customWidth="1"/>
    <col min="12812" max="12812" width="10.7142857142857" style="2" customWidth="1"/>
    <col min="12813" max="12813" width="8.71428571428571" style="2" customWidth="1"/>
    <col min="12814" max="12814" width="2.71428571428571" style="2" customWidth="1"/>
    <col min="12815" max="12816" width="10.7142857142857" style="2" customWidth="1"/>
    <col min="12817" max="12817" width="8.71428571428571" style="2" customWidth="1"/>
    <col min="12818" max="12818" width="2.71428571428571" style="2" customWidth="1"/>
    <col min="12819" max="12819" width="9.14285714285714" style="2"/>
    <col min="12820" max="12820" width="2.71428571428571" style="2" customWidth="1"/>
    <col min="12821" max="13057" width="9.14285714285714" style="2"/>
    <col min="13058" max="13058" width="4.71428571428571" style="2" customWidth="1"/>
    <col min="13059" max="13059" width="8.71428571428571" style="2" customWidth="1"/>
    <col min="13060" max="13060" width="7.71428571428571" style="2" customWidth="1"/>
    <col min="13061" max="13061" width="8.71428571428571" style="2" customWidth="1"/>
    <col min="13062" max="13062" width="2.71428571428571" style="2" customWidth="1"/>
    <col min="13063" max="13063" width="8.71428571428571" style="2" customWidth="1"/>
    <col min="13064" max="13064" width="2.71428571428571" style="2" customWidth="1"/>
    <col min="13065" max="13065" width="10.7142857142857" style="2" customWidth="1"/>
    <col min="13066" max="13066" width="2.71428571428571" style="2" customWidth="1"/>
    <col min="13067" max="13067" width="8.71428571428571" style="2" customWidth="1"/>
    <col min="13068" max="13068" width="10.7142857142857" style="2" customWidth="1"/>
    <col min="13069" max="13069" width="8.71428571428571" style="2" customWidth="1"/>
    <col min="13070" max="13070" width="2.71428571428571" style="2" customWidth="1"/>
    <col min="13071" max="13072" width="10.7142857142857" style="2" customWidth="1"/>
    <col min="13073" max="13073" width="8.71428571428571" style="2" customWidth="1"/>
    <col min="13074" max="13074" width="2.71428571428571" style="2" customWidth="1"/>
    <col min="13075" max="13075" width="9.14285714285714" style="2"/>
    <col min="13076" max="13076" width="2.71428571428571" style="2" customWidth="1"/>
    <col min="13077" max="13313" width="9.14285714285714" style="2"/>
    <col min="13314" max="13314" width="4.71428571428571" style="2" customWidth="1"/>
    <col min="13315" max="13315" width="8.71428571428571" style="2" customWidth="1"/>
    <col min="13316" max="13316" width="7.71428571428571" style="2" customWidth="1"/>
    <col min="13317" max="13317" width="8.71428571428571" style="2" customWidth="1"/>
    <col min="13318" max="13318" width="2.71428571428571" style="2" customWidth="1"/>
    <col min="13319" max="13319" width="8.71428571428571" style="2" customWidth="1"/>
    <col min="13320" max="13320" width="2.71428571428571" style="2" customWidth="1"/>
    <col min="13321" max="13321" width="10.7142857142857" style="2" customWidth="1"/>
    <col min="13322" max="13322" width="2.71428571428571" style="2" customWidth="1"/>
    <col min="13323" max="13323" width="8.71428571428571" style="2" customWidth="1"/>
    <col min="13324" max="13324" width="10.7142857142857" style="2" customWidth="1"/>
    <col min="13325" max="13325" width="8.71428571428571" style="2" customWidth="1"/>
    <col min="13326" max="13326" width="2.71428571428571" style="2" customWidth="1"/>
    <col min="13327" max="13328" width="10.7142857142857" style="2" customWidth="1"/>
    <col min="13329" max="13329" width="8.71428571428571" style="2" customWidth="1"/>
    <col min="13330" max="13330" width="2.71428571428571" style="2" customWidth="1"/>
    <col min="13331" max="13331" width="9.14285714285714" style="2"/>
    <col min="13332" max="13332" width="2.71428571428571" style="2" customWidth="1"/>
    <col min="13333" max="13569" width="9.14285714285714" style="2"/>
    <col min="13570" max="13570" width="4.71428571428571" style="2" customWidth="1"/>
    <col min="13571" max="13571" width="8.71428571428571" style="2" customWidth="1"/>
    <col min="13572" max="13572" width="7.71428571428571" style="2" customWidth="1"/>
    <col min="13573" max="13573" width="8.71428571428571" style="2" customWidth="1"/>
    <col min="13574" max="13574" width="2.71428571428571" style="2" customWidth="1"/>
    <col min="13575" max="13575" width="8.71428571428571" style="2" customWidth="1"/>
    <col min="13576" max="13576" width="2.71428571428571" style="2" customWidth="1"/>
    <col min="13577" max="13577" width="10.7142857142857" style="2" customWidth="1"/>
    <col min="13578" max="13578" width="2.71428571428571" style="2" customWidth="1"/>
    <col min="13579" max="13579" width="8.71428571428571" style="2" customWidth="1"/>
    <col min="13580" max="13580" width="10.7142857142857" style="2" customWidth="1"/>
    <col min="13581" max="13581" width="8.71428571428571" style="2" customWidth="1"/>
    <col min="13582" max="13582" width="2.71428571428571" style="2" customWidth="1"/>
    <col min="13583" max="13584" width="10.7142857142857" style="2" customWidth="1"/>
    <col min="13585" max="13585" width="8.71428571428571" style="2" customWidth="1"/>
    <col min="13586" max="13586" width="2.71428571428571" style="2" customWidth="1"/>
    <col min="13587" max="13587" width="9.14285714285714" style="2"/>
    <col min="13588" max="13588" width="2.71428571428571" style="2" customWidth="1"/>
    <col min="13589" max="13825" width="9.14285714285714" style="2"/>
    <col min="13826" max="13826" width="4.71428571428571" style="2" customWidth="1"/>
    <col min="13827" max="13827" width="8.71428571428571" style="2" customWidth="1"/>
    <col min="13828" max="13828" width="7.71428571428571" style="2" customWidth="1"/>
    <col min="13829" max="13829" width="8.71428571428571" style="2" customWidth="1"/>
    <col min="13830" max="13830" width="2.71428571428571" style="2" customWidth="1"/>
    <col min="13831" max="13831" width="8.71428571428571" style="2" customWidth="1"/>
    <col min="13832" max="13832" width="2.71428571428571" style="2" customWidth="1"/>
    <col min="13833" max="13833" width="10.7142857142857" style="2" customWidth="1"/>
    <col min="13834" max="13834" width="2.71428571428571" style="2" customWidth="1"/>
    <col min="13835" max="13835" width="8.71428571428571" style="2" customWidth="1"/>
    <col min="13836" max="13836" width="10.7142857142857" style="2" customWidth="1"/>
    <col min="13837" max="13837" width="8.71428571428571" style="2" customWidth="1"/>
    <col min="13838" max="13838" width="2.71428571428571" style="2" customWidth="1"/>
    <col min="13839" max="13840" width="10.7142857142857" style="2" customWidth="1"/>
    <col min="13841" max="13841" width="8.71428571428571" style="2" customWidth="1"/>
    <col min="13842" max="13842" width="2.71428571428571" style="2" customWidth="1"/>
    <col min="13843" max="13843" width="9.14285714285714" style="2"/>
    <col min="13844" max="13844" width="2.71428571428571" style="2" customWidth="1"/>
    <col min="13845" max="14081" width="9.14285714285714" style="2"/>
    <col min="14082" max="14082" width="4.71428571428571" style="2" customWidth="1"/>
    <col min="14083" max="14083" width="8.71428571428571" style="2" customWidth="1"/>
    <col min="14084" max="14084" width="7.71428571428571" style="2" customWidth="1"/>
    <col min="14085" max="14085" width="8.71428571428571" style="2" customWidth="1"/>
    <col min="14086" max="14086" width="2.71428571428571" style="2" customWidth="1"/>
    <col min="14087" max="14087" width="8.71428571428571" style="2" customWidth="1"/>
    <col min="14088" max="14088" width="2.71428571428571" style="2" customWidth="1"/>
    <col min="14089" max="14089" width="10.7142857142857" style="2" customWidth="1"/>
    <col min="14090" max="14090" width="2.71428571428571" style="2" customWidth="1"/>
    <col min="14091" max="14091" width="8.71428571428571" style="2" customWidth="1"/>
    <col min="14092" max="14092" width="10.7142857142857" style="2" customWidth="1"/>
    <col min="14093" max="14093" width="8.71428571428571" style="2" customWidth="1"/>
    <col min="14094" max="14094" width="2.71428571428571" style="2" customWidth="1"/>
    <col min="14095" max="14096" width="10.7142857142857" style="2" customWidth="1"/>
    <col min="14097" max="14097" width="8.71428571428571" style="2" customWidth="1"/>
    <col min="14098" max="14098" width="2.71428571428571" style="2" customWidth="1"/>
    <col min="14099" max="14099" width="9.14285714285714" style="2"/>
    <col min="14100" max="14100" width="2.71428571428571" style="2" customWidth="1"/>
    <col min="14101" max="14337" width="9.14285714285714" style="2"/>
    <col min="14338" max="14338" width="4.71428571428571" style="2" customWidth="1"/>
    <col min="14339" max="14339" width="8.71428571428571" style="2" customWidth="1"/>
    <col min="14340" max="14340" width="7.71428571428571" style="2" customWidth="1"/>
    <col min="14341" max="14341" width="8.71428571428571" style="2" customWidth="1"/>
    <col min="14342" max="14342" width="2.71428571428571" style="2" customWidth="1"/>
    <col min="14343" max="14343" width="8.71428571428571" style="2" customWidth="1"/>
    <col min="14344" max="14344" width="2.71428571428571" style="2" customWidth="1"/>
    <col min="14345" max="14345" width="10.7142857142857" style="2" customWidth="1"/>
    <col min="14346" max="14346" width="2.71428571428571" style="2" customWidth="1"/>
    <col min="14347" max="14347" width="8.71428571428571" style="2" customWidth="1"/>
    <col min="14348" max="14348" width="10.7142857142857" style="2" customWidth="1"/>
    <col min="14349" max="14349" width="8.71428571428571" style="2" customWidth="1"/>
    <col min="14350" max="14350" width="2.71428571428571" style="2" customWidth="1"/>
    <col min="14351" max="14352" width="10.7142857142857" style="2" customWidth="1"/>
    <col min="14353" max="14353" width="8.71428571428571" style="2" customWidth="1"/>
    <col min="14354" max="14354" width="2.71428571428571" style="2" customWidth="1"/>
    <col min="14355" max="14355" width="9.14285714285714" style="2"/>
    <col min="14356" max="14356" width="2.71428571428571" style="2" customWidth="1"/>
    <col min="14357" max="14593" width="9.14285714285714" style="2"/>
    <col min="14594" max="14594" width="4.71428571428571" style="2" customWidth="1"/>
    <col min="14595" max="14595" width="8.71428571428571" style="2" customWidth="1"/>
    <col min="14596" max="14596" width="7.71428571428571" style="2" customWidth="1"/>
    <col min="14597" max="14597" width="8.71428571428571" style="2" customWidth="1"/>
    <col min="14598" max="14598" width="2.71428571428571" style="2" customWidth="1"/>
    <col min="14599" max="14599" width="8.71428571428571" style="2" customWidth="1"/>
    <col min="14600" max="14600" width="2.71428571428571" style="2" customWidth="1"/>
    <col min="14601" max="14601" width="10.7142857142857" style="2" customWidth="1"/>
    <col min="14602" max="14602" width="2.71428571428571" style="2" customWidth="1"/>
    <col min="14603" max="14603" width="8.71428571428571" style="2" customWidth="1"/>
    <col min="14604" max="14604" width="10.7142857142857" style="2" customWidth="1"/>
    <col min="14605" max="14605" width="8.71428571428571" style="2" customWidth="1"/>
    <col min="14606" max="14606" width="2.71428571428571" style="2" customWidth="1"/>
    <col min="14607" max="14608" width="10.7142857142857" style="2" customWidth="1"/>
    <col min="14609" max="14609" width="8.71428571428571" style="2" customWidth="1"/>
    <col min="14610" max="14610" width="2.71428571428571" style="2" customWidth="1"/>
    <col min="14611" max="14611" width="9.14285714285714" style="2"/>
    <col min="14612" max="14612" width="2.71428571428571" style="2" customWidth="1"/>
    <col min="14613" max="14849" width="9.14285714285714" style="2"/>
    <col min="14850" max="14850" width="4.71428571428571" style="2" customWidth="1"/>
    <col min="14851" max="14851" width="8.71428571428571" style="2" customWidth="1"/>
    <col min="14852" max="14852" width="7.71428571428571" style="2" customWidth="1"/>
    <col min="14853" max="14853" width="8.71428571428571" style="2" customWidth="1"/>
    <col min="14854" max="14854" width="2.71428571428571" style="2" customWidth="1"/>
    <col min="14855" max="14855" width="8.71428571428571" style="2" customWidth="1"/>
    <col min="14856" max="14856" width="2.71428571428571" style="2" customWidth="1"/>
    <col min="14857" max="14857" width="10.7142857142857" style="2" customWidth="1"/>
    <col min="14858" max="14858" width="2.71428571428571" style="2" customWidth="1"/>
    <col min="14859" max="14859" width="8.71428571428571" style="2" customWidth="1"/>
    <col min="14860" max="14860" width="10.7142857142857" style="2" customWidth="1"/>
    <col min="14861" max="14861" width="8.71428571428571" style="2" customWidth="1"/>
    <col min="14862" max="14862" width="2.71428571428571" style="2" customWidth="1"/>
    <col min="14863" max="14864" width="10.7142857142857" style="2" customWidth="1"/>
    <col min="14865" max="14865" width="8.71428571428571" style="2" customWidth="1"/>
    <col min="14866" max="14866" width="2.71428571428571" style="2" customWidth="1"/>
    <col min="14867" max="14867" width="9.14285714285714" style="2"/>
    <col min="14868" max="14868" width="2.71428571428571" style="2" customWidth="1"/>
    <col min="14869" max="15105" width="9.14285714285714" style="2"/>
    <col min="15106" max="15106" width="4.71428571428571" style="2" customWidth="1"/>
    <col min="15107" max="15107" width="8.71428571428571" style="2" customWidth="1"/>
    <col min="15108" max="15108" width="7.71428571428571" style="2" customWidth="1"/>
    <col min="15109" max="15109" width="8.71428571428571" style="2" customWidth="1"/>
    <col min="15110" max="15110" width="2.71428571428571" style="2" customWidth="1"/>
    <col min="15111" max="15111" width="8.71428571428571" style="2" customWidth="1"/>
    <col min="15112" max="15112" width="2.71428571428571" style="2" customWidth="1"/>
    <col min="15113" max="15113" width="10.7142857142857" style="2" customWidth="1"/>
    <col min="15114" max="15114" width="2.71428571428571" style="2" customWidth="1"/>
    <col min="15115" max="15115" width="8.71428571428571" style="2" customWidth="1"/>
    <col min="15116" max="15116" width="10.7142857142857" style="2" customWidth="1"/>
    <col min="15117" max="15117" width="8.71428571428571" style="2" customWidth="1"/>
    <col min="15118" max="15118" width="2.71428571428571" style="2" customWidth="1"/>
    <col min="15119" max="15120" width="10.7142857142857" style="2" customWidth="1"/>
    <col min="15121" max="15121" width="8.71428571428571" style="2" customWidth="1"/>
    <col min="15122" max="15122" width="2.71428571428571" style="2" customWidth="1"/>
    <col min="15123" max="15123" width="9.14285714285714" style="2"/>
    <col min="15124" max="15124" width="2.71428571428571" style="2" customWidth="1"/>
    <col min="15125" max="15361" width="9.14285714285714" style="2"/>
    <col min="15362" max="15362" width="4.71428571428571" style="2" customWidth="1"/>
    <col min="15363" max="15363" width="8.71428571428571" style="2" customWidth="1"/>
    <col min="15364" max="15364" width="7.71428571428571" style="2" customWidth="1"/>
    <col min="15365" max="15365" width="8.71428571428571" style="2" customWidth="1"/>
    <col min="15366" max="15366" width="2.71428571428571" style="2" customWidth="1"/>
    <col min="15367" max="15367" width="8.71428571428571" style="2" customWidth="1"/>
    <col min="15368" max="15368" width="2.71428571428571" style="2" customWidth="1"/>
    <col min="15369" max="15369" width="10.7142857142857" style="2" customWidth="1"/>
    <col min="15370" max="15370" width="2.71428571428571" style="2" customWidth="1"/>
    <col min="15371" max="15371" width="8.71428571428571" style="2" customWidth="1"/>
    <col min="15372" max="15372" width="10.7142857142857" style="2" customWidth="1"/>
    <col min="15373" max="15373" width="8.71428571428571" style="2" customWidth="1"/>
    <col min="15374" max="15374" width="2.71428571428571" style="2" customWidth="1"/>
    <col min="15375" max="15376" width="10.7142857142857" style="2" customWidth="1"/>
    <col min="15377" max="15377" width="8.71428571428571" style="2" customWidth="1"/>
    <col min="15378" max="15378" width="2.71428571428571" style="2" customWidth="1"/>
    <col min="15379" max="15379" width="9.14285714285714" style="2"/>
    <col min="15380" max="15380" width="2.71428571428571" style="2" customWidth="1"/>
    <col min="15381" max="15617" width="9.14285714285714" style="2"/>
    <col min="15618" max="15618" width="4.71428571428571" style="2" customWidth="1"/>
    <col min="15619" max="15619" width="8.71428571428571" style="2" customWidth="1"/>
    <col min="15620" max="15620" width="7.71428571428571" style="2" customWidth="1"/>
    <col min="15621" max="15621" width="8.71428571428571" style="2" customWidth="1"/>
    <col min="15622" max="15622" width="2.71428571428571" style="2" customWidth="1"/>
    <col min="15623" max="15623" width="8.71428571428571" style="2" customWidth="1"/>
    <col min="15624" max="15624" width="2.71428571428571" style="2" customWidth="1"/>
    <col min="15625" max="15625" width="10.7142857142857" style="2" customWidth="1"/>
    <col min="15626" max="15626" width="2.71428571428571" style="2" customWidth="1"/>
    <col min="15627" max="15627" width="8.71428571428571" style="2" customWidth="1"/>
    <col min="15628" max="15628" width="10.7142857142857" style="2" customWidth="1"/>
    <col min="15629" max="15629" width="8.71428571428571" style="2" customWidth="1"/>
    <col min="15630" max="15630" width="2.71428571428571" style="2" customWidth="1"/>
    <col min="15631" max="15632" width="10.7142857142857" style="2" customWidth="1"/>
    <col min="15633" max="15633" width="8.71428571428571" style="2" customWidth="1"/>
    <col min="15634" max="15634" width="2.71428571428571" style="2" customWidth="1"/>
    <col min="15635" max="15635" width="9.14285714285714" style="2"/>
    <col min="15636" max="15636" width="2.71428571428571" style="2" customWidth="1"/>
    <col min="15637" max="15873" width="9.14285714285714" style="2"/>
    <col min="15874" max="15874" width="4.71428571428571" style="2" customWidth="1"/>
    <col min="15875" max="15875" width="8.71428571428571" style="2" customWidth="1"/>
    <col min="15876" max="15876" width="7.71428571428571" style="2" customWidth="1"/>
    <col min="15877" max="15877" width="8.71428571428571" style="2" customWidth="1"/>
    <col min="15878" max="15878" width="2.71428571428571" style="2" customWidth="1"/>
    <col min="15879" max="15879" width="8.71428571428571" style="2" customWidth="1"/>
    <col min="15880" max="15880" width="2.71428571428571" style="2" customWidth="1"/>
    <col min="15881" max="15881" width="10.7142857142857" style="2" customWidth="1"/>
    <col min="15882" max="15882" width="2.71428571428571" style="2" customWidth="1"/>
    <col min="15883" max="15883" width="8.71428571428571" style="2" customWidth="1"/>
    <col min="15884" max="15884" width="10.7142857142857" style="2" customWidth="1"/>
    <col min="15885" max="15885" width="8.71428571428571" style="2" customWidth="1"/>
    <col min="15886" max="15886" width="2.71428571428571" style="2" customWidth="1"/>
    <col min="15887" max="15888" width="10.7142857142857" style="2" customWidth="1"/>
    <col min="15889" max="15889" width="8.71428571428571" style="2" customWidth="1"/>
    <col min="15890" max="15890" width="2.71428571428571" style="2" customWidth="1"/>
    <col min="15891" max="15891" width="9.14285714285714" style="2"/>
    <col min="15892" max="15892" width="2.71428571428571" style="2" customWidth="1"/>
    <col min="15893" max="16129" width="9.14285714285714" style="2"/>
    <col min="16130" max="16130" width="4.71428571428571" style="2" customWidth="1"/>
    <col min="16131" max="16131" width="8.71428571428571" style="2" customWidth="1"/>
    <col min="16132" max="16132" width="7.71428571428571" style="2" customWidth="1"/>
    <col min="16133" max="16133" width="8.71428571428571" style="2" customWidth="1"/>
    <col min="16134" max="16134" width="2.71428571428571" style="2" customWidth="1"/>
    <col min="16135" max="16135" width="8.71428571428571" style="2" customWidth="1"/>
    <col min="16136" max="16136" width="2.71428571428571" style="2" customWidth="1"/>
    <col min="16137" max="16137" width="10.7142857142857" style="2" customWidth="1"/>
    <col min="16138" max="16138" width="2.71428571428571" style="2" customWidth="1"/>
    <col min="16139" max="16139" width="8.71428571428571" style="2" customWidth="1"/>
    <col min="16140" max="16140" width="10.7142857142857" style="2" customWidth="1"/>
    <col min="16141" max="16141" width="8.71428571428571" style="2" customWidth="1"/>
    <col min="16142" max="16142" width="2.71428571428571" style="2" customWidth="1"/>
    <col min="16143" max="16144" width="10.7142857142857" style="2" customWidth="1"/>
    <col min="16145" max="16145" width="8.71428571428571" style="2" customWidth="1"/>
    <col min="16146" max="16146" width="2.71428571428571" style="2" customWidth="1"/>
    <col min="16147" max="16147" width="9.14285714285714" style="2"/>
    <col min="16148" max="16148" width="2.71428571428571" style="2" customWidth="1"/>
    <col min="16149" max="16384" width="9.14285714285714" style="2"/>
  </cols>
  <sheetData>
    <row r="1" spans="4:18" ht="18.75" customHeight="1">
      <c r="D1" s="1"/>
      <c r="O1" s="9"/>
      <c r="Q1" s="9"/>
      <c r="R1" s="9" t="s">
        <v>31</v>
      </c>
    </row>
    <row r="2" spans="15:18" ht="18.75" customHeight="1">
      <c r="O2" s="9"/>
      <c r="Q2" s="9"/>
      <c r="R2" s="9" t="s">
        <v>66</v>
      </c>
    </row>
    <row r="3" spans="15:17" ht="18.75" customHeight="1">
      <c r="O3" s="9"/>
      <c r="Q3" s="9"/>
    </row>
    <row r="4" spans="1:22" ht="18" customHeight="1">
      <c r="A4" s="20" t="s">
        <v>88</v>
      </c>
      <c r="B4" s="18"/>
      <c r="C4" s="18"/>
      <c r="D4" s="18"/>
      <c r="E4" s="18"/>
      <c r="F4" s="19"/>
      <c r="G4" s="22"/>
      <c r="H4" s="20"/>
      <c r="I4" s="19"/>
      <c r="J4" s="18"/>
      <c r="K4" s="18"/>
      <c r="L4" s="20"/>
      <c r="M4" s="22"/>
      <c r="N4" s="18"/>
      <c r="O4" s="18"/>
      <c r="P4" s="19"/>
      <c r="Q4" s="18"/>
      <c r="R4" s="18"/>
      <c r="S4" s="18"/>
      <c r="T4" s="18"/>
      <c r="U4" s="18"/>
      <c r="V4" s="18"/>
    </row>
    <row r="5" spans="1:22" ht="18" customHeight="1">
      <c r="A5" s="20" t="s">
        <v>51</v>
      </c>
      <c r="B5" s="18"/>
      <c r="C5" s="18"/>
      <c r="D5" s="18"/>
      <c r="E5" s="18"/>
      <c r="F5" s="19"/>
      <c r="G5" s="22"/>
      <c r="H5" s="20"/>
      <c r="I5" s="21"/>
      <c r="J5" s="18"/>
      <c r="K5" s="19"/>
      <c r="L5" s="20"/>
      <c r="M5" s="23"/>
      <c r="N5" s="18"/>
      <c r="O5" s="18"/>
      <c r="P5" s="21"/>
      <c r="Q5" s="20"/>
      <c r="R5" s="18"/>
      <c r="S5" s="18"/>
      <c r="T5" s="18"/>
      <c r="U5" s="18"/>
      <c r="V5" s="18"/>
    </row>
    <row r="6" spans="1:22" ht="18" customHeight="1">
      <c r="A6" s="20" t="s">
        <v>72</v>
      </c>
      <c r="B6" s="18"/>
      <c r="C6" s="18"/>
      <c r="D6" s="18"/>
      <c r="E6" s="18"/>
      <c r="F6" s="19"/>
      <c r="G6" s="22"/>
      <c r="H6" s="19"/>
      <c r="I6" s="19"/>
      <c r="J6" s="20"/>
      <c r="K6" s="19"/>
      <c r="L6" s="19"/>
      <c r="M6" s="22"/>
      <c r="N6" s="18"/>
      <c r="O6" s="20"/>
      <c r="P6" s="21"/>
      <c r="Q6" s="20"/>
      <c r="R6" s="18"/>
      <c r="S6" s="18"/>
      <c r="T6" s="18"/>
      <c r="U6" s="18"/>
      <c r="V6" s="18"/>
    </row>
    <row r="7" spans="1:22" ht="18" customHeight="1">
      <c r="A7" s="20" t="s">
        <v>49</v>
      </c>
      <c r="B7" s="18"/>
      <c r="C7" s="18"/>
      <c r="D7" s="18"/>
      <c r="E7" s="18"/>
      <c r="F7" s="18"/>
      <c r="G7" s="22"/>
      <c r="H7" s="19"/>
      <c r="I7" s="19"/>
      <c r="J7" s="20"/>
      <c r="K7" s="19"/>
      <c r="L7" s="19"/>
      <c r="M7" s="22"/>
      <c r="N7" s="18"/>
      <c r="O7" s="20"/>
      <c r="P7" s="21"/>
      <c r="Q7" s="20"/>
      <c r="R7" s="18"/>
      <c r="S7" s="18"/>
      <c r="T7" s="18"/>
      <c r="U7" s="18"/>
      <c r="V7" s="18"/>
    </row>
    <row r="8" spans="1:22" ht="18" customHeight="1">
      <c r="A8" s="20" t="s">
        <v>109</v>
      </c>
      <c r="B8" s="18"/>
      <c r="C8" s="18"/>
      <c r="D8" s="18"/>
      <c r="E8" s="18"/>
      <c r="F8" s="18"/>
      <c r="G8" s="22"/>
      <c r="H8" s="19"/>
      <c r="I8" s="19"/>
      <c r="J8" s="20"/>
      <c r="K8" s="19"/>
      <c r="L8" s="19"/>
      <c r="M8" s="22"/>
      <c r="N8" s="18"/>
      <c r="O8" s="20"/>
      <c r="P8" s="21"/>
      <c r="Q8" s="20"/>
      <c r="R8" s="18"/>
      <c r="S8" s="18"/>
      <c r="T8" s="18"/>
      <c r="U8" s="18"/>
      <c r="V8" s="18"/>
    </row>
    <row r="9" spans="1:22" ht="18" customHeight="1">
      <c r="A9" s="20"/>
      <c r="B9" s="18"/>
      <c r="C9" s="18"/>
      <c r="D9" s="18"/>
      <c r="E9" s="18"/>
      <c r="F9" s="19"/>
      <c r="G9" s="22"/>
      <c r="H9" s="21"/>
      <c r="I9" s="21"/>
      <c r="J9" s="18"/>
      <c r="K9" s="19"/>
      <c r="L9" s="21"/>
      <c r="M9" s="23"/>
      <c r="N9" s="18"/>
      <c r="O9" s="18"/>
      <c r="P9" s="19"/>
      <c r="Q9" s="18"/>
      <c r="R9" s="18"/>
      <c r="S9" s="18"/>
      <c r="T9" s="18"/>
      <c r="U9" s="18"/>
      <c r="V9" s="18"/>
    </row>
    <row r="10" spans="1:22" ht="18" customHeight="1">
      <c r="A10" s="20" t="s">
        <v>58</v>
      </c>
      <c r="B10" s="18"/>
      <c r="C10" s="18"/>
      <c r="D10" s="18"/>
      <c r="E10" s="18"/>
      <c r="F10" s="19"/>
      <c r="G10" s="22"/>
      <c r="H10" s="21"/>
      <c r="I10" s="21"/>
      <c r="J10" s="18"/>
      <c r="K10" s="19"/>
      <c r="L10" s="21"/>
      <c r="M10" s="23"/>
      <c r="N10" s="18"/>
      <c r="O10" s="18"/>
      <c r="P10" s="19"/>
      <c r="Q10" s="18"/>
      <c r="R10" s="18"/>
      <c r="S10" s="18"/>
      <c r="T10" s="18"/>
      <c r="U10" s="18"/>
      <c r="V10" s="18"/>
    </row>
    <row r="11" spans="15:17" ht="18.75" customHeight="1">
      <c r="O11" s="9"/>
      <c r="Q11" s="9"/>
    </row>
    <row r="12" spans="3:17" ht="18.75" customHeight="1">
      <c r="C12" s="2" t="s">
        <v>37</v>
      </c>
      <c r="O12" s="9"/>
      <c r="Q12" s="9"/>
    </row>
    <row r="13" spans="3:17" ht="18.75" customHeight="1">
      <c r="C13" s="2" t="s">
        <v>38</v>
      </c>
      <c r="O13" s="9"/>
      <c r="Q13" s="9"/>
    </row>
    <row r="14" spans="15:17" ht="10" customHeight="1">
      <c r="O14" s="9"/>
      <c r="Q14" s="9"/>
    </row>
    <row r="15" spans="7:19" ht="18.75" customHeight="1">
      <c r="G15" s="11"/>
      <c r="I15" s="11" t="s">
        <v>45</v>
      </c>
      <c r="K15" s="11" t="s">
        <v>46</v>
      </c>
      <c r="M15" s="9" t="s">
        <v>47</v>
      </c>
      <c r="O15" s="9" t="s">
        <v>69</v>
      </c>
      <c r="P15" s="2"/>
      <c r="Q15" s="2" t="s">
        <v>48</v>
      </c>
      <c r="S15" s="2" t="s">
        <v>70</v>
      </c>
    </row>
    <row r="16" spans="6:17" ht="18.75" customHeight="1">
      <c r="F16" s="7"/>
      <c r="G16" s="11"/>
      <c r="I16" s="7" t="s">
        <v>107</v>
      </c>
      <c r="J16" s="7"/>
      <c r="K16" s="7"/>
      <c r="L16" s="2"/>
      <c r="M16" s="7" t="s">
        <v>108</v>
      </c>
      <c r="N16" s="7"/>
      <c r="O16" s="7"/>
      <c r="Q16" s="7" t="s">
        <v>110</v>
      </c>
    </row>
    <row r="17" spans="3:19" ht="18.75" customHeight="1">
      <c r="C17" s="2" t="s">
        <v>2</v>
      </c>
      <c r="G17" s="11"/>
      <c r="I17" s="11" t="s">
        <v>52</v>
      </c>
      <c r="L17" s="2"/>
      <c r="M17" s="11" t="s">
        <v>52</v>
      </c>
      <c r="Q17" s="11" t="s">
        <v>52</v>
      </c>
      <c r="R17" s="11"/>
      <c r="S17" s="11"/>
    </row>
    <row r="18" spans="3:19" ht="18.75" customHeight="1">
      <c r="C18" s="8" t="s">
        <v>9</v>
      </c>
      <c r="F18" s="12"/>
      <c r="G18" s="12"/>
      <c r="I18" s="13" t="s">
        <v>41</v>
      </c>
      <c r="J18" s="12"/>
      <c r="K18" s="17" t="s">
        <v>16</v>
      </c>
      <c r="L18" s="2"/>
      <c r="M18" s="13" t="s">
        <v>41</v>
      </c>
      <c r="N18" s="12"/>
      <c r="O18" s="17" t="s">
        <v>16</v>
      </c>
      <c r="Q18" s="13" t="s">
        <v>41</v>
      </c>
      <c r="R18" s="12"/>
      <c r="S18" s="17" t="s">
        <v>16</v>
      </c>
    </row>
    <row r="19" spans="3:13" ht="18" customHeight="1">
      <c r="C19" s="2"/>
      <c r="G19" s="11"/>
      <c r="L19" s="2"/>
      <c r="M19" s="11"/>
    </row>
    <row r="20" spans="3:19" ht="22" customHeight="1">
      <c r="C20" s="10">
        <v>1</v>
      </c>
      <c r="D20" s="10" t="s">
        <v>17</v>
      </c>
      <c r="F20" s="15"/>
      <c r="G20" s="15"/>
      <c r="H20" s="9"/>
      <c r="I20" s="9">
        <v>0.81303338181607421</v>
      </c>
      <c r="J20" s="2"/>
      <c r="K20" s="39">
        <v>0.87812394789350212</v>
      </c>
      <c r="L20" s="2"/>
      <c r="M20" s="9">
        <v>0.9576893330484062</v>
      </c>
      <c r="N20" s="9"/>
      <c r="O20" s="9">
        <v>0.91026527948430858</v>
      </c>
      <c r="Q20" s="9">
        <v>0.92226467336024043</v>
      </c>
      <c r="R20" s="9"/>
      <c r="S20" s="9">
        <v>0.90905480000000005</v>
      </c>
    </row>
    <row r="21" spans="3:19" ht="22" customHeight="1">
      <c r="C21" s="10">
        <v>2</v>
      </c>
      <c r="D21" s="10" t="s">
        <v>18</v>
      </c>
      <c r="F21" s="9"/>
      <c r="G21" s="15"/>
      <c r="H21" s="9"/>
      <c r="I21" s="9">
        <v>0.86473037396237151</v>
      </c>
      <c r="J21" s="2"/>
      <c r="K21" s="39">
        <v>0.88670380927970205</v>
      </c>
      <c r="L21" s="2"/>
      <c r="M21" s="9">
        <v>0.88156300956389166</v>
      </c>
      <c r="N21" s="9"/>
      <c r="O21" s="9">
        <v>0.90551627324411421</v>
      </c>
      <c r="Q21" s="9">
        <v>0.95346156573315954</v>
      </c>
      <c r="R21" s="9"/>
      <c r="S21" s="9">
        <v>0.91700309999999996</v>
      </c>
    </row>
    <row r="22" spans="3:19" ht="22" customHeight="1">
      <c r="C22" s="10">
        <v>3</v>
      </c>
      <c r="D22" s="10" t="s">
        <v>19</v>
      </c>
      <c r="F22" s="16"/>
      <c r="G22" s="15"/>
      <c r="H22" s="9"/>
      <c r="I22" s="9">
        <v>0.90060303389190288</v>
      </c>
      <c r="J22" s="2"/>
      <c r="K22" s="39">
        <v>0.89445433082902859</v>
      </c>
      <c r="L22" s="2"/>
      <c r="M22" s="9">
        <v>0.81373102371182671</v>
      </c>
      <c r="N22" s="9"/>
      <c r="O22" s="9">
        <v>0.88217482716593865</v>
      </c>
      <c r="Q22" s="9">
        <v>0.85831211395586016</v>
      </c>
      <c r="R22" s="9"/>
      <c r="S22" s="9">
        <v>0.91621509999999995</v>
      </c>
    </row>
    <row r="23" spans="3:19" ht="22" customHeight="1">
      <c r="C23" s="10">
        <v>4</v>
      </c>
      <c r="D23" s="10" t="s">
        <v>20</v>
      </c>
      <c r="F23" s="16"/>
      <c r="G23" s="15"/>
      <c r="H23" s="9"/>
      <c r="I23" s="9">
        <v>0.94120339519725338</v>
      </c>
      <c r="J23" s="2"/>
      <c r="K23" s="39">
        <v>0.89760925049230122</v>
      </c>
      <c r="L23" s="2"/>
      <c r="M23" s="9">
        <v>0.93710297351794436</v>
      </c>
      <c r="N23" s="9"/>
      <c r="O23" s="9">
        <v>0.89783881835631729</v>
      </c>
      <c r="Q23" s="9">
        <v>0.9167925576214202</v>
      </c>
      <c r="R23" s="9"/>
      <c r="S23" s="9">
        <v>0.87252249999999998</v>
      </c>
    </row>
    <row r="24" spans="3:19" ht="22" customHeight="1">
      <c r="C24" s="10">
        <v>5</v>
      </c>
      <c r="D24" s="10" t="s">
        <v>21</v>
      </c>
      <c r="F24" s="16"/>
      <c r="G24" s="15"/>
      <c r="H24" s="9"/>
      <c r="I24" s="9">
        <v>0.94236052751503052</v>
      </c>
      <c r="J24" s="2"/>
      <c r="K24" s="39">
        <v>0.91356314378823156</v>
      </c>
      <c r="L24" s="2"/>
      <c r="M24" s="9">
        <v>0.96033986063426702</v>
      </c>
      <c r="N24" s="9"/>
      <c r="O24" s="9">
        <v>0.90005113549852267</v>
      </c>
      <c r="Q24" s="9">
        <v>0.95221459495019767</v>
      </c>
      <c r="R24" s="9"/>
      <c r="S24" s="9">
        <v>0.90122659999999999</v>
      </c>
    </row>
    <row r="25" spans="3:19" ht="22" customHeight="1">
      <c r="C25" s="10">
        <v>6</v>
      </c>
      <c r="D25" s="10" t="s">
        <v>22</v>
      </c>
      <c r="F25" s="16"/>
      <c r="G25" s="15"/>
      <c r="H25" s="9"/>
      <c r="I25" s="9">
        <v>0.86799972163083339</v>
      </c>
      <c r="J25" s="2"/>
      <c r="K25" s="53">
        <v>0.903951227750453</v>
      </c>
      <c r="L25" s="2"/>
      <c r="M25" s="9">
        <v>0.84479113241633375</v>
      </c>
      <c r="N25" s="9"/>
      <c r="O25" s="9">
        <v>0.9028700013301314</v>
      </c>
      <c r="Q25" s="9">
        <v>0.8018775530392338</v>
      </c>
      <c r="R25" s="9"/>
      <c r="S25" s="9">
        <v>0.89157799999999998</v>
      </c>
    </row>
    <row r="26" spans="3:19" ht="22" customHeight="1">
      <c r="C26" s="10">
        <v>7</v>
      </c>
      <c r="D26" s="10" t="s">
        <v>23</v>
      </c>
      <c r="F26" s="15"/>
      <c r="G26" s="15"/>
      <c r="H26" s="9"/>
      <c r="I26" s="9">
        <v>0.81721495307830905</v>
      </c>
      <c r="J26" s="2"/>
      <c r="K26" s="53">
        <v>0.88537166971384218</v>
      </c>
      <c r="L26" s="2"/>
      <c r="M26" s="9">
        <v>0.83758255726067754</v>
      </c>
      <c r="N26" s="9"/>
      <c r="O26" s="9">
        <v>0.90088378781709677</v>
      </c>
      <c r="Q26" s="9">
        <v>0.80918739375488025</v>
      </c>
      <c r="R26" s="9"/>
      <c r="S26" s="9">
        <v>0.90308160000000004</v>
      </c>
    </row>
    <row r="27" spans="3:19" ht="22" customHeight="1">
      <c r="C27" s="10">
        <v>8</v>
      </c>
      <c r="D27" s="10" t="s">
        <v>24</v>
      </c>
      <c r="F27" s="15"/>
      <c r="H27" s="9"/>
      <c r="I27" s="9">
        <v>0.92100214758509469</v>
      </c>
      <c r="J27" s="2"/>
      <c r="K27" s="53">
        <v>0.89717640674565069</v>
      </c>
      <c r="L27" s="2"/>
      <c r="M27" s="9">
        <v>0.87291215121033439</v>
      </c>
      <c r="N27" s="9"/>
      <c r="O27" s="9">
        <v>0.89057152532026873</v>
      </c>
      <c r="Q27" s="9">
        <v>0.93044867714157342</v>
      </c>
      <c r="R27" s="9"/>
      <c r="S27" s="9">
        <v>0.90567710000000001</v>
      </c>
    </row>
    <row r="28" spans="3:19" ht="22" customHeight="1">
      <c r="C28" s="10">
        <v>9</v>
      </c>
      <c r="D28" s="10" t="s">
        <v>25</v>
      </c>
      <c r="F28" s="15"/>
      <c r="G28" s="16"/>
      <c r="H28" s="9"/>
      <c r="I28" s="9">
        <v>0.83797632444193237</v>
      </c>
      <c r="J28" s="2"/>
      <c r="K28" s="53">
        <v>0.89678128749410757</v>
      </c>
      <c r="L28" s="2"/>
      <c r="M28" s="9">
        <v>0.94717374951526079</v>
      </c>
      <c r="N28" s="9"/>
      <c r="O28" s="9">
        <v>0.91695347155893792</v>
      </c>
      <c r="Q28" s="9">
        <v>0.8855790263151091</v>
      </c>
      <c r="R28" s="9"/>
      <c r="S28" s="9">
        <v>0.91192879999999998</v>
      </c>
    </row>
    <row r="29" spans="3:19" ht="22" customHeight="1">
      <c r="C29" s="10">
        <v>10</v>
      </c>
      <c r="D29" s="10" t="s">
        <v>26</v>
      </c>
      <c r="F29" s="15"/>
      <c r="G29" s="16"/>
      <c r="H29" s="9"/>
      <c r="I29" s="9">
        <v>0.89034303613485488</v>
      </c>
      <c r="J29" s="2"/>
      <c r="K29" s="53">
        <v>0.87623129198397942</v>
      </c>
      <c r="L29" s="2"/>
      <c r="M29" s="9">
        <v>0.95395061571840478</v>
      </c>
      <c r="N29" s="9"/>
      <c r="O29" s="9">
        <v>0.87716674111480264</v>
      </c>
      <c r="Q29" s="9">
        <v>0.92041691977638251</v>
      </c>
      <c r="R29" s="9"/>
      <c r="S29" s="9">
        <v>0.89888000000000001</v>
      </c>
    </row>
    <row r="30" spans="3:19" ht="22" customHeight="1">
      <c r="C30" s="10">
        <v>11</v>
      </c>
      <c r="D30" s="10" t="s">
        <v>27</v>
      </c>
      <c r="F30" s="15"/>
      <c r="G30" s="16"/>
      <c r="H30" s="9"/>
      <c r="I30" s="9">
        <v>0.89855085394704293</v>
      </c>
      <c r="J30" s="2"/>
      <c r="K30" s="39">
        <v>0.88619785441794208</v>
      </c>
      <c r="L30" s="2"/>
      <c r="M30" s="9">
        <v>0.89634261166614093</v>
      </c>
      <c r="N30" s="9"/>
      <c r="O30" s="9">
        <v>0.89809250921797779</v>
      </c>
      <c r="Q30" s="9">
        <v>0.91551260588310812</v>
      </c>
      <c r="R30" s="9"/>
      <c r="S30" s="9">
        <v>0.92181369999999996</v>
      </c>
    </row>
    <row r="31" spans="3:19" ht="22" customHeight="1">
      <c r="C31" s="10">
        <v>12</v>
      </c>
      <c r="D31" s="10" t="s">
        <v>28</v>
      </c>
      <c r="F31" s="15"/>
      <c r="G31" s="16"/>
      <c r="H31" s="9"/>
      <c r="I31" s="9">
        <v>0.86716314136987427</v>
      </c>
      <c r="J31" s="2"/>
      <c r="K31" s="39">
        <v>0.87503210515658658</v>
      </c>
      <c r="L31" s="2"/>
      <c r="M31" s="9">
        <v>0.93392747401643683</v>
      </c>
      <c r="N31" s="9"/>
      <c r="O31" s="9">
        <v>0.89347477026683242</v>
      </c>
      <c r="Q31" s="9">
        <v>0.92258655277581303</v>
      </c>
      <c r="R31" s="9"/>
      <c r="S31" s="9">
        <v>0.90894625344560909</v>
      </c>
    </row>
    <row r="32" spans="4:21" ht="21" customHeight="1">
      <c r="D32" s="10"/>
      <c r="E32" s="10"/>
      <c r="F32" s="16"/>
      <c r="H32" s="9"/>
      <c r="I32" s="9"/>
      <c r="J32" s="16"/>
      <c r="K32" s="9"/>
      <c r="L32" s="9"/>
      <c r="N32" s="9"/>
      <c r="O32" s="9"/>
      <c r="P32" s="2"/>
      <c r="Q32" s="9"/>
      <c r="S32" s="9"/>
      <c r="U32" s="9"/>
    </row>
    <row r="33" spans="3:21" ht="21" customHeight="1">
      <c r="C33" s="2" t="s">
        <v>36</v>
      </c>
      <c r="E33" s="10"/>
      <c r="F33" s="16"/>
      <c r="H33" s="9"/>
      <c r="I33" s="9"/>
      <c r="J33" s="16"/>
      <c r="K33" s="9"/>
      <c r="L33" s="9"/>
      <c r="N33" s="9"/>
      <c r="O33" s="9"/>
      <c r="P33" s="2"/>
      <c r="Q33" s="9"/>
      <c r="S33" s="9"/>
      <c r="U33" s="9"/>
    </row>
  </sheetData>
  <pageMargins left="0.5" right="1" top="1.5" bottom="0.5" header="0.5" footer="0.5"/>
  <pageSetup orientation="landscape" scale="72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V33"/>
  <sheetViews>
    <sheetView zoomScale="75" zoomScaleNormal="75" workbookViewId="0" topLeftCell="A1">
      <selection pane="topLeft" activeCell="Q17" sqref="Q17"/>
    </sheetView>
  </sheetViews>
  <sheetFormatPr defaultRowHeight="18.75" customHeight="1"/>
  <cols>
    <col min="2" max="2" width="4.71428571428571" customWidth="1"/>
    <col min="3" max="3" width="8.71428571428571" customWidth="1"/>
    <col min="4" max="4" width="7.71428571428571" style="2" customWidth="1"/>
    <col min="5" max="5" width="8.71428571428571" style="2" customWidth="1"/>
    <col min="6" max="6" width="2.71428571428571" style="11" customWidth="1"/>
    <col min="7" max="7" width="8.71428571428571" style="9" customWidth="1"/>
    <col min="8" max="8" width="2.71428571428571" style="11" customWidth="1"/>
    <col min="9" max="9" width="10.7142857142857" style="11" customWidth="1"/>
    <col min="10" max="10" width="2.71428571428571" style="11" customWidth="1"/>
    <col min="11" max="11" width="8.71428571428571" style="9" customWidth="1"/>
    <col min="12" max="12" width="10.7142857142857" style="11" customWidth="1"/>
    <col min="13" max="13" width="8.71428571428571" style="9" customWidth="1"/>
    <col min="14" max="14" width="2.71428571428571" style="11" customWidth="1"/>
    <col min="15" max="16" width="10.7142857142857" style="11" customWidth="1"/>
    <col min="17" max="17" width="8.71428571428571" style="11" customWidth="1"/>
    <col min="18" max="18" width="2.71428571428571" style="2" customWidth="1"/>
    <col min="19" max="19" width="9.14285714285714" style="2"/>
    <col min="20" max="20" width="2.71428571428571" style="2" customWidth="1"/>
    <col min="21" max="257" width="9.14285714285714" style="2"/>
    <col min="258" max="258" width="4.71428571428571" style="2" customWidth="1"/>
    <col min="259" max="259" width="8.71428571428571" style="2" customWidth="1"/>
    <col min="260" max="260" width="7.71428571428571" style="2" customWidth="1"/>
    <col min="261" max="261" width="8.71428571428571" style="2" customWidth="1"/>
    <col min="262" max="262" width="2.71428571428571" style="2" customWidth="1"/>
    <col min="263" max="263" width="8.71428571428571" style="2" customWidth="1"/>
    <col min="264" max="264" width="2.71428571428571" style="2" customWidth="1"/>
    <col min="265" max="265" width="10.7142857142857" style="2" customWidth="1"/>
    <col min="266" max="266" width="2.71428571428571" style="2" customWidth="1"/>
    <col min="267" max="267" width="8.71428571428571" style="2" customWidth="1"/>
    <col min="268" max="268" width="10.7142857142857" style="2" customWidth="1"/>
    <col min="269" max="269" width="8.71428571428571" style="2" customWidth="1"/>
    <col min="270" max="270" width="2.71428571428571" style="2" customWidth="1"/>
    <col min="271" max="272" width="10.7142857142857" style="2" customWidth="1"/>
    <col min="273" max="273" width="8.71428571428571" style="2" customWidth="1"/>
    <col min="274" max="274" width="2.71428571428571" style="2" customWidth="1"/>
    <col min="275" max="275" width="9.14285714285714" style="2"/>
    <col min="276" max="276" width="2.71428571428571" style="2" customWidth="1"/>
    <col min="277" max="513" width="9.14285714285714" style="2"/>
    <col min="514" max="514" width="4.71428571428571" style="2" customWidth="1"/>
    <col min="515" max="515" width="8.71428571428571" style="2" customWidth="1"/>
    <col min="516" max="516" width="7.71428571428571" style="2" customWidth="1"/>
    <col min="517" max="517" width="8.71428571428571" style="2" customWidth="1"/>
    <col min="518" max="518" width="2.71428571428571" style="2" customWidth="1"/>
    <col min="519" max="519" width="8.71428571428571" style="2" customWidth="1"/>
    <col min="520" max="520" width="2.71428571428571" style="2" customWidth="1"/>
    <col min="521" max="521" width="10.7142857142857" style="2" customWidth="1"/>
    <col min="522" max="522" width="2.71428571428571" style="2" customWidth="1"/>
    <col min="523" max="523" width="8.71428571428571" style="2" customWidth="1"/>
    <col min="524" max="524" width="10.7142857142857" style="2" customWidth="1"/>
    <col min="525" max="525" width="8.71428571428571" style="2" customWidth="1"/>
    <col min="526" max="526" width="2.71428571428571" style="2" customWidth="1"/>
    <col min="527" max="528" width="10.7142857142857" style="2" customWidth="1"/>
    <col min="529" max="529" width="8.71428571428571" style="2" customWidth="1"/>
    <col min="530" max="530" width="2.71428571428571" style="2" customWidth="1"/>
    <col min="531" max="531" width="9.14285714285714" style="2"/>
    <col min="532" max="532" width="2.71428571428571" style="2" customWidth="1"/>
    <col min="533" max="769" width="9.14285714285714" style="2"/>
    <col min="770" max="770" width="4.71428571428571" style="2" customWidth="1"/>
    <col min="771" max="771" width="8.71428571428571" style="2" customWidth="1"/>
    <col min="772" max="772" width="7.71428571428571" style="2" customWidth="1"/>
    <col min="773" max="773" width="8.71428571428571" style="2" customWidth="1"/>
    <col min="774" max="774" width="2.71428571428571" style="2" customWidth="1"/>
    <col min="775" max="775" width="8.71428571428571" style="2" customWidth="1"/>
    <col min="776" max="776" width="2.71428571428571" style="2" customWidth="1"/>
    <col min="777" max="777" width="10.7142857142857" style="2" customWidth="1"/>
    <col min="778" max="778" width="2.71428571428571" style="2" customWidth="1"/>
    <col min="779" max="779" width="8.71428571428571" style="2" customWidth="1"/>
    <col min="780" max="780" width="10.7142857142857" style="2" customWidth="1"/>
    <col min="781" max="781" width="8.71428571428571" style="2" customWidth="1"/>
    <col min="782" max="782" width="2.71428571428571" style="2" customWidth="1"/>
    <col min="783" max="784" width="10.7142857142857" style="2" customWidth="1"/>
    <col min="785" max="785" width="8.71428571428571" style="2" customWidth="1"/>
    <col min="786" max="786" width="2.71428571428571" style="2" customWidth="1"/>
    <col min="787" max="787" width="9.14285714285714" style="2"/>
    <col min="788" max="788" width="2.71428571428571" style="2" customWidth="1"/>
    <col min="789" max="1025" width="9.14285714285714" style="2"/>
    <col min="1026" max="1026" width="4.71428571428571" style="2" customWidth="1"/>
    <col min="1027" max="1027" width="8.71428571428571" style="2" customWidth="1"/>
    <col min="1028" max="1028" width="7.71428571428571" style="2" customWidth="1"/>
    <col min="1029" max="1029" width="8.71428571428571" style="2" customWidth="1"/>
    <col min="1030" max="1030" width="2.71428571428571" style="2" customWidth="1"/>
    <col min="1031" max="1031" width="8.71428571428571" style="2" customWidth="1"/>
    <col min="1032" max="1032" width="2.71428571428571" style="2" customWidth="1"/>
    <col min="1033" max="1033" width="10.7142857142857" style="2" customWidth="1"/>
    <col min="1034" max="1034" width="2.71428571428571" style="2" customWidth="1"/>
    <col min="1035" max="1035" width="8.71428571428571" style="2" customWidth="1"/>
    <col min="1036" max="1036" width="10.7142857142857" style="2" customWidth="1"/>
    <col min="1037" max="1037" width="8.71428571428571" style="2" customWidth="1"/>
    <col min="1038" max="1038" width="2.71428571428571" style="2" customWidth="1"/>
    <col min="1039" max="1040" width="10.7142857142857" style="2" customWidth="1"/>
    <col min="1041" max="1041" width="8.71428571428571" style="2" customWidth="1"/>
    <col min="1042" max="1042" width="2.71428571428571" style="2" customWidth="1"/>
    <col min="1043" max="1043" width="9.14285714285714" style="2"/>
    <col min="1044" max="1044" width="2.71428571428571" style="2" customWidth="1"/>
    <col min="1045" max="1281" width="9.14285714285714" style="2"/>
    <col min="1282" max="1282" width="4.71428571428571" style="2" customWidth="1"/>
    <col min="1283" max="1283" width="8.71428571428571" style="2" customWidth="1"/>
    <col min="1284" max="1284" width="7.71428571428571" style="2" customWidth="1"/>
    <col min="1285" max="1285" width="8.71428571428571" style="2" customWidth="1"/>
    <col min="1286" max="1286" width="2.71428571428571" style="2" customWidth="1"/>
    <col min="1287" max="1287" width="8.71428571428571" style="2" customWidth="1"/>
    <col min="1288" max="1288" width="2.71428571428571" style="2" customWidth="1"/>
    <col min="1289" max="1289" width="10.7142857142857" style="2" customWidth="1"/>
    <col min="1290" max="1290" width="2.71428571428571" style="2" customWidth="1"/>
    <col min="1291" max="1291" width="8.71428571428571" style="2" customWidth="1"/>
    <col min="1292" max="1292" width="10.7142857142857" style="2" customWidth="1"/>
    <col min="1293" max="1293" width="8.71428571428571" style="2" customWidth="1"/>
    <col min="1294" max="1294" width="2.71428571428571" style="2" customWidth="1"/>
    <col min="1295" max="1296" width="10.7142857142857" style="2" customWidth="1"/>
    <col min="1297" max="1297" width="8.71428571428571" style="2" customWidth="1"/>
    <col min="1298" max="1298" width="2.71428571428571" style="2" customWidth="1"/>
    <col min="1299" max="1299" width="9.14285714285714" style="2"/>
    <col min="1300" max="1300" width="2.71428571428571" style="2" customWidth="1"/>
    <col min="1301" max="1537" width="9.14285714285714" style="2"/>
    <col min="1538" max="1538" width="4.71428571428571" style="2" customWidth="1"/>
    <col min="1539" max="1539" width="8.71428571428571" style="2" customWidth="1"/>
    <col min="1540" max="1540" width="7.71428571428571" style="2" customWidth="1"/>
    <col min="1541" max="1541" width="8.71428571428571" style="2" customWidth="1"/>
    <col min="1542" max="1542" width="2.71428571428571" style="2" customWidth="1"/>
    <col min="1543" max="1543" width="8.71428571428571" style="2" customWidth="1"/>
    <col min="1544" max="1544" width="2.71428571428571" style="2" customWidth="1"/>
    <col min="1545" max="1545" width="10.7142857142857" style="2" customWidth="1"/>
    <col min="1546" max="1546" width="2.71428571428571" style="2" customWidth="1"/>
    <col min="1547" max="1547" width="8.71428571428571" style="2" customWidth="1"/>
    <col min="1548" max="1548" width="10.7142857142857" style="2" customWidth="1"/>
    <col min="1549" max="1549" width="8.71428571428571" style="2" customWidth="1"/>
    <col min="1550" max="1550" width="2.71428571428571" style="2" customWidth="1"/>
    <col min="1551" max="1552" width="10.7142857142857" style="2" customWidth="1"/>
    <col min="1553" max="1553" width="8.71428571428571" style="2" customWidth="1"/>
    <col min="1554" max="1554" width="2.71428571428571" style="2" customWidth="1"/>
    <col min="1555" max="1555" width="9.14285714285714" style="2"/>
    <col min="1556" max="1556" width="2.71428571428571" style="2" customWidth="1"/>
    <col min="1557" max="1793" width="9.14285714285714" style="2"/>
    <col min="1794" max="1794" width="4.71428571428571" style="2" customWidth="1"/>
    <col min="1795" max="1795" width="8.71428571428571" style="2" customWidth="1"/>
    <col min="1796" max="1796" width="7.71428571428571" style="2" customWidth="1"/>
    <col min="1797" max="1797" width="8.71428571428571" style="2" customWidth="1"/>
    <col min="1798" max="1798" width="2.71428571428571" style="2" customWidth="1"/>
    <col min="1799" max="1799" width="8.71428571428571" style="2" customWidth="1"/>
    <col min="1800" max="1800" width="2.71428571428571" style="2" customWidth="1"/>
    <col min="1801" max="1801" width="10.7142857142857" style="2" customWidth="1"/>
    <col min="1802" max="1802" width="2.71428571428571" style="2" customWidth="1"/>
    <col min="1803" max="1803" width="8.71428571428571" style="2" customWidth="1"/>
    <col min="1804" max="1804" width="10.7142857142857" style="2" customWidth="1"/>
    <col min="1805" max="1805" width="8.71428571428571" style="2" customWidth="1"/>
    <col min="1806" max="1806" width="2.71428571428571" style="2" customWidth="1"/>
    <col min="1807" max="1808" width="10.7142857142857" style="2" customWidth="1"/>
    <col min="1809" max="1809" width="8.71428571428571" style="2" customWidth="1"/>
    <col min="1810" max="1810" width="2.71428571428571" style="2" customWidth="1"/>
    <col min="1811" max="1811" width="9.14285714285714" style="2"/>
    <col min="1812" max="1812" width="2.71428571428571" style="2" customWidth="1"/>
    <col min="1813" max="2049" width="9.14285714285714" style="2"/>
    <col min="2050" max="2050" width="4.71428571428571" style="2" customWidth="1"/>
    <col min="2051" max="2051" width="8.71428571428571" style="2" customWidth="1"/>
    <col min="2052" max="2052" width="7.71428571428571" style="2" customWidth="1"/>
    <col min="2053" max="2053" width="8.71428571428571" style="2" customWidth="1"/>
    <col min="2054" max="2054" width="2.71428571428571" style="2" customWidth="1"/>
    <col min="2055" max="2055" width="8.71428571428571" style="2" customWidth="1"/>
    <col min="2056" max="2056" width="2.71428571428571" style="2" customWidth="1"/>
    <col min="2057" max="2057" width="10.7142857142857" style="2" customWidth="1"/>
    <col min="2058" max="2058" width="2.71428571428571" style="2" customWidth="1"/>
    <col min="2059" max="2059" width="8.71428571428571" style="2" customWidth="1"/>
    <col min="2060" max="2060" width="10.7142857142857" style="2" customWidth="1"/>
    <col min="2061" max="2061" width="8.71428571428571" style="2" customWidth="1"/>
    <col min="2062" max="2062" width="2.71428571428571" style="2" customWidth="1"/>
    <col min="2063" max="2064" width="10.7142857142857" style="2" customWidth="1"/>
    <col min="2065" max="2065" width="8.71428571428571" style="2" customWidth="1"/>
    <col min="2066" max="2066" width="2.71428571428571" style="2" customWidth="1"/>
    <col min="2067" max="2067" width="9.14285714285714" style="2"/>
    <col min="2068" max="2068" width="2.71428571428571" style="2" customWidth="1"/>
    <col min="2069" max="2305" width="9.14285714285714" style="2"/>
    <col min="2306" max="2306" width="4.71428571428571" style="2" customWidth="1"/>
    <col min="2307" max="2307" width="8.71428571428571" style="2" customWidth="1"/>
    <col min="2308" max="2308" width="7.71428571428571" style="2" customWidth="1"/>
    <col min="2309" max="2309" width="8.71428571428571" style="2" customWidth="1"/>
    <col min="2310" max="2310" width="2.71428571428571" style="2" customWidth="1"/>
    <col min="2311" max="2311" width="8.71428571428571" style="2" customWidth="1"/>
    <col min="2312" max="2312" width="2.71428571428571" style="2" customWidth="1"/>
    <col min="2313" max="2313" width="10.7142857142857" style="2" customWidth="1"/>
    <col min="2314" max="2314" width="2.71428571428571" style="2" customWidth="1"/>
    <col min="2315" max="2315" width="8.71428571428571" style="2" customWidth="1"/>
    <col min="2316" max="2316" width="10.7142857142857" style="2" customWidth="1"/>
    <col min="2317" max="2317" width="8.71428571428571" style="2" customWidth="1"/>
    <col min="2318" max="2318" width="2.71428571428571" style="2" customWidth="1"/>
    <col min="2319" max="2320" width="10.7142857142857" style="2" customWidth="1"/>
    <col min="2321" max="2321" width="8.71428571428571" style="2" customWidth="1"/>
    <col min="2322" max="2322" width="2.71428571428571" style="2" customWidth="1"/>
    <col min="2323" max="2323" width="9.14285714285714" style="2"/>
    <col min="2324" max="2324" width="2.71428571428571" style="2" customWidth="1"/>
    <col min="2325" max="2561" width="9.14285714285714" style="2"/>
    <col min="2562" max="2562" width="4.71428571428571" style="2" customWidth="1"/>
    <col min="2563" max="2563" width="8.71428571428571" style="2" customWidth="1"/>
    <col min="2564" max="2564" width="7.71428571428571" style="2" customWidth="1"/>
    <col min="2565" max="2565" width="8.71428571428571" style="2" customWidth="1"/>
    <col min="2566" max="2566" width="2.71428571428571" style="2" customWidth="1"/>
    <col min="2567" max="2567" width="8.71428571428571" style="2" customWidth="1"/>
    <col min="2568" max="2568" width="2.71428571428571" style="2" customWidth="1"/>
    <col min="2569" max="2569" width="10.7142857142857" style="2" customWidth="1"/>
    <col min="2570" max="2570" width="2.71428571428571" style="2" customWidth="1"/>
    <col min="2571" max="2571" width="8.71428571428571" style="2" customWidth="1"/>
    <col min="2572" max="2572" width="10.7142857142857" style="2" customWidth="1"/>
    <col min="2573" max="2573" width="8.71428571428571" style="2" customWidth="1"/>
    <col min="2574" max="2574" width="2.71428571428571" style="2" customWidth="1"/>
    <col min="2575" max="2576" width="10.7142857142857" style="2" customWidth="1"/>
    <col min="2577" max="2577" width="8.71428571428571" style="2" customWidth="1"/>
    <col min="2578" max="2578" width="2.71428571428571" style="2" customWidth="1"/>
    <col min="2579" max="2579" width="9.14285714285714" style="2"/>
    <col min="2580" max="2580" width="2.71428571428571" style="2" customWidth="1"/>
    <col min="2581" max="2817" width="9.14285714285714" style="2"/>
    <col min="2818" max="2818" width="4.71428571428571" style="2" customWidth="1"/>
    <col min="2819" max="2819" width="8.71428571428571" style="2" customWidth="1"/>
    <col min="2820" max="2820" width="7.71428571428571" style="2" customWidth="1"/>
    <col min="2821" max="2821" width="8.71428571428571" style="2" customWidth="1"/>
    <col min="2822" max="2822" width="2.71428571428571" style="2" customWidth="1"/>
    <col min="2823" max="2823" width="8.71428571428571" style="2" customWidth="1"/>
    <col min="2824" max="2824" width="2.71428571428571" style="2" customWidth="1"/>
    <col min="2825" max="2825" width="10.7142857142857" style="2" customWidth="1"/>
    <col min="2826" max="2826" width="2.71428571428571" style="2" customWidth="1"/>
    <col min="2827" max="2827" width="8.71428571428571" style="2" customWidth="1"/>
    <col min="2828" max="2828" width="10.7142857142857" style="2" customWidth="1"/>
    <col min="2829" max="2829" width="8.71428571428571" style="2" customWidth="1"/>
    <col min="2830" max="2830" width="2.71428571428571" style="2" customWidth="1"/>
    <col min="2831" max="2832" width="10.7142857142857" style="2" customWidth="1"/>
    <col min="2833" max="2833" width="8.71428571428571" style="2" customWidth="1"/>
    <col min="2834" max="2834" width="2.71428571428571" style="2" customWidth="1"/>
    <col min="2835" max="2835" width="9.14285714285714" style="2"/>
    <col min="2836" max="2836" width="2.71428571428571" style="2" customWidth="1"/>
    <col min="2837" max="3073" width="9.14285714285714" style="2"/>
    <col min="3074" max="3074" width="4.71428571428571" style="2" customWidth="1"/>
    <col min="3075" max="3075" width="8.71428571428571" style="2" customWidth="1"/>
    <col min="3076" max="3076" width="7.71428571428571" style="2" customWidth="1"/>
    <col min="3077" max="3077" width="8.71428571428571" style="2" customWidth="1"/>
    <col min="3078" max="3078" width="2.71428571428571" style="2" customWidth="1"/>
    <col min="3079" max="3079" width="8.71428571428571" style="2" customWidth="1"/>
    <col min="3080" max="3080" width="2.71428571428571" style="2" customWidth="1"/>
    <col min="3081" max="3081" width="10.7142857142857" style="2" customWidth="1"/>
    <col min="3082" max="3082" width="2.71428571428571" style="2" customWidth="1"/>
    <col min="3083" max="3083" width="8.71428571428571" style="2" customWidth="1"/>
    <col min="3084" max="3084" width="10.7142857142857" style="2" customWidth="1"/>
    <col min="3085" max="3085" width="8.71428571428571" style="2" customWidth="1"/>
    <col min="3086" max="3086" width="2.71428571428571" style="2" customWidth="1"/>
    <col min="3087" max="3088" width="10.7142857142857" style="2" customWidth="1"/>
    <col min="3089" max="3089" width="8.71428571428571" style="2" customWidth="1"/>
    <col min="3090" max="3090" width="2.71428571428571" style="2" customWidth="1"/>
    <col min="3091" max="3091" width="9.14285714285714" style="2"/>
    <col min="3092" max="3092" width="2.71428571428571" style="2" customWidth="1"/>
    <col min="3093" max="3329" width="9.14285714285714" style="2"/>
    <col min="3330" max="3330" width="4.71428571428571" style="2" customWidth="1"/>
    <col min="3331" max="3331" width="8.71428571428571" style="2" customWidth="1"/>
    <col min="3332" max="3332" width="7.71428571428571" style="2" customWidth="1"/>
    <col min="3333" max="3333" width="8.71428571428571" style="2" customWidth="1"/>
    <col min="3334" max="3334" width="2.71428571428571" style="2" customWidth="1"/>
    <col min="3335" max="3335" width="8.71428571428571" style="2" customWidth="1"/>
    <col min="3336" max="3336" width="2.71428571428571" style="2" customWidth="1"/>
    <col min="3337" max="3337" width="10.7142857142857" style="2" customWidth="1"/>
    <col min="3338" max="3338" width="2.71428571428571" style="2" customWidth="1"/>
    <col min="3339" max="3339" width="8.71428571428571" style="2" customWidth="1"/>
    <col min="3340" max="3340" width="10.7142857142857" style="2" customWidth="1"/>
    <col min="3341" max="3341" width="8.71428571428571" style="2" customWidth="1"/>
    <col min="3342" max="3342" width="2.71428571428571" style="2" customWidth="1"/>
    <col min="3343" max="3344" width="10.7142857142857" style="2" customWidth="1"/>
    <col min="3345" max="3345" width="8.71428571428571" style="2" customWidth="1"/>
    <col min="3346" max="3346" width="2.71428571428571" style="2" customWidth="1"/>
    <col min="3347" max="3347" width="9.14285714285714" style="2"/>
    <col min="3348" max="3348" width="2.71428571428571" style="2" customWidth="1"/>
    <col min="3349" max="3585" width="9.14285714285714" style="2"/>
    <col min="3586" max="3586" width="4.71428571428571" style="2" customWidth="1"/>
    <col min="3587" max="3587" width="8.71428571428571" style="2" customWidth="1"/>
    <col min="3588" max="3588" width="7.71428571428571" style="2" customWidth="1"/>
    <col min="3589" max="3589" width="8.71428571428571" style="2" customWidth="1"/>
    <col min="3590" max="3590" width="2.71428571428571" style="2" customWidth="1"/>
    <col min="3591" max="3591" width="8.71428571428571" style="2" customWidth="1"/>
    <col min="3592" max="3592" width="2.71428571428571" style="2" customWidth="1"/>
    <col min="3593" max="3593" width="10.7142857142857" style="2" customWidth="1"/>
    <col min="3594" max="3594" width="2.71428571428571" style="2" customWidth="1"/>
    <col min="3595" max="3595" width="8.71428571428571" style="2" customWidth="1"/>
    <col min="3596" max="3596" width="10.7142857142857" style="2" customWidth="1"/>
    <col min="3597" max="3597" width="8.71428571428571" style="2" customWidth="1"/>
    <col min="3598" max="3598" width="2.71428571428571" style="2" customWidth="1"/>
    <col min="3599" max="3600" width="10.7142857142857" style="2" customWidth="1"/>
    <col min="3601" max="3601" width="8.71428571428571" style="2" customWidth="1"/>
    <col min="3602" max="3602" width="2.71428571428571" style="2" customWidth="1"/>
    <col min="3603" max="3603" width="9.14285714285714" style="2"/>
    <col min="3604" max="3604" width="2.71428571428571" style="2" customWidth="1"/>
    <col min="3605" max="3841" width="9.14285714285714" style="2"/>
    <col min="3842" max="3842" width="4.71428571428571" style="2" customWidth="1"/>
    <col min="3843" max="3843" width="8.71428571428571" style="2" customWidth="1"/>
    <col min="3844" max="3844" width="7.71428571428571" style="2" customWidth="1"/>
    <col min="3845" max="3845" width="8.71428571428571" style="2" customWidth="1"/>
    <col min="3846" max="3846" width="2.71428571428571" style="2" customWidth="1"/>
    <col min="3847" max="3847" width="8.71428571428571" style="2" customWidth="1"/>
    <col min="3848" max="3848" width="2.71428571428571" style="2" customWidth="1"/>
    <col min="3849" max="3849" width="10.7142857142857" style="2" customWidth="1"/>
    <col min="3850" max="3850" width="2.71428571428571" style="2" customWidth="1"/>
    <col min="3851" max="3851" width="8.71428571428571" style="2" customWidth="1"/>
    <col min="3852" max="3852" width="10.7142857142857" style="2" customWidth="1"/>
    <col min="3853" max="3853" width="8.71428571428571" style="2" customWidth="1"/>
    <col min="3854" max="3854" width="2.71428571428571" style="2" customWidth="1"/>
    <col min="3855" max="3856" width="10.7142857142857" style="2" customWidth="1"/>
    <col min="3857" max="3857" width="8.71428571428571" style="2" customWidth="1"/>
    <col min="3858" max="3858" width="2.71428571428571" style="2" customWidth="1"/>
    <col min="3859" max="3859" width="9.14285714285714" style="2"/>
    <col min="3860" max="3860" width="2.71428571428571" style="2" customWidth="1"/>
    <col min="3861" max="4097" width="9.14285714285714" style="2"/>
    <col min="4098" max="4098" width="4.71428571428571" style="2" customWidth="1"/>
    <col min="4099" max="4099" width="8.71428571428571" style="2" customWidth="1"/>
    <col min="4100" max="4100" width="7.71428571428571" style="2" customWidth="1"/>
    <col min="4101" max="4101" width="8.71428571428571" style="2" customWidth="1"/>
    <col min="4102" max="4102" width="2.71428571428571" style="2" customWidth="1"/>
    <col min="4103" max="4103" width="8.71428571428571" style="2" customWidth="1"/>
    <col min="4104" max="4104" width="2.71428571428571" style="2" customWidth="1"/>
    <col min="4105" max="4105" width="10.7142857142857" style="2" customWidth="1"/>
    <col min="4106" max="4106" width="2.71428571428571" style="2" customWidth="1"/>
    <col min="4107" max="4107" width="8.71428571428571" style="2" customWidth="1"/>
    <col min="4108" max="4108" width="10.7142857142857" style="2" customWidth="1"/>
    <col min="4109" max="4109" width="8.71428571428571" style="2" customWidth="1"/>
    <col min="4110" max="4110" width="2.71428571428571" style="2" customWidth="1"/>
    <col min="4111" max="4112" width="10.7142857142857" style="2" customWidth="1"/>
    <col min="4113" max="4113" width="8.71428571428571" style="2" customWidth="1"/>
    <col min="4114" max="4114" width="2.71428571428571" style="2" customWidth="1"/>
    <col min="4115" max="4115" width="9.14285714285714" style="2"/>
    <col min="4116" max="4116" width="2.71428571428571" style="2" customWidth="1"/>
    <col min="4117" max="4353" width="9.14285714285714" style="2"/>
    <col min="4354" max="4354" width="4.71428571428571" style="2" customWidth="1"/>
    <col min="4355" max="4355" width="8.71428571428571" style="2" customWidth="1"/>
    <col min="4356" max="4356" width="7.71428571428571" style="2" customWidth="1"/>
    <col min="4357" max="4357" width="8.71428571428571" style="2" customWidth="1"/>
    <col min="4358" max="4358" width="2.71428571428571" style="2" customWidth="1"/>
    <col min="4359" max="4359" width="8.71428571428571" style="2" customWidth="1"/>
    <col min="4360" max="4360" width="2.71428571428571" style="2" customWidth="1"/>
    <col min="4361" max="4361" width="10.7142857142857" style="2" customWidth="1"/>
    <col min="4362" max="4362" width="2.71428571428571" style="2" customWidth="1"/>
    <col min="4363" max="4363" width="8.71428571428571" style="2" customWidth="1"/>
    <col min="4364" max="4364" width="10.7142857142857" style="2" customWidth="1"/>
    <col min="4365" max="4365" width="8.71428571428571" style="2" customWidth="1"/>
    <col min="4366" max="4366" width="2.71428571428571" style="2" customWidth="1"/>
    <col min="4367" max="4368" width="10.7142857142857" style="2" customWidth="1"/>
    <col min="4369" max="4369" width="8.71428571428571" style="2" customWidth="1"/>
    <col min="4370" max="4370" width="2.71428571428571" style="2" customWidth="1"/>
    <col min="4371" max="4371" width="9.14285714285714" style="2"/>
    <col min="4372" max="4372" width="2.71428571428571" style="2" customWidth="1"/>
    <col min="4373" max="4609" width="9.14285714285714" style="2"/>
    <col min="4610" max="4610" width="4.71428571428571" style="2" customWidth="1"/>
    <col min="4611" max="4611" width="8.71428571428571" style="2" customWidth="1"/>
    <col min="4612" max="4612" width="7.71428571428571" style="2" customWidth="1"/>
    <col min="4613" max="4613" width="8.71428571428571" style="2" customWidth="1"/>
    <col min="4614" max="4614" width="2.71428571428571" style="2" customWidth="1"/>
    <col min="4615" max="4615" width="8.71428571428571" style="2" customWidth="1"/>
    <col min="4616" max="4616" width="2.71428571428571" style="2" customWidth="1"/>
    <col min="4617" max="4617" width="10.7142857142857" style="2" customWidth="1"/>
    <col min="4618" max="4618" width="2.71428571428571" style="2" customWidth="1"/>
    <col min="4619" max="4619" width="8.71428571428571" style="2" customWidth="1"/>
    <col min="4620" max="4620" width="10.7142857142857" style="2" customWidth="1"/>
    <col min="4621" max="4621" width="8.71428571428571" style="2" customWidth="1"/>
    <col min="4622" max="4622" width="2.71428571428571" style="2" customWidth="1"/>
    <col min="4623" max="4624" width="10.7142857142857" style="2" customWidth="1"/>
    <col min="4625" max="4625" width="8.71428571428571" style="2" customWidth="1"/>
    <col min="4626" max="4626" width="2.71428571428571" style="2" customWidth="1"/>
    <col min="4627" max="4627" width="9.14285714285714" style="2"/>
    <col min="4628" max="4628" width="2.71428571428571" style="2" customWidth="1"/>
    <col min="4629" max="4865" width="9.14285714285714" style="2"/>
    <col min="4866" max="4866" width="4.71428571428571" style="2" customWidth="1"/>
    <col min="4867" max="4867" width="8.71428571428571" style="2" customWidth="1"/>
    <col min="4868" max="4868" width="7.71428571428571" style="2" customWidth="1"/>
    <col min="4869" max="4869" width="8.71428571428571" style="2" customWidth="1"/>
    <col min="4870" max="4870" width="2.71428571428571" style="2" customWidth="1"/>
    <col min="4871" max="4871" width="8.71428571428571" style="2" customWidth="1"/>
    <col min="4872" max="4872" width="2.71428571428571" style="2" customWidth="1"/>
    <col min="4873" max="4873" width="10.7142857142857" style="2" customWidth="1"/>
    <col min="4874" max="4874" width="2.71428571428571" style="2" customWidth="1"/>
    <col min="4875" max="4875" width="8.71428571428571" style="2" customWidth="1"/>
    <col min="4876" max="4876" width="10.7142857142857" style="2" customWidth="1"/>
    <col min="4877" max="4877" width="8.71428571428571" style="2" customWidth="1"/>
    <col min="4878" max="4878" width="2.71428571428571" style="2" customWidth="1"/>
    <col min="4879" max="4880" width="10.7142857142857" style="2" customWidth="1"/>
    <col min="4881" max="4881" width="8.71428571428571" style="2" customWidth="1"/>
    <col min="4882" max="4882" width="2.71428571428571" style="2" customWidth="1"/>
    <col min="4883" max="4883" width="9.14285714285714" style="2"/>
    <col min="4884" max="4884" width="2.71428571428571" style="2" customWidth="1"/>
    <col min="4885" max="5121" width="9.14285714285714" style="2"/>
    <col min="5122" max="5122" width="4.71428571428571" style="2" customWidth="1"/>
    <col min="5123" max="5123" width="8.71428571428571" style="2" customWidth="1"/>
    <col min="5124" max="5124" width="7.71428571428571" style="2" customWidth="1"/>
    <col min="5125" max="5125" width="8.71428571428571" style="2" customWidth="1"/>
    <col min="5126" max="5126" width="2.71428571428571" style="2" customWidth="1"/>
    <col min="5127" max="5127" width="8.71428571428571" style="2" customWidth="1"/>
    <col min="5128" max="5128" width="2.71428571428571" style="2" customWidth="1"/>
    <col min="5129" max="5129" width="10.7142857142857" style="2" customWidth="1"/>
    <col min="5130" max="5130" width="2.71428571428571" style="2" customWidth="1"/>
    <col min="5131" max="5131" width="8.71428571428571" style="2" customWidth="1"/>
    <col min="5132" max="5132" width="10.7142857142857" style="2" customWidth="1"/>
    <col min="5133" max="5133" width="8.71428571428571" style="2" customWidth="1"/>
    <col min="5134" max="5134" width="2.71428571428571" style="2" customWidth="1"/>
    <col min="5135" max="5136" width="10.7142857142857" style="2" customWidth="1"/>
    <col min="5137" max="5137" width="8.71428571428571" style="2" customWidth="1"/>
    <col min="5138" max="5138" width="2.71428571428571" style="2" customWidth="1"/>
    <col min="5139" max="5139" width="9.14285714285714" style="2"/>
    <col min="5140" max="5140" width="2.71428571428571" style="2" customWidth="1"/>
    <col min="5141" max="5377" width="9.14285714285714" style="2"/>
    <col min="5378" max="5378" width="4.71428571428571" style="2" customWidth="1"/>
    <col min="5379" max="5379" width="8.71428571428571" style="2" customWidth="1"/>
    <col min="5380" max="5380" width="7.71428571428571" style="2" customWidth="1"/>
    <col min="5381" max="5381" width="8.71428571428571" style="2" customWidth="1"/>
    <col min="5382" max="5382" width="2.71428571428571" style="2" customWidth="1"/>
    <col min="5383" max="5383" width="8.71428571428571" style="2" customWidth="1"/>
    <col min="5384" max="5384" width="2.71428571428571" style="2" customWidth="1"/>
    <col min="5385" max="5385" width="10.7142857142857" style="2" customWidth="1"/>
    <col min="5386" max="5386" width="2.71428571428571" style="2" customWidth="1"/>
    <col min="5387" max="5387" width="8.71428571428571" style="2" customWidth="1"/>
    <col min="5388" max="5388" width="10.7142857142857" style="2" customWidth="1"/>
    <col min="5389" max="5389" width="8.71428571428571" style="2" customWidth="1"/>
    <col min="5390" max="5390" width="2.71428571428571" style="2" customWidth="1"/>
    <col min="5391" max="5392" width="10.7142857142857" style="2" customWidth="1"/>
    <col min="5393" max="5393" width="8.71428571428571" style="2" customWidth="1"/>
    <col min="5394" max="5394" width="2.71428571428571" style="2" customWidth="1"/>
    <col min="5395" max="5395" width="9.14285714285714" style="2"/>
    <col min="5396" max="5396" width="2.71428571428571" style="2" customWidth="1"/>
    <col min="5397" max="5633" width="9.14285714285714" style="2"/>
    <col min="5634" max="5634" width="4.71428571428571" style="2" customWidth="1"/>
    <col min="5635" max="5635" width="8.71428571428571" style="2" customWidth="1"/>
    <col min="5636" max="5636" width="7.71428571428571" style="2" customWidth="1"/>
    <col min="5637" max="5637" width="8.71428571428571" style="2" customWidth="1"/>
    <col min="5638" max="5638" width="2.71428571428571" style="2" customWidth="1"/>
    <col min="5639" max="5639" width="8.71428571428571" style="2" customWidth="1"/>
    <col min="5640" max="5640" width="2.71428571428571" style="2" customWidth="1"/>
    <col min="5641" max="5641" width="10.7142857142857" style="2" customWidth="1"/>
    <col min="5642" max="5642" width="2.71428571428571" style="2" customWidth="1"/>
    <col min="5643" max="5643" width="8.71428571428571" style="2" customWidth="1"/>
    <col min="5644" max="5644" width="10.7142857142857" style="2" customWidth="1"/>
    <col min="5645" max="5645" width="8.71428571428571" style="2" customWidth="1"/>
    <col min="5646" max="5646" width="2.71428571428571" style="2" customWidth="1"/>
    <col min="5647" max="5648" width="10.7142857142857" style="2" customWidth="1"/>
    <col min="5649" max="5649" width="8.71428571428571" style="2" customWidth="1"/>
    <col min="5650" max="5650" width="2.71428571428571" style="2" customWidth="1"/>
    <col min="5651" max="5651" width="9.14285714285714" style="2"/>
    <col min="5652" max="5652" width="2.71428571428571" style="2" customWidth="1"/>
    <col min="5653" max="5889" width="9.14285714285714" style="2"/>
    <col min="5890" max="5890" width="4.71428571428571" style="2" customWidth="1"/>
    <col min="5891" max="5891" width="8.71428571428571" style="2" customWidth="1"/>
    <col min="5892" max="5892" width="7.71428571428571" style="2" customWidth="1"/>
    <col min="5893" max="5893" width="8.71428571428571" style="2" customWidth="1"/>
    <col min="5894" max="5894" width="2.71428571428571" style="2" customWidth="1"/>
    <col min="5895" max="5895" width="8.71428571428571" style="2" customWidth="1"/>
    <col min="5896" max="5896" width="2.71428571428571" style="2" customWidth="1"/>
    <col min="5897" max="5897" width="10.7142857142857" style="2" customWidth="1"/>
    <col min="5898" max="5898" width="2.71428571428571" style="2" customWidth="1"/>
    <col min="5899" max="5899" width="8.71428571428571" style="2" customWidth="1"/>
    <col min="5900" max="5900" width="10.7142857142857" style="2" customWidth="1"/>
    <col min="5901" max="5901" width="8.71428571428571" style="2" customWidth="1"/>
    <col min="5902" max="5902" width="2.71428571428571" style="2" customWidth="1"/>
    <col min="5903" max="5904" width="10.7142857142857" style="2" customWidth="1"/>
    <col min="5905" max="5905" width="8.71428571428571" style="2" customWidth="1"/>
    <col min="5906" max="5906" width="2.71428571428571" style="2" customWidth="1"/>
    <col min="5907" max="5907" width="9.14285714285714" style="2"/>
    <col min="5908" max="5908" width="2.71428571428571" style="2" customWidth="1"/>
    <col min="5909" max="6145" width="9.14285714285714" style="2"/>
    <col min="6146" max="6146" width="4.71428571428571" style="2" customWidth="1"/>
    <col min="6147" max="6147" width="8.71428571428571" style="2" customWidth="1"/>
    <col min="6148" max="6148" width="7.71428571428571" style="2" customWidth="1"/>
    <col min="6149" max="6149" width="8.71428571428571" style="2" customWidth="1"/>
    <col min="6150" max="6150" width="2.71428571428571" style="2" customWidth="1"/>
    <col min="6151" max="6151" width="8.71428571428571" style="2" customWidth="1"/>
    <col min="6152" max="6152" width="2.71428571428571" style="2" customWidth="1"/>
    <col min="6153" max="6153" width="10.7142857142857" style="2" customWidth="1"/>
    <col min="6154" max="6154" width="2.71428571428571" style="2" customWidth="1"/>
    <col min="6155" max="6155" width="8.71428571428571" style="2" customWidth="1"/>
    <col min="6156" max="6156" width="10.7142857142857" style="2" customWidth="1"/>
    <col min="6157" max="6157" width="8.71428571428571" style="2" customWidth="1"/>
    <col min="6158" max="6158" width="2.71428571428571" style="2" customWidth="1"/>
    <col min="6159" max="6160" width="10.7142857142857" style="2" customWidth="1"/>
    <col min="6161" max="6161" width="8.71428571428571" style="2" customWidth="1"/>
    <col min="6162" max="6162" width="2.71428571428571" style="2" customWidth="1"/>
    <col min="6163" max="6163" width="9.14285714285714" style="2"/>
    <col min="6164" max="6164" width="2.71428571428571" style="2" customWidth="1"/>
    <col min="6165" max="6401" width="9.14285714285714" style="2"/>
    <col min="6402" max="6402" width="4.71428571428571" style="2" customWidth="1"/>
    <col min="6403" max="6403" width="8.71428571428571" style="2" customWidth="1"/>
    <col min="6404" max="6404" width="7.71428571428571" style="2" customWidth="1"/>
    <col min="6405" max="6405" width="8.71428571428571" style="2" customWidth="1"/>
    <col min="6406" max="6406" width="2.71428571428571" style="2" customWidth="1"/>
    <col min="6407" max="6407" width="8.71428571428571" style="2" customWidth="1"/>
    <col min="6408" max="6408" width="2.71428571428571" style="2" customWidth="1"/>
    <col min="6409" max="6409" width="10.7142857142857" style="2" customWidth="1"/>
    <col min="6410" max="6410" width="2.71428571428571" style="2" customWidth="1"/>
    <col min="6411" max="6411" width="8.71428571428571" style="2" customWidth="1"/>
    <col min="6412" max="6412" width="10.7142857142857" style="2" customWidth="1"/>
    <col min="6413" max="6413" width="8.71428571428571" style="2" customWidth="1"/>
    <col min="6414" max="6414" width="2.71428571428571" style="2" customWidth="1"/>
    <col min="6415" max="6416" width="10.7142857142857" style="2" customWidth="1"/>
    <col min="6417" max="6417" width="8.71428571428571" style="2" customWidth="1"/>
    <col min="6418" max="6418" width="2.71428571428571" style="2" customWidth="1"/>
    <col min="6419" max="6419" width="9.14285714285714" style="2"/>
    <col min="6420" max="6420" width="2.71428571428571" style="2" customWidth="1"/>
    <col min="6421" max="6657" width="9.14285714285714" style="2"/>
    <col min="6658" max="6658" width="4.71428571428571" style="2" customWidth="1"/>
    <col min="6659" max="6659" width="8.71428571428571" style="2" customWidth="1"/>
    <col min="6660" max="6660" width="7.71428571428571" style="2" customWidth="1"/>
    <col min="6661" max="6661" width="8.71428571428571" style="2" customWidth="1"/>
    <col min="6662" max="6662" width="2.71428571428571" style="2" customWidth="1"/>
    <col min="6663" max="6663" width="8.71428571428571" style="2" customWidth="1"/>
    <col min="6664" max="6664" width="2.71428571428571" style="2" customWidth="1"/>
    <col min="6665" max="6665" width="10.7142857142857" style="2" customWidth="1"/>
    <col min="6666" max="6666" width="2.71428571428571" style="2" customWidth="1"/>
    <col min="6667" max="6667" width="8.71428571428571" style="2" customWidth="1"/>
    <col min="6668" max="6668" width="10.7142857142857" style="2" customWidth="1"/>
    <col min="6669" max="6669" width="8.71428571428571" style="2" customWidth="1"/>
    <col min="6670" max="6670" width="2.71428571428571" style="2" customWidth="1"/>
    <col min="6671" max="6672" width="10.7142857142857" style="2" customWidth="1"/>
    <col min="6673" max="6673" width="8.71428571428571" style="2" customWidth="1"/>
    <col min="6674" max="6674" width="2.71428571428571" style="2" customWidth="1"/>
    <col min="6675" max="6675" width="9.14285714285714" style="2"/>
    <col min="6676" max="6676" width="2.71428571428571" style="2" customWidth="1"/>
    <col min="6677" max="6913" width="9.14285714285714" style="2"/>
    <col min="6914" max="6914" width="4.71428571428571" style="2" customWidth="1"/>
    <col min="6915" max="6915" width="8.71428571428571" style="2" customWidth="1"/>
    <col min="6916" max="6916" width="7.71428571428571" style="2" customWidth="1"/>
    <col min="6917" max="6917" width="8.71428571428571" style="2" customWidth="1"/>
    <col min="6918" max="6918" width="2.71428571428571" style="2" customWidth="1"/>
    <col min="6919" max="6919" width="8.71428571428571" style="2" customWidth="1"/>
    <col min="6920" max="6920" width="2.71428571428571" style="2" customWidth="1"/>
    <col min="6921" max="6921" width="10.7142857142857" style="2" customWidth="1"/>
    <col min="6922" max="6922" width="2.71428571428571" style="2" customWidth="1"/>
    <col min="6923" max="6923" width="8.71428571428571" style="2" customWidth="1"/>
    <col min="6924" max="6924" width="10.7142857142857" style="2" customWidth="1"/>
    <col min="6925" max="6925" width="8.71428571428571" style="2" customWidth="1"/>
    <col min="6926" max="6926" width="2.71428571428571" style="2" customWidth="1"/>
    <col min="6927" max="6928" width="10.7142857142857" style="2" customWidth="1"/>
    <col min="6929" max="6929" width="8.71428571428571" style="2" customWidth="1"/>
    <col min="6930" max="6930" width="2.71428571428571" style="2" customWidth="1"/>
    <col min="6931" max="6931" width="9.14285714285714" style="2"/>
    <col min="6932" max="6932" width="2.71428571428571" style="2" customWidth="1"/>
    <col min="6933" max="7169" width="9.14285714285714" style="2"/>
    <col min="7170" max="7170" width="4.71428571428571" style="2" customWidth="1"/>
    <col min="7171" max="7171" width="8.71428571428571" style="2" customWidth="1"/>
    <col min="7172" max="7172" width="7.71428571428571" style="2" customWidth="1"/>
    <col min="7173" max="7173" width="8.71428571428571" style="2" customWidth="1"/>
    <col min="7174" max="7174" width="2.71428571428571" style="2" customWidth="1"/>
    <col min="7175" max="7175" width="8.71428571428571" style="2" customWidth="1"/>
    <col min="7176" max="7176" width="2.71428571428571" style="2" customWidth="1"/>
    <col min="7177" max="7177" width="10.7142857142857" style="2" customWidth="1"/>
    <col min="7178" max="7178" width="2.71428571428571" style="2" customWidth="1"/>
    <col min="7179" max="7179" width="8.71428571428571" style="2" customWidth="1"/>
    <col min="7180" max="7180" width="10.7142857142857" style="2" customWidth="1"/>
    <col min="7181" max="7181" width="8.71428571428571" style="2" customWidth="1"/>
    <col min="7182" max="7182" width="2.71428571428571" style="2" customWidth="1"/>
    <col min="7183" max="7184" width="10.7142857142857" style="2" customWidth="1"/>
    <col min="7185" max="7185" width="8.71428571428571" style="2" customWidth="1"/>
    <col min="7186" max="7186" width="2.71428571428571" style="2" customWidth="1"/>
    <col min="7187" max="7187" width="9.14285714285714" style="2"/>
    <col min="7188" max="7188" width="2.71428571428571" style="2" customWidth="1"/>
    <col min="7189" max="7425" width="9.14285714285714" style="2"/>
    <col min="7426" max="7426" width="4.71428571428571" style="2" customWidth="1"/>
    <col min="7427" max="7427" width="8.71428571428571" style="2" customWidth="1"/>
    <col min="7428" max="7428" width="7.71428571428571" style="2" customWidth="1"/>
    <col min="7429" max="7429" width="8.71428571428571" style="2" customWidth="1"/>
    <col min="7430" max="7430" width="2.71428571428571" style="2" customWidth="1"/>
    <col min="7431" max="7431" width="8.71428571428571" style="2" customWidth="1"/>
    <col min="7432" max="7432" width="2.71428571428571" style="2" customWidth="1"/>
    <col min="7433" max="7433" width="10.7142857142857" style="2" customWidth="1"/>
    <col min="7434" max="7434" width="2.71428571428571" style="2" customWidth="1"/>
    <col min="7435" max="7435" width="8.71428571428571" style="2" customWidth="1"/>
    <col min="7436" max="7436" width="10.7142857142857" style="2" customWidth="1"/>
    <col min="7437" max="7437" width="8.71428571428571" style="2" customWidth="1"/>
    <col min="7438" max="7438" width="2.71428571428571" style="2" customWidth="1"/>
    <col min="7439" max="7440" width="10.7142857142857" style="2" customWidth="1"/>
    <col min="7441" max="7441" width="8.71428571428571" style="2" customWidth="1"/>
    <col min="7442" max="7442" width="2.71428571428571" style="2" customWidth="1"/>
    <col min="7443" max="7443" width="9.14285714285714" style="2"/>
    <col min="7444" max="7444" width="2.71428571428571" style="2" customWidth="1"/>
    <col min="7445" max="7681" width="9.14285714285714" style="2"/>
    <col min="7682" max="7682" width="4.71428571428571" style="2" customWidth="1"/>
    <col min="7683" max="7683" width="8.71428571428571" style="2" customWidth="1"/>
    <col min="7684" max="7684" width="7.71428571428571" style="2" customWidth="1"/>
    <col min="7685" max="7685" width="8.71428571428571" style="2" customWidth="1"/>
    <col min="7686" max="7686" width="2.71428571428571" style="2" customWidth="1"/>
    <col min="7687" max="7687" width="8.71428571428571" style="2" customWidth="1"/>
    <col min="7688" max="7688" width="2.71428571428571" style="2" customWidth="1"/>
    <col min="7689" max="7689" width="10.7142857142857" style="2" customWidth="1"/>
    <col min="7690" max="7690" width="2.71428571428571" style="2" customWidth="1"/>
    <col min="7691" max="7691" width="8.71428571428571" style="2" customWidth="1"/>
    <col min="7692" max="7692" width="10.7142857142857" style="2" customWidth="1"/>
    <col min="7693" max="7693" width="8.71428571428571" style="2" customWidth="1"/>
    <col min="7694" max="7694" width="2.71428571428571" style="2" customWidth="1"/>
    <col min="7695" max="7696" width="10.7142857142857" style="2" customWidth="1"/>
    <col min="7697" max="7697" width="8.71428571428571" style="2" customWidth="1"/>
    <col min="7698" max="7698" width="2.71428571428571" style="2" customWidth="1"/>
    <col min="7699" max="7699" width="9.14285714285714" style="2"/>
    <col min="7700" max="7700" width="2.71428571428571" style="2" customWidth="1"/>
    <col min="7701" max="7937" width="9.14285714285714" style="2"/>
    <col min="7938" max="7938" width="4.71428571428571" style="2" customWidth="1"/>
    <col min="7939" max="7939" width="8.71428571428571" style="2" customWidth="1"/>
    <col min="7940" max="7940" width="7.71428571428571" style="2" customWidth="1"/>
    <col min="7941" max="7941" width="8.71428571428571" style="2" customWidth="1"/>
    <col min="7942" max="7942" width="2.71428571428571" style="2" customWidth="1"/>
    <col min="7943" max="7943" width="8.71428571428571" style="2" customWidth="1"/>
    <col min="7944" max="7944" width="2.71428571428571" style="2" customWidth="1"/>
    <col min="7945" max="7945" width="10.7142857142857" style="2" customWidth="1"/>
    <col min="7946" max="7946" width="2.71428571428571" style="2" customWidth="1"/>
    <col min="7947" max="7947" width="8.71428571428571" style="2" customWidth="1"/>
    <col min="7948" max="7948" width="10.7142857142857" style="2" customWidth="1"/>
    <col min="7949" max="7949" width="8.71428571428571" style="2" customWidth="1"/>
    <col min="7950" max="7950" width="2.71428571428571" style="2" customWidth="1"/>
    <col min="7951" max="7952" width="10.7142857142857" style="2" customWidth="1"/>
    <col min="7953" max="7953" width="8.71428571428571" style="2" customWidth="1"/>
    <col min="7954" max="7954" width="2.71428571428571" style="2" customWidth="1"/>
    <col min="7955" max="7955" width="9.14285714285714" style="2"/>
    <col min="7956" max="7956" width="2.71428571428571" style="2" customWidth="1"/>
    <col min="7957" max="8193" width="9.14285714285714" style="2"/>
    <col min="8194" max="8194" width="4.71428571428571" style="2" customWidth="1"/>
    <col min="8195" max="8195" width="8.71428571428571" style="2" customWidth="1"/>
    <col min="8196" max="8196" width="7.71428571428571" style="2" customWidth="1"/>
    <col min="8197" max="8197" width="8.71428571428571" style="2" customWidth="1"/>
    <col min="8198" max="8198" width="2.71428571428571" style="2" customWidth="1"/>
    <col min="8199" max="8199" width="8.71428571428571" style="2" customWidth="1"/>
    <col min="8200" max="8200" width="2.71428571428571" style="2" customWidth="1"/>
    <col min="8201" max="8201" width="10.7142857142857" style="2" customWidth="1"/>
    <col min="8202" max="8202" width="2.71428571428571" style="2" customWidth="1"/>
    <col min="8203" max="8203" width="8.71428571428571" style="2" customWidth="1"/>
    <col min="8204" max="8204" width="10.7142857142857" style="2" customWidth="1"/>
    <col min="8205" max="8205" width="8.71428571428571" style="2" customWidth="1"/>
    <col min="8206" max="8206" width="2.71428571428571" style="2" customWidth="1"/>
    <col min="8207" max="8208" width="10.7142857142857" style="2" customWidth="1"/>
    <col min="8209" max="8209" width="8.71428571428571" style="2" customWidth="1"/>
    <col min="8210" max="8210" width="2.71428571428571" style="2" customWidth="1"/>
    <col min="8211" max="8211" width="9.14285714285714" style="2"/>
    <col min="8212" max="8212" width="2.71428571428571" style="2" customWidth="1"/>
    <col min="8213" max="8449" width="9.14285714285714" style="2"/>
    <col min="8450" max="8450" width="4.71428571428571" style="2" customWidth="1"/>
    <col min="8451" max="8451" width="8.71428571428571" style="2" customWidth="1"/>
    <col min="8452" max="8452" width="7.71428571428571" style="2" customWidth="1"/>
    <col min="8453" max="8453" width="8.71428571428571" style="2" customWidth="1"/>
    <col min="8454" max="8454" width="2.71428571428571" style="2" customWidth="1"/>
    <col min="8455" max="8455" width="8.71428571428571" style="2" customWidth="1"/>
    <col min="8456" max="8456" width="2.71428571428571" style="2" customWidth="1"/>
    <col min="8457" max="8457" width="10.7142857142857" style="2" customWidth="1"/>
    <col min="8458" max="8458" width="2.71428571428571" style="2" customWidth="1"/>
    <col min="8459" max="8459" width="8.71428571428571" style="2" customWidth="1"/>
    <col min="8460" max="8460" width="10.7142857142857" style="2" customWidth="1"/>
    <col min="8461" max="8461" width="8.71428571428571" style="2" customWidth="1"/>
    <col min="8462" max="8462" width="2.71428571428571" style="2" customWidth="1"/>
    <col min="8463" max="8464" width="10.7142857142857" style="2" customWidth="1"/>
    <col min="8465" max="8465" width="8.71428571428571" style="2" customWidth="1"/>
    <col min="8466" max="8466" width="2.71428571428571" style="2" customWidth="1"/>
    <col min="8467" max="8467" width="9.14285714285714" style="2"/>
    <col min="8468" max="8468" width="2.71428571428571" style="2" customWidth="1"/>
    <col min="8469" max="8705" width="9.14285714285714" style="2"/>
    <col min="8706" max="8706" width="4.71428571428571" style="2" customWidth="1"/>
    <col min="8707" max="8707" width="8.71428571428571" style="2" customWidth="1"/>
    <col min="8708" max="8708" width="7.71428571428571" style="2" customWidth="1"/>
    <col min="8709" max="8709" width="8.71428571428571" style="2" customWidth="1"/>
    <col min="8710" max="8710" width="2.71428571428571" style="2" customWidth="1"/>
    <col min="8711" max="8711" width="8.71428571428571" style="2" customWidth="1"/>
    <col min="8712" max="8712" width="2.71428571428571" style="2" customWidth="1"/>
    <col min="8713" max="8713" width="10.7142857142857" style="2" customWidth="1"/>
    <col min="8714" max="8714" width="2.71428571428571" style="2" customWidth="1"/>
    <col min="8715" max="8715" width="8.71428571428571" style="2" customWidth="1"/>
    <col min="8716" max="8716" width="10.7142857142857" style="2" customWidth="1"/>
    <col min="8717" max="8717" width="8.71428571428571" style="2" customWidth="1"/>
    <col min="8718" max="8718" width="2.71428571428571" style="2" customWidth="1"/>
    <col min="8719" max="8720" width="10.7142857142857" style="2" customWidth="1"/>
    <col min="8721" max="8721" width="8.71428571428571" style="2" customWidth="1"/>
    <col min="8722" max="8722" width="2.71428571428571" style="2" customWidth="1"/>
    <col min="8723" max="8723" width="9.14285714285714" style="2"/>
    <col min="8724" max="8724" width="2.71428571428571" style="2" customWidth="1"/>
    <col min="8725" max="8961" width="9.14285714285714" style="2"/>
    <col min="8962" max="8962" width="4.71428571428571" style="2" customWidth="1"/>
    <col min="8963" max="8963" width="8.71428571428571" style="2" customWidth="1"/>
    <col min="8964" max="8964" width="7.71428571428571" style="2" customWidth="1"/>
    <col min="8965" max="8965" width="8.71428571428571" style="2" customWidth="1"/>
    <col min="8966" max="8966" width="2.71428571428571" style="2" customWidth="1"/>
    <col min="8967" max="8967" width="8.71428571428571" style="2" customWidth="1"/>
    <col min="8968" max="8968" width="2.71428571428571" style="2" customWidth="1"/>
    <col min="8969" max="8969" width="10.7142857142857" style="2" customWidth="1"/>
    <col min="8970" max="8970" width="2.71428571428571" style="2" customWidth="1"/>
    <col min="8971" max="8971" width="8.71428571428571" style="2" customWidth="1"/>
    <col min="8972" max="8972" width="10.7142857142857" style="2" customWidth="1"/>
    <col min="8973" max="8973" width="8.71428571428571" style="2" customWidth="1"/>
    <col min="8974" max="8974" width="2.71428571428571" style="2" customWidth="1"/>
    <col min="8975" max="8976" width="10.7142857142857" style="2" customWidth="1"/>
    <col min="8977" max="8977" width="8.71428571428571" style="2" customWidth="1"/>
    <col min="8978" max="8978" width="2.71428571428571" style="2" customWidth="1"/>
    <col min="8979" max="8979" width="9.14285714285714" style="2"/>
    <col min="8980" max="8980" width="2.71428571428571" style="2" customWidth="1"/>
    <col min="8981" max="9217" width="9.14285714285714" style="2"/>
    <col min="9218" max="9218" width="4.71428571428571" style="2" customWidth="1"/>
    <col min="9219" max="9219" width="8.71428571428571" style="2" customWidth="1"/>
    <col min="9220" max="9220" width="7.71428571428571" style="2" customWidth="1"/>
    <col min="9221" max="9221" width="8.71428571428571" style="2" customWidth="1"/>
    <col min="9222" max="9222" width="2.71428571428571" style="2" customWidth="1"/>
    <col min="9223" max="9223" width="8.71428571428571" style="2" customWidth="1"/>
    <col min="9224" max="9224" width="2.71428571428571" style="2" customWidth="1"/>
    <col min="9225" max="9225" width="10.7142857142857" style="2" customWidth="1"/>
    <col min="9226" max="9226" width="2.71428571428571" style="2" customWidth="1"/>
    <col min="9227" max="9227" width="8.71428571428571" style="2" customWidth="1"/>
    <col min="9228" max="9228" width="10.7142857142857" style="2" customWidth="1"/>
    <col min="9229" max="9229" width="8.71428571428571" style="2" customWidth="1"/>
    <col min="9230" max="9230" width="2.71428571428571" style="2" customWidth="1"/>
    <col min="9231" max="9232" width="10.7142857142857" style="2" customWidth="1"/>
    <col min="9233" max="9233" width="8.71428571428571" style="2" customWidth="1"/>
    <col min="9234" max="9234" width="2.71428571428571" style="2" customWidth="1"/>
    <col min="9235" max="9235" width="9.14285714285714" style="2"/>
    <col min="9236" max="9236" width="2.71428571428571" style="2" customWidth="1"/>
    <col min="9237" max="9473" width="9.14285714285714" style="2"/>
    <col min="9474" max="9474" width="4.71428571428571" style="2" customWidth="1"/>
    <col min="9475" max="9475" width="8.71428571428571" style="2" customWidth="1"/>
    <col min="9476" max="9476" width="7.71428571428571" style="2" customWidth="1"/>
    <col min="9477" max="9477" width="8.71428571428571" style="2" customWidth="1"/>
    <col min="9478" max="9478" width="2.71428571428571" style="2" customWidth="1"/>
    <col min="9479" max="9479" width="8.71428571428571" style="2" customWidth="1"/>
    <col min="9480" max="9480" width="2.71428571428571" style="2" customWidth="1"/>
    <col min="9481" max="9481" width="10.7142857142857" style="2" customWidth="1"/>
    <col min="9482" max="9482" width="2.71428571428571" style="2" customWidth="1"/>
    <col min="9483" max="9483" width="8.71428571428571" style="2" customWidth="1"/>
    <col min="9484" max="9484" width="10.7142857142857" style="2" customWidth="1"/>
    <col min="9485" max="9485" width="8.71428571428571" style="2" customWidth="1"/>
    <col min="9486" max="9486" width="2.71428571428571" style="2" customWidth="1"/>
    <col min="9487" max="9488" width="10.7142857142857" style="2" customWidth="1"/>
    <col min="9489" max="9489" width="8.71428571428571" style="2" customWidth="1"/>
    <col min="9490" max="9490" width="2.71428571428571" style="2" customWidth="1"/>
    <col min="9491" max="9491" width="9.14285714285714" style="2"/>
    <col min="9492" max="9492" width="2.71428571428571" style="2" customWidth="1"/>
    <col min="9493" max="9729" width="9.14285714285714" style="2"/>
    <col min="9730" max="9730" width="4.71428571428571" style="2" customWidth="1"/>
    <col min="9731" max="9731" width="8.71428571428571" style="2" customWidth="1"/>
    <col min="9732" max="9732" width="7.71428571428571" style="2" customWidth="1"/>
    <col min="9733" max="9733" width="8.71428571428571" style="2" customWidth="1"/>
    <col min="9734" max="9734" width="2.71428571428571" style="2" customWidth="1"/>
    <col min="9735" max="9735" width="8.71428571428571" style="2" customWidth="1"/>
    <col min="9736" max="9736" width="2.71428571428571" style="2" customWidth="1"/>
    <col min="9737" max="9737" width="10.7142857142857" style="2" customWidth="1"/>
    <col min="9738" max="9738" width="2.71428571428571" style="2" customWidth="1"/>
    <col min="9739" max="9739" width="8.71428571428571" style="2" customWidth="1"/>
    <col min="9740" max="9740" width="10.7142857142857" style="2" customWidth="1"/>
    <col min="9741" max="9741" width="8.71428571428571" style="2" customWidth="1"/>
    <col min="9742" max="9742" width="2.71428571428571" style="2" customWidth="1"/>
    <col min="9743" max="9744" width="10.7142857142857" style="2" customWidth="1"/>
    <col min="9745" max="9745" width="8.71428571428571" style="2" customWidth="1"/>
    <col min="9746" max="9746" width="2.71428571428571" style="2" customWidth="1"/>
    <col min="9747" max="9747" width="9.14285714285714" style="2"/>
    <col min="9748" max="9748" width="2.71428571428571" style="2" customWidth="1"/>
    <col min="9749" max="9985" width="9.14285714285714" style="2"/>
    <col min="9986" max="9986" width="4.71428571428571" style="2" customWidth="1"/>
    <col min="9987" max="9987" width="8.71428571428571" style="2" customWidth="1"/>
    <col min="9988" max="9988" width="7.71428571428571" style="2" customWidth="1"/>
    <col min="9989" max="9989" width="8.71428571428571" style="2" customWidth="1"/>
    <col min="9990" max="9990" width="2.71428571428571" style="2" customWidth="1"/>
    <col min="9991" max="9991" width="8.71428571428571" style="2" customWidth="1"/>
    <col min="9992" max="9992" width="2.71428571428571" style="2" customWidth="1"/>
    <col min="9993" max="9993" width="10.7142857142857" style="2" customWidth="1"/>
    <col min="9994" max="9994" width="2.71428571428571" style="2" customWidth="1"/>
    <col min="9995" max="9995" width="8.71428571428571" style="2" customWidth="1"/>
    <col min="9996" max="9996" width="10.7142857142857" style="2" customWidth="1"/>
    <col min="9997" max="9997" width="8.71428571428571" style="2" customWidth="1"/>
    <col min="9998" max="9998" width="2.71428571428571" style="2" customWidth="1"/>
    <col min="9999" max="10000" width="10.7142857142857" style="2" customWidth="1"/>
    <col min="10001" max="10001" width="8.71428571428571" style="2" customWidth="1"/>
    <col min="10002" max="10002" width="2.71428571428571" style="2" customWidth="1"/>
    <col min="10003" max="10003" width="9.14285714285714" style="2"/>
    <col min="10004" max="10004" width="2.71428571428571" style="2" customWidth="1"/>
    <col min="10005" max="10241" width="9.14285714285714" style="2"/>
    <col min="10242" max="10242" width="4.71428571428571" style="2" customWidth="1"/>
    <col min="10243" max="10243" width="8.71428571428571" style="2" customWidth="1"/>
    <col min="10244" max="10244" width="7.71428571428571" style="2" customWidth="1"/>
    <col min="10245" max="10245" width="8.71428571428571" style="2" customWidth="1"/>
    <col min="10246" max="10246" width="2.71428571428571" style="2" customWidth="1"/>
    <col min="10247" max="10247" width="8.71428571428571" style="2" customWidth="1"/>
    <col min="10248" max="10248" width="2.71428571428571" style="2" customWidth="1"/>
    <col min="10249" max="10249" width="10.7142857142857" style="2" customWidth="1"/>
    <col min="10250" max="10250" width="2.71428571428571" style="2" customWidth="1"/>
    <col min="10251" max="10251" width="8.71428571428571" style="2" customWidth="1"/>
    <col min="10252" max="10252" width="10.7142857142857" style="2" customWidth="1"/>
    <col min="10253" max="10253" width="8.71428571428571" style="2" customWidth="1"/>
    <col min="10254" max="10254" width="2.71428571428571" style="2" customWidth="1"/>
    <col min="10255" max="10256" width="10.7142857142857" style="2" customWidth="1"/>
    <col min="10257" max="10257" width="8.71428571428571" style="2" customWidth="1"/>
    <col min="10258" max="10258" width="2.71428571428571" style="2" customWidth="1"/>
    <col min="10259" max="10259" width="9.14285714285714" style="2"/>
    <col min="10260" max="10260" width="2.71428571428571" style="2" customWidth="1"/>
    <col min="10261" max="10497" width="9.14285714285714" style="2"/>
    <col min="10498" max="10498" width="4.71428571428571" style="2" customWidth="1"/>
    <col min="10499" max="10499" width="8.71428571428571" style="2" customWidth="1"/>
    <col min="10500" max="10500" width="7.71428571428571" style="2" customWidth="1"/>
    <col min="10501" max="10501" width="8.71428571428571" style="2" customWidth="1"/>
    <col min="10502" max="10502" width="2.71428571428571" style="2" customWidth="1"/>
    <col min="10503" max="10503" width="8.71428571428571" style="2" customWidth="1"/>
    <col min="10504" max="10504" width="2.71428571428571" style="2" customWidth="1"/>
    <col min="10505" max="10505" width="10.7142857142857" style="2" customWidth="1"/>
    <col min="10506" max="10506" width="2.71428571428571" style="2" customWidth="1"/>
    <col min="10507" max="10507" width="8.71428571428571" style="2" customWidth="1"/>
    <col min="10508" max="10508" width="10.7142857142857" style="2" customWidth="1"/>
    <col min="10509" max="10509" width="8.71428571428571" style="2" customWidth="1"/>
    <col min="10510" max="10510" width="2.71428571428571" style="2" customWidth="1"/>
    <col min="10511" max="10512" width="10.7142857142857" style="2" customWidth="1"/>
    <col min="10513" max="10513" width="8.71428571428571" style="2" customWidth="1"/>
    <col min="10514" max="10514" width="2.71428571428571" style="2" customWidth="1"/>
    <col min="10515" max="10515" width="9.14285714285714" style="2"/>
    <col min="10516" max="10516" width="2.71428571428571" style="2" customWidth="1"/>
    <col min="10517" max="10753" width="9.14285714285714" style="2"/>
    <col min="10754" max="10754" width="4.71428571428571" style="2" customWidth="1"/>
    <col min="10755" max="10755" width="8.71428571428571" style="2" customWidth="1"/>
    <col min="10756" max="10756" width="7.71428571428571" style="2" customWidth="1"/>
    <col min="10757" max="10757" width="8.71428571428571" style="2" customWidth="1"/>
    <col min="10758" max="10758" width="2.71428571428571" style="2" customWidth="1"/>
    <col min="10759" max="10759" width="8.71428571428571" style="2" customWidth="1"/>
    <col min="10760" max="10760" width="2.71428571428571" style="2" customWidth="1"/>
    <col min="10761" max="10761" width="10.7142857142857" style="2" customWidth="1"/>
    <col min="10762" max="10762" width="2.71428571428571" style="2" customWidth="1"/>
    <col min="10763" max="10763" width="8.71428571428571" style="2" customWidth="1"/>
    <col min="10764" max="10764" width="10.7142857142857" style="2" customWidth="1"/>
    <col min="10765" max="10765" width="8.71428571428571" style="2" customWidth="1"/>
    <col min="10766" max="10766" width="2.71428571428571" style="2" customWidth="1"/>
    <col min="10767" max="10768" width="10.7142857142857" style="2" customWidth="1"/>
    <col min="10769" max="10769" width="8.71428571428571" style="2" customWidth="1"/>
    <col min="10770" max="10770" width="2.71428571428571" style="2" customWidth="1"/>
    <col min="10771" max="10771" width="9.14285714285714" style="2"/>
    <col min="10772" max="10772" width="2.71428571428571" style="2" customWidth="1"/>
    <col min="10773" max="11009" width="9.14285714285714" style="2"/>
    <col min="11010" max="11010" width="4.71428571428571" style="2" customWidth="1"/>
    <col min="11011" max="11011" width="8.71428571428571" style="2" customWidth="1"/>
    <col min="11012" max="11012" width="7.71428571428571" style="2" customWidth="1"/>
    <col min="11013" max="11013" width="8.71428571428571" style="2" customWidth="1"/>
    <col min="11014" max="11014" width="2.71428571428571" style="2" customWidth="1"/>
    <col min="11015" max="11015" width="8.71428571428571" style="2" customWidth="1"/>
    <col min="11016" max="11016" width="2.71428571428571" style="2" customWidth="1"/>
    <col min="11017" max="11017" width="10.7142857142857" style="2" customWidth="1"/>
    <col min="11018" max="11018" width="2.71428571428571" style="2" customWidth="1"/>
    <col min="11019" max="11019" width="8.71428571428571" style="2" customWidth="1"/>
    <col min="11020" max="11020" width="10.7142857142857" style="2" customWidth="1"/>
    <col min="11021" max="11021" width="8.71428571428571" style="2" customWidth="1"/>
    <col min="11022" max="11022" width="2.71428571428571" style="2" customWidth="1"/>
    <col min="11023" max="11024" width="10.7142857142857" style="2" customWidth="1"/>
    <col min="11025" max="11025" width="8.71428571428571" style="2" customWidth="1"/>
    <col min="11026" max="11026" width="2.71428571428571" style="2" customWidth="1"/>
    <col min="11027" max="11027" width="9.14285714285714" style="2"/>
    <col min="11028" max="11028" width="2.71428571428571" style="2" customWidth="1"/>
    <col min="11029" max="11265" width="9.14285714285714" style="2"/>
    <col min="11266" max="11266" width="4.71428571428571" style="2" customWidth="1"/>
    <col min="11267" max="11267" width="8.71428571428571" style="2" customWidth="1"/>
    <col min="11268" max="11268" width="7.71428571428571" style="2" customWidth="1"/>
    <col min="11269" max="11269" width="8.71428571428571" style="2" customWidth="1"/>
    <col min="11270" max="11270" width="2.71428571428571" style="2" customWidth="1"/>
    <col min="11271" max="11271" width="8.71428571428571" style="2" customWidth="1"/>
    <col min="11272" max="11272" width="2.71428571428571" style="2" customWidth="1"/>
    <col min="11273" max="11273" width="10.7142857142857" style="2" customWidth="1"/>
    <col min="11274" max="11274" width="2.71428571428571" style="2" customWidth="1"/>
    <col min="11275" max="11275" width="8.71428571428571" style="2" customWidth="1"/>
    <col min="11276" max="11276" width="10.7142857142857" style="2" customWidth="1"/>
    <col min="11277" max="11277" width="8.71428571428571" style="2" customWidth="1"/>
    <col min="11278" max="11278" width="2.71428571428571" style="2" customWidth="1"/>
    <col min="11279" max="11280" width="10.7142857142857" style="2" customWidth="1"/>
    <col min="11281" max="11281" width="8.71428571428571" style="2" customWidth="1"/>
    <col min="11282" max="11282" width="2.71428571428571" style="2" customWidth="1"/>
    <col min="11283" max="11283" width="9.14285714285714" style="2"/>
    <col min="11284" max="11284" width="2.71428571428571" style="2" customWidth="1"/>
    <col min="11285" max="11521" width="9.14285714285714" style="2"/>
    <col min="11522" max="11522" width="4.71428571428571" style="2" customWidth="1"/>
    <col min="11523" max="11523" width="8.71428571428571" style="2" customWidth="1"/>
    <col min="11524" max="11524" width="7.71428571428571" style="2" customWidth="1"/>
    <col min="11525" max="11525" width="8.71428571428571" style="2" customWidth="1"/>
    <col min="11526" max="11526" width="2.71428571428571" style="2" customWidth="1"/>
    <col min="11527" max="11527" width="8.71428571428571" style="2" customWidth="1"/>
    <col min="11528" max="11528" width="2.71428571428571" style="2" customWidth="1"/>
    <col min="11529" max="11529" width="10.7142857142857" style="2" customWidth="1"/>
    <col min="11530" max="11530" width="2.71428571428571" style="2" customWidth="1"/>
    <col min="11531" max="11531" width="8.71428571428571" style="2" customWidth="1"/>
    <col min="11532" max="11532" width="10.7142857142857" style="2" customWidth="1"/>
    <col min="11533" max="11533" width="8.71428571428571" style="2" customWidth="1"/>
    <col min="11534" max="11534" width="2.71428571428571" style="2" customWidth="1"/>
    <col min="11535" max="11536" width="10.7142857142857" style="2" customWidth="1"/>
    <col min="11537" max="11537" width="8.71428571428571" style="2" customWidth="1"/>
    <col min="11538" max="11538" width="2.71428571428571" style="2" customWidth="1"/>
    <col min="11539" max="11539" width="9.14285714285714" style="2"/>
    <col min="11540" max="11540" width="2.71428571428571" style="2" customWidth="1"/>
    <col min="11541" max="11777" width="9.14285714285714" style="2"/>
    <col min="11778" max="11778" width="4.71428571428571" style="2" customWidth="1"/>
    <col min="11779" max="11779" width="8.71428571428571" style="2" customWidth="1"/>
    <col min="11780" max="11780" width="7.71428571428571" style="2" customWidth="1"/>
    <col min="11781" max="11781" width="8.71428571428571" style="2" customWidth="1"/>
    <col min="11782" max="11782" width="2.71428571428571" style="2" customWidth="1"/>
    <col min="11783" max="11783" width="8.71428571428571" style="2" customWidth="1"/>
    <col min="11784" max="11784" width="2.71428571428571" style="2" customWidth="1"/>
    <col min="11785" max="11785" width="10.7142857142857" style="2" customWidth="1"/>
    <col min="11786" max="11786" width="2.71428571428571" style="2" customWidth="1"/>
    <col min="11787" max="11787" width="8.71428571428571" style="2" customWidth="1"/>
    <col min="11788" max="11788" width="10.7142857142857" style="2" customWidth="1"/>
    <col min="11789" max="11789" width="8.71428571428571" style="2" customWidth="1"/>
    <col min="11790" max="11790" width="2.71428571428571" style="2" customWidth="1"/>
    <col min="11791" max="11792" width="10.7142857142857" style="2" customWidth="1"/>
    <col min="11793" max="11793" width="8.71428571428571" style="2" customWidth="1"/>
    <col min="11794" max="11794" width="2.71428571428571" style="2" customWidth="1"/>
    <col min="11795" max="11795" width="9.14285714285714" style="2"/>
    <col min="11796" max="11796" width="2.71428571428571" style="2" customWidth="1"/>
    <col min="11797" max="12033" width="9.14285714285714" style="2"/>
    <col min="12034" max="12034" width="4.71428571428571" style="2" customWidth="1"/>
    <col min="12035" max="12035" width="8.71428571428571" style="2" customWidth="1"/>
    <col min="12036" max="12036" width="7.71428571428571" style="2" customWidth="1"/>
    <col min="12037" max="12037" width="8.71428571428571" style="2" customWidth="1"/>
    <col min="12038" max="12038" width="2.71428571428571" style="2" customWidth="1"/>
    <col min="12039" max="12039" width="8.71428571428571" style="2" customWidth="1"/>
    <col min="12040" max="12040" width="2.71428571428571" style="2" customWidth="1"/>
    <col min="12041" max="12041" width="10.7142857142857" style="2" customWidth="1"/>
    <col min="12042" max="12042" width="2.71428571428571" style="2" customWidth="1"/>
    <col min="12043" max="12043" width="8.71428571428571" style="2" customWidth="1"/>
    <col min="12044" max="12044" width="10.7142857142857" style="2" customWidth="1"/>
    <col min="12045" max="12045" width="8.71428571428571" style="2" customWidth="1"/>
    <col min="12046" max="12046" width="2.71428571428571" style="2" customWidth="1"/>
    <col min="12047" max="12048" width="10.7142857142857" style="2" customWidth="1"/>
    <col min="12049" max="12049" width="8.71428571428571" style="2" customWidth="1"/>
    <col min="12050" max="12050" width="2.71428571428571" style="2" customWidth="1"/>
    <col min="12051" max="12051" width="9.14285714285714" style="2"/>
    <col min="12052" max="12052" width="2.71428571428571" style="2" customWidth="1"/>
    <col min="12053" max="12289" width="9.14285714285714" style="2"/>
    <col min="12290" max="12290" width="4.71428571428571" style="2" customWidth="1"/>
    <col min="12291" max="12291" width="8.71428571428571" style="2" customWidth="1"/>
    <col min="12292" max="12292" width="7.71428571428571" style="2" customWidth="1"/>
    <col min="12293" max="12293" width="8.71428571428571" style="2" customWidth="1"/>
    <col min="12294" max="12294" width="2.71428571428571" style="2" customWidth="1"/>
    <col min="12295" max="12295" width="8.71428571428571" style="2" customWidth="1"/>
    <col min="12296" max="12296" width="2.71428571428571" style="2" customWidth="1"/>
    <col min="12297" max="12297" width="10.7142857142857" style="2" customWidth="1"/>
    <col min="12298" max="12298" width="2.71428571428571" style="2" customWidth="1"/>
    <col min="12299" max="12299" width="8.71428571428571" style="2" customWidth="1"/>
    <col min="12300" max="12300" width="10.7142857142857" style="2" customWidth="1"/>
    <col min="12301" max="12301" width="8.71428571428571" style="2" customWidth="1"/>
    <col min="12302" max="12302" width="2.71428571428571" style="2" customWidth="1"/>
    <col min="12303" max="12304" width="10.7142857142857" style="2" customWidth="1"/>
    <col min="12305" max="12305" width="8.71428571428571" style="2" customWidth="1"/>
    <col min="12306" max="12306" width="2.71428571428571" style="2" customWidth="1"/>
    <col min="12307" max="12307" width="9.14285714285714" style="2"/>
    <col min="12308" max="12308" width="2.71428571428571" style="2" customWidth="1"/>
    <col min="12309" max="12545" width="9.14285714285714" style="2"/>
    <col min="12546" max="12546" width="4.71428571428571" style="2" customWidth="1"/>
    <col min="12547" max="12547" width="8.71428571428571" style="2" customWidth="1"/>
    <col min="12548" max="12548" width="7.71428571428571" style="2" customWidth="1"/>
    <col min="12549" max="12549" width="8.71428571428571" style="2" customWidth="1"/>
    <col min="12550" max="12550" width="2.71428571428571" style="2" customWidth="1"/>
    <col min="12551" max="12551" width="8.71428571428571" style="2" customWidth="1"/>
    <col min="12552" max="12552" width="2.71428571428571" style="2" customWidth="1"/>
    <col min="12553" max="12553" width="10.7142857142857" style="2" customWidth="1"/>
    <col min="12554" max="12554" width="2.71428571428571" style="2" customWidth="1"/>
    <col min="12555" max="12555" width="8.71428571428571" style="2" customWidth="1"/>
    <col min="12556" max="12556" width="10.7142857142857" style="2" customWidth="1"/>
    <col min="12557" max="12557" width="8.71428571428571" style="2" customWidth="1"/>
    <col min="12558" max="12558" width="2.71428571428571" style="2" customWidth="1"/>
    <col min="12559" max="12560" width="10.7142857142857" style="2" customWidth="1"/>
    <col min="12561" max="12561" width="8.71428571428571" style="2" customWidth="1"/>
    <col min="12562" max="12562" width="2.71428571428571" style="2" customWidth="1"/>
    <col min="12563" max="12563" width="9.14285714285714" style="2"/>
    <col min="12564" max="12564" width="2.71428571428571" style="2" customWidth="1"/>
    <col min="12565" max="12801" width="9.14285714285714" style="2"/>
    <col min="12802" max="12802" width="4.71428571428571" style="2" customWidth="1"/>
    <col min="12803" max="12803" width="8.71428571428571" style="2" customWidth="1"/>
    <col min="12804" max="12804" width="7.71428571428571" style="2" customWidth="1"/>
    <col min="12805" max="12805" width="8.71428571428571" style="2" customWidth="1"/>
    <col min="12806" max="12806" width="2.71428571428571" style="2" customWidth="1"/>
    <col min="12807" max="12807" width="8.71428571428571" style="2" customWidth="1"/>
    <col min="12808" max="12808" width="2.71428571428571" style="2" customWidth="1"/>
    <col min="12809" max="12809" width="10.7142857142857" style="2" customWidth="1"/>
    <col min="12810" max="12810" width="2.71428571428571" style="2" customWidth="1"/>
    <col min="12811" max="12811" width="8.71428571428571" style="2" customWidth="1"/>
    <col min="12812" max="12812" width="10.7142857142857" style="2" customWidth="1"/>
    <col min="12813" max="12813" width="8.71428571428571" style="2" customWidth="1"/>
    <col min="12814" max="12814" width="2.71428571428571" style="2" customWidth="1"/>
    <col min="12815" max="12816" width="10.7142857142857" style="2" customWidth="1"/>
    <col min="12817" max="12817" width="8.71428571428571" style="2" customWidth="1"/>
    <col min="12818" max="12818" width="2.71428571428571" style="2" customWidth="1"/>
    <col min="12819" max="12819" width="9.14285714285714" style="2"/>
    <col min="12820" max="12820" width="2.71428571428571" style="2" customWidth="1"/>
    <col min="12821" max="13057" width="9.14285714285714" style="2"/>
    <col min="13058" max="13058" width="4.71428571428571" style="2" customWidth="1"/>
    <col min="13059" max="13059" width="8.71428571428571" style="2" customWidth="1"/>
    <col min="13060" max="13060" width="7.71428571428571" style="2" customWidth="1"/>
    <col min="13061" max="13061" width="8.71428571428571" style="2" customWidth="1"/>
    <col min="13062" max="13062" width="2.71428571428571" style="2" customWidth="1"/>
    <col min="13063" max="13063" width="8.71428571428571" style="2" customWidth="1"/>
    <col min="13064" max="13064" width="2.71428571428571" style="2" customWidth="1"/>
    <col min="13065" max="13065" width="10.7142857142857" style="2" customWidth="1"/>
    <col min="13066" max="13066" width="2.71428571428571" style="2" customWidth="1"/>
    <col min="13067" max="13067" width="8.71428571428571" style="2" customWidth="1"/>
    <col min="13068" max="13068" width="10.7142857142857" style="2" customWidth="1"/>
    <col min="13069" max="13069" width="8.71428571428571" style="2" customWidth="1"/>
    <col min="13070" max="13070" width="2.71428571428571" style="2" customWidth="1"/>
    <col min="13071" max="13072" width="10.7142857142857" style="2" customWidth="1"/>
    <col min="13073" max="13073" width="8.71428571428571" style="2" customWidth="1"/>
    <col min="13074" max="13074" width="2.71428571428571" style="2" customWidth="1"/>
    <col min="13075" max="13075" width="9.14285714285714" style="2"/>
    <col min="13076" max="13076" width="2.71428571428571" style="2" customWidth="1"/>
    <col min="13077" max="13313" width="9.14285714285714" style="2"/>
    <col min="13314" max="13314" width="4.71428571428571" style="2" customWidth="1"/>
    <col min="13315" max="13315" width="8.71428571428571" style="2" customWidth="1"/>
    <col min="13316" max="13316" width="7.71428571428571" style="2" customWidth="1"/>
    <col min="13317" max="13317" width="8.71428571428571" style="2" customWidth="1"/>
    <col min="13318" max="13318" width="2.71428571428571" style="2" customWidth="1"/>
    <col min="13319" max="13319" width="8.71428571428571" style="2" customWidth="1"/>
    <col min="13320" max="13320" width="2.71428571428571" style="2" customWidth="1"/>
    <col min="13321" max="13321" width="10.7142857142857" style="2" customWidth="1"/>
    <col min="13322" max="13322" width="2.71428571428571" style="2" customWidth="1"/>
    <col min="13323" max="13323" width="8.71428571428571" style="2" customWidth="1"/>
    <col min="13324" max="13324" width="10.7142857142857" style="2" customWidth="1"/>
    <col min="13325" max="13325" width="8.71428571428571" style="2" customWidth="1"/>
    <col min="13326" max="13326" width="2.71428571428571" style="2" customWidth="1"/>
    <col min="13327" max="13328" width="10.7142857142857" style="2" customWidth="1"/>
    <col min="13329" max="13329" width="8.71428571428571" style="2" customWidth="1"/>
    <col min="13330" max="13330" width="2.71428571428571" style="2" customWidth="1"/>
    <col min="13331" max="13331" width="9.14285714285714" style="2"/>
    <col min="13332" max="13332" width="2.71428571428571" style="2" customWidth="1"/>
    <col min="13333" max="13569" width="9.14285714285714" style="2"/>
    <col min="13570" max="13570" width="4.71428571428571" style="2" customWidth="1"/>
    <col min="13571" max="13571" width="8.71428571428571" style="2" customWidth="1"/>
    <col min="13572" max="13572" width="7.71428571428571" style="2" customWidth="1"/>
    <col min="13573" max="13573" width="8.71428571428571" style="2" customWidth="1"/>
    <col min="13574" max="13574" width="2.71428571428571" style="2" customWidth="1"/>
    <col min="13575" max="13575" width="8.71428571428571" style="2" customWidth="1"/>
    <col min="13576" max="13576" width="2.71428571428571" style="2" customWidth="1"/>
    <col min="13577" max="13577" width="10.7142857142857" style="2" customWidth="1"/>
    <col min="13578" max="13578" width="2.71428571428571" style="2" customWidth="1"/>
    <col min="13579" max="13579" width="8.71428571428571" style="2" customWidth="1"/>
    <col min="13580" max="13580" width="10.7142857142857" style="2" customWidth="1"/>
    <col min="13581" max="13581" width="8.71428571428571" style="2" customWidth="1"/>
    <col min="13582" max="13582" width="2.71428571428571" style="2" customWidth="1"/>
    <col min="13583" max="13584" width="10.7142857142857" style="2" customWidth="1"/>
    <col min="13585" max="13585" width="8.71428571428571" style="2" customWidth="1"/>
    <col min="13586" max="13586" width="2.71428571428571" style="2" customWidth="1"/>
    <col min="13587" max="13587" width="9.14285714285714" style="2"/>
    <col min="13588" max="13588" width="2.71428571428571" style="2" customWidth="1"/>
    <col min="13589" max="13825" width="9.14285714285714" style="2"/>
    <col min="13826" max="13826" width="4.71428571428571" style="2" customWidth="1"/>
    <col min="13827" max="13827" width="8.71428571428571" style="2" customWidth="1"/>
    <col min="13828" max="13828" width="7.71428571428571" style="2" customWidth="1"/>
    <col min="13829" max="13829" width="8.71428571428571" style="2" customWidth="1"/>
    <col min="13830" max="13830" width="2.71428571428571" style="2" customWidth="1"/>
    <col min="13831" max="13831" width="8.71428571428571" style="2" customWidth="1"/>
    <col min="13832" max="13832" width="2.71428571428571" style="2" customWidth="1"/>
    <col min="13833" max="13833" width="10.7142857142857" style="2" customWidth="1"/>
    <col min="13834" max="13834" width="2.71428571428571" style="2" customWidth="1"/>
    <col min="13835" max="13835" width="8.71428571428571" style="2" customWidth="1"/>
    <col min="13836" max="13836" width="10.7142857142857" style="2" customWidth="1"/>
    <col min="13837" max="13837" width="8.71428571428571" style="2" customWidth="1"/>
    <col min="13838" max="13838" width="2.71428571428571" style="2" customWidth="1"/>
    <col min="13839" max="13840" width="10.7142857142857" style="2" customWidth="1"/>
    <col min="13841" max="13841" width="8.71428571428571" style="2" customWidth="1"/>
    <col min="13842" max="13842" width="2.71428571428571" style="2" customWidth="1"/>
    <col min="13843" max="13843" width="9.14285714285714" style="2"/>
    <col min="13844" max="13844" width="2.71428571428571" style="2" customWidth="1"/>
    <col min="13845" max="14081" width="9.14285714285714" style="2"/>
    <col min="14082" max="14082" width="4.71428571428571" style="2" customWidth="1"/>
    <col min="14083" max="14083" width="8.71428571428571" style="2" customWidth="1"/>
    <col min="14084" max="14084" width="7.71428571428571" style="2" customWidth="1"/>
    <col min="14085" max="14085" width="8.71428571428571" style="2" customWidth="1"/>
    <col min="14086" max="14086" width="2.71428571428571" style="2" customWidth="1"/>
    <col min="14087" max="14087" width="8.71428571428571" style="2" customWidth="1"/>
    <col min="14088" max="14088" width="2.71428571428571" style="2" customWidth="1"/>
    <col min="14089" max="14089" width="10.7142857142857" style="2" customWidth="1"/>
    <col min="14090" max="14090" width="2.71428571428571" style="2" customWidth="1"/>
    <col min="14091" max="14091" width="8.71428571428571" style="2" customWidth="1"/>
    <col min="14092" max="14092" width="10.7142857142857" style="2" customWidth="1"/>
    <col min="14093" max="14093" width="8.71428571428571" style="2" customWidth="1"/>
    <col min="14094" max="14094" width="2.71428571428571" style="2" customWidth="1"/>
    <col min="14095" max="14096" width="10.7142857142857" style="2" customWidth="1"/>
    <col min="14097" max="14097" width="8.71428571428571" style="2" customWidth="1"/>
    <col min="14098" max="14098" width="2.71428571428571" style="2" customWidth="1"/>
    <col min="14099" max="14099" width="9.14285714285714" style="2"/>
    <col min="14100" max="14100" width="2.71428571428571" style="2" customWidth="1"/>
    <col min="14101" max="14337" width="9.14285714285714" style="2"/>
    <col min="14338" max="14338" width="4.71428571428571" style="2" customWidth="1"/>
    <col min="14339" max="14339" width="8.71428571428571" style="2" customWidth="1"/>
    <col min="14340" max="14340" width="7.71428571428571" style="2" customWidth="1"/>
    <col min="14341" max="14341" width="8.71428571428571" style="2" customWidth="1"/>
    <col min="14342" max="14342" width="2.71428571428571" style="2" customWidth="1"/>
    <col min="14343" max="14343" width="8.71428571428571" style="2" customWidth="1"/>
    <col min="14344" max="14344" width="2.71428571428571" style="2" customWidth="1"/>
    <col min="14345" max="14345" width="10.7142857142857" style="2" customWidth="1"/>
    <col min="14346" max="14346" width="2.71428571428571" style="2" customWidth="1"/>
    <col min="14347" max="14347" width="8.71428571428571" style="2" customWidth="1"/>
    <col min="14348" max="14348" width="10.7142857142857" style="2" customWidth="1"/>
    <col min="14349" max="14349" width="8.71428571428571" style="2" customWidth="1"/>
    <col min="14350" max="14350" width="2.71428571428571" style="2" customWidth="1"/>
    <col min="14351" max="14352" width="10.7142857142857" style="2" customWidth="1"/>
    <col min="14353" max="14353" width="8.71428571428571" style="2" customWidth="1"/>
    <col min="14354" max="14354" width="2.71428571428571" style="2" customWidth="1"/>
    <col min="14355" max="14355" width="9.14285714285714" style="2"/>
    <col min="14356" max="14356" width="2.71428571428571" style="2" customWidth="1"/>
    <col min="14357" max="14593" width="9.14285714285714" style="2"/>
    <col min="14594" max="14594" width="4.71428571428571" style="2" customWidth="1"/>
    <col min="14595" max="14595" width="8.71428571428571" style="2" customWidth="1"/>
    <col min="14596" max="14596" width="7.71428571428571" style="2" customWidth="1"/>
    <col min="14597" max="14597" width="8.71428571428571" style="2" customWidth="1"/>
    <col min="14598" max="14598" width="2.71428571428571" style="2" customWidth="1"/>
    <col min="14599" max="14599" width="8.71428571428571" style="2" customWidth="1"/>
    <col min="14600" max="14600" width="2.71428571428571" style="2" customWidth="1"/>
    <col min="14601" max="14601" width="10.7142857142857" style="2" customWidth="1"/>
    <col min="14602" max="14602" width="2.71428571428571" style="2" customWidth="1"/>
    <col min="14603" max="14603" width="8.71428571428571" style="2" customWidth="1"/>
    <col min="14604" max="14604" width="10.7142857142857" style="2" customWidth="1"/>
    <col min="14605" max="14605" width="8.71428571428571" style="2" customWidth="1"/>
    <col min="14606" max="14606" width="2.71428571428571" style="2" customWidth="1"/>
    <col min="14607" max="14608" width="10.7142857142857" style="2" customWidth="1"/>
    <col min="14609" max="14609" width="8.71428571428571" style="2" customWidth="1"/>
    <col min="14610" max="14610" width="2.71428571428571" style="2" customWidth="1"/>
    <col min="14611" max="14611" width="9.14285714285714" style="2"/>
    <col min="14612" max="14612" width="2.71428571428571" style="2" customWidth="1"/>
    <col min="14613" max="14849" width="9.14285714285714" style="2"/>
    <col min="14850" max="14850" width="4.71428571428571" style="2" customWidth="1"/>
    <col min="14851" max="14851" width="8.71428571428571" style="2" customWidth="1"/>
    <col min="14852" max="14852" width="7.71428571428571" style="2" customWidth="1"/>
    <col min="14853" max="14853" width="8.71428571428571" style="2" customWidth="1"/>
    <col min="14854" max="14854" width="2.71428571428571" style="2" customWidth="1"/>
    <col min="14855" max="14855" width="8.71428571428571" style="2" customWidth="1"/>
    <col min="14856" max="14856" width="2.71428571428571" style="2" customWidth="1"/>
    <col min="14857" max="14857" width="10.7142857142857" style="2" customWidth="1"/>
    <col min="14858" max="14858" width="2.71428571428571" style="2" customWidth="1"/>
    <col min="14859" max="14859" width="8.71428571428571" style="2" customWidth="1"/>
    <col min="14860" max="14860" width="10.7142857142857" style="2" customWidth="1"/>
    <col min="14861" max="14861" width="8.71428571428571" style="2" customWidth="1"/>
    <col min="14862" max="14862" width="2.71428571428571" style="2" customWidth="1"/>
    <col min="14863" max="14864" width="10.7142857142857" style="2" customWidth="1"/>
    <col min="14865" max="14865" width="8.71428571428571" style="2" customWidth="1"/>
    <col min="14866" max="14866" width="2.71428571428571" style="2" customWidth="1"/>
    <col min="14867" max="14867" width="9.14285714285714" style="2"/>
    <col min="14868" max="14868" width="2.71428571428571" style="2" customWidth="1"/>
    <col min="14869" max="15105" width="9.14285714285714" style="2"/>
    <col min="15106" max="15106" width="4.71428571428571" style="2" customWidth="1"/>
    <col min="15107" max="15107" width="8.71428571428571" style="2" customWidth="1"/>
    <col min="15108" max="15108" width="7.71428571428571" style="2" customWidth="1"/>
    <col min="15109" max="15109" width="8.71428571428571" style="2" customWidth="1"/>
    <col min="15110" max="15110" width="2.71428571428571" style="2" customWidth="1"/>
    <col min="15111" max="15111" width="8.71428571428571" style="2" customWidth="1"/>
    <col min="15112" max="15112" width="2.71428571428571" style="2" customWidth="1"/>
    <col min="15113" max="15113" width="10.7142857142857" style="2" customWidth="1"/>
    <col min="15114" max="15114" width="2.71428571428571" style="2" customWidth="1"/>
    <col min="15115" max="15115" width="8.71428571428571" style="2" customWidth="1"/>
    <col min="15116" max="15116" width="10.7142857142857" style="2" customWidth="1"/>
    <col min="15117" max="15117" width="8.71428571428571" style="2" customWidth="1"/>
    <col min="15118" max="15118" width="2.71428571428571" style="2" customWidth="1"/>
    <col min="15119" max="15120" width="10.7142857142857" style="2" customWidth="1"/>
    <col min="15121" max="15121" width="8.71428571428571" style="2" customWidth="1"/>
    <col min="15122" max="15122" width="2.71428571428571" style="2" customWidth="1"/>
    <col min="15123" max="15123" width="9.14285714285714" style="2"/>
    <col min="15124" max="15124" width="2.71428571428571" style="2" customWidth="1"/>
    <col min="15125" max="15361" width="9.14285714285714" style="2"/>
    <col min="15362" max="15362" width="4.71428571428571" style="2" customWidth="1"/>
    <col min="15363" max="15363" width="8.71428571428571" style="2" customWidth="1"/>
    <col min="15364" max="15364" width="7.71428571428571" style="2" customWidth="1"/>
    <col min="15365" max="15365" width="8.71428571428571" style="2" customWidth="1"/>
    <col min="15366" max="15366" width="2.71428571428571" style="2" customWidth="1"/>
    <col min="15367" max="15367" width="8.71428571428571" style="2" customWidth="1"/>
    <col min="15368" max="15368" width="2.71428571428571" style="2" customWidth="1"/>
    <col min="15369" max="15369" width="10.7142857142857" style="2" customWidth="1"/>
    <col min="15370" max="15370" width="2.71428571428571" style="2" customWidth="1"/>
    <col min="15371" max="15371" width="8.71428571428571" style="2" customWidth="1"/>
    <col min="15372" max="15372" width="10.7142857142857" style="2" customWidth="1"/>
    <col min="15373" max="15373" width="8.71428571428571" style="2" customWidth="1"/>
    <col min="15374" max="15374" width="2.71428571428571" style="2" customWidth="1"/>
    <col min="15375" max="15376" width="10.7142857142857" style="2" customWidth="1"/>
    <col min="15377" max="15377" width="8.71428571428571" style="2" customWidth="1"/>
    <col min="15378" max="15378" width="2.71428571428571" style="2" customWidth="1"/>
    <col min="15379" max="15379" width="9.14285714285714" style="2"/>
    <col min="15380" max="15380" width="2.71428571428571" style="2" customWidth="1"/>
    <col min="15381" max="15617" width="9.14285714285714" style="2"/>
    <col min="15618" max="15618" width="4.71428571428571" style="2" customWidth="1"/>
    <col min="15619" max="15619" width="8.71428571428571" style="2" customWidth="1"/>
    <col min="15620" max="15620" width="7.71428571428571" style="2" customWidth="1"/>
    <col min="15621" max="15621" width="8.71428571428571" style="2" customWidth="1"/>
    <col min="15622" max="15622" width="2.71428571428571" style="2" customWidth="1"/>
    <col min="15623" max="15623" width="8.71428571428571" style="2" customWidth="1"/>
    <col min="15624" max="15624" width="2.71428571428571" style="2" customWidth="1"/>
    <col min="15625" max="15625" width="10.7142857142857" style="2" customWidth="1"/>
    <col min="15626" max="15626" width="2.71428571428571" style="2" customWidth="1"/>
    <col min="15627" max="15627" width="8.71428571428571" style="2" customWidth="1"/>
    <col min="15628" max="15628" width="10.7142857142857" style="2" customWidth="1"/>
    <col min="15629" max="15629" width="8.71428571428571" style="2" customWidth="1"/>
    <col min="15630" max="15630" width="2.71428571428571" style="2" customWidth="1"/>
    <col min="15631" max="15632" width="10.7142857142857" style="2" customWidth="1"/>
    <col min="15633" max="15633" width="8.71428571428571" style="2" customWidth="1"/>
    <col min="15634" max="15634" width="2.71428571428571" style="2" customWidth="1"/>
    <col min="15635" max="15635" width="9.14285714285714" style="2"/>
    <col min="15636" max="15636" width="2.71428571428571" style="2" customWidth="1"/>
    <col min="15637" max="15873" width="9.14285714285714" style="2"/>
    <col min="15874" max="15874" width="4.71428571428571" style="2" customWidth="1"/>
    <col min="15875" max="15875" width="8.71428571428571" style="2" customWidth="1"/>
    <col min="15876" max="15876" width="7.71428571428571" style="2" customWidth="1"/>
    <col min="15877" max="15877" width="8.71428571428571" style="2" customWidth="1"/>
    <col min="15878" max="15878" width="2.71428571428571" style="2" customWidth="1"/>
    <col min="15879" max="15879" width="8.71428571428571" style="2" customWidth="1"/>
    <col min="15880" max="15880" width="2.71428571428571" style="2" customWidth="1"/>
    <col min="15881" max="15881" width="10.7142857142857" style="2" customWidth="1"/>
    <col min="15882" max="15882" width="2.71428571428571" style="2" customWidth="1"/>
    <col min="15883" max="15883" width="8.71428571428571" style="2" customWidth="1"/>
    <col min="15884" max="15884" width="10.7142857142857" style="2" customWidth="1"/>
    <col min="15885" max="15885" width="8.71428571428571" style="2" customWidth="1"/>
    <col min="15886" max="15886" width="2.71428571428571" style="2" customWidth="1"/>
    <col min="15887" max="15888" width="10.7142857142857" style="2" customWidth="1"/>
    <col min="15889" max="15889" width="8.71428571428571" style="2" customWidth="1"/>
    <col min="15890" max="15890" width="2.71428571428571" style="2" customWidth="1"/>
    <col min="15891" max="15891" width="9.14285714285714" style="2"/>
    <col min="15892" max="15892" width="2.71428571428571" style="2" customWidth="1"/>
    <col min="15893" max="16129" width="9.14285714285714" style="2"/>
    <col min="16130" max="16130" width="4.71428571428571" style="2" customWidth="1"/>
    <col min="16131" max="16131" width="8.71428571428571" style="2" customWidth="1"/>
    <col min="16132" max="16132" width="7.71428571428571" style="2" customWidth="1"/>
    <col min="16133" max="16133" width="8.71428571428571" style="2" customWidth="1"/>
    <col min="16134" max="16134" width="2.71428571428571" style="2" customWidth="1"/>
    <col min="16135" max="16135" width="8.71428571428571" style="2" customWidth="1"/>
    <col min="16136" max="16136" width="2.71428571428571" style="2" customWidth="1"/>
    <col min="16137" max="16137" width="10.7142857142857" style="2" customWidth="1"/>
    <col min="16138" max="16138" width="2.71428571428571" style="2" customWidth="1"/>
    <col min="16139" max="16139" width="8.71428571428571" style="2" customWidth="1"/>
    <col min="16140" max="16140" width="10.7142857142857" style="2" customWidth="1"/>
    <col min="16141" max="16141" width="8.71428571428571" style="2" customWidth="1"/>
    <col min="16142" max="16142" width="2.71428571428571" style="2" customWidth="1"/>
    <col min="16143" max="16144" width="10.7142857142857" style="2" customWidth="1"/>
    <col min="16145" max="16145" width="8.71428571428571" style="2" customWidth="1"/>
    <col min="16146" max="16146" width="2.71428571428571" style="2" customWidth="1"/>
    <col min="16147" max="16147" width="9.14285714285714" style="2"/>
    <col min="16148" max="16148" width="2.71428571428571" style="2" customWidth="1"/>
    <col min="16149" max="16384" width="9.14285714285714" style="2"/>
  </cols>
  <sheetData>
    <row r="1" spans="4:18" ht="18.75" customHeight="1">
      <c r="D1" s="1"/>
      <c r="O1" s="9"/>
      <c r="Q1" s="9"/>
      <c r="R1" s="9" t="s">
        <v>31</v>
      </c>
    </row>
    <row r="2" spans="15:18" ht="18.75" customHeight="1">
      <c r="O2" s="9"/>
      <c r="Q2" s="9"/>
      <c r="R2" s="9" t="s">
        <v>67</v>
      </c>
    </row>
    <row r="3" spans="15:17" ht="18.75" customHeight="1">
      <c r="O3" s="9"/>
      <c r="Q3" s="9"/>
    </row>
    <row r="4" spans="1:22" ht="18" customHeight="1">
      <c r="A4" s="20" t="s">
        <v>88</v>
      </c>
      <c r="B4" s="18"/>
      <c r="C4" s="18"/>
      <c r="D4" s="18"/>
      <c r="E4" s="18"/>
      <c r="F4" s="19"/>
      <c r="G4" s="22"/>
      <c r="H4" s="20"/>
      <c r="I4" s="19"/>
      <c r="J4" s="18"/>
      <c r="K4" s="22"/>
      <c r="L4" s="20"/>
      <c r="M4" s="22"/>
      <c r="N4" s="18"/>
      <c r="O4" s="18"/>
      <c r="P4" s="19"/>
      <c r="Q4" s="18"/>
      <c r="R4" s="18"/>
      <c r="S4" s="18"/>
      <c r="T4" s="18"/>
      <c r="U4" s="18"/>
      <c r="V4" s="18"/>
    </row>
    <row r="5" spans="1:22" ht="18" customHeight="1">
      <c r="A5" s="20" t="s">
        <v>51</v>
      </c>
      <c r="B5" s="18"/>
      <c r="C5" s="18"/>
      <c r="D5" s="18"/>
      <c r="E5" s="18"/>
      <c r="F5" s="19"/>
      <c r="G5" s="22"/>
      <c r="H5" s="20"/>
      <c r="I5" s="21"/>
      <c r="J5" s="18"/>
      <c r="K5" s="22"/>
      <c r="L5" s="20"/>
      <c r="M5" s="23"/>
      <c r="N5" s="18"/>
      <c r="O5" s="18"/>
      <c r="P5" s="21"/>
      <c r="Q5" s="20"/>
      <c r="R5" s="18"/>
      <c r="S5" s="18"/>
      <c r="T5" s="18"/>
      <c r="U5" s="18"/>
      <c r="V5" s="18"/>
    </row>
    <row r="6" spans="1:22" ht="18" customHeight="1">
      <c r="A6" s="20" t="s">
        <v>72</v>
      </c>
      <c r="B6" s="18"/>
      <c r="C6" s="18"/>
      <c r="D6" s="18"/>
      <c r="E6" s="18"/>
      <c r="F6" s="19"/>
      <c r="G6" s="22"/>
      <c r="H6" s="19"/>
      <c r="I6" s="19"/>
      <c r="J6" s="20"/>
      <c r="K6" s="22"/>
      <c r="L6" s="19"/>
      <c r="M6" s="22"/>
      <c r="N6" s="18"/>
      <c r="O6" s="20"/>
      <c r="P6" s="21"/>
      <c r="Q6" s="20"/>
      <c r="R6" s="18"/>
      <c r="S6" s="18"/>
      <c r="T6" s="18"/>
      <c r="U6" s="18"/>
      <c r="V6" s="18"/>
    </row>
    <row r="7" spans="1:22" ht="18" customHeight="1">
      <c r="A7" s="20" t="s">
        <v>49</v>
      </c>
      <c r="B7" s="18"/>
      <c r="C7" s="18"/>
      <c r="D7" s="18"/>
      <c r="E7" s="18"/>
      <c r="F7" s="18"/>
      <c r="G7" s="22"/>
      <c r="H7" s="19"/>
      <c r="I7" s="19"/>
      <c r="J7" s="20"/>
      <c r="K7" s="22"/>
      <c r="L7" s="19"/>
      <c r="M7" s="22"/>
      <c r="N7" s="18"/>
      <c r="O7" s="20"/>
      <c r="P7" s="21"/>
      <c r="Q7" s="20"/>
      <c r="R7" s="18"/>
      <c r="S7" s="18"/>
      <c r="T7" s="18"/>
      <c r="U7" s="18"/>
      <c r="V7" s="18"/>
    </row>
    <row r="8" spans="1:22" ht="18" customHeight="1">
      <c r="A8" s="20" t="s">
        <v>109</v>
      </c>
      <c r="B8" s="18"/>
      <c r="C8" s="18"/>
      <c r="D8" s="18"/>
      <c r="E8" s="18"/>
      <c r="F8" s="18"/>
      <c r="G8" s="22"/>
      <c r="H8" s="19"/>
      <c r="I8" s="19"/>
      <c r="J8" s="20"/>
      <c r="K8" s="22"/>
      <c r="L8" s="19"/>
      <c r="M8" s="22"/>
      <c r="N8" s="18"/>
      <c r="O8" s="20"/>
      <c r="P8" s="21"/>
      <c r="Q8" s="20"/>
      <c r="R8" s="18"/>
      <c r="S8" s="18"/>
      <c r="T8" s="18"/>
      <c r="U8" s="18"/>
      <c r="V8" s="18"/>
    </row>
    <row r="9" spans="1:22" ht="18" customHeight="1">
      <c r="A9" s="20"/>
      <c r="B9" s="18"/>
      <c r="C9" s="18"/>
      <c r="D9" s="18"/>
      <c r="E9" s="18"/>
      <c r="F9" s="19"/>
      <c r="G9" s="22"/>
      <c r="H9" s="21"/>
      <c r="I9" s="21"/>
      <c r="J9" s="18"/>
      <c r="K9" s="22"/>
      <c r="L9" s="21"/>
      <c r="M9" s="23"/>
      <c r="N9" s="18"/>
      <c r="O9" s="18"/>
      <c r="P9" s="19"/>
      <c r="Q9" s="18"/>
      <c r="R9" s="18"/>
      <c r="S9" s="18"/>
      <c r="T9" s="18"/>
      <c r="U9" s="18"/>
      <c r="V9" s="18"/>
    </row>
    <row r="10" spans="1:22" ht="18" customHeight="1">
      <c r="A10" s="20" t="s">
        <v>58</v>
      </c>
      <c r="B10" s="18"/>
      <c r="C10" s="18"/>
      <c r="D10" s="18"/>
      <c r="E10" s="18"/>
      <c r="F10" s="19"/>
      <c r="G10" s="22"/>
      <c r="H10" s="21"/>
      <c r="I10" s="21"/>
      <c r="J10" s="18"/>
      <c r="K10" s="22"/>
      <c r="L10" s="21"/>
      <c r="M10" s="23"/>
      <c r="N10" s="18"/>
      <c r="O10" s="18"/>
      <c r="P10" s="19"/>
      <c r="Q10" s="18"/>
      <c r="R10" s="18"/>
      <c r="S10" s="18"/>
      <c r="T10" s="18"/>
      <c r="U10" s="18"/>
      <c r="V10" s="18"/>
    </row>
    <row r="11" spans="15:17" ht="18.75" customHeight="1">
      <c r="O11" s="9"/>
      <c r="Q11" s="9"/>
    </row>
    <row r="12" spans="3:17" ht="18.75" customHeight="1">
      <c r="C12" s="2" t="s">
        <v>55</v>
      </c>
      <c r="O12" s="9"/>
      <c r="Q12" s="9"/>
    </row>
    <row r="13" spans="3:17" ht="18.75" customHeight="1">
      <c r="C13" s="2" t="s">
        <v>50</v>
      </c>
      <c r="O13" s="9"/>
      <c r="Q13" s="9"/>
    </row>
    <row r="14" spans="15:17" ht="10" customHeight="1">
      <c r="O14" s="9"/>
      <c r="Q14" s="9"/>
    </row>
    <row r="15" spans="7:19" ht="18.75" customHeight="1">
      <c r="G15" s="11"/>
      <c r="I15" s="11" t="s">
        <v>45</v>
      </c>
      <c r="K15" s="9" t="s">
        <v>46</v>
      </c>
      <c r="M15" s="9" t="s">
        <v>47</v>
      </c>
      <c r="O15" s="9" t="s">
        <v>69</v>
      </c>
      <c r="P15" s="2"/>
      <c r="Q15" s="2" t="s">
        <v>48</v>
      </c>
      <c r="S15" s="2" t="s">
        <v>70</v>
      </c>
    </row>
    <row r="16" spans="6:17" ht="18.75" customHeight="1">
      <c r="F16" s="7"/>
      <c r="G16" s="11"/>
      <c r="I16" s="7" t="s">
        <v>107</v>
      </c>
      <c r="J16" s="7"/>
      <c r="K16" s="7"/>
      <c r="L16" s="2"/>
      <c r="M16" s="7" t="s">
        <v>108</v>
      </c>
      <c r="N16" s="7"/>
      <c r="O16" s="7"/>
      <c r="Q16" s="7" t="s">
        <v>110</v>
      </c>
    </row>
    <row r="17" spans="3:19" ht="18.75" customHeight="1">
      <c r="C17" s="2" t="s">
        <v>2</v>
      </c>
      <c r="G17" s="11"/>
      <c r="I17" s="11" t="s">
        <v>52</v>
      </c>
      <c r="K17" s="11"/>
      <c r="L17" s="2"/>
      <c r="M17" s="11" t="s">
        <v>52</v>
      </c>
      <c r="Q17" s="11" t="s">
        <v>52</v>
      </c>
      <c r="R17" s="11"/>
      <c r="S17" s="11"/>
    </row>
    <row r="18" spans="3:19" ht="18.75" customHeight="1">
      <c r="C18" s="8" t="s">
        <v>9</v>
      </c>
      <c r="F18" s="12"/>
      <c r="G18" s="12"/>
      <c r="I18" s="13" t="s">
        <v>41</v>
      </c>
      <c r="J18" s="12"/>
      <c r="K18" s="17" t="s">
        <v>16</v>
      </c>
      <c r="L18" s="2"/>
      <c r="M18" s="13" t="s">
        <v>41</v>
      </c>
      <c r="N18" s="12"/>
      <c r="O18" s="17" t="s">
        <v>16</v>
      </c>
      <c r="Q18" s="13" t="s">
        <v>41</v>
      </c>
      <c r="R18" s="12"/>
      <c r="S18" s="17" t="s">
        <v>16</v>
      </c>
    </row>
    <row r="19" spans="3:13" ht="18" customHeight="1">
      <c r="C19" s="2"/>
      <c r="G19" s="11"/>
      <c r="K19" s="11"/>
      <c r="L19" s="2"/>
      <c r="M19" s="11"/>
    </row>
    <row r="20" spans="3:19" ht="22" customHeight="1">
      <c r="C20" s="10">
        <v>1</v>
      </c>
      <c r="D20" s="10" t="s">
        <v>17</v>
      </c>
      <c r="F20" s="15"/>
      <c r="G20" s="15"/>
      <c r="H20" s="9"/>
      <c r="I20" s="9">
        <v>0.99726474232946749</v>
      </c>
      <c r="J20" s="9"/>
      <c r="K20" s="9">
        <v>0.51789220000000002</v>
      </c>
      <c r="L20" s="9"/>
      <c r="M20" s="9">
        <v>0.93522331857506757</v>
      </c>
      <c r="N20" s="9"/>
      <c r="O20" s="9">
        <v>0.612645</v>
      </c>
      <c r="Q20" s="9">
        <v>0.92727079954992897</v>
      </c>
      <c r="R20" s="9"/>
      <c r="S20" s="9">
        <v>0.59539940000000002</v>
      </c>
    </row>
    <row r="21" spans="3:19" ht="22" customHeight="1">
      <c r="C21" s="10">
        <v>2</v>
      </c>
      <c r="D21" s="10" t="s">
        <v>18</v>
      </c>
      <c r="F21" s="9"/>
      <c r="G21" s="15"/>
      <c r="H21" s="9"/>
      <c r="I21" s="9">
        <v>0.94349863712509729</v>
      </c>
      <c r="J21" s="9"/>
      <c r="K21" s="9">
        <v>0.54597600000000002</v>
      </c>
      <c r="L21" s="9"/>
      <c r="M21" s="9">
        <v>1</v>
      </c>
      <c r="N21" s="9"/>
      <c r="O21" s="9">
        <v>0.54703930000000001</v>
      </c>
      <c r="Q21" s="9">
        <v>1</v>
      </c>
      <c r="R21" s="9"/>
      <c r="S21" s="9">
        <v>0.56439070000000002</v>
      </c>
    </row>
    <row r="22" spans="3:19" ht="22" customHeight="1">
      <c r="C22" s="10">
        <v>3</v>
      </c>
      <c r="D22" s="10" t="s">
        <v>19</v>
      </c>
      <c r="F22" s="16"/>
      <c r="G22" s="15"/>
      <c r="H22" s="9"/>
      <c r="I22" s="9">
        <v>0.81488835170825835</v>
      </c>
      <c r="J22" s="9"/>
      <c r="K22" s="9">
        <v>0.60619699999999999</v>
      </c>
      <c r="L22" s="9"/>
      <c r="M22" s="9">
        <v>0.97798991344887198</v>
      </c>
      <c r="N22" s="9"/>
      <c r="O22" s="9">
        <v>0.42820000000000003</v>
      </c>
      <c r="Q22" s="9">
        <v>0.97857254948812233</v>
      </c>
      <c r="R22" s="9"/>
      <c r="S22" s="9">
        <v>0.65975740000000005</v>
      </c>
    </row>
    <row r="23" spans="3:19" ht="22" customHeight="1">
      <c r="C23" s="10">
        <v>4</v>
      </c>
      <c r="D23" s="10" t="s">
        <v>20</v>
      </c>
      <c r="F23" s="16"/>
      <c r="G23" s="15"/>
      <c r="H23" s="9"/>
      <c r="I23" s="9">
        <v>0.74062218162100579</v>
      </c>
      <c r="J23" s="9"/>
      <c r="K23" s="9">
        <v>0.59938970000000003</v>
      </c>
      <c r="L23" s="9"/>
      <c r="M23" s="9">
        <v>0.85945854398092658</v>
      </c>
      <c r="N23" s="9"/>
      <c r="O23" s="9">
        <v>0.58948500000000004</v>
      </c>
      <c r="Q23" s="9">
        <v>0.97031855476746098</v>
      </c>
      <c r="R23" s="9"/>
      <c r="S23" s="9">
        <v>0.5436086</v>
      </c>
    </row>
    <row r="24" spans="3:19" ht="22" customHeight="1">
      <c r="C24" s="10">
        <v>5</v>
      </c>
      <c r="D24" s="10" t="s">
        <v>21</v>
      </c>
      <c r="F24" s="16"/>
      <c r="G24" s="15"/>
      <c r="H24" s="9"/>
      <c r="I24" s="9">
        <v>0.98825685045609868</v>
      </c>
      <c r="J24" s="9"/>
      <c r="K24" s="9">
        <v>0.56593800000000005</v>
      </c>
      <c r="L24" s="9"/>
      <c r="M24" s="9">
        <v>0.98476599274947241</v>
      </c>
      <c r="N24" s="9"/>
      <c r="O24" s="9">
        <v>0.57386000000000004</v>
      </c>
      <c r="Q24" s="9">
        <v>1</v>
      </c>
      <c r="R24" s="9"/>
      <c r="S24" s="9">
        <v>0.52436249999999995</v>
      </c>
    </row>
    <row r="25" spans="3:19" ht="22" customHeight="1">
      <c r="C25" s="10">
        <v>6</v>
      </c>
      <c r="D25" s="10" t="s">
        <v>22</v>
      </c>
      <c r="F25" s="16"/>
      <c r="G25" s="15"/>
      <c r="H25" s="9"/>
      <c r="I25" s="9">
        <v>1</v>
      </c>
      <c r="J25" s="9"/>
      <c r="K25" s="9">
        <v>0.643563</v>
      </c>
      <c r="L25" s="9"/>
      <c r="M25" s="9">
        <v>0.99536424550884162</v>
      </c>
      <c r="N25" s="9"/>
      <c r="O25" s="9">
        <v>0.57394800000000001</v>
      </c>
      <c r="Q25" s="9">
        <v>0.98757855978105968</v>
      </c>
      <c r="R25" s="9"/>
      <c r="S25" s="9">
        <v>0.61611360000000004</v>
      </c>
    </row>
    <row r="26" spans="3:19" ht="22" customHeight="1">
      <c r="C26" s="10">
        <v>7</v>
      </c>
      <c r="D26" s="10" t="s">
        <v>23</v>
      </c>
      <c r="F26" s="15"/>
      <c r="G26" s="15"/>
      <c r="H26" s="9"/>
      <c r="I26" s="9">
        <v>0.97498989903402011</v>
      </c>
      <c r="J26" s="9"/>
      <c r="K26" s="9">
        <v>0.61494899999999997</v>
      </c>
      <c r="L26" s="9"/>
      <c r="M26" s="9">
        <v>1</v>
      </c>
      <c r="N26" s="9"/>
      <c r="O26" s="9">
        <v>0.63075899999999996</v>
      </c>
      <c r="Q26" s="9">
        <v>0.98767405253621943</v>
      </c>
      <c r="R26" s="9"/>
      <c r="S26" s="9">
        <v>0.64076599999999995</v>
      </c>
    </row>
    <row r="27" spans="3:19" ht="22" customHeight="1">
      <c r="C27" s="10">
        <v>8</v>
      </c>
      <c r="D27" s="10" t="s">
        <v>24</v>
      </c>
      <c r="F27" s="15"/>
      <c r="H27" s="9"/>
      <c r="I27" s="9">
        <v>0.95297958494004631</v>
      </c>
      <c r="J27" s="9"/>
      <c r="K27" s="9">
        <v>0.63641700000000001</v>
      </c>
      <c r="L27" s="9"/>
      <c r="M27" s="9">
        <v>0.99663121979597846</v>
      </c>
      <c r="N27" s="9"/>
      <c r="O27" s="9">
        <v>0.64709000000000005</v>
      </c>
      <c r="Q27" s="9">
        <v>0.97247315121437306</v>
      </c>
      <c r="R27" s="9"/>
      <c r="S27" s="9">
        <v>0.61140879999999997</v>
      </c>
    </row>
    <row r="28" spans="3:19" ht="22" customHeight="1">
      <c r="C28" s="10">
        <v>9</v>
      </c>
      <c r="D28" s="10" t="s">
        <v>25</v>
      </c>
      <c r="F28" s="15"/>
      <c r="G28" s="16"/>
      <c r="H28" s="9"/>
      <c r="I28" s="9">
        <v>0.9816533162100689</v>
      </c>
      <c r="J28" s="9"/>
      <c r="K28" s="9">
        <v>0.549068</v>
      </c>
      <c r="L28" s="9"/>
      <c r="M28" s="9">
        <v>0.9524133848234364</v>
      </c>
      <c r="N28" s="9"/>
      <c r="O28" s="9">
        <v>0.62360199999999999</v>
      </c>
      <c r="Q28" s="9">
        <v>0.99398025814116198</v>
      </c>
      <c r="R28" s="9"/>
      <c r="S28" s="9">
        <v>0.5237832</v>
      </c>
    </row>
    <row r="29" spans="3:19" ht="22" customHeight="1">
      <c r="C29" s="10">
        <v>10</v>
      </c>
      <c r="D29" s="10" t="s">
        <v>26</v>
      </c>
      <c r="F29" s="15"/>
      <c r="G29" s="16"/>
      <c r="H29" s="9"/>
      <c r="I29" s="9">
        <v>1</v>
      </c>
      <c r="J29" s="9"/>
      <c r="K29" s="9">
        <v>0.51311499999999999</v>
      </c>
      <c r="L29" s="9"/>
      <c r="M29" s="9">
        <v>0.97409136025646792</v>
      </c>
      <c r="N29" s="9"/>
      <c r="O29" s="9">
        <v>0.46079900000000001</v>
      </c>
      <c r="Q29" s="9">
        <v>0.99801699756114692</v>
      </c>
      <c r="R29" s="9"/>
      <c r="S29" s="9">
        <v>0.52160280000000003</v>
      </c>
    </row>
    <row r="30" spans="3:19" ht="22" customHeight="1">
      <c r="C30" s="10">
        <v>11</v>
      </c>
      <c r="D30" s="10" t="s">
        <v>27</v>
      </c>
      <c r="F30" s="15"/>
      <c r="G30" s="16"/>
      <c r="H30" s="9"/>
      <c r="I30" s="9">
        <v>0.96617248426567892</v>
      </c>
      <c r="J30" s="9"/>
      <c r="K30" s="9">
        <v>0.50836800000000004</v>
      </c>
      <c r="L30" s="9"/>
      <c r="M30" s="9">
        <v>0.98719834589887834</v>
      </c>
      <c r="N30" s="9"/>
      <c r="O30" s="9">
        <v>0.46531549999999999</v>
      </c>
      <c r="Q30" s="9">
        <v>0.98820181145835628</v>
      </c>
      <c r="R30" s="9"/>
      <c r="S30" s="9">
        <v>0.51658689999999996</v>
      </c>
    </row>
    <row r="31" spans="3:19" ht="22" customHeight="1">
      <c r="C31" s="10">
        <v>12</v>
      </c>
      <c r="D31" s="10" t="s">
        <v>28</v>
      </c>
      <c r="F31" s="15"/>
      <c r="G31" s="16"/>
      <c r="H31" s="9"/>
      <c r="I31" s="9">
        <v>0.98615869122132038</v>
      </c>
      <c r="J31" s="9"/>
      <c r="K31" s="9">
        <v>0.63100210000000001</v>
      </c>
      <c r="L31" s="9"/>
      <c r="M31" s="9">
        <v>1</v>
      </c>
      <c r="N31" s="9"/>
      <c r="O31" s="9">
        <v>0.55028500000000002</v>
      </c>
      <c r="Q31" s="9">
        <v>0.99423503008490044</v>
      </c>
      <c r="R31" s="9"/>
      <c r="S31" s="9">
        <v>0.57674320000000001</v>
      </c>
    </row>
    <row r="32" spans="4:21" ht="21" customHeight="1">
      <c r="D32" s="10"/>
      <c r="E32" s="10"/>
      <c r="F32" s="16"/>
      <c r="H32" s="9"/>
      <c r="I32" s="9"/>
      <c r="J32" s="16"/>
      <c r="L32" s="9"/>
      <c r="N32" s="9"/>
      <c r="O32" s="9"/>
      <c r="P32" s="2"/>
      <c r="Q32" s="9"/>
      <c r="S32" s="9"/>
      <c r="U32" s="9"/>
    </row>
    <row r="33" spans="3:21" ht="21" customHeight="1">
      <c r="C33" s="2" t="s">
        <v>36</v>
      </c>
      <c r="E33" s="10"/>
      <c r="F33" s="16"/>
      <c r="H33" s="9"/>
      <c r="I33" s="9"/>
      <c r="J33" s="16"/>
      <c r="L33" s="9"/>
      <c r="N33" s="9"/>
      <c r="O33" s="9"/>
      <c r="P33" s="2"/>
      <c r="Q33" s="9"/>
      <c r="S33" s="9"/>
      <c r="U33" s="9"/>
    </row>
  </sheetData>
  <pageMargins left="0.5" right="1" top="1.5" bottom="0.5" header="0.5" footer="0.5"/>
  <pageSetup orientation="landscape" scale="72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V33"/>
  <sheetViews>
    <sheetView zoomScale="75" zoomScaleNormal="75" workbookViewId="0" topLeftCell="A1">
      <selection pane="topLeft" activeCell="X26" sqref="X26"/>
    </sheetView>
  </sheetViews>
  <sheetFormatPr defaultRowHeight="18.75" customHeight="1"/>
  <cols>
    <col min="2" max="2" width="4.71428571428571" customWidth="1"/>
    <col min="3" max="3" width="8.71428571428571" customWidth="1"/>
    <col min="4" max="4" width="7.71428571428571" style="2" customWidth="1"/>
    <col min="5" max="5" width="8.71428571428571" style="2" customWidth="1"/>
    <col min="6" max="6" width="2.71428571428571" style="11" customWidth="1"/>
    <col min="7" max="7" width="8.71428571428571" style="9" customWidth="1"/>
    <col min="8" max="8" width="2.71428571428571" style="11" customWidth="1"/>
    <col min="9" max="9" width="10.7142857142857" style="11" customWidth="1"/>
    <col min="10" max="10" width="2.71428571428571" style="11" customWidth="1"/>
    <col min="11" max="11" width="8.71428571428571" style="11" customWidth="1"/>
    <col min="12" max="12" width="10.7142857142857" style="11" customWidth="1"/>
    <col min="13" max="13" width="8.71428571428571" style="9" customWidth="1"/>
    <col min="14" max="14" width="2.71428571428571" style="11" customWidth="1"/>
    <col min="15" max="16" width="10.7142857142857" style="11" customWidth="1"/>
    <col min="17" max="17" width="8.71428571428571" style="11" customWidth="1"/>
    <col min="18" max="18" width="2.71428571428571" style="2" customWidth="1"/>
    <col min="19" max="19" width="9.14285714285714" style="2"/>
    <col min="20" max="20" width="2.71428571428571" style="2" customWidth="1"/>
    <col min="21" max="257" width="9.14285714285714" style="2"/>
    <col min="258" max="258" width="4.71428571428571" style="2" customWidth="1"/>
    <col min="259" max="259" width="8.71428571428571" style="2" customWidth="1"/>
    <col min="260" max="260" width="7.71428571428571" style="2" customWidth="1"/>
    <col min="261" max="261" width="8.71428571428571" style="2" customWidth="1"/>
    <col min="262" max="262" width="2.71428571428571" style="2" customWidth="1"/>
    <col min="263" max="263" width="8.71428571428571" style="2" customWidth="1"/>
    <col min="264" max="264" width="2.71428571428571" style="2" customWidth="1"/>
    <col min="265" max="265" width="10.7142857142857" style="2" customWidth="1"/>
    <col min="266" max="266" width="2.71428571428571" style="2" customWidth="1"/>
    <col min="267" max="267" width="8.71428571428571" style="2" customWidth="1"/>
    <col min="268" max="268" width="10.7142857142857" style="2" customWidth="1"/>
    <col min="269" max="269" width="8.71428571428571" style="2" customWidth="1"/>
    <col min="270" max="270" width="2.71428571428571" style="2" customWidth="1"/>
    <col min="271" max="272" width="10.7142857142857" style="2" customWidth="1"/>
    <col min="273" max="273" width="8.71428571428571" style="2" customWidth="1"/>
    <col min="274" max="274" width="2.71428571428571" style="2" customWidth="1"/>
    <col min="275" max="275" width="9.14285714285714" style="2"/>
    <col min="276" max="276" width="2.71428571428571" style="2" customWidth="1"/>
    <col min="277" max="513" width="9.14285714285714" style="2"/>
    <col min="514" max="514" width="4.71428571428571" style="2" customWidth="1"/>
    <col min="515" max="515" width="8.71428571428571" style="2" customWidth="1"/>
    <col min="516" max="516" width="7.71428571428571" style="2" customWidth="1"/>
    <col min="517" max="517" width="8.71428571428571" style="2" customWidth="1"/>
    <col min="518" max="518" width="2.71428571428571" style="2" customWidth="1"/>
    <col min="519" max="519" width="8.71428571428571" style="2" customWidth="1"/>
    <col min="520" max="520" width="2.71428571428571" style="2" customWidth="1"/>
    <col min="521" max="521" width="10.7142857142857" style="2" customWidth="1"/>
    <col min="522" max="522" width="2.71428571428571" style="2" customWidth="1"/>
    <col min="523" max="523" width="8.71428571428571" style="2" customWidth="1"/>
    <col min="524" max="524" width="10.7142857142857" style="2" customWidth="1"/>
    <col min="525" max="525" width="8.71428571428571" style="2" customWidth="1"/>
    <col min="526" max="526" width="2.71428571428571" style="2" customWidth="1"/>
    <col min="527" max="528" width="10.7142857142857" style="2" customWidth="1"/>
    <col min="529" max="529" width="8.71428571428571" style="2" customWidth="1"/>
    <col min="530" max="530" width="2.71428571428571" style="2" customWidth="1"/>
    <col min="531" max="531" width="9.14285714285714" style="2"/>
    <col min="532" max="532" width="2.71428571428571" style="2" customWidth="1"/>
    <col min="533" max="769" width="9.14285714285714" style="2"/>
    <col min="770" max="770" width="4.71428571428571" style="2" customWidth="1"/>
    <col min="771" max="771" width="8.71428571428571" style="2" customWidth="1"/>
    <col min="772" max="772" width="7.71428571428571" style="2" customWidth="1"/>
    <col min="773" max="773" width="8.71428571428571" style="2" customWidth="1"/>
    <col min="774" max="774" width="2.71428571428571" style="2" customWidth="1"/>
    <col min="775" max="775" width="8.71428571428571" style="2" customWidth="1"/>
    <col min="776" max="776" width="2.71428571428571" style="2" customWidth="1"/>
    <col min="777" max="777" width="10.7142857142857" style="2" customWidth="1"/>
    <col min="778" max="778" width="2.71428571428571" style="2" customWidth="1"/>
    <col min="779" max="779" width="8.71428571428571" style="2" customWidth="1"/>
    <col min="780" max="780" width="10.7142857142857" style="2" customWidth="1"/>
    <col min="781" max="781" width="8.71428571428571" style="2" customWidth="1"/>
    <col min="782" max="782" width="2.71428571428571" style="2" customWidth="1"/>
    <col min="783" max="784" width="10.7142857142857" style="2" customWidth="1"/>
    <col min="785" max="785" width="8.71428571428571" style="2" customWidth="1"/>
    <col min="786" max="786" width="2.71428571428571" style="2" customWidth="1"/>
    <col min="787" max="787" width="9.14285714285714" style="2"/>
    <col min="788" max="788" width="2.71428571428571" style="2" customWidth="1"/>
    <col min="789" max="1025" width="9.14285714285714" style="2"/>
    <col min="1026" max="1026" width="4.71428571428571" style="2" customWidth="1"/>
    <col min="1027" max="1027" width="8.71428571428571" style="2" customWidth="1"/>
    <col min="1028" max="1028" width="7.71428571428571" style="2" customWidth="1"/>
    <col min="1029" max="1029" width="8.71428571428571" style="2" customWidth="1"/>
    <col min="1030" max="1030" width="2.71428571428571" style="2" customWidth="1"/>
    <col min="1031" max="1031" width="8.71428571428571" style="2" customWidth="1"/>
    <col min="1032" max="1032" width="2.71428571428571" style="2" customWidth="1"/>
    <col min="1033" max="1033" width="10.7142857142857" style="2" customWidth="1"/>
    <col min="1034" max="1034" width="2.71428571428571" style="2" customWidth="1"/>
    <col min="1035" max="1035" width="8.71428571428571" style="2" customWidth="1"/>
    <col min="1036" max="1036" width="10.7142857142857" style="2" customWidth="1"/>
    <col min="1037" max="1037" width="8.71428571428571" style="2" customWidth="1"/>
    <col min="1038" max="1038" width="2.71428571428571" style="2" customWidth="1"/>
    <col min="1039" max="1040" width="10.7142857142857" style="2" customWidth="1"/>
    <col min="1041" max="1041" width="8.71428571428571" style="2" customWidth="1"/>
    <col min="1042" max="1042" width="2.71428571428571" style="2" customWidth="1"/>
    <col min="1043" max="1043" width="9.14285714285714" style="2"/>
    <col min="1044" max="1044" width="2.71428571428571" style="2" customWidth="1"/>
    <col min="1045" max="1281" width="9.14285714285714" style="2"/>
    <col min="1282" max="1282" width="4.71428571428571" style="2" customWidth="1"/>
    <col min="1283" max="1283" width="8.71428571428571" style="2" customWidth="1"/>
    <col min="1284" max="1284" width="7.71428571428571" style="2" customWidth="1"/>
    <col min="1285" max="1285" width="8.71428571428571" style="2" customWidth="1"/>
    <col min="1286" max="1286" width="2.71428571428571" style="2" customWidth="1"/>
    <col min="1287" max="1287" width="8.71428571428571" style="2" customWidth="1"/>
    <col min="1288" max="1288" width="2.71428571428571" style="2" customWidth="1"/>
    <col min="1289" max="1289" width="10.7142857142857" style="2" customWidth="1"/>
    <col min="1290" max="1290" width="2.71428571428571" style="2" customWidth="1"/>
    <col min="1291" max="1291" width="8.71428571428571" style="2" customWidth="1"/>
    <col min="1292" max="1292" width="10.7142857142857" style="2" customWidth="1"/>
    <col min="1293" max="1293" width="8.71428571428571" style="2" customWidth="1"/>
    <col min="1294" max="1294" width="2.71428571428571" style="2" customWidth="1"/>
    <col min="1295" max="1296" width="10.7142857142857" style="2" customWidth="1"/>
    <col min="1297" max="1297" width="8.71428571428571" style="2" customWidth="1"/>
    <col min="1298" max="1298" width="2.71428571428571" style="2" customWidth="1"/>
    <col min="1299" max="1299" width="9.14285714285714" style="2"/>
    <col min="1300" max="1300" width="2.71428571428571" style="2" customWidth="1"/>
    <col min="1301" max="1537" width="9.14285714285714" style="2"/>
    <col min="1538" max="1538" width="4.71428571428571" style="2" customWidth="1"/>
    <col min="1539" max="1539" width="8.71428571428571" style="2" customWidth="1"/>
    <col min="1540" max="1540" width="7.71428571428571" style="2" customWidth="1"/>
    <col min="1541" max="1541" width="8.71428571428571" style="2" customWidth="1"/>
    <col min="1542" max="1542" width="2.71428571428571" style="2" customWidth="1"/>
    <col min="1543" max="1543" width="8.71428571428571" style="2" customWidth="1"/>
    <col min="1544" max="1544" width="2.71428571428571" style="2" customWidth="1"/>
    <col min="1545" max="1545" width="10.7142857142857" style="2" customWidth="1"/>
    <col min="1546" max="1546" width="2.71428571428571" style="2" customWidth="1"/>
    <col min="1547" max="1547" width="8.71428571428571" style="2" customWidth="1"/>
    <col min="1548" max="1548" width="10.7142857142857" style="2" customWidth="1"/>
    <col min="1549" max="1549" width="8.71428571428571" style="2" customWidth="1"/>
    <col min="1550" max="1550" width="2.71428571428571" style="2" customWidth="1"/>
    <col min="1551" max="1552" width="10.7142857142857" style="2" customWidth="1"/>
    <col min="1553" max="1553" width="8.71428571428571" style="2" customWidth="1"/>
    <col min="1554" max="1554" width="2.71428571428571" style="2" customWidth="1"/>
    <col min="1555" max="1555" width="9.14285714285714" style="2"/>
    <col min="1556" max="1556" width="2.71428571428571" style="2" customWidth="1"/>
    <col min="1557" max="1793" width="9.14285714285714" style="2"/>
    <col min="1794" max="1794" width="4.71428571428571" style="2" customWidth="1"/>
    <col min="1795" max="1795" width="8.71428571428571" style="2" customWidth="1"/>
    <col min="1796" max="1796" width="7.71428571428571" style="2" customWidth="1"/>
    <col min="1797" max="1797" width="8.71428571428571" style="2" customWidth="1"/>
    <col min="1798" max="1798" width="2.71428571428571" style="2" customWidth="1"/>
    <col min="1799" max="1799" width="8.71428571428571" style="2" customWidth="1"/>
    <col min="1800" max="1800" width="2.71428571428571" style="2" customWidth="1"/>
    <col min="1801" max="1801" width="10.7142857142857" style="2" customWidth="1"/>
    <col min="1802" max="1802" width="2.71428571428571" style="2" customWidth="1"/>
    <col min="1803" max="1803" width="8.71428571428571" style="2" customWidth="1"/>
    <col min="1804" max="1804" width="10.7142857142857" style="2" customWidth="1"/>
    <col min="1805" max="1805" width="8.71428571428571" style="2" customWidth="1"/>
    <col min="1806" max="1806" width="2.71428571428571" style="2" customWidth="1"/>
    <col min="1807" max="1808" width="10.7142857142857" style="2" customWidth="1"/>
    <col min="1809" max="1809" width="8.71428571428571" style="2" customWidth="1"/>
    <col min="1810" max="1810" width="2.71428571428571" style="2" customWidth="1"/>
    <col min="1811" max="1811" width="9.14285714285714" style="2"/>
    <col min="1812" max="1812" width="2.71428571428571" style="2" customWidth="1"/>
    <col min="1813" max="2049" width="9.14285714285714" style="2"/>
    <col min="2050" max="2050" width="4.71428571428571" style="2" customWidth="1"/>
    <col min="2051" max="2051" width="8.71428571428571" style="2" customWidth="1"/>
    <col min="2052" max="2052" width="7.71428571428571" style="2" customWidth="1"/>
    <col min="2053" max="2053" width="8.71428571428571" style="2" customWidth="1"/>
    <col min="2054" max="2054" width="2.71428571428571" style="2" customWidth="1"/>
    <col min="2055" max="2055" width="8.71428571428571" style="2" customWidth="1"/>
    <col min="2056" max="2056" width="2.71428571428571" style="2" customWidth="1"/>
    <col min="2057" max="2057" width="10.7142857142857" style="2" customWidth="1"/>
    <col min="2058" max="2058" width="2.71428571428571" style="2" customWidth="1"/>
    <col min="2059" max="2059" width="8.71428571428571" style="2" customWidth="1"/>
    <col min="2060" max="2060" width="10.7142857142857" style="2" customWidth="1"/>
    <col min="2061" max="2061" width="8.71428571428571" style="2" customWidth="1"/>
    <col min="2062" max="2062" width="2.71428571428571" style="2" customWidth="1"/>
    <col min="2063" max="2064" width="10.7142857142857" style="2" customWidth="1"/>
    <col min="2065" max="2065" width="8.71428571428571" style="2" customWidth="1"/>
    <col min="2066" max="2066" width="2.71428571428571" style="2" customWidth="1"/>
    <col min="2067" max="2067" width="9.14285714285714" style="2"/>
    <col min="2068" max="2068" width="2.71428571428571" style="2" customWidth="1"/>
    <col min="2069" max="2305" width="9.14285714285714" style="2"/>
    <col min="2306" max="2306" width="4.71428571428571" style="2" customWidth="1"/>
    <col min="2307" max="2307" width="8.71428571428571" style="2" customWidth="1"/>
    <col min="2308" max="2308" width="7.71428571428571" style="2" customWidth="1"/>
    <col min="2309" max="2309" width="8.71428571428571" style="2" customWidth="1"/>
    <col min="2310" max="2310" width="2.71428571428571" style="2" customWidth="1"/>
    <col min="2311" max="2311" width="8.71428571428571" style="2" customWidth="1"/>
    <col min="2312" max="2312" width="2.71428571428571" style="2" customWidth="1"/>
    <col min="2313" max="2313" width="10.7142857142857" style="2" customWidth="1"/>
    <col min="2314" max="2314" width="2.71428571428571" style="2" customWidth="1"/>
    <col min="2315" max="2315" width="8.71428571428571" style="2" customWidth="1"/>
    <col min="2316" max="2316" width="10.7142857142857" style="2" customWidth="1"/>
    <col min="2317" max="2317" width="8.71428571428571" style="2" customWidth="1"/>
    <col min="2318" max="2318" width="2.71428571428571" style="2" customWidth="1"/>
    <col min="2319" max="2320" width="10.7142857142857" style="2" customWidth="1"/>
    <col min="2321" max="2321" width="8.71428571428571" style="2" customWidth="1"/>
    <col min="2322" max="2322" width="2.71428571428571" style="2" customWidth="1"/>
    <col min="2323" max="2323" width="9.14285714285714" style="2"/>
    <col min="2324" max="2324" width="2.71428571428571" style="2" customWidth="1"/>
    <col min="2325" max="2561" width="9.14285714285714" style="2"/>
    <col min="2562" max="2562" width="4.71428571428571" style="2" customWidth="1"/>
    <col min="2563" max="2563" width="8.71428571428571" style="2" customWidth="1"/>
    <col min="2564" max="2564" width="7.71428571428571" style="2" customWidth="1"/>
    <col min="2565" max="2565" width="8.71428571428571" style="2" customWidth="1"/>
    <col min="2566" max="2566" width="2.71428571428571" style="2" customWidth="1"/>
    <col min="2567" max="2567" width="8.71428571428571" style="2" customWidth="1"/>
    <col min="2568" max="2568" width="2.71428571428571" style="2" customWidth="1"/>
    <col min="2569" max="2569" width="10.7142857142857" style="2" customWidth="1"/>
    <col min="2570" max="2570" width="2.71428571428571" style="2" customWidth="1"/>
    <col min="2571" max="2571" width="8.71428571428571" style="2" customWidth="1"/>
    <col min="2572" max="2572" width="10.7142857142857" style="2" customWidth="1"/>
    <col min="2573" max="2573" width="8.71428571428571" style="2" customWidth="1"/>
    <col min="2574" max="2574" width="2.71428571428571" style="2" customWidth="1"/>
    <col min="2575" max="2576" width="10.7142857142857" style="2" customWidth="1"/>
    <col min="2577" max="2577" width="8.71428571428571" style="2" customWidth="1"/>
    <col min="2578" max="2578" width="2.71428571428571" style="2" customWidth="1"/>
    <col min="2579" max="2579" width="9.14285714285714" style="2"/>
    <col min="2580" max="2580" width="2.71428571428571" style="2" customWidth="1"/>
    <col min="2581" max="2817" width="9.14285714285714" style="2"/>
    <col min="2818" max="2818" width="4.71428571428571" style="2" customWidth="1"/>
    <col min="2819" max="2819" width="8.71428571428571" style="2" customWidth="1"/>
    <col min="2820" max="2820" width="7.71428571428571" style="2" customWidth="1"/>
    <col min="2821" max="2821" width="8.71428571428571" style="2" customWidth="1"/>
    <col min="2822" max="2822" width="2.71428571428571" style="2" customWidth="1"/>
    <col min="2823" max="2823" width="8.71428571428571" style="2" customWidth="1"/>
    <col min="2824" max="2824" width="2.71428571428571" style="2" customWidth="1"/>
    <col min="2825" max="2825" width="10.7142857142857" style="2" customWidth="1"/>
    <col min="2826" max="2826" width="2.71428571428571" style="2" customWidth="1"/>
    <col min="2827" max="2827" width="8.71428571428571" style="2" customWidth="1"/>
    <col min="2828" max="2828" width="10.7142857142857" style="2" customWidth="1"/>
    <col min="2829" max="2829" width="8.71428571428571" style="2" customWidth="1"/>
    <col min="2830" max="2830" width="2.71428571428571" style="2" customWidth="1"/>
    <col min="2831" max="2832" width="10.7142857142857" style="2" customWidth="1"/>
    <col min="2833" max="2833" width="8.71428571428571" style="2" customWidth="1"/>
    <col min="2834" max="2834" width="2.71428571428571" style="2" customWidth="1"/>
    <col min="2835" max="2835" width="9.14285714285714" style="2"/>
    <col min="2836" max="2836" width="2.71428571428571" style="2" customWidth="1"/>
    <col min="2837" max="3073" width="9.14285714285714" style="2"/>
    <col min="3074" max="3074" width="4.71428571428571" style="2" customWidth="1"/>
    <col min="3075" max="3075" width="8.71428571428571" style="2" customWidth="1"/>
    <col min="3076" max="3076" width="7.71428571428571" style="2" customWidth="1"/>
    <col min="3077" max="3077" width="8.71428571428571" style="2" customWidth="1"/>
    <col min="3078" max="3078" width="2.71428571428571" style="2" customWidth="1"/>
    <col min="3079" max="3079" width="8.71428571428571" style="2" customWidth="1"/>
    <col min="3080" max="3080" width="2.71428571428571" style="2" customWidth="1"/>
    <col min="3081" max="3081" width="10.7142857142857" style="2" customWidth="1"/>
    <col min="3082" max="3082" width="2.71428571428571" style="2" customWidth="1"/>
    <col min="3083" max="3083" width="8.71428571428571" style="2" customWidth="1"/>
    <col min="3084" max="3084" width="10.7142857142857" style="2" customWidth="1"/>
    <col min="3085" max="3085" width="8.71428571428571" style="2" customWidth="1"/>
    <col min="3086" max="3086" width="2.71428571428571" style="2" customWidth="1"/>
    <col min="3087" max="3088" width="10.7142857142857" style="2" customWidth="1"/>
    <col min="3089" max="3089" width="8.71428571428571" style="2" customWidth="1"/>
    <col min="3090" max="3090" width="2.71428571428571" style="2" customWidth="1"/>
    <col min="3091" max="3091" width="9.14285714285714" style="2"/>
    <col min="3092" max="3092" width="2.71428571428571" style="2" customWidth="1"/>
    <col min="3093" max="3329" width="9.14285714285714" style="2"/>
    <col min="3330" max="3330" width="4.71428571428571" style="2" customWidth="1"/>
    <col min="3331" max="3331" width="8.71428571428571" style="2" customWidth="1"/>
    <col min="3332" max="3332" width="7.71428571428571" style="2" customWidth="1"/>
    <col min="3333" max="3333" width="8.71428571428571" style="2" customWidth="1"/>
    <col min="3334" max="3334" width="2.71428571428571" style="2" customWidth="1"/>
    <col min="3335" max="3335" width="8.71428571428571" style="2" customWidth="1"/>
    <col min="3336" max="3336" width="2.71428571428571" style="2" customWidth="1"/>
    <col min="3337" max="3337" width="10.7142857142857" style="2" customWidth="1"/>
    <col min="3338" max="3338" width="2.71428571428571" style="2" customWidth="1"/>
    <col min="3339" max="3339" width="8.71428571428571" style="2" customWidth="1"/>
    <col min="3340" max="3340" width="10.7142857142857" style="2" customWidth="1"/>
    <col min="3341" max="3341" width="8.71428571428571" style="2" customWidth="1"/>
    <col min="3342" max="3342" width="2.71428571428571" style="2" customWidth="1"/>
    <col min="3343" max="3344" width="10.7142857142857" style="2" customWidth="1"/>
    <col min="3345" max="3345" width="8.71428571428571" style="2" customWidth="1"/>
    <col min="3346" max="3346" width="2.71428571428571" style="2" customWidth="1"/>
    <col min="3347" max="3347" width="9.14285714285714" style="2"/>
    <col min="3348" max="3348" width="2.71428571428571" style="2" customWidth="1"/>
    <col min="3349" max="3585" width="9.14285714285714" style="2"/>
    <col min="3586" max="3586" width="4.71428571428571" style="2" customWidth="1"/>
    <col min="3587" max="3587" width="8.71428571428571" style="2" customWidth="1"/>
    <col min="3588" max="3588" width="7.71428571428571" style="2" customWidth="1"/>
    <col min="3589" max="3589" width="8.71428571428571" style="2" customWidth="1"/>
    <col min="3590" max="3590" width="2.71428571428571" style="2" customWidth="1"/>
    <col min="3591" max="3591" width="8.71428571428571" style="2" customWidth="1"/>
    <col min="3592" max="3592" width="2.71428571428571" style="2" customWidth="1"/>
    <col min="3593" max="3593" width="10.7142857142857" style="2" customWidth="1"/>
    <col min="3594" max="3594" width="2.71428571428571" style="2" customWidth="1"/>
    <col min="3595" max="3595" width="8.71428571428571" style="2" customWidth="1"/>
    <col min="3596" max="3596" width="10.7142857142857" style="2" customWidth="1"/>
    <col min="3597" max="3597" width="8.71428571428571" style="2" customWidth="1"/>
    <col min="3598" max="3598" width="2.71428571428571" style="2" customWidth="1"/>
    <col min="3599" max="3600" width="10.7142857142857" style="2" customWidth="1"/>
    <col min="3601" max="3601" width="8.71428571428571" style="2" customWidth="1"/>
    <col min="3602" max="3602" width="2.71428571428571" style="2" customWidth="1"/>
    <col min="3603" max="3603" width="9.14285714285714" style="2"/>
    <col min="3604" max="3604" width="2.71428571428571" style="2" customWidth="1"/>
    <col min="3605" max="3841" width="9.14285714285714" style="2"/>
    <col min="3842" max="3842" width="4.71428571428571" style="2" customWidth="1"/>
    <col min="3843" max="3843" width="8.71428571428571" style="2" customWidth="1"/>
    <col min="3844" max="3844" width="7.71428571428571" style="2" customWidth="1"/>
    <col min="3845" max="3845" width="8.71428571428571" style="2" customWidth="1"/>
    <col min="3846" max="3846" width="2.71428571428571" style="2" customWidth="1"/>
    <col min="3847" max="3847" width="8.71428571428571" style="2" customWidth="1"/>
    <col min="3848" max="3848" width="2.71428571428571" style="2" customWidth="1"/>
    <col min="3849" max="3849" width="10.7142857142857" style="2" customWidth="1"/>
    <col min="3850" max="3850" width="2.71428571428571" style="2" customWidth="1"/>
    <col min="3851" max="3851" width="8.71428571428571" style="2" customWidth="1"/>
    <col min="3852" max="3852" width="10.7142857142857" style="2" customWidth="1"/>
    <col min="3853" max="3853" width="8.71428571428571" style="2" customWidth="1"/>
    <col min="3854" max="3854" width="2.71428571428571" style="2" customWidth="1"/>
    <col min="3855" max="3856" width="10.7142857142857" style="2" customWidth="1"/>
    <col min="3857" max="3857" width="8.71428571428571" style="2" customWidth="1"/>
    <col min="3858" max="3858" width="2.71428571428571" style="2" customWidth="1"/>
    <col min="3859" max="3859" width="9.14285714285714" style="2"/>
    <col min="3860" max="3860" width="2.71428571428571" style="2" customWidth="1"/>
    <col min="3861" max="4097" width="9.14285714285714" style="2"/>
    <col min="4098" max="4098" width="4.71428571428571" style="2" customWidth="1"/>
    <col min="4099" max="4099" width="8.71428571428571" style="2" customWidth="1"/>
    <col min="4100" max="4100" width="7.71428571428571" style="2" customWidth="1"/>
    <col min="4101" max="4101" width="8.71428571428571" style="2" customWidth="1"/>
    <col min="4102" max="4102" width="2.71428571428571" style="2" customWidth="1"/>
    <col min="4103" max="4103" width="8.71428571428571" style="2" customWidth="1"/>
    <col min="4104" max="4104" width="2.71428571428571" style="2" customWidth="1"/>
    <col min="4105" max="4105" width="10.7142857142857" style="2" customWidth="1"/>
    <col min="4106" max="4106" width="2.71428571428571" style="2" customWidth="1"/>
    <col min="4107" max="4107" width="8.71428571428571" style="2" customWidth="1"/>
    <col min="4108" max="4108" width="10.7142857142857" style="2" customWidth="1"/>
    <col min="4109" max="4109" width="8.71428571428571" style="2" customWidth="1"/>
    <col min="4110" max="4110" width="2.71428571428571" style="2" customWidth="1"/>
    <col min="4111" max="4112" width="10.7142857142857" style="2" customWidth="1"/>
    <col min="4113" max="4113" width="8.71428571428571" style="2" customWidth="1"/>
    <col min="4114" max="4114" width="2.71428571428571" style="2" customWidth="1"/>
    <col min="4115" max="4115" width="9.14285714285714" style="2"/>
    <col min="4116" max="4116" width="2.71428571428571" style="2" customWidth="1"/>
    <col min="4117" max="4353" width="9.14285714285714" style="2"/>
    <col min="4354" max="4354" width="4.71428571428571" style="2" customWidth="1"/>
    <col min="4355" max="4355" width="8.71428571428571" style="2" customWidth="1"/>
    <col min="4356" max="4356" width="7.71428571428571" style="2" customWidth="1"/>
    <col min="4357" max="4357" width="8.71428571428571" style="2" customWidth="1"/>
    <col min="4358" max="4358" width="2.71428571428571" style="2" customWidth="1"/>
    <col min="4359" max="4359" width="8.71428571428571" style="2" customWidth="1"/>
    <col min="4360" max="4360" width="2.71428571428571" style="2" customWidth="1"/>
    <col min="4361" max="4361" width="10.7142857142857" style="2" customWidth="1"/>
    <col min="4362" max="4362" width="2.71428571428571" style="2" customWidth="1"/>
    <col min="4363" max="4363" width="8.71428571428571" style="2" customWidth="1"/>
    <col min="4364" max="4364" width="10.7142857142857" style="2" customWidth="1"/>
    <col min="4365" max="4365" width="8.71428571428571" style="2" customWidth="1"/>
    <col min="4366" max="4366" width="2.71428571428571" style="2" customWidth="1"/>
    <col min="4367" max="4368" width="10.7142857142857" style="2" customWidth="1"/>
    <col min="4369" max="4369" width="8.71428571428571" style="2" customWidth="1"/>
    <col min="4370" max="4370" width="2.71428571428571" style="2" customWidth="1"/>
    <col min="4371" max="4371" width="9.14285714285714" style="2"/>
    <col min="4372" max="4372" width="2.71428571428571" style="2" customWidth="1"/>
    <col min="4373" max="4609" width="9.14285714285714" style="2"/>
    <col min="4610" max="4610" width="4.71428571428571" style="2" customWidth="1"/>
    <col min="4611" max="4611" width="8.71428571428571" style="2" customWidth="1"/>
    <col min="4612" max="4612" width="7.71428571428571" style="2" customWidth="1"/>
    <col min="4613" max="4613" width="8.71428571428571" style="2" customWidth="1"/>
    <col min="4614" max="4614" width="2.71428571428571" style="2" customWidth="1"/>
    <col min="4615" max="4615" width="8.71428571428571" style="2" customWidth="1"/>
    <col min="4616" max="4616" width="2.71428571428571" style="2" customWidth="1"/>
    <col min="4617" max="4617" width="10.7142857142857" style="2" customWidth="1"/>
    <col min="4618" max="4618" width="2.71428571428571" style="2" customWidth="1"/>
    <col min="4619" max="4619" width="8.71428571428571" style="2" customWidth="1"/>
    <col min="4620" max="4620" width="10.7142857142857" style="2" customWidth="1"/>
    <col min="4621" max="4621" width="8.71428571428571" style="2" customWidth="1"/>
    <col min="4622" max="4622" width="2.71428571428571" style="2" customWidth="1"/>
    <col min="4623" max="4624" width="10.7142857142857" style="2" customWidth="1"/>
    <col min="4625" max="4625" width="8.71428571428571" style="2" customWidth="1"/>
    <col min="4626" max="4626" width="2.71428571428571" style="2" customWidth="1"/>
    <col min="4627" max="4627" width="9.14285714285714" style="2"/>
    <col min="4628" max="4628" width="2.71428571428571" style="2" customWidth="1"/>
    <col min="4629" max="4865" width="9.14285714285714" style="2"/>
    <col min="4866" max="4866" width="4.71428571428571" style="2" customWidth="1"/>
    <col min="4867" max="4867" width="8.71428571428571" style="2" customWidth="1"/>
    <col min="4868" max="4868" width="7.71428571428571" style="2" customWidth="1"/>
    <col min="4869" max="4869" width="8.71428571428571" style="2" customWidth="1"/>
    <col min="4870" max="4870" width="2.71428571428571" style="2" customWidth="1"/>
    <col min="4871" max="4871" width="8.71428571428571" style="2" customWidth="1"/>
    <col min="4872" max="4872" width="2.71428571428571" style="2" customWidth="1"/>
    <col min="4873" max="4873" width="10.7142857142857" style="2" customWidth="1"/>
    <col min="4874" max="4874" width="2.71428571428571" style="2" customWidth="1"/>
    <col min="4875" max="4875" width="8.71428571428571" style="2" customWidth="1"/>
    <col min="4876" max="4876" width="10.7142857142857" style="2" customWidth="1"/>
    <col min="4877" max="4877" width="8.71428571428571" style="2" customWidth="1"/>
    <col min="4878" max="4878" width="2.71428571428571" style="2" customWidth="1"/>
    <col min="4879" max="4880" width="10.7142857142857" style="2" customWidth="1"/>
    <col min="4881" max="4881" width="8.71428571428571" style="2" customWidth="1"/>
    <col min="4882" max="4882" width="2.71428571428571" style="2" customWidth="1"/>
    <col min="4883" max="4883" width="9.14285714285714" style="2"/>
    <col min="4884" max="4884" width="2.71428571428571" style="2" customWidth="1"/>
    <col min="4885" max="5121" width="9.14285714285714" style="2"/>
    <col min="5122" max="5122" width="4.71428571428571" style="2" customWidth="1"/>
    <col min="5123" max="5123" width="8.71428571428571" style="2" customWidth="1"/>
    <col min="5124" max="5124" width="7.71428571428571" style="2" customWidth="1"/>
    <col min="5125" max="5125" width="8.71428571428571" style="2" customWidth="1"/>
    <col min="5126" max="5126" width="2.71428571428571" style="2" customWidth="1"/>
    <col min="5127" max="5127" width="8.71428571428571" style="2" customWidth="1"/>
    <col min="5128" max="5128" width="2.71428571428571" style="2" customWidth="1"/>
    <col min="5129" max="5129" width="10.7142857142857" style="2" customWidth="1"/>
    <col min="5130" max="5130" width="2.71428571428571" style="2" customWidth="1"/>
    <col min="5131" max="5131" width="8.71428571428571" style="2" customWidth="1"/>
    <col min="5132" max="5132" width="10.7142857142857" style="2" customWidth="1"/>
    <col min="5133" max="5133" width="8.71428571428571" style="2" customWidth="1"/>
    <col min="5134" max="5134" width="2.71428571428571" style="2" customWidth="1"/>
    <col min="5135" max="5136" width="10.7142857142857" style="2" customWidth="1"/>
    <col min="5137" max="5137" width="8.71428571428571" style="2" customWidth="1"/>
    <col min="5138" max="5138" width="2.71428571428571" style="2" customWidth="1"/>
    <col min="5139" max="5139" width="9.14285714285714" style="2"/>
    <col min="5140" max="5140" width="2.71428571428571" style="2" customWidth="1"/>
    <col min="5141" max="5377" width="9.14285714285714" style="2"/>
    <col min="5378" max="5378" width="4.71428571428571" style="2" customWidth="1"/>
    <col min="5379" max="5379" width="8.71428571428571" style="2" customWidth="1"/>
    <col min="5380" max="5380" width="7.71428571428571" style="2" customWidth="1"/>
    <col min="5381" max="5381" width="8.71428571428571" style="2" customWidth="1"/>
    <col min="5382" max="5382" width="2.71428571428571" style="2" customWidth="1"/>
    <col min="5383" max="5383" width="8.71428571428571" style="2" customWidth="1"/>
    <col min="5384" max="5384" width="2.71428571428571" style="2" customWidth="1"/>
    <col min="5385" max="5385" width="10.7142857142857" style="2" customWidth="1"/>
    <col min="5386" max="5386" width="2.71428571428571" style="2" customWidth="1"/>
    <col min="5387" max="5387" width="8.71428571428571" style="2" customWidth="1"/>
    <col min="5388" max="5388" width="10.7142857142857" style="2" customWidth="1"/>
    <col min="5389" max="5389" width="8.71428571428571" style="2" customWidth="1"/>
    <col min="5390" max="5390" width="2.71428571428571" style="2" customWidth="1"/>
    <col min="5391" max="5392" width="10.7142857142857" style="2" customWidth="1"/>
    <col min="5393" max="5393" width="8.71428571428571" style="2" customWidth="1"/>
    <col min="5394" max="5394" width="2.71428571428571" style="2" customWidth="1"/>
    <col min="5395" max="5395" width="9.14285714285714" style="2"/>
    <col min="5396" max="5396" width="2.71428571428571" style="2" customWidth="1"/>
    <col min="5397" max="5633" width="9.14285714285714" style="2"/>
    <col min="5634" max="5634" width="4.71428571428571" style="2" customWidth="1"/>
    <col min="5635" max="5635" width="8.71428571428571" style="2" customWidth="1"/>
    <col min="5636" max="5636" width="7.71428571428571" style="2" customWidth="1"/>
    <col min="5637" max="5637" width="8.71428571428571" style="2" customWidth="1"/>
    <col min="5638" max="5638" width="2.71428571428571" style="2" customWidth="1"/>
    <col min="5639" max="5639" width="8.71428571428571" style="2" customWidth="1"/>
    <col min="5640" max="5640" width="2.71428571428571" style="2" customWidth="1"/>
    <col min="5641" max="5641" width="10.7142857142857" style="2" customWidth="1"/>
    <col min="5642" max="5642" width="2.71428571428571" style="2" customWidth="1"/>
    <col min="5643" max="5643" width="8.71428571428571" style="2" customWidth="1"/>
    <col min="5644" max="5644" width="10.7142857142857" style="2" customWidth="1"/>
    <col min="5645" max="5645" width="8.71428571428571" style="2" customWidth="1"/>
    <col min="5646" max="5646" width="2.71428571428571" style="2" customWidth="1"/>
    <col min="5647" max="5648" width="10.7142857142857" style="2" customWidth="1"/>
    <col min="5649" max="5649" width="8.71428571428571" style="2" customWidth="1"/>
    <col min="5650" max="5650" width="2.71428571428571" style="2" customWidth="1"/>
    <col min="5651" max="5651" width="9.14285714285714" style="2"/>
    <col min="5652" max="5652" width="2.71428571428571" style="2" customWidth="1"/>
    <col min="5653" max="5889" width="9.14285714285714" style="2"/>
    <col min="5890" max="5890" width="4.71428571428571" style="2" customWidth="1"/>
    <col min="5891" max="5891" width="8.71428571428571" style="2" customWidth="1"/>
    <col min="5892" max="5892" width="7.71428571428571" style="2" customWidth="1"/>
    <col min="5893" max="5893" width="8.71428571428571" style="2" customWidth="1"/>
    <col min="5894" max="5894" width="2.71428571428571" style="2" customWidth="1"/>
    <col min="5895" max="5895" width="8.71428571428571" style="2" customWidth="1"/>
    <col min="5896" max="5896" width="2.71428571428571" style="2" customWidth="1"/>
    <col min="5897" max="5897" width="10.7142857142857" style="2" customWidth="1"/>
    <col min="5898" max="5898" width="2.71428571428571" style="2" customWidth="1"/>
    <col min="5899" max="5899" width="8.71428571428571" style="2" customWidth="1"/>
    <col min="5900" max="5900" width="10.7142857142857" style="2" customWidth="1"/>
    <col min="5901" max="5901" width="8.71428571428571" style="2" customWidth="1"/>
    <col min="5902" max="5902" width="2.71428571428571" style="2" customWidth="1"/>
    <col min="5903" max="5904" width="10.7142857142857" style="2" customWidth="1"/>
    <col min="5905" max="5905" width="8.71428571428571" style="2" customWidth="1"/>
    <col min="5906" max="5906" width="2.71428571428571" style="2" customWidth="1"/>
    <col min="5907" max="5907" width="9.14285714285714" style="2"/>
    <col min="5908" max="5908" width="2.71428571428571" style="2" customWidth="1"/>
    <col min="5909" max="6145" width="9.14285714285714" style="2"/>
    <col min="6146" max="6146" width="4.71428571428571" style="2" customWidth="1"/>
    <col min="6147" max="6147" width="8.71428571428571" style="2" customWidth="1"/>
    <col min="6148" max="6148" width="7.71428571428571" style="2" customWidth="1"/>
    <col min="6149" max="6149" width="8.71428571428571" style="2" customWidth="1"/>
    <col min="6150" max="6150" width="2.71428571428571" style="2" customWidth="1"/>
    <col min="6151" max="6151" width="8.71428571428571" style="2" customWidth="1"/>
    <col min="6152" max="6152" width="2.71428571428571" style="2" customWidth="1"/>
    <col min="6153" max="6153" width="10.7142857142857" style="2" customWidth="1"/>
    <col min="6154" max="6154" width="2.71428571428571" style="2" customWidth="1"/>
    <col min="6155" max="6155" width="8.71428571428571" style="2" customWidth="1"/>
    <col min="6156" max="6156" width="10.7142857142857" style="2" customWidth="1"/>
    <col min="6157" max="6157" width="8.71428571428571" style="2" customWidth="1"/>
    <col min="6158" max="6158" width="2.71428571428571" style="2" customWidth="1"/>
    <col min="6159" max="6160" width="10.7142857142857" style="2" customWidth="1"/>
    <col min="6161" max="6161" width="8.71428571428571" style="2" customWidth="1"/>
    <col min="6162" max="6162" width="2.71428571428571" style="2" customWidth="1"/>
    <col min="6163" max="6163" width="9.14285714285714" style="2"/>
    <col min="6164" max="6164" width="2.71428571428571" style="2" customWidth="1"/>
    <col min="6165" max="6401" width="9.14285714285714" style="2"/>
    <col min="6402" max="6402" width="4.71428571428571" style="2" customWidth="1"/>
    <col min="6403" max="6403" width="8.71428571428571" style="2" customWidth="1"/>
    <col min="6404" max="6404" width="7.71428571428571" style="2" customWidth="1"/>
    <col min="6405" max="6405" width="8.71428571428571" style="2" customWidth="1"/>
    <col min="6406" max="6406" width="2.71428571428571" style="2" customWidth="1"/>
    <col min="6407" max="6407" width="8.71428571428571" style="2" customWidth="1"/>
    <col min="6408" max="6408" width="2.71428571428571" style="2" customWidth="1"/>
    <col min="6409" max="6409" width="10.7142857142857" style="2" customWidth="1"/>
    <col min="6410" max="6410" width="2.71428571428571" style="2" customWidth="1"/>
    <col min="6411" max="6411" width="8.71428571428571" style="2" customWidth="1"/>
    <col min="6412" max="6412" width="10.7142857142857" style="2" customWidth="1"/>
    <col min="6413" max="6413" width="8.71428571428571" style="2" customWidth="1"/>
    <col min="6414" max="6414" width="2.71428571428571" style="2" customWidth="1"/>
    <col min="6415" max="6416" width="10.7142857142857" style="2" customWidth="1"/>
    <col min="6417" max="6417" width="8.71428571428571" style="2" customWidth="1"/>
    <col min="6418" max="6418" width="2.71428571428571" style="2" customWidth="1"/>
    <col min="6419" max="6419" width="9.14285714285714" style="2"/>
    <col min="6420" max="6420" width="2.71428571428571" style="2" customWidth="1"/>
    <col min="6421" max="6657" width="9.14285714285714" style="2"/>
    <col min="6658" max="6658" width="4.71428571428571" style="2" customWidth="1"/>
    <col min="6659" max="6659" width="8.71428571428571" style="2" customWidth="1"/>
    <col min="6660" max="6660" width="7.71428571428571" style="2" customWidth="1"/>
    <col min="6661" max="6661" width="8.71428571428571" style="2" customWidth="1"/>
    <col min="6662" max="6662" width="2.71428571428571" style="2" customWidth="1"/>
    <col min="6663" max="6663" width="8.71428571428571" style="2" customWidth="1"/>
    <col min="6664" max="6664" width="2.71428571428571" style="2" customWidth="1"/>
    <col min="6665" max="6665" width="10.7142857142857" style="2" customWidth="1"/>
    <col min="6666" max="6666" width="2.71428571428571" style="2" customWidth="1"/>
    <col min="6667" max="6667" width="8.71428571428571" style="2" customWidth="1"/>
    <col min="6668" max="6668" width="10.7142857142857" style="2" customWidth="1"/>
    <col min="6669" max="6669" width="8.71428571428571" style="2" customWidth="1"/>
    <col min="6670" max="6670" width="2.71428571428571" style="2" customWidth="1"/>
    <col min="6671" max="6672" width="10.7142857142857" style="2" customWidth="1"/>
    <col min="6673" max="6673" width="8.71428571428571" style="2" customWidth="1"/>
    <col min="6674" max="6674" width="2.71428571428571" style="2" customWidth="1"/>
    <col min="6675" max="6675" width="9.14285714285714" style="2"/>
    <col min="6676" max="6676" width="2.71428571428571" style="2" customWidth="1"/>
    <col min="6677" max="6913" width="9.14285714285714" style="2"/>
    <col min="6914" max="6914" width="4.71428571428571" style="2" customWidth="1"/>
    <col min="6915" max="6915" width="8.71428571428571" style="2" customWidth="1"/>
    <col min="6916" max="6916" width="7.71428571428571" style="2" customWidth="1"/>
    <col min="6917" max="6917" width="8.71428571428571" style="2" customWidth="1"/>
    <col min="6918" max="6918" width="2.71428571428571" style="2" customWidth="1"/>
    <col min="6919" max="6919" width="8.71428571428571" style="2" customWidth="1"/>
    <col min="6920" max="6920" width="2.71428571428571" style="2" customWidth="1"/>
    <col min="6921" max="6921" width="10.7142857142857" style="2" customWidth="1"/>
    <col min="6922" max="6922" width="2.71428571428571" style="2" customWidth="1"/>
    <col min="6923" max="6923" width="8.71428571428571" style="2" customWidth="1"/>
    <col min="6924" max="6924" width="10.7142857142857" style="2" customWidth="1"/>
    <col min="6925" max="6925" width="8.71428571428571" style="2" customWidth="1"/>
    <col min="6926" max="6926" width="2.71428571428571" style="2" customWidth="1"/>
    <col min="6927" max="6928" width="10.7142857142857" style="2" customWidth="1"/>
    <col min="6929" max="6929" width="8.71428571428571" style="2" customWidth="1"/>
    <col min="6930" max="6930" width="2.71428571428571" style="2" customWidth="1"/>
    <col min="6931" max="6931" width="9.14285714285714" style="2"/>
    <col min="6932" max="6932" width="2.71428571428571" style="2" customWidth="1"/>
    <col min="6933" max="7169" width="9.14285714285714" style="2"/>
    <col min="7170" max="7170" width="4.71428571428571" style="2" customWidth="1"/>
    <col min="7171" max="7171" width="8.71428571428571" style="2" customWidth="1"/>
    <col min="7172" max="7172" width="7.71428571428571" style="2" customWidth="1"/>
    <col min="7173" max="7173" width="8.71428571428571" style="2" customWidth="1"/>
    <col min="7174" max="7174" width="2.71428571428571" style="2" customWidth="1"/>
    <col min="7175" max="7175" width="8.71428571428571" style="2" customWidth="1"/>
    <col min="7176" max="7176" width="2.71428571428571" style="2" customWidth="1"/>
    <col min="7177" max="7177" width="10.7142857142857" style="2" customWidth="1"/>
    <col min="7178" max="7178" width="2.71428571428571" style="2" customWidth="1"/>
    <col min="7179" max="7179" width="8.71428571428571" style="2" customWidth="1"/>
    <col min="7180" max="7180" width="10.7142857142857" style="2" customWidth="1"/>
    <col min="7181" max="7181" width="8.71428571428571" style="2" customWidth="1"/>
    <col min="7182" max="7182" width="2.71428571428571" style="2" customWidth="1"/>
    <col min="7183" max="7184" width="10.7142857142857" style="2" customWidth="1"/>
    <col min="7185" max="7185" width="8.71428571428571" style="2" customWidth="1"/>
    <col min="7186" max="7186" width="2.71428571428571" style="2" customWidth="1"/>
    <col min="7187" max="7187" width="9.14285714285714" style="2"/>
    <col min="7188" max="7188" width="2.71428571428571" style="2" customWidth="1"/>
    <col min="7189" max="7425" width="9.14285714285714" style="2"/>
    <col min="7426" max="7426" width="4.71428571428571" style="2" customWidth="1"/>
    <col min="7427" max="7427" width="8.71428571428571" style="2" customWidth="1"/>
    <col min="7428" max="7428" width="7.71428571428571" style="2" customWidth="1"/>
    <col min="7429" max="7429" width="8.71428571428571" style="2" customWidth="1"/>
    <col min="7430" max="7430" width="2.71428571428571" style="2" customWidth="1"/>
    <col min="7431" max="7431" width="8.71428571428571" style="2" customWidth="1"/>
    <col min="7432" max="7432" width="2.71428571428571" style="2" customWidth="1"/>
    <col min="7433" max="7433" width="10.7142857142857" style="2" customWidth="1"/>
    <col min="7434" max="7434" width="2.71428571428571" style="2" customWidth="1"/>
    <col min="7435" max="7435" width="8.71428571428571" style="2" customWidth="1"/>
    <col min="7436" max="7436" width="10.7142857142857" style="2" customWidth="1"/>
    <col min="7437" max="7437" width="8.71428571428571" style="2" customWidth="1"/>
    <col min="7438" max="7438" width="2.71428571428571" style="2" customWidth="1"/>
    <col min="7439" max="7440" width="10.7142857142857" style="2" customWidth="1"/>
    <col min="7441" max="7441" width="8.71428571428571" style="2" customWidth="1"/>
    <col min="7442" max="7442" width="2.71428571428571" style="2" customWidth="1"/>
    <col min="7443" max="7443" width="9.14285714285714" style="2"/>
    <col min="7444" max="7444" width="2.71428571428571" style="2" customWidth="1"/>
    <col min="7445" max="7681" width="9.14285714285714" style="2"/>
    <col min="7682" max="7682" width="4.71428571428571" style="2" customWidth="1"/>
    <col min="7683" max="7683" width="8.71428571428571" style="2" customWidth="1"/>
    <col min="7684" max="7684" width="7.71428571428571" style="2" customWidth="1"/>
    <col min="7685" max="7685" width="8.71428571428571" style="2" customWidth="1"/>
    <col min="7686" max="7686" width="2.71428571428571" style="2" customWidth="1"/>
    <col min="7687" max="7687" width="8.71428571428571" style="2" customWidth="1"/>
    <col min="7688" max="7688" width="2.71428571428571" style="2" customWidth="1"/>
    <col min="7689" max="7689" width="10.7142857142857" style="2" customWidth="1"/>
    <col min="7690" max="7690" width="2.71428571428571" style="2" customWidth="1"/>
    <col min="7691" max="7691" width="8.71428571428571" style="2" customWidth="1"/>
    <col min="7692" max="7692" width="10.7142857142857" style="2" customWidth="1"/>
    <col min="7693" max="7693" width="8.71428571428571" style="2" customWidth="1"/>
    <col min="7694" max="7694" width="2.71428571428571" style="2" customWidth="1"/>
    <col min="7695" max="7696" width="10.7142857142857" style="2" customWidth="1"/>
    <col min="7697" max="7697" width="8.71428571428571" style="2" customWidth="1"/>
    <col min="7698" max="7698" width="2.71428571428571" style="2" customWidth="1"/>
    <col min="7699" max="7699" width="9.14285714285714" style="2"/>
    <col min="7700" max="7700" width="2.71428571428571" style="2" customWidth="1"/>
    <col min="7701" max="7937" width="9.14285714285714" style="2"/>
    <col min="7938" max="7938" width="4.71428571428571" style="2" customWidth="1"/>
    <col min="7939" max="7939" width="8.71428571428571" style="2" customWidth="1"/>
    <col min="7940" max="7940" width="7.71428571428571" style="2" customWidth="1"/>
    <col min="7941" max="7941" width="8.71428571428571" style="2" customWidth="1"/>
    <col min="7942" max="7942" width="2.71428571428571" style="2" customWidth="1"/>
    <col min="7943" max="7943" width="8.71428571428571" style="2" customWidth="1"/>
    <col min="7944" max="7944" width="2.71428571428571" style="2" customWidth="1"/>
    <col min="7945" max="7945" width="10.7142857142857" style="2" customWidth="1"/>
    <col min="7946" max="7946" width="2.71428571428571" style="2" customWidth="1"/>
    <col min="7947" max="7947" width="8.71428571428571" style="2" customWidth="1"/>
    <col min="7948" max="7948" width="10.7142857142857" style="2" customWidth="1"/>
    <col min="7949" max="7949" width="8.71428571428571" style="2" customWidth="1"/>
    <col min="7950" max="7950" width="2.71428571428571" style="2" customWidth="1"/>
    <col min="7951" max="7952" width="10.7142857142857" style="2" customWidth="1"/>
    <col min="7953" max="7953" width="8.71428571428571" style="2" customWidth="1"/>
    <col min="7954" max="7954" width="2.71428571428571" style="2" customWidth="1"/>
    <col min="7955" max="7955" width="9.14285714285714" style="2"/>
    <col min="7956" max="7956" width="2.71428571428571" style="2" customWidth="1"/>
    <col min="7957" max="8193" width="9.14285714285714" style="2"/>
    <col min="8194" max="8194" width="4.71428571428571" style="2" customWidth="1"/>
    <col min="8195" max="8195" width="8.71428571428571" style="2" customWidth="1"/>
    <col min="8196" max="8196" width="7.71428571428571" style="2" customWidth="1"/>
    <col min="8197" max="8197" width="8.71428571428571" style="2" customWidth="1"/>
    <col min="8198" max="8198" width="2.71428571428571" style="2" customWidth="1"/>
    <col min="8199" max="8199" width="8.71428571428571" style="2" customWidth="1"/>
    <col min="8200" max="8200" width="2.71428571428571" style="2" customWidth="1"/>
    <col min="8201" max="8201" width="10.7142857142857" style="2" customWidth="1"/>
    <col min="8202" max="8202" width="2.71428571428571" style="2" customWidth="1"/>
    <col min="8203" max="8203" width="8.71428571428571" style="2" customWidth="1"/>
    <col min="8204" max="8204" width="10.7142857142857" style="2" customWidth="1"/>
    <col min="8205" max="8205" width="8.71428571428571" style="2" customWidth="1"/>
    <col min="8206" max="8206" width="2.71428571428571" style="2" customWidth="1"/>
    <col min="8207" max="8208" width="10.7142857142857" style="2" customWidth="1"/>
    <col min="8209" max="8209" width="8.71428571428571" style="2" customWidth="1"/>
    <col min="8210" max="8210" width="2.71428571428571" style="2" customWidth="1"/>
    <col min="8211" max="8211" width="9.14285714285714" style="2"/>
    <col min="8212" max="8212" width="2.71428571428571" style="2" customWidth="1"/>
    <col min="8213" max="8449" width="9.14285714285714" style="2"/>
    <col min="8450" max="8450" width="4.71428571428571" style="2" customWidth="1"/>
    <col min="8451" max="8451" width="8.71428571428571" style="2" customWidth="1"/>
    <col min="8452" max="8452" width="7.71428571428571" style="2" customWidth="1"/>
    <col min="8453" max="8453" width="8.71428571428571" style="2" customWidth="1"/>
    <col min="8454" max="8454" width="2.71428571428571" style="2" customWidth="1"/>
    <col min="8455" max="8455" width="8.71428571428571" style="2" customWidth="1"/>
    <col min="8456" max="8456" width="2.71428571428571" style="2" customWidth="1"/>
    <col min="8457" max="8457" width="10.7142857142857" style="2" customWidth="1"/>
    <col min="8458" max="8458" width="2.71428571428571" style="2" customWidth="1"/>
    <col min="8459" max="8459" width="8.71428571428571" style="2" customWidth="1"/>
    <col min="8460" max="8460" width="10.7142857142857" style="2" customWidth="1"/>
    <col min="8461" max="8461" width="8.71428571428571" style="2" customWidth="1"/>
    <col min="8462" max="8462" width="2.71428571428571" style="2" customWidth="1"/>
    <col min="8463" max="8464" width="10.7142857142857" style="2" customWidth="1"/>
    <col min="8465" max="8465" width="8.71428571428571" style="2" customWidth="1"/>
    <col min="8466" max="8466" width="2.71428571428571" style="2" customWidth="1"/>
    <col min="8467" max="8467" width="9.14285714285714" style="2"/>
    <col min="8468" max="8468" width="2.71428571428571" style="2" customWidth="1"/>
    <col min="8469" max="8705" width="9.14285714285714" style="2"/>
    <col min="8706" max="8706" width="4.71428571428571" style="2" customWidth="1"/>
    <col min="8707" max="8707" width="8.71428571428571" style="2" customWidth="1"/>
    <col min="8708" max="8708" width="7.71428571428571" style="2" customWidth="1"/>
    <col min="8709" max="8709" width="8.71428571428571" style="2" customWidth="1"/>
    <col min="8710" max="8710" width="2.71428571428571" style="2" customWidth="1"/>
    <col min="8711" max="8711" width="8.71428571428571" style="2" customWidth="1"/>
    <col min="8712" max="8712" width="2.71428571428571" style="2" customWidth="1"/>
    <col min="8713" max="8713" width="10.7142857142857" style="2" customWidth="1"/>
    <col min="8714" max="8714" width="2.71428571428571" style="2" customWidth="1"/>
    <col min="8715" max="8715" width="8.71428571428571" style="2" customWidth="1"/>
    <col min="8716" max="8716" width="10.7142857142857" style="2" customWidth="1"/>
    <col min="8717" max="8717" width="8.71428571428571" style="2" customWidth="1"/>
    <col min="8718" max="8718" width="2.71428571428571" style="2" customWidth="1"/>
    <col min="8719" max="8720" width="10.7142857142857" style="2" customWidth="1"/>
    <col min="8721" max="8721" width="8.71428571428571" style="2" customWidth="1"/>
    <col min="8722" max="8722" width="2.71428571428571" style="2" customWidth="1"/>
    <col min="8723" max="8723" width="9.14285714285714" style="2"/>
    <col min="8724" max="8724" width="2.71428571428571" style="2" customWidth="1"/>
    <col min="8725" max="8961" width="9.14285714285714" style="2"/>
    <col min="8962" max="8962" width="4.71428571428571" style="2" customWidth="1"/>
    <col min="8963" max="8963" width="8.71428571428571" style="2" customWidth="1"/>
    <col min="8964" max="8964" width="7.71428571428571" style="2" customWidth="1"/>
    <col min="8965" max="8965" width="8.71428571428571" style="2" customWidth="1"/>
    <col min="8966" max="8966" width="2.71428571428571" style="2" customWidth="1"/>
    <col min="8967" max="8967" width="8.71428571428571" style="2" customWidth="1"/>
    <col min="8968" max="8968" width="2.71428571428571" style="2" customWidth="1"/>
    <col min="8969" max="8969" width="10.7142857142857" style="2" customWidth="1"/>
    <col min="8970" max="8970" width="2.71428571428571" style="2" customWidth="1"/>
    <col min="8971" max="8971" width="8.71428571428571" style="2" customWidth="1"/>
    <col min="8972" max="8972" width="10.7142857142857" style="2" customWidth="1"/>
    <col min="8973" max="8973" width="8.71428571428571" style="2" customWidth="1"/>
    <col min="8974" max="8974" width="2.71428571428571" style="2" customWidth="1"/>
    <col min="8975" max="8976" width="10.7142857142857" style="2" customWidth="1"/>
    <col min="8977" max="8977" width="8.71428571428571" style="2" customWidth="1"/>
    <col min="8978" max="8978" width="2.71428571428571" style="2" customWidth="1"/>
    <col min="8979" max="8979" width="9.14285714285714" style="2"/>
    <col min="8980" max="8980" width="2.71428571428571" style="2" customWidth="1"/>
    <col min="8981" max="9217" width="9.14285714285714" style="2"/>
    <col min="9218" max="9218" width="4.71428571428571" style="2" customWidth="1"/>
    <col min="9219" max="9219" width="8.71428571428571" style="2" customWidth="1"/>
    <col min="9220" max="9220" width="7.71428571428571" style="2" customWidth="1"/>
    <col min="9221" max="9221" width="8.71428571428571" style="2" customWidth="1"/>
    <col min="9222" max="9222" width="2.71428571428571" style="2" customWidth="1"/>
    <col min="9223" max="9223" width="8.71428571428571" style="2" customWidth="1"/>
    <col min="9224" max="9224" width="2.71428571428571" style="2" customWidth="1"/>
    <col min="9225" max="9225" width="10.7142857142857" style="2" customWidth="1"/>
    <col min="9226" max="9226" width="2.71428571428571" style="2" customWidth="1"/>
    <col min="9227" max="9227" width="8.71428571428571" style="2" customWidth="1"/>
    <col min="9228" max="9228" width="10.7142857142857" style="2" customWidth="1"/>
    <col min="9229" max="9229" width="8.71428571428571" style="2" customWidth="1"/>
    <col min="9230" max="9230" width="2.71428571428571" style="2" customWidth="1"/>
    <col min="9231" max="9232" width="10.7142857142857" style="2" customWidth="1"/>
    <col min="9233" max="9233" width="8.71428571428571" style="2" customWidth="1"/>
    <col min="9234" max="9234" width="2.71428571428571" style="2" customWidth="1"/>
    <col min="9235" max="9235" width="9.14285714285714" style="2"/>
    <col min="9236" max="9236" width="2.71428571428571" style="2" customWidth="1"/>
    <col min="9237" max="9473" width="9.14285714285714" style="2"/>
    <col min="9474" max="9474" width="4.71428571428571" style="2" customWidth="1"/>
    <col min="9475" max="9475" width="8.71428571428571" style="2" customWidth="1"/>
    <col min="9476" max="9476" width="7.71428571428571" style="2" customWidth="1"/>
    <col min="9477" max="9477" width="8.71428571428571" style="2" customWidth="1"/>
    <col min="9478" max="9478" width="2.71428571428571" style="2" customWidth="1"/>
    <col min="9479" max="9479" width="8.71428571428571" style="2" customWidth="1"/>
    <col min="9480" max="9480" width="2.71428571428571" style="2" customWidth="1"/>
    <col min="9481" max="9481" width="10.7142857142857" style="2" customWidth="1"/>
    <col min="9482" max="9482" width="2.71428571428571" style="2" customWidth="1"/>
    <col min="9483" max="9483" width="8.71428571428571" style="2" customWidth="1"/>
    <col min="9484" max="9484" width="10.7142857142857" style="2" customWidth="1"/>
    <col min="9485" max="9485" width="8.71428571428571" style="2" customWidth="1"/>
    <col min="9486" max="9486" width="2.71428571428571" style="2" customWidth="1"/>
    <col min="9487" max="9488" width="10.7142857142857" style="2" customWidth="1"/>
    <col min="9489" max="9489" width="8.71428571428571" style="2" customWidth="1"/>
    <col min="9490" max="9490" width="2.71428571428571" style="2" customWidth="1"/>
    <col min="9491" max="9491" width="9.14285714285714" style="2"/>
    <col min="9492" max="9492" width="2.71428571428571" style="2" customWidth="1"/>
    <col min="9493" max="9729" width="9.14285714285714" style="2"/>
    <col min="9730" max="9730" width="4.71428571428571" style="2" customWidth="1"/>
    <col min="9731" max="9731" width="8.71428571428571" style="2" customWidth="1"/>
    <col min="9732" max="9732" width="7.71428571428571" style="2" customWidth="1"/>
    <col min="9733" max="9733" width="8.71428571428571" style="2" customWidth="1"/>
    <col min="9734" max="9734" width="2.71428571428571" style="2" customWidth="1"/>
    <col min="9735" max="9735" width="8.71428571428571" style="2" customWidth="1"/>
    <col min="9736" max="9736" width="2.71428571428571" style="2" customWidth="1"/>
    <col min="9737" max="9737" width="10.7142857142857" style="2" customWidth="1"/>
    <col min="9738" max="9738" width="2.71428571428571" style="2" customWidth="1"/>
    <col min="9739" max="9739" width="8.71428571428571" style="2" customWidth="1"/>
    <col min="9740" max="9740" width="10.7142857142857" style="2" customWidth="1"/>
    <col min="9741" max="9741" width="8.71428571428571" style="2" customWidth="1"/>
    <col min="9742" max="9742" width="2.71428571428571" style="2" customWidth="1"/>
    <col min="9743" max="9744" width="10.7142857142857" style="2" customWidth="1"/>
    <col min="9745" max="9745" width="8.71428571428571" style="2" customWidth="1"/>
    <col min="9746" max="9746" width="2.71428571428571" style="2" customWidth="1"/>
    <col min="9747" max="9747" width="9.14285714285714" style="2"/>
    <col min="9748" max="9748" width="2.71428571428571" style="2" customWidth="1"/>
    <col min="9749" max="9985" width="9.14285714285714" style="2"/>
    <col min="9986" max="9986" width="4.71428571428571" style="2" customWidth="1"/>
    <col min="9987" max="9987" width="8.71428571428571" style="2" customWidth="1"/>
    <col min="9988" max="9988" width="7.71428571428571" style="2" customWidth="1"/>
    <col min="9989" max="9989" width="8.71428571428571" style="2" customWidth="1"/>
    <col min="9990" max="9990" width="2.71428571428571" style="2" customWidth="1"/>
    <col min="9991" max="9991" width="8.71428571428571" style="2" customWidth="1"/>
    <col min="9992" max="9992" width="2.71428571428571" style="2" customWidth="1"/>
    <col min="9993" max="9993" width="10.7142857142857" style="2" customWidth="1"/>
    <col min="9994" max="9994" width="2.71428571428571" style="2" customWidth="1"/>
    <col min="9995" max="9995" width="8.71428571428571" style="2" customWidth="1"/>
    <col min="9996" max="9996" width="10.7142857142857" style="2" customWidth="1"/>
    <col min="9997" max="9997" width="8.71428571428571" style="2" customWidth="1"/>
    <col min="9998" max="9998" width="2.71428571428571" style="2" customWidth="1"/>
    <col min="9999" max="10000" width="10.7142857142857" style="2" customWidth="1"/>
    <col min="10001" max="10001" width="8.71428571428571" style="2" customWidth="1"/>
    <col min="10002" max="10002" width="2.71428571428571" style="2" customWidth="1"/>
    <col min="10003" max="10003" width="9.14285714285714" style="2"/>
    <col min="10004" max="10004" width="2.71428571428571" style="2" customWidth="1"/>
    <col min="10005" max="10241" width="9.14285714285714" style="2"/>
    <col min="10242" max="10242" width="4.71428571428571" style="2" customWidth="1"/>
    <col min="10243" max="10243" width="8.71428571428571" style="2" customWidth="1"/>
    <col min="10244" max="10244" width="7.71428571428571" style="2" customWidth="1"/>
    <col min="10245" max="10245" width="8.71428571428571" style="2" customWidth="1"/>
    <col min="10246" max="10246" width="2.71428571428571" style="2" customWidth="1"/>
    <col min="10247" max="10247" width="8.71428571428571" style="2" customWidth="1"/>
    <col min="10248" max="10248" width="2.71428571428571" style="2" customWidth="1"/>
    <col min="10249" max="10249" width="10.7142857142857" style="2" customWidth="1"/>
    <col min="10250" max="10250" width="2.71428571428571" style="2" customWidth="1"/>
    <col min="10251" max="10251" width="8.71428571428571" style="2" customWidth="1"/>
    <col min="10252" max="10252" width="10.7142857142857" style="2" customWidth="1"/>
    <col min="10253" max="10253" width="8.71428571428571" style="2" customWidth="1"/>
    <col min="10254" max="10254" width="2.71428571428571" style="2" customWidth="1"/>
    <col min="10255" max="10256" width="10.7142857142857" style="2" customWidth="1"/>
    <col min="10257" max="10257" width="8.71428571428571" style="2" customWidth="1"/>
    <col min="10258" max="10258" width="2.71428571428571" style="2" customWidth="1"/>
    <col min="10259" max="10259" width="9.14285714285714" style="2"/>
    <col min="10260" max="10260" width="2.71428571428571" style="2" customWidth="1"/>
    <col min="10261" max="10497" width="9.14285714285714" style="2"/>
    <col min="10498" max="10498" width="4.71428571428571" style="2" customWidth="1"/>
    <col min="10499" max="10499" width="8.71428571428571" style="2" customWidth="1"/>
    <col min="10500" max="10500" width="7.71428571428571" style="2" customWidth="1"/>
    <col min="10501" max="10501" width="8.71428571428571" style="2" customWidth="1"/>
    <col min="10502" max="10502" width="2.71428571428571" style="2" customWidth="1"/>
    <col min="10503" max="10503" width="8.71428571428571" style="2" customWidth="1"/>
    <col min="10504" max="10504" width="2.71428571428571" style="2" customWidth="1"/>
    <col min="10505" max="10505" width="10.7142857142857" style="2" customWidth="1"/>
    <col min="10506" max="10506" width="2.71428571428571" style="2" customWidth="1"/>
    <col min="10507" max="10507" width="8.71428571428571" style="2" customWidth="1"/>
    <col min="10508" max="10508" width="10.7142857142857" style="2" customWidth="1"/>
    <col min="10509" max="10509" width="8.71428571428571" style="2" customWidth="1"/>
    <col min="10510" max="10510" width="2.71428571428571" style="2" customWidth="1"/>
    <col min="10511" max="10512" width="10.7142857142857" style="2" customWidth="1"/>
    <col min="10513" max="10513" width="8.71428571428571" style="2" customWidth="1"/>
    <col min="10514" max="10514" width="2.71428571428571" style="2" customWidth="1"/>
    <col min="10515" max="10515" width="9.14285714285714" style="2"/>
    <col min="10516" max="10516" width="2.71428571428571" style="2" customWidth="1"/>
    <col min="10517" max="10753" width="9.14285714285714" style="2"/>
    <col min="10754" max="10754" width="4.71428571428571" style="2" customWidth="1"/>
    <col min="10755" max="10755" width="8.71428571428571" style="2" customWidth="1"/>
    <col min="10756" max="10756" width="7.71428571428571" style="2" customWidth="1"/>
    <col min="10757" max="10757" width="8.71428571428571" style="2" customWidth="1"/>
    <col min="10758" max="10758" width="2.71428571428571" style="2" customWidth="1"/>
    <col min="10759" max="10759" width="8.71428571428571" style="2" customWidth="1"/>
    <col min="10760" max="10760" width="2.71428571428571" style="2" customWidth="1"/>
    <col min="10761" max="10761" width="10.7142857142857" style="2" customWidth="1"/>
    <col min="10762" max="10762" width="2.71428571428571" style="2" customWidth="1"/>
    <col min="10763" max="10763" width="8.71428571428571" style="2" customWidth="1"/>
    <col min="10764" max="10764" width="10.7142857142857" style="2" customWidth="1"/>
    <col min="10765" max="10765" width="8.71428571428571" style="2" customWidth="1"/>
    <col min="10766" max="10766" width="2.71428571428571" style="2" customWidth="1"/>
    <col min="10767" max="10768" width="10.7142857142857" style="2" customWidth="1"/>
    <col min="10769" max="10769" width="8.71428571428571" style="2" customWidth="1"/>
    <col min="10770" max="10770" width="2.71428571428571" style="2" customWidth="1"/>
    <col min="10771" max="10771" width="9.14285714285714" style="2"/>
    <col min="10772" max="10772" width="2.71428571428571" style="2" customWidth="1"/>
    <col min="10773" max="11009" width="9.14285714285714" style="2"/>
    <col min="11010" max="11010" width="4.71428571428571" style="2" customWidth="1"/>
    <col min="11011" max="11011" width="8.71428571428571" style="2" customWidth="1"/>
    <col min="11012" max="11012" width="7.71428571428571" style="2" customWidth="1"/>
    <col min="11013" max="11013" width="8.71428571428571" style="2" customWidth="1"/>
    <col min="11014" max="11014" width="2.71428571428571" style="2" customWidth="1"/>
    <col min="11015" max="11015" width="8.71428571428571" style="2" customWidth="1"/>
    <col min="11016" max="11016" width="2.71428571428571" style="2" customWidth="1"/>
    <col min="11017" max="11017" width="10.7142857142857" style="2" customWidth="1"/>
    <col min="11018" max="11018" width="2.71428571428571" style="2" customWidth="1"/>
    <col min="11019" max="11019" width="8.71428571428571" style="2" customWidth="1"/>
    <col min="11020" max="11020" width="10.7142857142857" style="2" customWidth="1"/>
    <col min="11021" max="11021" width="8.71428571428571" style="2" customWidth="1"/>
    <col min="11022" max="11022" width="2.71428571428571" style="2" customWidth="1"/>
    <col min="11023" max="11024" width="10.7142857142857" style="2" customWidth="1"/>
    <col min="11025" max="11025" width="8.71428571428571" style="2" customWidth="1"/>
    <col min="11026" max="11026" width="2.71428571428571" style="2" customWidth="1"/>
    <col min="11027" max="11027" width="9.14285714285714" style="2"/>
    <col min="11028" max="11028" width="2.71428571428571" style="2" customWidth="1"/>
    <col min="11029" max="11265" width="9.14285714285714" style="2"/>
    <col min="11266" max="11266" width="4.71428571428571" style="2" customWidth="1"/>
    <col min="11267" max="11267" width="8.71428571428571" style="2" customWidth="1"/>
    <col min="11268" max="11268" width="7.71428571428571" style="2" customWidth="1"/>
    <col min="11269" max="11269" width="8.71428571428571" style="2" customWidth="1"/>
    <col min="11270" max="11270" width="2.71428571428571" style="2" customWidth="1"/>
    <col min="11271" max="11271" width="8.71428571428571" style="2" customWidth="1"/>
    <col min="11272" max="11272" width="2.71428571428571" style="2" customWidth="1"/>
    <col min="11273" max="11273" width="10.7142857142857" style="2" customWidth="1"/>
    <col min="11274" max="11274" width="2.71428571428571" style="2" customWidth="1"/>
    <col min="11275" max="11275" width="8.71428571428571" style="2" customWidth="1"/>
    <col min="11276" max="11276" width="10.7142857142857" style="2" customWidth="1"/>
    <col min="11277" max="11277" width="8.71428571428571" style="2" customWidth="1"/>
    <col min="11278" max="11278" width="2.71428571428571" style="2" customWidth="1"/>
    <col min="11279" max="11280" width="10.7142857142857" style="2" customWidth="1"/>
    <col min="11281" max="11281" width="8.71428571428571" style="2" customWidth="1"/>
    <col min="11282" max="11282" width="2.71428571428571" style="2" customWidth="1"/>
    <col min="11283" max="11283" width="9.14285714285714" style="2"/>
    <col min="11284" max="11284" width="2.71428571428571" style="2" customWidth="1"/>
    <col min="11285" max="11521" width="9.14285714285714" style="2"/>
    <col min="11522" max="11522" width="4.71428571428571" style="2" customWidth="1"/>
    <col min="11523" max="11523" width="8.71428571428571" style="2" customWidth="1"/>
    <col min="11524" max="11524" width="7.71428571428571" style="2" customWidth="1"/>
    <col min="11525" max="11525" width="8.71428571428571" style="2" customWidth="1"/>
    <col min="11526" max="11526" width="2.71428571428571" style="2" customWidth="1"/>
    <col min="11527" max="11527" width="8.71428571428571" style="2" customWidth="1"/>
    <col min="11528" max="11528" width="2.71428571428571" style="2" customWidth="1"/>
    <col min="11529" max="11529" width="10.7142857142857" style="2" customWidth="1"/>
    <col min="11530" max="11530" width="2.71428571428571" style="2" customWidth="1"/>
    <col min="11531" max="11531" width="8.71428571428571" style="2" customWidth="1"/>
    <col min="11532" max="11532" width="10.7142857142857" style="2" customWidth="1"/>
    <col min="11533" max="11533" width="8.71428571428571" style="2" customWidth="1"/>
    <col min="11534" max="11534" width="2.71428571428571" style="2" customWidth="1"/>
    <col min="11535" max="11536" width="10.7142857142857" style="2" customWidth="1"/>
    <col min="11537" max="11537" width="8.71428571428571" style="2" customWidth="1"/>
    <col min="11538" max="11538" width="2.71428571428571" style="2" customWidth="1"/>
    <col min="11539" max="11539" width="9.14285714285714" style="2"/>
    <col min="11540" max="11540" width="2.71428571428571" style="2" customWidth="1"/>
    <col min="11541" max="11777" width="9.14285714285714" style="2"/>
    <col min="11778" max="11778" width="4.71428571428571" style="2" customWidth="1"/>
    <col min="11779" max="11779" width="8.71428571428571" style="2" customWidth="1"/>
    <col min="11780" max="11780" width="7.71428571428571" style="2" customWidth="1"/>
    <col min="11781" max="11781" width="8.71428571428571" style="2" customWidth="1"/>
    <col min="11782" max="11782" width="2.71428571428571" style="2" customWidth="1"/>
    <col min="11783" max="11783" width="8.71428571428571" style="2" customWidth="1"/>
    <col min="11784" max="11784" width="2.71428571428571" style="2" customWidth="1"/>
    <col min="11785" max="11785" width="10.7142857142857" style="2" customWidth="1"/>
    <col min="11786" max="11786" width="2.71428571428571" style="2" customWidth="1"/>
    <col min="11787" max="11787" width="8.71428571428571" style="2" customWidth="1"/>
    <col min="11788" max="11788" width="10.7142857142857" style="2" customWidth="1"/>
    <col min="11789" max="11789" width="8.71428571428571" style="2" customWidth="1"/>
    <col min="11790" max="11790" width="2.71428571428571" style="2" customWidth="1"/>
    <col min="11791" max="11792" width="10.7142857142857" style="2" customWidth="1"/>
    <col min="11793" max="11793" width="8.71428571428571" style="2" customWidth="1"/>
    <col min="11794" max="11794" width="2.71428571428571" style="2" customWidth="1"/>
    <col min="11795" max="11795" width="9.14285714285714" style="2"/>
    <col min="11796" max="11796" width="2.71428571428571" style="2" customWidth="1"/>
    <col min="11797" max="12033" width="9.14285714285714" style="2"/>
    <col min="12034" max="12034" width="4.71428571428571" style="2" customWidth="1"/>
    <col min="12035" max="12035" width="8.71428571428571" style="2" customWidth="1"/>
    <col min="12036" max="12036" width="7.71428571428571" style="2" customWidth="1"/>
    <col min="12037" max="12037" width="8.71428571428571" style="2" customWidth="1"/>
    <col min="12038" max="12038" width="2.71428571428571" style="2" customWidth="1"/>
    <col min="12039" max="12039" width="8.71428571428571" style="2" customWidth="1"/>
    <col min="12040" max="12040" width="2.71428571428571" style="2" customWidth="1"/>
    <col min="12041" max="12041" width="10.7142857142857" style="2" customWidth="1"/>
    <col min="12042" max="12042" width="2.71428571428571" style="2" customWidth="1"/>
    <col min="12043" max="12043" width="8.71428571428571" style="2" customWidth="1"/>
    <col min="12044" max="12044" width="10.7142857142857" style="2" customWidth="1"/>
    <col min="12045" max="12045" width="8.71428571428571" style="2" customWidth="1"/>
    <col min="12046" max="12046" width="2.71428571428571" style="2" customWidth="1"/>
    <col min="12047" max="12048" width="10.7142857142857" style="2" customWidth="1"/>
    <col min="12049" max="12049" width="8.71428571428571" style="2" customWidth="1"/>
    <col min="12050" max="12050" width="2.71428571428571" style="2" customWidth="1"/>
    <col min="12051" max="12051" width="9.14285714285714" style="2"/>
    <col min="12052" max="12052" width="2.71428571428571" style="2" customWidth="1"/>
    <col min="12053" max="12289" width="9.14285714285714" style="2"/>
    <col min="12290" max="12290" width="4.71428571428571" style="2" customWidth="1"/>
    <col min="12291" max="12291" width="8.71428571428571" style="2" customWidth="1"/>
    <col min="12292" max="12292" width="7.71428571428571" style="2" customWidth="1"/>
    <col min="12293" max="12293" width="8.71428571428571" style="2" customWidth="1"/>
    <col min="12294" max="12294" width="2.71428571428571" style="2" customWidth="1"/>
    <col min="12295" max="12295" width="8.71428571428571" style="2" customWidth="1"/>
    <col min="12296" max="12296" width="2.71428571428571" style="2" customWidth="1"/>
    <col min="12297" max="12297" width="10.7142857142857" style="2" customWidth="1"/>
    <col min="12298" max="12298" width="2.71428571428571" style="2" customWidth="1"/>
    <col min="12299" max="12299" width="8.71428571428571" style="2" customWidth="1"/>
    <col min="12300" max="12300" width="10.7142857142857" style="2" customWidth="1"/>
    <col min="12301" max="12301" width="8.71428571428571" style="2" customWidth="1"/>
    <col min="12302" max="12302" width="2.71428571428571" style="2" customWidth="1"/>
    <col min="12303" max="12304" width="10.7142857142857" style="2" customWidth="1"/>
    <col min="12305" max="12305" width="8.71428571428571" style="2" customWidth="1"/>
    <col min="12306" max="12306" width="2.71428571428571" style="2" customWidth="1"/>
    <col min="12307" max="12307" width="9.14285714285714" style="2"/>
    <col min="12308" max="12308" width="2.71428571428571" style="2" customWidth="1"/>
    <col min="12309" max="12545" width="9.14285714285714" style="2"/>
    <col min="12546" max="12546" width="4.71428571428571" style="2" customWidth="1"/>
    <col min="12547" max="12547" width="8.71428571428571" style="2" customWidth="1"/>
    <col min="12548" max="12548" width="7.71428571428571" style="2" customWidth="1"/>
    <col min="12549" max="12549" width="8.71428571428571" style="2" customWidth="1"/>
    <col min="12550" max="12550" width="2.71428571428571" style="2" customWidth="1"/>
    <col min="12551" max="12551" width="8.71428571428571" style="2" customWidth="1"/>
    <col min="12552" max="12552" width="2.71428571428571" style="2" customWidth="1"/>
    <col min="12553" max="12553" width="10.7142857142857" style="2" customWidth="1"/>
    <col min="12554" max="12554" width="2.71428571428571" style="2" customWidth="1"/>
    <col min="12555" max="12555" width="8.71428571428571" style="2" customWidth="1"/>
    <col min="12556" max="12556" width="10.7142857142857" style="2" customWidth="1"/>
    <col min="12557" max="12557" width="8.71428571428571" style="2" customWidth="1"/>
    <col min="12558" max="12558" width="2.71428571428571" style="2" customWidth="1"/>
    <col min="12559" max="12560" width="10.7142857142857" style="2" customWidth="1"/>
    <col min="12561" max="12561" width="8.71428571428571" style="2" customWidth="1"/>
    <col min="12562" max="12562" width="2.71428571428571" style="2" customWidth="1"/>
    <col min="12563" max="12563" width="9.14285714285714" style="2"/>
    <col min="12564" max="12564" width="2.71428571428571" style="2" customWidth="1"/>
    <col min="12565" max="12801" width="9.14285714285714" style="2"/>
    <col min="12802" max="12802" width="4.71428571428571" style="2" customWidth="1"/>
    <col min="12803" max="12803" width="8.71428571428571" style="2" customWidth="1"/>
    <col min="12804" max="12804" width="7.71428571428571" style="2" customWidth="1"/>
    <col min="12805" max="12805" width="8.71428571428571" style="2" customWidth="1"/>
    <col min="12806" max="12806" width="2.71428571428571" style="2" customWidth="1"/>
    <col min="12807" max="12807" width="8.71428571428571" style="2" customWidth="1"/>
    <col min="12808" max="12808" width="2.71428571428571" style="2" customWidth="1"/>
    <col min="12809" max="12809" width="10.7142857142857" style="2" customWidth="1"/>
    <col min="12810" max="12810" width="2.71428571428571" style="2" customWidth="1"/>
    <col min="12811" max="12811" width="8.71428571428571" style="2" customWidth="1"/>
    <col min="12812" max="12812" width="10.7142857142857" style="2" customWidth="1"/>
    <col min="12813" max="12813" width="8.71428571428571" style="2" customWidth="1"/>
    <col min="12814" max="12814" width="2.71428571428571" style="2" customWidth="1"/>
    <col min="12815" max="12816" width="10.7142857142857" style="2" customWidth="1"/>
    <col min="12817" max="12817" width="8.71428571428571" style="2" customWidth="1"/>
    <col min="12818" max="12818" width="2.71428571428571" style="2" customWidth="1"/>
    <col min="12819" max="12819" width="9.14285714285714" style="2"/>
    <col min="12820" max="12820" width="2.71428571428571" style="2" customWidth="1"/>
    <col min="12821" max="13057" width="9.14285714285714" style="2"/>
    <col min="13058" max="13058" width="4.71428571428571" style="2" customWidth="1"/>
    <col min="13059" max="13059" width="8.71428571428571" style="2" customWidth="1"/>
    <col min="13060" max="13060" width="7.71428571428571" style="2" customWidth="1"/>
    <col min="13061" max="13061" width="8.71428571428571" style="2" customWidth="1"/>
    <col min="13062" max="13062" width="2.71428571428571" style="2" customWidth="1"/>
    <col min="13063" max="13063" width="8.71428571428571" style="2" customWidth="1"/>
    <col min="13064" max="13064" width="2.71428571428571" style="2" customWidth="1"/>
    <col min="13065" max="13065" width="10.7142857142857" style="2" customWidth="1"/>
    <col min="13066" max="13066" width="2.71428571428571" style="2" customWidth="1"/>
    <col min="13067" max="13067" width="8.71428571428571" style="2" customWidth="1"/>
    <col min="13068" max="13068" width="10.7142857142857" style="2" customWidth="1"/>
    <col min="13069" max="13069" width="8.71428571428571" style="2" customWidth="1"/>
    <col min="13070" max="13070" width="2.71428571428571" style="2" customWidth="1"/>
    <col min="13071" max="13072" width="10.7142857142857" style="2" customWidth="1"/>
    <col min="13073" max="13073" width="8.71428571428571" style="2" customWidth="1"/>
    <col min="13074" max="13074" width="2.71428571428571" style="2" customWidth="1"/>
    <col min="13075" max="13075" width="9.14285714285714" style="2"/>
    <col min="13076" max="13076" width="2.71428571428571" style="2" customWidth="1"/>
    <col min="13077" max="13313" width="9.14285714285714" style="2"/>
    <col min="13314" max="13314" width="4.71428571428571" style="2" customWidth="1"/>
    <col min="13315" max="13315" width="8.71428571428571" style="2" customWidth="1"/>
    <col min="13316" max="13316" width="7.71428571428571" style="2" customWidth="1"/>
    <col min="13317" max="13317" width="8.71428571428571" style="2" customWidth="1"/>
    <col min="13318" max="13318" width="2.71428571428571" style="2" customWidth="1"/>
    <col min="13319" max="13319" width="8.71428571428571" style="2" customWidth="1"/>
    <col min="13320" max="13320" width="2.71428571428571" style="2" customWidth="1"/>
    <col min="13321" max="13321" width="10.7142857142857" style="2" customWidth="1"/>
    <col min="13322" max="13322" width="2.71428571428571" style="2" customWidth="1"/>
    <col min="13323" max="13323" width="8.71428571428571" style="2" customWidth="1"/>
    <col min="13324" max="13324" width="10.7142857142857" style="2" customWidth="1"/>
    <col min="13325" max="13325" width="8.71428571428571" style="2" customWidth="1"/>
    <col min="13326" max="13326" width="2.71428571428571" style="2" customWidth="1"/>
    <col min="13327" max="13328" width="10.7142857142857" style="2" customWidth="1"/>
    <col min="13329" max="13329" width="8.71428571428571" style="2" customWidth="1"/>
    <col min="13330" max="13330" width="2.71428571428571" style="2" customWidth="1"/>
    <col min="13331" max="13331" width="9.14285714285714" style="2"/>
    <col min="13332" max="13332" width="2.71428571428571" style="2" customWidth="1"/>
    <col min="13333" max="13569" width="9.14285714285714" style="2"/>
    <col min="13570" max="13570" width="4.71428571428571" style="2" customWidth="1"/>
    <col min="13571" max="13571" width="8.71428571428571" style="2" customWidth="1"/>
    <col min="13572" max="13572" width="7.71428571428571" style="2" customWidth="1"/>
    <col min="13573" max="13573" width="8.71428571428571" style="2" customWidth="1"/>
    <col min="13574" max="13574" width="2.71428571428571" style="2" customWidth="1"/>
    <col min="13575" max="13575" width="8.71428571428571" style="2" customWidth="1"/>
    <col min="13576" max="13576" width="2.71428571428571" style="2" customWidth="1"/>
    <col min="13577" max="13577" width="10.7142857142857" style="2" customWidth="1"/>
    <col min="13578" max="13578" width="2.71428571428571" style="2" customWidth="1"/>
    <col min="13579" max="13579" width="8.71428571428571" style="2" customWidth="1"/>
    <col min="13580" max="13580" width="10.7142857142857" style="2" customWidth="1"/>
    <col min="13581" max="13581" width="8.71428571428571" style="2" customWidth="1"/>
    <col min="13582" max="13582" width="2.71428571428571" style="2" customWidth="1"/>
    <col min="13583" max="13584" width="10.7142857142857" style="2" customWidth="1"/>
    <col min="13585" max="13585" width="8.71428571428571" style="2" customWidth="1"/>
    <col min="13586" max="13586" width="2.71428571428571" style="2" customWidth="1"/>
    <col min="13587" max="13587" width="9.14285714285714" style="2"/>
    <col min="13588" max="13588" width="2.71428571428571" style="2" customWidth="1"/>
    <col min="13589" max="13825" width="9.14285714285714" style="2"/>
    <col min="13826" max="13826" width="4.71428571428571" style="2" customWidth="1"/>
    <col min="13827" max="13827" width="8.71428571428571" style="2" customWidth="1"/>
    <col min="13828" max="13828" width="7.71428571428571" style="2" customWidth="1"/>
    <col min="13829" max="13829" width="8.71428571428571" style="2" customWidth="1"/>
    <col min="13830" max="13830" width="2.71428571428571" style="2" customWidth="1"/>
    <col min="13831" max="13831" width="8.71428571428571" style="2" customWidth="1"/>
    <col min="13832" max="13832" width="2.71428571428571" style="2" customWidth="1"/>
    <col min="13833" max="13833" width="10.7142857142857" style="2" customWidth="1"/>
    <col min="13834" max="13834" width="2.71428571428571" style="2" customWidth="1"/>
    <col min="13835" max="13835" width="8.71428571428571" style="2" customWidth="1"/>
    <col min="13836" max="13836" width="10.7142857142857" style="2" customWidth="1"/>
    <col min="13837" max="13837" width="8.71428571428571" style="2" customWidth="1"/>
    <col min="13838" max="13838" width="2.71428571428571" style="2" customWidth="1"/>
    <col min="13839" max="13840" width="10.7142857142857" style="2" customWidth="1"/>
    <col min="13841" max="13841" width="8.71428571428571" style="2" customWidth="1"/>
    <col min="13842" max="13842" width="2.71428571428571" style="2" customWidth="1"/>
    <col min="13843" max="13843" width="9.14285714285714" style="2"/>
    <col min="13844" max="13844" width="2.71428571428571" style="2" customWidth="1"/>
    <col min="13845" max="14081" width="9.14285714285714" style="2"/>
    <col min="14082" max="14082" width="4.71428571428571" style="2" customWidth="1"/>
    <col min="14083" max="14083" width="8.71428571428571" style="2" customWidth="1"/>
    <col min="14084" max="14084" width="7.71428571428571" style="2" customWidth="1"/>
    <col min="14085" max="14085" width="8.71428571428571" style="2" customWidth="1"/>
    <col min="14086" max="14086" width="2.71428571428571" style="2" customWidth="1"/>
    <col min="14087" max="14087" width="8.71428571428571" style="2" customWidth="1"/>
    <col min="14088" max="14088" width="2.71428571428571" style="2" customWidth="1"/>
    <col min="14089" max="14089" width="10.7142857142857" style="2" customWidth="1"/>
    <col min="14090" max="14090" width="2.71428571428571" style="2" customWidth="1"/>
    <col min="14091" max="14091" width="8.71428571428571" style="2" customWidth="1"/>
    <col min="14092" max="14092" width="10.7142857142857" style="2" customWidth="1"/>
    <col min="14093" max="14093" width="8.71428571428571" style="2" customWidth="1"/>
    <col min="14094" max="14094" width="2.71428571428571" style="2" customWidth="1"/>
    <col min="14095" max="14096" width="10.7142857142857" style="2" customWidth="1"/>
    <col min="14097" max="14097" width="8.71428571428571" style="2" customWidth="1"/>
    <col min="14098" max="14098" width="2.71428571428571" style="2" customWidth="1"/>
    <col min="14099" max="14099" width="9.14285714285714" style="2"/>
    <col min="14100" max="14100" width="2.71428571428571" style="2" customWidth="1"/>
    <col min="14101" max="14337" width="9.14285714285714" style="2"/>
    <col min="14338" max="14338" width="4.71428571428571" style="2" customWidth="1"/>
    <col min="14339" max="14339" width="8.71428571428571" style="2" customWidth="1"/>
    <col min="14340" max="14340" width="7.71428571428571" style="2" customWidth="1"/>
    <col min="14341" max="14341" width="8.71428571428571" style="2" customWidth="1"/>
    <col min="14342" max="14342" width="2.71428571428571" style="2" customWidth="1"/>
    <col min="14343" max="14343" width="8.71428571428571" style="2" customWidth="1"/>
    <col min="14344" max="14344" width="2.71428571428571" style="2" customWidth="1"/>
    <col min="14345" max="14345" width="10.7142857142857" style="2" customWidth="1"/>
    <col min="14346" max="14346" width="2.71428571428571" style="2" customWidth="1"/>
    <col min="14347" max="14347" width="8.71428571428571" style="2" customWidth="1"/>
    <col min="14348" max="14348" width="10.7142857142857" style="2" customWidth="1"/>
    <col min="14349" max="14349" width="8.71428571428571" style="2" customWidth="1"/>
    <col min="14350" max="14350" width="2.71428571428571" style="2" customWidth="1"/>
    <col min="14351" max="14352" width="10.7142857142857" style="2" customWidth="1"/>
    <col min="14353" max="14353" width="8.71428571428571" style="2" customWidth="1"/>
    <col min="14354" max="14354" width="2.71428571428571" style="2" customWidth="1"/>
    <col min="14355" max="14355" width="9.14285714285714" style="2"/>
    <col min="14356" max="14356" width="2.71428571428571" style="2" customWidth="1"/>
    <col min="14357" max="14593" width="9.14285714285714" style="2"/>
    <col min="14594" max="14594" width="4.71428571428571" style="2" customWidth="1"/>
    <col min="14595" max="14595" width="8.71428571428571" style="2" customWidth="1"/>
    <col min="14596" max="14596" width="7.71428571428571" style="2" customWidth="1"/>
    <col min="14597" max="14597" width="8.71428571428571" style="2" customWidth="1"/>
    <col min="14598" max="14598" width="2.71428571428571" style="2" customWidth="1"/>
    <col min="14599" max="14599" width="8.71428571428571" style="2" customWidth="1"/>
    <col min="14600" max="14600" width="2.71428571428571" style="2" customWidth="1"/>
    <col min="14601" max="14601" width="10.7142857142857" style="2" customWidth="1"/>
    <col min="14602" max="14602" width="2.71428571428571" style="2" customWidth="1"/>
    <col min="14603" max="14603" width="8.71428571428571" style="2" customWidth="1"/>
    <col min="14604" max="14604" width="10.7142857142857" style="2" customWidth="1"/>
    <col min="14605" max="14605" width="8.71428571428571" style="2" customWidth="1"/>
    <col min="14606" max="14606" width="2.71428571428571" style="2" customWidth="1"/>
    <col min="14607" max="14608" width="10.7142857142857" style="2" customWidth="1"/>
    <col min="14609" max="14609" width="8.71428571428571" style="2" customWidth="1"/>
    <col min="14610" max="14610" width="2.71428571428571" style="2" customWidth="1"/>
    <col min="14611" max="14611" width="9.14285714285714" style="2"/>
    <col min="14612" max="14612" width="2.71428571428571" style="2" customWidth="1"/>
    <col min="14613" max="14849" width="9.14285714285714" style="2"/>
    <col min="14850" max="14850" width="4.71428571428571" style="2" customWidth="1"/>
    <col min="14851" max="14851" width="8.71428571428571" style="2" customWidth="1"/>
    <col min="14852" max="14852" width="7.71428571428571" style="2" customWidth="1"/>
    <col min="14853" max="14853" width="8.71428571428571" style="2" customWidth="1"/>
    <col min="14854" max="14854" width="2.71428571428571" style="2" customWidth="1"/>
    <col min="14855" max="14855" width="8.71428571428571" style="2" customWidth="1"/>
    <col min="14856" max="14856" width="2.71428571428571" style="2" customWidth="1"/>
    <col min="14857" max="14857" width="10.7142857142857" style="2" customWidth="1"/>
    <col min="14858" max="14858" width="2.71428571428571" style="2" customWidth="1"/>
    <col min="14859" max="14859" width="8.71428571428571" style="2" customWidth="1"/>
    <col min="14860" max="14860" width="10.7142857142857" style="2" customWidth="1"/>
    <col min="14861" max="14861" width="8.71428571428571" style="2" customWidth="1"/>
    <col min="14862" max="14862" width="2.71428571428571" style="2" customWidth="1"/>
    <col min="14863" max="14864" width="10.7142857142857" style="2" customWidth="1"/>
    <col min="14865" max="14865" width="8.71428571428571" style="2" customWidth="1"/>
    <col min="14866" max="14866" width="2.71428571428571" style="2" customWidth="1"/>
    <col min="14867" max="14867" width="9.14285714285714" style="2"/>
    <col min="14868" max="14868" width="2.71428571428571" style="2" customWidth="1"/>
    <col min="14869" max="15105" width="9.14285714285714" style="2"/>
    <col min="15106" max="15106" width="4.71428571428571" style="2" customWidth="1"/>
    <col min="15107" max="15107" width="8.71428571428571" style="2" customWidth="1"/>
    <col min="15108" max="15108" width="7.71428571428571" style="2" customWidth="1"/>
    <col min="15109" max="15109" width="8.71428571428571" style="2" customWidth="1"/>
    <col min="15110" max="15110" width="2.71428571428571" style="2" customWidth="1"/>
    <col min="15111" max="15111" width="8.71428571428571" style="2" customWidth="1"/>
    <col min="15112" max="15112" width="2.71428571428571" style="2" customWidth="1"/>
    <col min="15113" max="15113" width="10.7142857142857" style="2" customWidth="1"/>
    <col min="15114" max="15114" width="2.71428571428571" style="2" customWidth="1"/>
    <col min="15115" max="15115" width="8.71428571428571" style="2" customWidth="1"/>
    <col min="15116" max="15116" width="10.7142857142857" style="2" customWidth="1"/>
    <col min="15117" max="15117" width="8.71428571428571" style="2" customWidth="1"/>
    <col min="15118" max="15118" width="2.71428571428571" style="2" customWidth="1"/>
    <col min="15119" max="15120" width="10.7142857142857" style="2" customWidth="1"/>
    <col min="15121" max="15121" width="8.71428571428571" style="2" customWidth="1"/>
    <col min="15122" max="15122" width="2.71428571428571" style="2" customWidth="1"/>
    <col min="15123" max="15123" width="9.14285714285714" style="2"/>
    <col min="15124" max="15124" width="2.71428571428571" style="2" customWidth="1"/>
    <col min="15125" max="15361" width="9.14285714285714" style="2"/>
    <col min="15362" max="15362" width="4.71428571428571" style="2" customWidth="1"/>
    <col min="15363" max="15363" width="8.71428571428571" style="2" customWidth="1"/>
    <col min="15364" max="15364" width="7.71428571428571" style="2" customWidth="1"/>
    <col min="15365" max="15365" width="8.71428571428571" style="2" customWidth="1"/>
    <col min="15366" max="15366" width="2.71428571428571" style="2" customWidth="1"/>
    <col min="15367" max="15367" width="8.71428571428571" style="2" customWidth="1"/>
    <col min="15368" max="15368" width="2.71428571428571" style="2" customWidth="1"/>
    <col min="15369" max="15369" width="10.7142857142857" style="2" customWidth="1"/>
    <col min="15370" max="15370" width="2.71428571428571" style="2" customWidth="1"/>
    <col min="15371" max="15371" width="8.71428571428571" style="2" customWidth="1"/>
    <col min="15372" max="15372" width="10.7142857142857" style="2" customWidth="1"/>
    <col min="15373" max="15373" width="8.71428571428571" style="2" customWidth="1"/>
    <col min="15374" max="15374" width="2.71428571428571" style="2" customWidth="1"/>
    <col min="15375" max="15376" width="10.7142857142857" style="2" customWidth="1"/>
    <col min="15377" max="15377" width="8.71428571428571" style="2" customWidth="1"/>
    <col min="15378" max="15378" width="2.71428571428571" style="2" customWidth="1"/>
    <col min="15379" max="15379" width="9.14285714285714" style="2"/>
    <col min="15380" max="15380" width="2.71428571428571" style="2" customWidth="1"/>
    <col min="15381" max="15617" width="9.14285714285714" style="2"/>
    <col min="15618" max="15618" width="4.71428571428571" style="2" customWidth="1"/>
    <col min="15619" max="15619" width="8.71428571428571" style="2" customWidth="1"/>
    <col min="15620" max="15620" width="7.71428571428571" style="2" customWidth="1"/>
    <col min="15621" max="15621" width="8.71428571428571" style="2" customWidth="1"/>
    <col min="15622" max="15622" width="2.71428571428571" style="2" customWidth="1"/>
    <col min="15623" max="15623" width="8.71428571428571" style="2" customWidth="1"/>
    <col min="15624" max="15624" width="2.71428571428571" style="2" customWidth="1"/>
    <col min="15625" max="15625" width="10.7142857142857" style="2" customWidth="1"/>
    <col min="15626" max="15626" width="2.71428571428571" style="2" customWidth="1"/>
    <col min="15627" max="15627" width="8.71428571428571" style="2" customWidth="1"/>
    <col min="15628" max="15628" width="10.7142857142857" style="2" customWidth="1"/>
    <col min="15629" max="15629" width="8.71428571428571" style="2" customWidth="1"/>
    <col min="15630" max="15630" width="2.71428571428571" style="2" customWidth="1"/>
    <col min="15631" max="15632" width="10.7142857142857" style="2" customWidth="1"/>
    <col min="15633" max="15633" width="8.71428571428571" style="2" customWidth="1"/>
    <col min="15634" max="15634" width="2.71428571428571" style="2" customWidth="1"/>
    <col min="15635" max="15635" width="9.14285714285714" style="2"/>
    <col min="15636" max="15636" width="2.71428571428571" style="2" customWidth="1"/>
    <col min="15637" max="15873" width="9.14285714285714" style="2"/>
    <col min="15874" max="15874" width="4.71428571428571" style="2" customWidth="1"/>
    <col min="15875" max="15875" width="8.71428571428571" style="2" customWidth="1"/>
    <col min="15876" max="15876" width="7.71428571428571" style="2" customWidth="1"/>
    <col min="15877" max="15877" width="8.71428571428571" style="2" customWidth="1"/>
    <col min="15878" max="15878" width="2.71428571428571" style="2" customWidth="1"/>
    <col min="15879" max="15879" width="8.71428571428571" style="2" customWidth="1"/>
    <col min="15880" max="15880" width="2.71428571428571" style="2" customWidth="1"/>
    <col min="15881" max="15881" width="10.7142857142857" style="2" customWidth="1"/>
    <col min="15882" max="15882" width="2.71428571428571" style="2" customWidth="1"/>
    <col min="15883" max="15883" width="8.71428571428571" style="2" customWidth="1"/>
    <col min="15884" max="15884" width="10.7142857142857" style="2" customWidth="1"/>
    <col min="15885" max="15885" width="8.71428571428571" style="2" customWidth="1"/>
    <col min="15886" max="15886" width="2.71428571428571" style="2" customWidth="1"/>
    <col min="15887" max="15888" width="10.7142857142857" style="2" customWidth="1"/>
    <col min="15889" max="15889" width="8.71428571428571" style="2" customWidth="1"/>
    <col min="15890" max="15890" width="2.71428571428571" style="2" customWidth="1"/>
    <col min="15891" max="15891" width="9.14285714285714" style="2"/>
    <col min="15892" max="15892" width="2.71428571428571" style="2" customWidth="1"/>
    <col min="15893" max="16129" width="9.14285714285714" style="2"/>
    <col min="16130" max="16130" width="4.71428571428571" style="2" customWidth="1"/>
    <col min="16131" max="16131" width="8.71428571428571" style="2" customWidth="1"/>
    <col min="16132" max="16132" width="7.71428571428571" style="2" customWidth="1"/>
    <col min="16133" max="16133" width="8.71428571428571" style="2" customWidth="1"/>
    <col min="16134" max="16134" width="2.71428571428571" style="2" customWidth="1"/>
    <col min="16135" max="16135" width="8.71428571428571" style="2" customWidth="1"/>
    <col min="16136" max="16136" width="2.71428571428571" style="2" customWidth="1"/>
    <col min="16137" max="16137" width="10.7142857142857" style="2" customWidth="1"/>
    <col min="16138" max="16138" width="2.71428571428571" style="2" customWidth="1"/>
    <col min="16139" max="16139" width="8.71428571428571" style="2" customWidth="1"/>
    <col min="16140" max="16140" width="10.7142857142857" style="2" customWidth="1"/>
    <col min="16141" max="16141" width="8.71428571428571" style="2" customWidth="1"/>
    <col min="16142" max="16142" width="2.71428571428571" style="2" customWidth="1"/>
    <col min="16143" max="16144" width="10.7142857142857" style="2" customWidth="1"/>
    <col min="16145" max="16145" width="8.71428571428571" style="2" customWidth="1"/>
    <col min="16146" max="16146" width="2.71428571428571" style="2" customWidth="1"/>
    <col min="16147" max="16147" width="9.14285714285714" style="2"/>
    <col min="16148" max="16148" width="2.71428571428571" style="2" customWidth="1"/>
    <col min="16149" max="16384" width="9.14285714285714" style="2"/>
  </cols>
  <sheetData>
    <row r="1" spans="4:18" ht="18.75" customHeight="1">
      <c r="D1" s="1"/>
      <c r="O1" s="9"/>
      <c r="Q1" s="9"/>
      <c r="R1" s="9" t="s">
        <v>31</v>
      </c>
    </row>
    <row r="2" spans="15:18" ht="18.75" customHeight="1">
      <c r="O2" s="9"/>
      <c r="Q2" s="9"/>
      <c r="R2" s="9" t="s">
        <v>68</v>
      </c>
    </row>
    <row r="3" spans="15:17" ht="18.75" customHeight="1">
      <c r="O3" s="9"/>
      <c r="Q3" s="9"/>
    </row>
    <row r="4" spans="1:22" ht="18" customHeight="1">
      <c r="A4" s="20" t="s">
        <v>88</v>
      </c>
      <c r="B4" s="18"/>
      <c r="C4" s="18"/>
      <c r="D4" s="18"/>
      <c r="E4" s="18"/>
      <c r="F4" s="19"/>
      <c r="G4" s="22"/>
      <c r="H4" s="20"/>
      <c r="I4" s="19"/>
      <c r="J4" s="18"/>
      <c r="K4" s="18"/>
      <c r="L4" s="20"/>
      <c r="M4" s="22"/>
      <c r="N4" s="18"/>
      <c r="O4" s="18"/>
      <c r="P4" s="19"/>
      <c r="Q4" s="18"/>
      <c r="R4" s="18"/>
      <c r="S4" s="18"/>
      <c r="T4" s="18"/>
      <c r="U4" s="18"/>
      <c r="V4" s="18"/>
    </row>
    <row r="5" spans="1:22" ht="18" customHeight="1">
      <c r="A5" s="20" t="s">
        <v>51</v>
      </c>
      <c r="B5" s="18"/>
      <c r="C5" s="18"/>
      <c r="D5" s="18"/>
      <c r="E5" s="18"/>
      <c r="F5" s="19"/>
      <c r="G5" s="22"/>
      <c r="H5" s="20"/>
      <c r="I5" s="21"/>
      <c r="J5" s="18"/>
      <c r="K5" s="19"/>
      <c r="L5" s="20"/>
      <c r="M5" s="23"/>
      <c r="N5" s="18"/>
      <c r="O5" s="18"/>
      <c r="P5" s="21"/>
      <c r="Q5" s="20"/>
      <c r="R5" s="18"/>
      <c r="S5" s="18"/>
      <c r="T5" s="18"/>
      <c r="U5" s="18"/>
      <c r="V5" s="18"/>
    </row>
    <row r="6" spans="1:22" ht="18" customHeight="1">
      <c r="A6" s="20" t="s">
        <v>72</v>
      </c>
      <c r="B6" s="18"/>
      <c r="C6" s="18"/>
      <c r="D6" s="18"/>
      <c r="E6" s="18"/>
      <c r="F6" s="19"/>
      <c r="G6" s="22"/>
      <c r="H6" s="19"/>
      <c r="I6" s="19"/>
      <c r="J6" s="20"/>
      <c r="K6" s="19"/>
      <c r="L6" s="19"/>
      <c r="M6" s="22"/>
      <c r="N6" s="18"/>
      <c r="O6" s="20"/>
      <c r="P6" s="21"/>
      <c r="Q6" s="20"/>
      <c r="R6" s="18"/>
      <c r="S6" s="18"/>
      <c r="T6" s="18"/>
      <c r="U6" s="18"/>
      <c r="V6" s="18"/>
    </row>
    <row r="7" spans="1:22" ht="18" customHeight="1">
      <c r="A7" s="20" t="s">
        <v>49</v>
      </c>
      <c r="B7" s="18"/>
      <c r="C7" s="18"/>
      <c r="D7" s="18"/>
      <c r="E7" s="18"/>
      <c r="F7" s="18"/>
      <c r="G7" s="22"/>
      <c r="H7" s="19"/>
      <c r="I7" s="19"/>
      <c r="J7" s="20"/>
      <c r="K7" s="19"/>
      <c r="L7" s="19"/>
      <c r="M7" s="22"/>
      <c r="N7" s="18"/>
      <c r="O7" s="20"/>
      <c r="P7" s="21"/>
      <c r="Q7" s="20"/>
      <c r="R7" s="18"/>
      <c r="S7" s="18"/>
      <c r="T7" s="18"/>
      <c r="U7" s="18"/>
      <c r="V7" s="18"/>
    </row>
    <row r="8" spans="1:22" ht="18" customHeight="1">
      <c r="A8" s="20" t="s">
        <v>109</v>
      </c>
      <c r="B8" s="18"/>
      <c r="C8" s="18"/>
      <c r="D8" s="18"/>
      <c r="E8" s="18"/>
      <c r="F8" s="18"/>
      <c r="G8" s="22"/>
      <c r="H8" s="19"/>
      <c r="I8" s="19"/>
      <c r="J8" s="20"/>
      <c r="K8" s="19"/>
      <c r="L8" s="19"/>
      <c r="M8" s="22"/>
      <c r="N8" s="18"/>
      <c r="O8" s="20"/>
      <c r="P8" s="21"/>
      <c r="Q8" s="20"/>
      <c r="R8" s="18"/>
      <c r="S8" s="18"/>
      <c r="T8" s="18"/>
      <c r="U8" s="18"/>
      <c r="V8" s="18"/>
    </row>
    <row r="9" spans="1:22" ht="18" customHeight="1">
      <c r="A9" s="20"/>
      <c r="B9" s="18"/>
      <c r="C9" s="18"/>
      <c r="D9" s="18"/>
      <c r="E9" s="18"/>
      <c r="F9" s="19"/>
      <c r="G9" s="22"/>
      <c r="H9" s="21"/>
      <c r="I9" s="21"/>
      <c r="J9" s="18"/>
      <c r="K9" s="19"/>
      <c r="L9" s="21"/>
      <c r="M9" s="23"/>
      <c r="N9" s="18"/>
      <c r="O9" s="18"/>
      <c r="P9" s="19"/>
      <c r="Q9" s="18"/>
      <c r="R9" s="18"/>
      <c r="S9" s="18"/>
      <c r="T9" s="18"/>
      <c r="U9" s="18"/>
      <c r="V9" s="18"/>
    </row>
    <row r="10" spans="1:22" ht="18" customHeight="1">
      <c r="A10" s="20" t="s">
        <v>58</v>
      </c>
      <c r="B10" s="18"/>
      <c r="C10" s="18"/>
      <c r="D10" s="18"/>
      <c r="E10" s="18"/>
      <c r="F10" s="19"/>
      <c r="G10" s="22"/>
      <c r="H10" s="21"/>
      <c r="I10" s="21"/>
      <c r="J10" s="18"/>
      <c r="K10" s="19"/>
      <c r="L10" s="21"/>
      <c r="M10" s="23"/>
      <c r="N10" s="18"/>
      <c r="O10" s="18"/>
      <c r="P10" s="19"/>
      <c r="Q10" s="18"/>
      <c r="R10" s="18"/>
      <c r="S10" s="18"/>
      <c r="T10" s="18"/>
      <c r="U10" s="18"/>
      <c r="V10" s="18"/>
    </row>
    <row r="11" spans="15:17" ht="18.75" customHeight="1">
      <c r="O11" s="9"/>
      <c r="Q11" s="9"/>
    </row>
    <row r="12" spans="3:17" ht="18.75" customHeight="1">
      <c r="C12" s="2" t="s">
        <v>56</v>
      </c>
      <c r="O12" s="9"/>
      <c r="Q12" s="9"/>
    </row>
    <row r="13" spans="3:17" ht="18.75" customHeight="1">
      <c r="C13" s="2" t="s">
        <v>50</v>
      </c>
      <c r="O13" s="9"/>
      <c r="Q13" s="9"/>
    </row>
    <row r="14" spans="15:17" ht="10" customHeight="1">
      <c r="O14" s="9"/>
      <c r="Q14" s="9"/>
    </row>
    <row r="15" spans="7:19" ht="18.75" customHeight="1">
      <c r="G15" s="11"/>
      <c r="I15" s="11" t="s">
        <v>45</v>
      </c>
      <c r="K15" s="11" t="s">
        <v>46</v>
      </c>
      <c r="M15" s="9" t="s">
        <v>47</v>
      </c>
      <c r="O15" s="9" t="s">
        <v>69</v>
      </c>
      <c r="P15" s="2"/>
      <c r="Q15" s="2" t="s">
        <v>48</v>
      </c>
      <c r="S15" s="2" t="s">
        <v>70</v>
      </c>
    </row>
    <row r="16" spans="6:17" ht="18.75" customHeight="1">
      <c r="F16" s="7"/>
      <c r="G16" s="11"/>
      <c r="I16" s="7" t="s">
        <v>107</v>
      </c>
      <c r="J16" s="7"/>
      <c r="K16" s="7"/>
      <c r="L16" s="2"/>
      <c r="M16" s="7" t="s">
        <v>108</v>
      </c>
      <c r="N16" s="7"/>
      <c r="O16" s="7"/>
      <c r="Q16" s="7" t="s">
        <v>110</v>
      </c>
    </row>
    <row r="17" spans="3:19" ht="18.75" customHeight="1">
      <c r="C17" s="2" t="s">
        <v>2</v>
      </c>
      <c r="G17" s="11"/>
      <c r="I17" s="9" t="s">
        <v>52</v>
      </c>
      <c r="L17" s="2"/>
      <c r="M17" s="11" t="s">
        <v>52</v>
      </c>
      <c r="Q17" s="11" t="s">
        <v>52</v>
      </c>
      <c r="R17" s="11"/>
      <c r="S17" s="11"/>
    </row>
    <row r="18" spans="3:19" ht="18.75" customHeight="1">
      <c r="C18" s="8" t="s">
        <v>9</v>
      </c>
      <c r="F18" s="12"/>
      <c r="G18" s="12"/>
      <c r="I18" s="25" t="s">
        <v>41</v>
      </c>
      <c r="J18" s="12"/>
      <c r="K18" s="17" t="s">
        <v>16</v>
      </c>
      <c r="L18" s="2"/>
      <c r="M18" s="13" t="s">
        <v>41</v>
      </c>
      <c r="N18" s="12"/>
      <c r="O18" s="17" t="s">
        <v>16</v>
      </c>
      <c r="Q18" s="13" t="s">
        <v>41</v>
      </c>
      <c r="R18" s="12"/>
      <c r="S18" s="17" t="s">
        <v>16</v>
      </c>
    </row>
    <row r="19" spans="3:13" ht="18" customHeight="1">
      <c r="C19" s="2"/>
      <c r="G19" s="11"/>
      <c r="I19" s="9"/>
      <c r="L19" s="2"/>
      <c r="M19" s="11"/>
    </row>
    <row r="20" spans="3:19" ht="22" customHeight="1">
      <c r="C20" s="10">
        <v>1</v>
      </c>
      <c r="D20" s="10" t="s">
        <v>17</v>
      </c>
      <c r="F20" s="15"/>
      <c r="G20" s="15"/>
      <c r="H20" s="9"/>
      <c r="I20" s="9">
        <v>0.99687843929378739</v>
      </c>
      <c r="J20" s="9"/>
      <c r="K20" s="9">
        <v>0.48837700000000001</v>
      </c>
      <c r="L20" s="2"/>
      <c r="M20" s="9">
        <v>0.89005883838346311</v>
      </c>
      <c r="N20" s="9"/>
      <c r="O20" s="9">
        <v>0.60172400000000004</v>
      </c>
      <c r="Q20" s="9">
        <v>0.96381281007640263</v>
      </c>
      <c r="R20" s="9"/>
      <c r="S20" s="9">
        <v>0.60158400000000001</v>
      </c>
    </row>
    <row r="21" spans="3:19" ht="22" customHeight="1">
      <c r="C21" s="10">
        <v>2</v>
      </c>
      <c r="D21" s="10" t="s">
        <v>18</v>
      </c>
      <c r="F21" s="9"/>
      <c r="G21" s="15"/>
      <c r="H21" s="9"/>
      <c r="I21" s="9">
        <v>0.98055003163597643</v>
      </c>
      <c r="J21" s="9"/>
      <c r="K21" s="9">
        <v>0.54017599999999999</v>
      </c>
      <c r="L21" s="2"/>
      <c r="M21" s="9">
        <v>1</v>
      </c>
      <c r="N21" s="9"/>
      <c r="O21" s="9">
        <v>0.52044400000000002</v>
      </c>
      <c r="Q21" s="9">
        <v>0.96684102702244479</v>
      </c>
      <c r="R21" s="9"/>
      <c r="S21" s="9">
        <v>0.55998510000000001</v>
      </c>
    </row>
    <row r="22" spans="3:19" ht="22" customHeight="1">
      <c r="C22" s="10">
        <v>3</v>
      </c>
      <c r="D22" s="10" t="s">
        <v>19</v>
      </c>
      <c r="F22" s="16"/>
      <c r="G22" s="15"/>
      <c r="H22" s="9"/>
      <c r="I22" s="9">
        <v>0.71057315439471846</v>
      </c>
      <c r="J22" s="9"/>
      <c r="K22" s="9">
        <v>0.56789400000000001</v>
      </c>
      <c r="L22" s="2"/>
      <c r="M22" s="9">
        <v>0.96625682752996522</v>
      </c>
      <c r="N22" s="9"/>
      <c r="O22" s="9">
        <v>0.41012999999999999</v>
      </c>
      <c r="Q22" s="9">
        <v>0.88966734971492767</v>
      </c>
      <c r="R22" s="9"/>
      <c r="S22" s="9">
        <v>0.65244959999999996</v>
      </c>
    </row>
    <row r="23" spans="3:19" ht="22" customHeight="1">
      <c r="C23" s="10">
        <v>4</v>
      </c>
      <c r="D23" s="10" t="s">
        <v>20</v>
      </c>
      <c r="F23" s="16"/>
      <c r="G23" s="15"/>
      <c r="H23" s="9"/>
      <c r="I23" s="9">
        <v>0.70879065908175176</v>
      </c>
      <c r="J23" s="9"/>
      <c r="K23" s="9">
        <v>0.61184700000000003</v>
      </c>
      <c r="L23" s="2"/>
      <c r="M23" s="9">
        <v>0.81084744765655392</v>
      </c>
      <c r="N23" s="9"/>
      <c r="O23" s="9">
        <v>0.55749599999999999</v>
      </c>
      <c r="Q23" s="9">
        <v>0.97768303925639133</v>
      </c>
      <c r="R23" s="9"/>
      <c r="S23" s="9">
        <v>0.57990929999999996</v>
      </c>
    </row>
    <row r="24" spans="3:19" ht="22" customHeight="1">
      <c r="C24" s="10">
        <v>5</v>
      </c>
      <c r="D24" s="10" t="s">
        <v>21</v>
      </c>
      <c r="F24" s="16"/>
      <c r="G24" s="15"/>
      <c r="H24" s="9"/>
      <c r="I24" s="9">
        <v>0.96630136565001601</v>
      </c>
      <c r="J24" s="9"/>
      <c r="K24" s="9">
        <v>0.57884599999999997</v>
      </c>
      <c r="L24" s="2"/>
      <c r="M24" s="9">
        <v>0.93815921204847941</v>
      </c>
      <c r="N24" s="9"/>
      <c r="O24" s="9">
        <v>0.586148</v>
      </c>
      <c r="Q24" s="9">
        <v>1</v>
      </c>
      <c r="R24" s="9"/>
      <c r="S24" s="9">
        <v>0.58144510000000005</v>
      </c>
    </row>
    <row r="25" spans="3:19" ht="22" customHeight="1">
      <c r="C25" s="10">
        <v>6</v>
      </c>
      <c r="D25" s="10" t="s">
        <v>22</v>
      </c>
      <c r="F25" s="16"/>
      <c r="G25" s="15"/>
      <c r="H25" s="9"/>
      <c r="I25" s="9">
        <v>0.99636977022504525</v>
      </c>
      <c r="J25" s="9"/>
      <c r="K25" s="9">
        <v>0.64962900000000001</v>
      </c>
      <c r="L25" s="2"/>
      <c r="M25" s="9">
        <v>1</v>
      </c>
      <c r="N25" s="9"/>
      <c r="O25" s="9">
        <v>0.60524999999999995</v>
      </c>
      <c r="Q25" s="9">
        <v>0.98758887953193741</v>
      </c>
      <c r="R25" s="9"/>
      <c r="S25" s="9">
        <v>0.63740229999999998</v>
      </c>
    </row>
    <row r="26" spans="3:19" ht="22" customHeight="1">
      <c r="C26" s="10">
        <v>7</v>
      </c>
      <c r="D26" s="10" t="s">
        <v>23</v>
      </c>
      <c r="F26" s="15"/>
      <c r="G26" s="15"/>
      <c r="H26" s="9"/>
      <c r="I26" s="9">
        <v>0.94982688361909684</v>
      </c>
      <c r="J26" s="9"/>
      <c r="K26" s="9">
        <v>0.62366999999999995</v>
      </c>
      <c r="L26" s="2"/>
      <c r="M26" s="9">
        <v>0.95329156949237492</v>
      </c>
      <c r="N26" s="9"/>
      <c r="O26" s="9">
        <v>0.66002700000000003</v>
      </c>
      <c r="Q26" s="9">
        <v>0.9674199709271889</v>
      </c>
      <c r="R26" s="9"/>
      <c r="S26" s="9">
        <v>0.64804859999999997</v>
      </c>
    </row>
    <row r="27" spans="3:19" ht="22" customHeight="1">
      <c r="C27" s="10">
        <v>8</v>
      </c>
      <c r="D27" s="10" t="s">
        <v>24</v>
      </c>
      <c r="F27" s="15"/>
      <c r="H27" s="9"/>
      <c r="I27" s="9">
        <v>0.90840170255606967</v>
      </c>
      <c r="J27" s="9"/>
      <c r="K27" s="9">
        <v>0.63833700000000004</v>
      </c>
      <c r="L27" s="2"/>
      <c r="M27" s="9">
        <v>0.99953456402921359</v>
      </c>
      <c r="N27" s="9"/>
      <c r="O27" s="9">
        <v>0.67713000000000001</v>
      </c>
      <c r="Q27" s="9">
        <v>0.90606656960050691</v>
      </c>
      <c r="R27" s="9"/>
      <c r="S27" s="9">
        <v>0.62194240000000001</v>
      </c>
    </row>
    <row r="28" spans="3:19" ht="22" customHeight="1">
      <c r="C28" s="10">
        <v>9</v>
      </c>
      <c r="D28" s="10" t="s">
        <v>25</v>
      </c>
      <c r="F28" s="15"/>
      <c r="G28" s="16"/>
      <c r="H28" s="9"/>
      <c r="I28" s="9">
        <v>0.90145632392153829</v>
      </c>
      <c r="J28" s="9"/>
      <c r="K28" s="9">
        <v>0.54759199999999997</v>
      </c>
      <c r="L28" s="2"/>
      <c r="M28" s="9">
        <v>0.94704509624143185</v>
      </c>
      <c r="N28" s="9"/>
      <c r="O28" s="9">
        <v>0.62684099999999998</v>
      </c>
      <c r="Q28" s="9">
        <v>0.99533940941545951</v>
      </c>
      <c r="R28" s="9"/>
      <c r="S28" s="9">
        <v>0.55409719999999996</v>
      </c>
    </row>
    <row r="29" spans="3:19" ht="22" customHeight="1">
      <c r="C29" s="10">
        <v>10</v>
      </c>
      <c r="D29" s="10" t="s">
        <v>26</v>
      </c>
      <c r="F29" s="15"/>
      <c r="G29" s="16"/>
      <c r="H29" s="9"/>
      <c r="I29" s="9">
        <v>1</v>
      </c>
      <c r="J29" s="9"/>
      <c r="K29" s="9">
        <v>0.55654000000000003</v>
      </c>
      <c r="L29" s="2"/>
      <c r="M29" s="9">
        <v>0.95991542267339403</v>
      </c>
      <c r="N29" s="9"/>
      <c r="O29" s="9">
        <v>0.50995999999999997</v>
      </c>
      <c r="Q29" s="9">
        <v>0.98424493784450118</v>
      </c>
      <c r="R29" s="9"/>
      <c r="S29" s="9">
        <v>0.54572089999999995</v>
      </c>
    </row>
    <row r="30" spans="3:19" ht="22" customHeight="1">
      <c r="C30" s="10">
        <v>11</v>
      </c>
      <c r="D30" s="10" t="s">
        <v>27</v>
      </c>
      <c r="F30" s="15"/>
      <c r="G30" s="16"/>
      <c r="H30" s="9"/>
      <c r="I30" s="9">
        <v>0.9799878202984984</v>
      </c>
      <c r="J30" s="9"/>
      <c r="K30" s="9">
        <v>0.50401300000000004</v>
      </c>
      <c r="L30" s="2"/>
      <c r="M30" s="9">
        <v>0.99146020310201788</v>
      </c>
      <c r="N30" s="9"/>
      <c r="O30" s="9">
        <v>0.4815255</v>
      </c>
      <c r="Q30" s="9">
        <v>0.96360261494822819</v>
      </c>
      <c r="R30" s="9"/>
      <c r="S30" s="9">
        <v>0.52258950000000004</v>
      </c>
    </row>
    <row r="31" spans="3:19" ht="22" customHeight="1">
      <c r="C31" s="10">
        <v>12</v>
      </c>
      <c r="D31" s="10" t="s">
        <v>28</v>
      </c>
      <c r="F31" s="15"/>
      <c r="G31" s="16"/>
      <c r="H31" s="9"/>
      <c r="I31" s="9">
        <v>0.98141203598917237</v>
      </c>
      <c r="J31" s="9"/>
      <c r="K31" s="9">
        <v>0.60260999999999998</v>
      </c>
      <c r="L31" s="2"/>
      <c r="M31" s="9">
        <v>0.99503948278491106</v>
      </c>
      <c r="N31" s="9"/>
      <c r="O31" s="9">
        <v>0.55521750000000003</v>
      </c>
      <c r="Q31" s="9">
        <v>0.99173788497183502</v>
      </c>
      <c r="R31" s="9"/>
      <c r="S31" s="9">
        <v>0.57262270000000004</v>
      </c>
    </row>
    <row r="32" spans="4:21" ht="21" customHeight="1">
      <c r="D32" s="10"/>
      <c r="E32" s="10"/>
      <c r="F32" s="16"/>
      <c r="H32" s="9"/>
      <c r="I32" s="9"/>
      <c r="J32" s="16"/>
      <c r="K32" s="9"/>
      <c r="L32" s="9"/>
      <c r="N32" s="9"/>
      <c r="O32" s="9"/>
      <c r="P32" s="2"/>
      <c r="Q32" s="9"/>
      <c r="S32" s="9"/>
      <c r="U32" s="9"/>
    </row>
    <row r="33" spans="3:21" ht="21" customHeight="1">
      <c r="C33" s="2" t="s">
        <v>36</v>
      </c>
      <c r="E33" s="10"/>
      <c r="F33" s="16"/>
      <c r="H33" s="9"/>
      <c r="I33" s="9"/>
      <c r="J33" s="16"/>
      <c r="K33" s="9"/>
      <c r="L33" s="9"/>
      <c r="N33" s="9"/>
      <c r="O33" s="9"/>
      <c r="P33" s="2"/>
      <c r="Q33" s="9"/>
      <c r="S33" s="9"/>
      <c r="U33" s="9"/>
    </row>
  </sheetData>
  <pageMargins left="0.5" right="1" top="1.5" bottom="0.5" header="0.5" footer="0.5"/>
  <pageSetup orientation="landscape" scale="7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RESIDENTIAL</vt:lpstr>
      <vt:lpstr>SEC &lt; 10kW</vt:lpstr>
      <vt:lpstr>SEC &gt; 10kW </vt:lpstr>
      <vt:lpstr>PRIMARY  &lt; 10kW</vt:lpstr>
      <vt:lpstr>PRIMARY  &gt; 10kW DLS</vt:lpstr>
      <vt:lpstr>PRIMARY  SUBSTATIONS</vt:lpstr>
      <vt:lpstr>TRANSMISSION</vt:lpstr>
      <vt:lpstr>STREET LIGHTING</vt:lpstr>
      <vt:lpstr>WHOLESALE SUB</vt:lpstr>
      <vt:lpstr>WHOLESALE DLS</vt:lpstr>
      <vt:lpstr>36-MO LF-RES</vt:lpstr>
      <vt:lpstr>36 MO LF-SGS</vt:lpstr>
      <vt:lpstr>36 MO LF - LGS</vt:lpstr>
      <vt:lpstr>36 MO LF - SGP </vt:lpstr>
      <vt:lpstr>36 MO LF - LGP_SUBST</vt:lpstr>
      <vt:lpstr>36 MO LF - LGP_DLS</vt:lpstr>
      <vt:lpstr>36 MO LF -  HV</vt:lpstr>
      <vt:lpstr>36 MO LF -  WHLS SUB</vt:lpstr>
      <vt:lpstr>36 MO LF -  WHLS DLS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