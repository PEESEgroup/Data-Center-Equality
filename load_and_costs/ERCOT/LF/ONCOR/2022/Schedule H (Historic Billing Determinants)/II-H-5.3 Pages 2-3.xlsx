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"/>
    </mc:Choice>
  </mc:AlternateContent>
  <bookViews>
    <workbookView xWindow="0" yWindow="132" windowWidth="15192" windowHeight="7428" activeTab="0"/>
  </bookViews>
  <sheets>
    <sheet name="System&amp;BillingCycleHDD" sheetId="4" r:id="rId2"/>
    <sheet name="System&amp;BillingCycleCDD" sheetId="5" r:id="rId3"/>
  </sheets>
  <externalReferences>
    <externalReference r:id="rId6"/>
    <externalReference r:id="rId7"/>
  </externalReferences>
  <definedNames>
    <definedName name="_xlnm.Print_Area" localSheetId="1">'System&amp;BillingCycleCDD'!$A$1:$G$40</definedName>
    <definedName name="_xlnm.Print_Area" localSheetId="0">'System&amp;BillingCycleHDD'!$A$1:$G$40</definedName>
    <definedName name="rngBilled">OFFSET([1]Sheet2!$A$2,0,0,[1]Sheet2!$B$1,9)</definedName>
    <definedName name="rngYear">OFFSET('[2]Daily Actual_August'!$A$2,0,0,'[2]Daily Actual_August'!$C$1,8)</definedName>
  </definedNames>
  <calcPr calcId="152511"/>
</workbook>
</file>

<file path=xl/calcChain.xml><?xml version="1.0" encoding="utf-8"?>
<calcChain xmlns="http://schemas.openxmlformats.org/spreadsheetml/2006/main">
  <c r="G40" i="4" l="1"/>
</calcChain>
</file>

<file path=xl/sharedStrings.xml><?xml version="1.0" encoding="utf-8"?>
<sst xmlns="http://schemas.openxmlformats.org/spreadsheetml/2006/main" count="35" uniqueCount="16">
  <si>
    <t xml:space="preserve">PUC DOCKET NO. </t>
  </si>
  <si>
    <t>Annual</t>
  </si>
  <si>
    <t>Line              No.</t>
  </si>
  <si>
    <t>SPONSOR: D. E. NELSON</t>
  </si>
  <si>
    <t>Residential</t>
  </si>
  <si>
    <t>SECONDARY SERVICE LESS THAN OR EQUAL TO 10 KW</t>
  </si>
  <si>
    <t>SECONDARY SERVICE GREATER THAN 10 KW</t>
  </si>
  <si>
    <t>PRIMARY SERVICE GREATER THAN 10 KW</t>
  </si>
  <si>
    <t>System Weighted and Billing Cycle Adjusted Actual Heating Degree Days by Weather Sites (Base 65)</t>
  </si>
  <si>
    <t>System Weighted and Billing Cycle Adjusted Normal Heating Degree Days by Weather Sites (Base 65)</t>
  </si>
  <si>
    <t>System Weighted and Billing Cycle Adjusted Actual Cooling Degree Days by Weather Sites (Base 65)</t>
  </si>
  <si>
    <t>System Weighted and Billing Cycle Adjusted Normal Cooling Degree Days by Weather Sites (Base 65)</t>
  </si>
  <si>
    <t>ONCOR ELECTRIC DELIVERY COMPANY LLC</t>
  </si>
  <si>
    <t>ADDITIONAL WEATHER INFORMATION</t>
  </si>
  <si>
    <t>PRIMARY SERVICE GREATER THAN 10 KW Substation</t>
  </si>
  <si>
    <t>FOR THE TEST YEAR ENDING DECEMBER 31,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</si>
</sst>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\-yy;@"/>
  </numFmts>
  <fonts count="5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medium">
        <color auto="1"/>
      </top>
      <bottom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12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1" fontId="4" fillId="0" borderId="0" xfId="0" applyNumberFormat="1" applyFont="1"/>
    <xf numFmtId="0" fontId="4" fillId="0" borderId="2" xfId="0" applyFont="1" applyBorder="1" applyAlignment="1">
      <alignment horizontal="right"/>
    </xf>
    <xf numFmtId="1" fontId="4" fillId="0" borderId="2" xfId="0" applyNumberFormat="1" applyFont="1" applyBorder="1"/>
    <xf numFmtId="1" fontId="4" fillId="0" borderId="3" xfId="0" applyNumberFormat="1" applyFont="1" applyBorder="1"/>
    <xf numFmtId="0" fontId="4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alcChain" Target="calcChain.xml" /><Relationship Id="rId4" Type="http://schemas.openxmlformats.org/officeDocument/2006/relationships/styles" Target="styles.xml" /><Relationship Id="rId6" Type="http://schemas.openxmlformats.org/officeDocument/2006/relationships/externalLink" Target="externalLinks/externalLink1.xml" /><Relationship Id="rId3" Type="http://schemas.openxmlformats.org/officeDocument/2006/relationships/worksheet" Target="worksheets/sheet2.xml" /><Relationship Id="rId7" Type="http://schemas.openxmlformats.org/officeDocument/2006/relationships/externalLink" Target="externalLinks/externalLink2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/>
      <sheetData sheetId="1">
        <row r="2">
          <cell r="A2" t="str">
            <v>Date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40"/>
  <sheetViews>
    <sheetView tabSelected="1"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25.7142857142857" style="2" customWidth="1"/>
    <col min="5" max="6" width="20" style="2" customWidth="1"/>
    <col min="7" max="7" width="19.7142857142857" style="2" customWidth="1"/>
    <col min="8" max="16384" width="9.14285714285714" style="2"/>
  </cols>
  <sheetData>
    <row r="1" spans="2:7" ht="15.6">
      <c r="B1" s="11" t="s">
        <v>0</v>
      </c>
      <c r="C1" s="11"/>
      <c r="D1" s="11"/>
      <c r="E1" s="11"/>
      <c r="F1" s="11"/>
      <c r="G1" s="11"/>
    </row>
    <row r="2" spans="2:7" ht="15.6">
      <c r="B2" s="11" t="s">
        <v>12</v>
      </c>
      <c r="C2" s="11"/>
      <c r="D2" s="11"/>
      <c r="E2" s="11"/>
      <c r="F2" s="11"/>
      <c r="G2" s="11"/>
    </row>
    <row r="3" spans="2:7" ht="15.6">
      <c r="B3" s="11" t="s">
        <v>13</v>
      </c>
      <c r="C3" s="11"/>
      <c r="D3" s="11"/>
      <c r="E3" s="11"/>
      <c r="F3" s="11"/>
      <c r="G3" s="11"/>
    </row>
    <row r="4" spans="2:7" ht="15.6">
      <c r="B4" s="11" t="s">
        <v>15</v>
      </c>
      <c r="C4" s="11"/>
      <c r="D4" s="11"/>
      <c r="E4" s="11"/>
      <c r="F4" s="11"/>
      <c r="G4" s="11"/>
    </row>
    <row r="6" spans="2:7" ht="15.6">
      <c r="B6" s="11" t="s">
        <v>3</v>
      </c>
      <c r="C6" s="11"/>
      <c r="D6" s="11"/>
      <c r="E6" s="11"/>
      <c r="F6" s="11"/>
      <c r="G6" s="11"/>
    </row>
    <row r="9" spans="2:7" ht="12">
      <c r="B9" s="10" t="s">
        <v>8</v>
      </c>
      <c r="C9" s="10"/>
      <c r="D9" s="10"/>
      <c r="E9" s="10"/>
      <c r="F9" s="10"/>
      <c r="G9" s="10"/>
    </row>
    <row r="10" spans="1:7" ht="39.6" customHeight="1" thickBot="1">
      <c r="A10" s="3" t="s">
        <v>2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14</v>
      </c>
    </row>
    <row r="11" spans="1:7" ht="11.4">
      <c r="A11" s="1">
        <v>1</v>
      </c>
      <c r="B11" s="4">
        <v>44197</v>
      </c>
      <c r="C11" s="5">
        <v>520.30984285714271</v>
      </c>
      <c r="D11" s="5">
        <v>531.55334285714275</v>
      </c>
      <c r="E11" s="5">
        <v>523.01893809523801</v>
      </c>
      <c r="F11" s="5">
        <v>584.96509523809516</v>
      </c>
      <c r="G11" s="5">
        <v>595.30117142857137</v>
      </c>
    </row>
    <row r="12" spans="1:7" ht="11.4">
      <c r="A12" s="1">
        <f>+A11+1</f>
        <v>2</v>
      </c>
      <c r="B12" s="4">
        <v>44228</v>
      </c>
      <c r="C12" s="5">
        <v>547.15887619047601</v>
      </c>
      <c r="D12" s="5">
        <v>553.70092857142856</v>
      </c>
      <c r="E12" s="5">
        <v>551.80463809523803</v>
      </c>
      <c r="F12" s="5">
        <v>583.99143333333325</v>
      </c>
      <c r="G12" s="5">
        <v>588.57474761904757</v>
      </c>
    </row>
    <row r="13" spans="1:7" ht="11.4">
      <c r="A13" s="1">
        <f t="shared" si="0" ref="A13:A40">+A12+1</f>
        <v>3</v>
      </c>
      <c r="B13" s="4">
        <v>44256</v>
      </c>
      <c r="C13" s="5">
        <v>583.1317619047619</v>
      </c>
      <c r="D13" s="5">
        <v>588.99022857142859</v>
      </c>
      <c r="E13" s="5">
        <v>586.81669523809524</v>
      </c>
      <c r="F13" s="5">
        <v>615.58546666666666</v>
      </c>
      <c r="G13" s="5">
        <v>621.02196190476184</v>
      </c>
    </row>
    <row r="14" spans="1:7" ht="11.4">
      <c r="A14" s="1">
        <f t="shared" si="0"/>
        <v>4</v>
      </c>
      <c r="B14" s="4">
        <v>44287</v>
      </c>
      <c r="C14" s="5">
        <v>133.43805714285713</v>
      </c>
      <c r="D14" s="5">
        <v>141.16319047619041</v>
      </c>
      <c r="E14" s="5">
        <v>133.31374761904758</v>
      </c>
      <c r="F14" s="5">
        <v>172.30540476190475</v>
      </c>
      <c r="G14" s="5">
        <v>181.18137619047619</v>
      </c>
    </row>
    <row r="15" spans="1:7" ht="11.4">
      <c r="A15" s="1">
        <f t="shared" si="0"/>
        <v>5</v>
      </c>
      <c r="B15" s="4">
        <v>44317</v>
      </c>
      <c r="C15" s="5">
        <v>84.156638095238094</v>
      </c>
      <c r="D15" s="5">
        <v>91.364557142857137</v>
      </c>
      <c r="E15" s="5">
        <v>84.599619047619058</v>
      </c>
      <c r="F15" s="5">
        <v>122.41164285714288</v>
      </c>
      <c r="G15" s="5">
        <v>130.5494619047619</v>
      </c>
    </row>
    <row r="16" spans="1:7" ht="11.4">
      <c r="A16" s="1">
        <f t="shared" si="0"/>
        <v>6</v>
      </c>
      <c r="B16" s="4">
        <v>44348</v>
      </c>
      <c r="C16" s="5">
        <v>10.200890476190471</v>
      </c>
      <c r="D16" s="5">
        <v>10.881947619047617</v>
      </c>
      <c r="E16" s="5">
        <v>10.498761904761901</v>
      </c>
      <c r="F16" s="5">
        <v>14.021071428571434</v>
      </c>
      <c r="G16" s="5">
        <v>14.799314285714296</v>
      </c>
    </row>
    <row r="17" spans="1:7" ht="11.4">
      <c r="A17" s="1">
        <f t="shared" si="0"/>
        <v>7</v>
      </c>
      <c r="B17" s="4">
        <v>44378</v>
      </c>
      <c r="C17" s="5">
        <v>0.0076000000000000312</v>
      </c>
      <c r="D17" s="5">
        <v>0.016400000000000064</v>
      </c>
      <c r="E17" s="5">
        <v>0.0090666666666667037</v>
      </c>
      <c r="F17" s="5">
        <v>0.067200000000000273</v>
      </c>
      <c r="G17" s="5">
        <v>0.075333333333333627</v>
      </c>
    </row>
    <row r="18" spans="1:7" ht="11.4">
      <c r="A18" s="1">
        <f t="shared" si="0"/>
        <v>8</v>
      </c>
      <c r="B18" s="4">
        <v>44409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ht="11.4">
      <c r="A19" s="1">
        <f t="shared" si="0"/>
        <v>9</v>
      </c>
      <c r="B19" s="4">
        <v>44440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ht="11.4">
      <c r="A20" s="1">
        <f t="shared" si="0"/>
        <v>10</v>
      </c>
      <c r="B20" s="4">
        <v>44470</v>
      </c>
      <c r="C20" s="5">
        <v>2.4887809523809508</v>
      </c>
      <c r="D20" s="5">
        <v>2.8170571428571409</v>
      </c>
      <c r="E20" s="5">
        <v>2.4279999999999982</v>
      </c>
      <c r="F20" s="5">
        <v>4.3146523809523787</v>
      </c>
      <c r="G20" s="5">
        <v>4.772709523809521</v>
      </c>
    </row>
    <row r="21" spans="1:7" ht="11.4">
      <c r="A21" s="1">
        <f t="shared" si="0"/>
        <v>11</v>
      </c>
      <c r="B21" s="4">
        <v>44501</v>
      </c>
      <c r="C21" s="5">
        <v>76.547200000000004</v>
      </c>
      <c r="D21" s="5">
        <v>80.332619047619033</v>
      </c>
      <c r="E21" s="5">
        <v>76.343771428571401</v>
      </c>
      <c r="F21" s="5">
        <v>94.554790476190462</v>
      </c>
      <c r="G21" s="5">
        <v>98.024876190476164</v>
      </c>
    </row>
    <row r="22" spans="1:7" ht="11.4">
      <c r="A22" s="1">
        <f t="shared" si="0"/>
        <v>12</v>
      </c>
      <c r="B22" s="4">
        <v>44531</v>
      </c>
      <c r="C22" s="5">
        <v>233.90893333333332</v>
      </c>
      <c r="D22" s="5">
        <v>240.42111428571428</v>
      </c>
      <c r="E22" s="5">
        <v>234.38219047619043</v>
      </c>
      <c r="F22" s="5">
        <v>266.70024285714283</v>
      </c>
      <c r="G22" s="5">
        <v>272.37410952380941</v>
      </c>
    </row>
    <row r="23" spans="1:7" ht="11.4">
      <c r="A23" s="1">
        <f t="shared" si="0"/>
        <v>13</v>
      </c>
      <c r="B23" s="6" t="s">
        <v>1</v>
      </c>
      <c r="C23" s="7">
        <f>SUM(C11:C22)</f>
        <v>2191.3485809523804</v>
      </c>
      <c r="D23" s="7">
        <f>SUM(D11:D22)</f>
        <v>2241.2413857142856</v>
      </c>
      <c r="E23" s="7">
        <f>SUM(E11:E22)</f>
        <v>2203.2154285714287</v>
      </c>
      <c r="F23" s="7">
        <f>SUM(F11:F22)</f>
        <v>2458.9169999999999</v>
      </c>
      <c r="G23" s="7">
        <f>SUM(G11:G22)</f>
        <v>2506.6750619047616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7" ht="12">
      <c r="A26" s="1">
        <f t="shared" si="0"/>
        <v>16</v>
      </c>
      <c r="B26" s="10" t="s">
        <v>9</v>
      </c>
      <c r="C26" s="10"/>
      <c r="D26" s="10"/>
      <c r="E26" s="10"/>
      <c r="F26" s="10"/>
      <c r="G26" s="10"/>
    </row>
    <row r="27" spans="1:7" ht="42.6" customHeight="1" thickBot="1">
      <c r="A27" s="1">
        <f t="shared" si="0"/>
        <v>17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14</v>
      </c>
    </row>
    <row r="28" spans="1:7" ht="11.4">
      <c r="A28" s="1">
        <f t="shared" si="0"/>
        <v>18</v>
      </c>
      <c r="B28" s="4">
        <f>+B11</f>
        <v>44197</v>
      </c>
      <c r="C28" s="5">
        <v>528.64401768817197</v>
      </c>
      <c r="D28" s="5">
        <v>538.31434764592939</v>
      </c>
      <c r="E28" s="5">
        <v>531.2407685343062</v>
      </c>
      <c r="F28" s="5">
        <v>581.01088901561684</v>
      </c>
      <c r="G28" s="5">
        <v>590.13676666346646</v>
      </c>
    </row>
    <row r="29" spans="1:7" ht="11.4">
      <c r="A29" s="1">
        <f t="shared" si="0"/>
        <v>19</v>
      </c>
      <c r="B29" s="4">
        <f t="shared" si="1" ref="B29:B39">+B12</f>
        <v>44228</v>
      </c>
      <c r="C29" s="5">
        <v>516.27681480030719</v>
      </c>
      <c r="D29" s="5">
        <v>523.5494460560675</v>
      </c>
      <c r="E29" s="5">
        <v>518.94860592293901</v>
      </c>
      <c r="F29" s="5">
        <v>553.45258332501282</v>
      </c>
      <c r="G29" s="5">
        <v>559.1578808211724</v>
      </c>
    </row>
    <row r="30" spans="1:7" ht="11.4">
      <c r="A30" s="1">
        <f t="shared" si="0"/>
        <v>20</v>
      </c>
      <c r="B30" s="4">
        <f t="shared" si="1"/>
        <v>44256</v>
      </c>
      <c r="C30" s="5">
        <v>405.09283168394774</v>
      </c>
      <c r="D30" s="5">
        <v>410.27162410074249</v>
      </c>
      <c r="E30" s="5">
        <v>407.31698554403476</v>
      </c>
      <c r="F30" s="5">
        <v>428.9241394598053</v>
      </c>
      <c r="G30" s="5">
        <v>432.86678665770609</v>
      </c>
    </row>
    <row r="31" spans="1:7" ht="11.4">
      <c r="A31" s="1">
        <f t="shared" si="0"/>
        <v>21</v>
      </c>
      <c r="B31" s="4">
        <f t="shared" si="1"/>
        <v>44287</v>
      </c>
      <c r="C31" s="5">
        <v>184.37557039746534</v>
      </c>
      <c r="D31" s="5">
        <v>188.10486313620072</v>
      </c>
      <c r="E31" s="5">
        <v>185.41101052803381</v>
      </c>
      <c r="F31" s="5">
        <v>200.31824433819762</v>
      </c>
      <c r="G31" s="5">
        <v>203.49569275409621</v>
      </c>
    </row>
    <row r="32" spans="1:7" ht="11.4">
      <c r="A32" s="1">
        <f t="shared" si="0"/>
        <v>22</v>
      </c>
      <c r="B32" s="4">
        <f t="shared" si="1"/>
        <v>44317</v>
      </c>
      <c r="C32" s="5">
        <v>57.665221596262143</v>
      </c>
      <c r="D32" s="5">
        <v>59.629029260752681</v>
      </c>
      <c r="E32" s="5">
        <v>57.974521174475178</v>
      </c>
      <c r="F32" s="5">
        <v>65.417474384280581</v>
      </c>
      <c r="G32" s="5">
        <v>67.34358019009214</v>
      </c>
    </row>
    <row r="33" spans="1:7" ht="11.4">
      <c r="A33" s="1">
        <f t="shared" si="0"/>
        <v>23</v>
      </c>
      <c r="B33" s="4">
        <f t="shared" si="1"/>
        <v>44348</v>
      </c>
      <c r="C33" s="5">
        <v>7.331314142345108</v>
      </c>
      <c r="D33" s="5">
        <v>7.9249918996415776</v>
      </c>
      <c r="E33" s="5">
        <v>7.4077079339477674</v>
      </c>
      <c r="F33" s="5">
        <v>10.068752333589346</v>
      </c>
      <c r="G33" s="5">
        <v>10.715581771633378</v>
      </c>
    </row>
    <row r="34" spans="1:7" ht="11.4">
      <c r="A34" s="1">
        <f t="shared" si="0"/>
        <v>24</v>
      </c>
      <c r="B34" s="4">
        <f t="shared" si="1"/>
        <v>44378</v>
      </c>
      <c r="C34" s="5">
        <v>0.12000538722478214</v>
      </c>
      <c r="D34" s="5">
        <v>0.13891084229390663</v>
      </c>
      <c r="E34" s="5">
        <v>0.12298770225294393</v>
      </c>
      <c r="F34" s="5">
        <v>0.21529230094726048</v>
      </c>
      <c r="G34" s="5">
        <v>0.23569286930363537</v>
      </c>
    </row>
    <row r="35" spans="1:7" ht="11.4">
      <c r="A35" s="1">
        <f t="shared" si="0"/>
        <v>25</v>
      </c>
      <c r="B35" s="4">
        <f t="shared" si="1"/>
        <v>44409</v>
      </c>
      <c r="C35" s="5">
        <v>0.0037709965437788019</v>
      </c>
      <c r="D35" s="5">
        <v>0.0081374135944700457</v>
      </c>
      <c r="E35" s="5">
        <v>0.0044987327188940095</v>
      </c>
      <c r="F35" s="5">
        <v>0.0333435483870968</v>
      </c>
      <c r="G35" s="5">
        <v>0.037379176267281121</v>
      </c>
    </row>
    <row r="36" spans="1:7" ht="11.4">
      <c r="A36" s="1">
        <f t="shared" si="0"/>
        <v>26</v>
      </c>
      <c r="B36" s="4">
        <f t="shared" si="1"/>
        <v>44440</v>
      </c>
      <c r="C36" s="5">
        <v>0.30407002304147474</v>
      </c>
      <c r="D36" s="5">
        <v>0.43967657962109574</v>
      </c>
      <c r="E36" s="5">
        <v>0.31238018689196112</v>
      </c>
      <c r="F36" s="5">
        <v>1.0944116468253968</v>
      </c>
      <c r="G36" s="5">
        <v>1.2654578078597027</v>
      </c>
    </row>
    <row r="37" spans="1:7" ht="11.4">
      <c r="A37" s="1">
        <f t="shared" si="0"/>
        <v>27</v>
      </c>
      <c r="B37" s="4">
        <f t="shared" si="1"/>
        <v>44470</v>
      </c>
      <c r="C37" s="5">
        <v>12.97832004096262</v>
      </c>
      <c r="D37" s="5">
        <v>14.028466089349715</v>
      </c>
      <c r="E37" s="5">
        <v>13.024003520225293</v>
      </c>
      <c r="F37" s="5">
        <v>18.089562919226818</v>
      </c>
      <c r="G37" s="5">
        <v>19.317356752432147</v>
      </c>
    </row>
    <row r="38" spans="1:7" ht="11.4">
      <c r="A38" s="1">
        <f t="shared" si="0"/>
        <v>28</v>
      </c>
      <c r="B38" s="4">
        <f t="shared" si="1"/>
        <v>44501</v>
      </c>
      <c r="C38" s="5">
        <v>106.97810103110598</v>
      </c>
      <c r="D38" s="5">
        <v>111.5436147721454</v>
      </c>
      <c r="E38" s="5">
        <v>107.23630054275475</v>
      </c>
      <c r="F38" s="5">
        <v>129.37037691180234</v>
      </c>
      <c r="G38" s="5">
        <v>134.34973888824885</v>
      </c>
    </row>
    <row r="39" spans="1:7" ht="12" thickBot="1">
      <c r="A39" s="1">
        <f t="shared" si="0"/>
        <v>29</v>
      </c>
      <c r="B39" s="4">
        <f t="shared" si="1"/>
        <v>44531</v>
      </c>
      <c r="C39" s="5">
        <v>337.85670732014842</v>
      </c>
      <c r="D39" s="5">
        <v>346.97615977278548</v>
      </c>
      <c r="E39" s="5">
        <v>339.2603471966205</v>
      </c>
      <c r="F39" s="5">
        <v>386.03046640488992</v>
      </c>
      <c r="G39" s="5">
        <v>395.40731508512545</v>
      </c>
    </row>
    <row r="40" spans="1:7" ht="11.4">
      <c r="A40" s="1">
        <f t="shared" si="0"/>
        <v>30</v>
      </c>
      <c r="B40" s="6" t="s">
        <v>1</v>
      </c>
      <c r="C40" s="8">
        <f>SUM(C28:C39)</f>
        <v>2157.6267451075264</v>
      </c>
      <c r="D40" s="8">
        <f>SUM(D28:D39)</f>
        <v>2200.9292675691245</v>
      </c>
      <c r="E40" s="8">
        <f>SUM(E28:E39)</f>
        <v>2168.2601175192008</v>
      </c>
      <c r="F40" s="8">
        <f>SUM(F28:F39)</f>
        <v>2374.0255365885819</v>
      </c>
      <c r="G40" s="8">
        <f>SUM(G28:G39)</f>
        <v>2414.3292294374037</v>
      </c>
    </row>
  </sheetData>
  <mergeCells count="7">
    <mergeCell ref="B26:G26"/>
    <mergeCell ref="B1:G1"/>
    <mergeCell ref="B2:G2"/>
    <mergeCell ref="B3:G3"/>
    <mergeCell ref="B4:G4"/>
    <mergeCell ref="B6:G6"/>
    <mergeCell ref="B9:G9"/>
  </mergeCells>
  <pageMargins left="0.75" right="0.75" top="1" bottom="1" header="0.5" footer="0.5"/>
  <pageSetup firstPageNumber="2" useFirstPageNumber="1" orientation="portrait" scale="78" r:id="rId1"/>
  <headerFooter alignWithMargins="0">
    <oddHeader>&amp;RSchedule II-H-5.3
Page &amp;P of 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G41"/>
  <sheetViews>
    <sheetView workbookViewId="0" topLeftCell="A1"/>
  </sheetViews>
  <sheetFormatPr defaultColWidth="9.11428571428571" defaultRowHeight="12"/>
  <cols>
    <col min="1" max="1" width="9.14285714285714" style="1"/>
    <col min="2" max="2" width="10.4285714285714" style="2" bestFit="1" customWidth="1"/>
    <col min="3" max="3" width="11.4285714285714" style="2" customWidth="1"/>
    <col min="4" max="4" width="25.7142857142857" style="2" customWidth="1"/>
    <col min="5" max="6" width="20" style="2" customWidth="1"/>
    <col min="7" max="7" width="19.7142857142857" style="2" customWidth="1"/>
    <col min="8" max="16384" width="9.14285714285714" style="2"/>
  </cols>
  <sheetData>
    <row r="1" spans="2:7" ht="15.6">
      <c r="B1" s="11" t="str">
        <f>+'System&amp;BillingCycleHDD'!B1:G1</f>
        <v xml:space="preserve">PUC DOCKET NO. </v>
      </c>
      <c r="C1" s="11"/>
      <c r="D1" s="11"/>
      <c r="E1" s="11"/>
      <c r="F1" s="11"/>
      <c r="G1" s="11"/>
    </row>
    <row r="2" spans="2:7" ht="15.6">
      <c r="B2" s="11" t="str">
        <f>+'System&amp;BillingCycleHDD'!B2:G2</f>
        <v>ONCOR ELECTRIC DELIVERY COMPANY LLC</v>
      </c>
      <c r="C2" s="11"/>
      <c r="D2" s="11"/>
      <c r="E2" s="11"/>
      <c r="F2" s="11"/>
      <c r="G2" s="11"/>
    </row>
    <row r="3" spans="2:7" ht="15.6">
      <c r="B3" s="11" t="str">
        <f>+'System&amp;BillingCycleHDD'!B3:G3</f>
        <v>ADDITIONAL WEATHER INFORMATION</v>
      </c>
      <c r="C3" s="11"/>
      <c r="D3" s="11"/>
      <c r="E3" s="11"/>
      <c r="F3" s="11"/>
      <c r="G3" s="11"/>
    </row>
    <row r="4" spans="2:7" ht="15.6">
      <c r="B4" s="11" t="str">
        <f>+'System&amp;BillingCycleHDD'!B4:G4</f>
        <v>FOR THE TEST YEAR ENDING DECEMBER 31, 2021</v>
      </c>
      <c r="C4" s="11"/>
      <c r="D4" s="11"/>
      <c r="E4" s="11"/>
      <c r="F4" s="11"/>
      <c r="G4" s="11"/>
    </row>
    <row r="6" spans="2:7" ht="15.6">
      <c r="B6" s="11" t="str">
        <f>+'System&amp;BillingCycleHDD'!B6:G6</f>
        <v>SPONSOR: D. E. NELSON</v>
      </c>
      <c r="C6" s="11"/>
      <c r="D6" s="11"/>
      <c r="E6" s="11"/>
      <c r="F6" s="11"/>
      <c r="G6" s="11"/>
    </row>
    <row r="9" spans="2:7" ht="12">
      <c r="B9" s="10" t="s">
        <v>10</v>
      </c>
      <c r="C9" s="10"/>
      <c r="D9" s="10"/>
      <c r="E9" s="10"/>
      <c r="F9" s="10"/>
      <c r="G9" s="10"/>
    </row>
    <row r="10" spans="1:7" ht="42" customHeight="1" thickBot="1">
      <c r="A10" s="3" t="s">
        <v>2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14</v>
      </c>
    </row>
    <row r="11" spans="1:7" ht="11.4">
      <c r="A11" s="1">
        <v>1</v>
      </c>
      <c r="B11" s="4">
        <f>+'System&amp;BillingCycleHDD'!B11</f>
        <v>44197</v>
      </c>
      <c r="C11" s="5">
        <v>0.1926476190476189</v>
      </c>
      <c r="D11" s="5">
        <v>0.15737142857142855</v>
      </c>
      <c r="E11" s="5">
        <v>0.12233809523809509</v>
      </c>
      <c r="F11" s="5">
        <v>0.046219047619047555</v>
      </c>
      <c r="G11" s="5">
        <v>0.032047619047619047</v>
      </c>
    </row>
    <row r="12" spans="1:7" ht="11.4">
      <c r="A12" s="1">
        <f>+A11+1</f>
        <v>2</v>
      </c>
      <c r="B12" s="4">
        <f>+'System&amp;BillingCycleHDD'!B12</f>
        <v>44228</v>
      </c>
      <c r="C12" s="5">
        <v>0.2778666666666666</v>
      </c>
      <c r="D12" s="5">
        <v>0.26807619047619041</v>
      </c>
      <c r="E12" s="5">
        <v>0.19742857142857134</v>
      </c>
      <c r="F12" s="5">
        <v>0.10605714285714277</v>
      </c>
      <c r="G12" s="5">
        <v>0.092742857142857238</v>
      </c>
    </row>
    <row r="13" spans="1:7" ht="11.4">
      <c r="A13" s="1">
        <f t="shared" si="0" ref="A13:A40">+A12+1</f>
        <v>3</v>
      </c>
      <c r="B13" s="4">
        <f>+'System&amp;BillingCycleHDD'!B13</f>
        <v>44256</v>
      </c>
      <c r="C13" s="5">
        <v>10.288752380952388</v>
      </c>
      <c r="D13" s="5">
        <v>9.7272904761904826</v>
      </c>
      <c r="E13" s="5">
        <v>9.790566666666674</v>
      </c>
      <c r="F13" s="5">
        <v>6.5388809523809561</v>
      </c>
      <c r="G13" s="5">
        <v>5.912028571428575</v>
      </c>
    </row>
    <row r="14" spans="1:7" ht="11.4">
      <c r="A14" s="1">
        <f t="shared" si="0"/>
        <v>4</v>
      </c>
      <c r="B14" s="4">
        <f>+'System&amp;BillingCycleHDD'!B14</f>
        <v>44287</v>
      </c>
      <c r="C14" s="5">
        <v>46.475028571428595</v>
      </c>
      <c r="D14" s="5">
        <v>43.7729142857143</v>
      </c>
      <c r="E14" s="5">
        <v>46.103076190476202</v>
      </c>
      <c r="F14" s="5">
        <v>35.567285714285745</v>
      </c>
      <c r="G14" s="5">
        <v>32.980304761904769</v>
      </c>
    </row>
    <row r="15" spans="1:7" ht="11.4">
      <c r="A15" s="1">
        <f t="shared" si="0"/>
        <v>5</v>
      </c>
      <c r="B15" s="4">
        <f>+'System&amp;BillingCycleHDD'!B15</f>
        <v>44317</v>
      </c>
      <c r="C15" s="5">
        <v>102.56640476190482</v>
      </c>
      <c r="D15" s="5">
        <v>100.96573809523814</v>
      </c>
      <c r="E15" s="5">
        <v>102.08071428571432</v>
      </c>
      <c r="F15" s="5">
        <v>99.813828571428601</v>
      </c>
      <c r="G15" s="5">
        <v>98.655095238095242</v>
      </c>
    </row>
    <row r="16" spans="1:7" ht="11.4">
      <c r="A16" s="1">
        <f t="shared" si="0"/>
        <v>6</v>
      </c>
      <c r="B16" s="4">
        <f>+'System&amp;BillingCycleHDD'!B16</f>
        <v>44348</v>
      </c>
      <c r="C16" s="5">
        <v>272.00650476190486</v>
      </c>
      <c r="D16" s="5">
        <v>269.69995714285722</v>
      </c>
      <c r="E16" s="5">
        <v>272.58868571428576</v>
      </c>
      <c r="F16" s="5">
        <v>270.75851904761907</v>
      </c>
      <c r="G16" s="5">
        <v>267.68420952380956</v>
      </c>
    </row>
    <row r="17" spans="1:7" ht="11.4">
      <c r="A17" s="1">
        <f t="shared" si="0"/>
        <v>7</v>
      </c>
      <c r="B17" s="4">
        <f>+'System&amp;BillingCycleHDD'!B17</f>
        <v>44378</v>
      </c>
      <c r="C17" s="5">
        <v>535.95169523809523</v>
      </c>
      <c r="D17" s="5">
        <v>524.96023333333335</v>
      </c>
      <c r="E17" s="5">
        <v>538.16847619047621</v>
      </c>
      <c r="F17" s="5">
        <v>493.7793380952383</v>
      </c>
      <c r="G17" s="5">
        <v>480.4535904761907</v>
      </c>
    </row>
    <row r="18" spans="1:7" ht="11.4">
      <c r="A18" s="1">
        <f t="shared" si="0"/>
        <v>8</v>
      </c>
      <c r="B18" s="4">
        <f>+'System&amp;BillingCycleHDD'!B18</f>
        <v>44409</v>
      </c>
      <c r="C18" s="5">
        <v>565.64688571428564</v>
      </c>
      <c r="D18" s="5">
        <v>551.07650952380959</v>
      </c>
      <c r="E18" s="5">
        <v>568.3967095238097</v>
      </c>
      <c r="F18" s="5">
        <v>501.74063333333351</v>
      </c>
      <c r="G18" s="5">
        <v>484.97825714285727</v>
      </c>
    </row>
    <row r="19" spans="1:7" ht="11.4">
      <c r="A19" s="1">
        <f t="shared" si="0"/>
        <v>9</v>
      </c>
      <c r="B19" s="4">
        <f>+'System&amp;BillingCycleHDD'!B19</f>
        <v>44440</v>
      </c>
      <c r="C19" s="5">
        <v>564.05718571428565</v>
      </c>
      <c r="D19" s="5">
        <v>550.45862380952371</v>
      </c>
      <c r="E19" s="5">
        <v>565.23704761904764</v>
      </c>
      <c r="F19" s="5">
        <v>505.69649047619049</v>
      </c>
      <c r="G19" s="5">
        <v>492.78188571428592</v>
      </c>
    </row>
    <row r="20" spans="1:7" ht="11.4">
      <c r="A20" s="1">
        <f t="shared" si="0"/>
        <v>10</v>
      </c>
      <c r="B20" s="4">
        <f>+'System&amp;BillingCycleHDD'!B20</f>
        <v>44470</v>
      </c>
      <c r="C20" s="5">
        <v>377.23623809523804</v>
      </c>
      <c r="D20" s="5">
        <v>367.27822380952392</v>
      </c>
      <c r="E20" s="5">
        <v>378.39009047619061</v>
      </c>
      <c r="F20" s="5">
        <v>339.94498571428585</v>
      </c>
      <c r="G20" s="5">
        <v>330.56126666666671</v>
      </c>
    </row>
    <row r="21" spans="1:7" ht="11.4">
      <c r="A21" s="1">
        <f t="shared" si="0"/>
        <v>11</v>
      </c>
      <c r="B21" s="4">
        <f>+'System&amp;BillingCycleHDD'!B21</f>
        <v>44501</v>
      </c>
      <c r="C21" s="5">
        <v>151.5871714285714</v>
      </c>
      <c r="D21" s="5">
        <v>146.65850476190479</v>
      </c>
      <c r="E21" s="5">
        <v>151.51187619047619</v>
      </c>
      <c r="F21" s="5">
        <v>130.44400476190481</v>
      </c>
      <c r="G21" s="5">
        <v>125.17070000000001</v>
      </c>
    </row>
    <row r="22" spans="1:7" ht="11.4">
      <c r="A22" s="1">
        <f t="shared" si="0"/>
        <v>12</v>
      </c>
      <c r="B22" s="4">
        <f>+'System&amp;BillingCycleHDD'!B22</f>
        <v>44531</v>
      </c>
      <c r="C22" s="5">
        <v>23.847490476190483</v>
      </c>
      <c r="D22" s="5">
        <v>21.987023809523819</v>
      </c>
      <c r="E22" s="5">
        <v>23.400447619047629</v>
      </c>
      <c r="F22" s="5">
        <v>13.793095238095242</v>
      </c>
      <c r="G22" s="5">
        <v>11.945414285714289</v>
      </c>
    </row>
    <row r="23" spans="1:7" ht="11.4">
      <c r="A23" s="1">
        <f t="shared" si="0"/>
        <v>13</v>
      </c>
      <c r="B23" s="6" t="s">
        <v>1</v>
      </c>
      <c r="C23" s="7">
        <f>SUM(C11:C22)</f>
        <v>2650.1338714285712</v>
      </c>
      <c r="D23" s="7">
        <f>SUM(D11:D22)</f>
        <v>2587.0104666666662</v>
      </c>
      <c r="E23" s="7">
        <f>SUM(E11:E22)</f>
        <v>2655.9874571428572</v>
      </c>
      <c r="F23" s="7">
        <f>SUM(F11:F22)</f>
        <v>2398.2293380952392</v>
      </c>
      <c r="G23" s="7">
        <f>SUM(G11:G22)</f>
        <v>2331.2475428571438</v>
      </c>
    </row>
    <row r="24" spans="1:1" ht="11.4">
      <c r="A24" s="1">
        <f t="shared" si="0"/>
        <v>14</v>
      </c>
    </row>
    <row r="25" spans="1:1" ht="11.4">
      <c r="A25" s="1">
        <f t="shared" si="0"/>
        <v>15</v>
      </c>
    </row>
    <row r="26" spans="1:7" ht="12">
      <c r="A26" s="1">
        <f t="shared" si="0"/>
        <v>16</v>
      </c>
      <c r="B26" s="10" t="s">
        <v>11</v>
      </c>
      <c r="C26" s="10"/>
      <c r="D26" s="10"/>
      <c r="E26" s="10"/>
      <c r="F26" s="10"/>
      <c r="G26" s="10"/>
    </row>
    <row r="27" spans="1:7" ht="41.4" customHeight="1" thickBot="1">
      <c r="A27" s="1">
        <f t="shared" si="0"/>
        <v>17</v>
      </c>
      <c r="C27" s="3" t="s">
        <v>4</v>
      </c>
      <c r="D27" s="3" t="s">
        <v>5</v>
      </c>
      <c r="E27" s="3" t="s">
        <v>6</v>
      </c>
      <c r="F27" s="3" t="s">
        <v>7</v>
      </c>
      <c r="G27" s="3" t="s">
        <v>14</v>
      </c>
    </row>
    <row r="28" spans="1:7" ht="11.4">
      <c r="A28" s="1">
        <f t="shared" si="0"/>
        <v>18</v>
      </c>
      <c r="B28" s="4">
        <f>+B11</f>
        <v>44197</v>
      </c>
      <c r="C28" s="5">
        <v>5.7605672574244764</v>
      </c>
      <c r="D28" s="5">
        <v>5.233346737071173</v>
      </c>
      <c r="E28" s="5">
        <v>5.5612556349206379</v>
      </c>
      <c r="F28" s="5">
        <v>2.8838138658474151</v>
      </c>
      <c r="G28" s="5">
        <v>2.3413697766257036</v>
      </c>
    </row>
    <row r="29" spans="1:7" ht="11.4">
      <c r="A29" s="1">
        <f t="shared" si="0"/>
        <v>19</v>
      </c>
      <c r="B29" s="4">
        <f t="shared" si="1" ref="B29:B39">+B12</f>
        <v>44228</v>
      </c>
      <c r="C29" s="5">
        <v>4.3338677252944207</v>
      </c>
      <c r="D29" s="5">
        <v>3.9504133230926795</v>
      </c>
      <c r="E29" s="5">
        <v>4.1909494834869445</v>
      </c>
      <c r="F29" s="5">
        <v>2.310540536354329</v>
      </c>
      <c r="G29" s="5">
        <v>1.943019445084486</v>
      </c>
    </row>
    <row r="30" spans="1:7" ht="11.4">
      <c r="A30" s="1">
        <f t="shared" si="0"/>
        <v>20</v>
      </c>
      <c r="B30" s="4">
        <f t="shared" si="1"/>
        <v>44256</v>
      </c>
      <c r="C30" s="5">
        <v>15.340520284178188</v>
      </c>
      <c r="D30" s="5">
        <v>14.424335963261651</v>
      </c>
      <c r="E30" s="5">
        <v>15.038783400537641</v>
      </c>
      <c r="F30" s="5">
        <v>11.112656784434204</v>
      </c>
      <c r="G30" s="5">
        <v>10.379311478494627</v>
      </c>
    </row>
    <row r="31" spans="1:7" ht="11.4">
      <c r="A31" s="1">
        <f t="shared" si="0"/>
        <v>21</v>
      </c>
      <c r="B31" s="4">
        <f t="shared" si="1"/>
        <v>44287</v>
      </c>
      <c r="C31" s="5">
        <v>60.303942674731204</v>
      </c>
      <c r="D31" s="5">
        <v>58.873195867255497</v>
      </c>
      <c r="E31" s="5">
        <v>59.821590986943178</v>
      </c>
      <c r="F31" s="5">
        <v>55.898849500768065</v>
      </c>
      <c r="G31" s="5">
        <v>55.133113783282148</v>
      </c>
    </row>
    <row r="32" spans="1:7" ht="11.4">
      <c r="A32" s="1">
        <f t="shared" si="0"/>
        <v>22</v>
      </c>
      <c r="B32" s="4">
        <f t="shared" si="1"/>
        <v>44317</v>
      </c>
      <c r="C32" s="5">
        <v>164.80904925691243</v>
      </c>
      <c r="D32" s="5">
        <v>163.41269992767533</v>
      </c>
      <c r="E32" s="5">
        <v>164.20548633896573</v>
      </c>
      <c r="F32" s="5">
        <v>166.01581545698929</v>
      </c>
      <c r="G32" s="5">
        <v>165.81616258832568</v>
      </c>
    </row>
    <row r="33" spans="1:7" ht="11.4">
      <c r="A33" s="1">
        <f t="shared" si="0"/>
        <v>23</v>
      </c>
      <c r="B33" s="4">
        <f t="shared" si="1"/>
        <v>44348</v>
      </c>
      <c r="C33" s="5">
        <v>365.96170755312335</v>
      </c>
      <c r="D33" s="5">
        <v>363.09334341365843</v>
      </c>
      <c r="E33" s="5">
        <v>365.9236492559524</v>
      </c>
      <c r="F33" s="5">
        <v>366.55340911098313</v>
      </c>
      <c r="G33" s="5">
        <v>364.62653670026896</v>
      </c>
    </row>
    <row r="34" spans="1:7" ht="11.4">
      <c r="A34" s="1">
        <f t="shared" si="0"/>
        <v>24</v>
      </c>
      <c r="B34" s="4">
        <f t="shared" si="1"/>
        <v>44378</v>
      </c>
      <c r="C34" s="5">
        <v>568.15894717127503</v>
      </c>
      <c r="D34" s="5">
        <v>562.00439645689312</v>
      </c>
      <c r="E34" s="5">
        <v>569.13275969678068</v>
      </c>
      <c r="F34" s="5">
        <v>554.63729059651837</v>
      </c>
      <c r="G34" s="5">
        <v>548.78483230686777</v>
      </c>
    </row>
    <row r="35" spans="1:7" ht="11.4">
      <c r="A35" s="1">
        <f t="shared" si="0"/>
        <v>25</v>
      </c>
      <c r="B35" s="4">
        <f t="shared" si="1"/>
        <v>44409</v>
      </c>
      <c r="C35" s="5">
        <v>623.84232854505899</v>
      </c>
      <c r="D35" s="5">
        <v>613.69867270449311</v>
      </c>
      <c r="E35" s="5">
        <v>625.15879450812872</v>
      </c>
      <c r="F35" s="5">
        <v>589.21416483934979</v>
      </c>
      <c r="G35" s="5">
        <v>579.20079919514842</v>
      </c>
    </row>
    <row r="36" spans="1:7" ht="11.4">
      <c r="A36" s="1">
        <f t="shared" si="0"/>
        <v>26</v>
      </c>
      <c r="B36" s="4">
        <f t="shared" si="1"/>
        <v>44440</v>
      </c>
      <c r="C36" s="5">
        <v>558.83670901817709</v>
      </c>
      <c r="D36" s="5">
        <v>546.70555481694828</v>
      </c>
      <c r="E36" s="5">
        <v>559.30418327764983</v>
      </c>
      <c r="F36" s="5">
        <v>512.7672613159242</v>
      </c>
      <c r="G36" s="5">
        <v>500.67108623975946</v>
      </c>
    </row>
    <row r="37" spans="1:7" ht="11.4">
      <c r="A37" s="1">
        <f t="shared" si="0"/>
        <v>27</v>
      </c>
      <c r="B37" s="4">
        <f t="shared" si="1"/>
        <v>44470</v>
      </c>
      <c r="C37" s="5">
        <v>344.10892596838193</v>
      </c>
      <c r="D37" s="5">
        <v>333.80224929531494</v>
      </c>
      <c r="E37" s="5">
        <v>343.99613500960066</v>
      </c>
      <c r="F37" s="5">
        <v>303.95372160330271</v>
      </c>
      <c r="G37" s="5">
        <v>293.50790477662571</v>
      </c>
    </row>
    <row r="38" spans="1:7" ht="11.4">
      <c r="A38" s="1">
        <f t="shared" si="0"/>
        <v>28</v>
      </c>
      <c r="B38" s="4">
        <f t="shared" si="1"/>
        <v>44501</v>
      </c>
      <c r="C38" s="5">
        <v>119.93093223374295</v>
      </c>
      <c r="D38" s="5">
        <v>114.81052639592934</v>
      </c>
      <c r="E38" s="5">
        <v>119.29043076676911</v>
      </c>
      <c r="F38" s="5">
        <v>99.421173350614481</v>
      </c>
      <c r="G38" s="5">
        <v>94.74987694060421</v>
      </c>
    </row>
    <row r="39" spans="1:7" ht="11.4">
      <c r="A39" s="1">
        <f t="shared" si="0"/>
        <v>29</v>
      </c>
      <c r="B39" s="4">
        <f t="shared" si="1"/>
        <v>44531</v>
      </c>
      <c r="C39" s="5">
        <v>25.925902189580121</v>
      </c>
      <c r="D39" s="5">
        <v>24.015911074628772</v>
      </c>
      <c r="E39" s="5">
        <v>25.426321817076293</v>
      </c>
      <c r="F39" s="5">
        <v>16.886409980158732</v>
      </c>
      <c r="G39" s="5">
        <v>15.124137855222736</v>
      </c>
    </row>
    <row r="40" spans="1:7" ht="11.4">
      <c r="A40" s="1">
        <f t="shared" si="0"/>
        <v>30</v>
      </c>
      <c r="B40" s="6" t="s">
        <v>1</v>
      </c>
      <c r="C40" s="7">
        <f>SUM(C28:C39)</f>
        <v>2857.3133998778803</v>
      </c>
      <c r="D40" s="7">
        <f>SUM(D28:D39)</f>
        <v>2804.024645976222</v>
      </c>
      <c r="E40" s="7">
        <f>SUM(E28:E39)</f>
        <v>2857.0503401768115</v>
      </c>
      <c r="F40" s="7">
        <f>SUM(F28:F39)</f>
        <v>2681.6551069412449</v>
      </c>
      <c r="G40" s="7">
        <f>SUM(G28:G39)</f>
        <v>2632.2781510863097</v>
      </c>
    </row>
    <row r="41" spans="5:6" ht="11.4">
      <c r="E41" s="9"/>
      <c r="F41" s="9"/>
    </row>
  </sheetData>
  <mergeCells count="7">
    <mergeCell ref="B26:G26"/>
    <mergeCell ref="B1:G1"/>
    <mergeCell ref="B2:G2"/>
    <mergeCell ref="B3:G3"/>
    <mergeCell ref="B4:G4"/>
    <mergeCell ref="B6:G6"/>
    <mergeCell ref="B9:G9"/>
  </mergeCells>
  <pageMargins left="0.75" right="0.75" top="1" bottom="1" header="0.5" footer="0.5"/>
  <pageSetup orientation="portrait" scale="78" r:id="rId1"/>
  <headerFooter alignWithMargins="0">
    <oddHeader>&amp;RSchedule II-H-5.3
Page &amp;P of 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System&amp;BillingCycleHDD</vt:lpstr>
      <vt:lpstr>System&amp;BillingCycleCDD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