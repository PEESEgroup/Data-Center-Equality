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wmf" ContentType="image/x-wmf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H (Historic Billing Determinants)\"/>
    </mc:Choice>
  </mc:AlternateContent>
  <bookViews>
    <workbookView xWindow="7668" yWindow="48" windowWidth="7656" windowHeight="8112" firstSheet="1" activeTab="1"/>
  </bookViews>
  <sheets>
    <sheet name="Introduction" sheetId="30" r:id="rId2"/>
    <sheet name="RES Data" sheetId="29" r:id="rId3"/>
    <sheet name="SECLE10KW Data" sheetId="32" r:id="rId4"/>
    <sheet name="SECGT10KW Data " sheetId="34" r:id="rId5"/>
    <sheet name="PRMGT10KWD Data" sheetId="40" r:id="rId6"/>
    <sheet name="SUBSTATION Data" sheetId="43" r:id="rId7"/>
    <sheet name="RES B Data" sheetId="37" r:id="rId8"/>
    <sheet name="SECLE10KW B Data" sheetId="38" r:id="rId9"/>
    <sheet name="SECGT10KW B DATA" sheetId="41" r:id="rId10"/>
    <sheet name="PRMGT10KWD B DATA" sheetId="42" r:id="rId11"/>
    <sheet name="SUBSTATION B DATA" sheetId="44" r:id="rId12"/>
  </sheets>
  <definedNames>
    <definedName name="_xlnm.Print_Area" localSheetId="9">'PRMGT10KWD B DATA'!$A$1:$K$149</definedName>
    <definedName name="_xlnm.Print_Area" localSheetId="4">'PRMGT10KWD Data'!$A$1:$I$149</definedName>
    <definedName name="_xlnm.Print_Area" localSheetId="6">'RES B Data'!$A$1:$E$149</definedName>
    <definedName name="_xlnm.Print_Area" localSheetId="1">'RES Data'!$A$1:$T$149</definedName>
    <definedName name="_xlnm.Print_Area" localSheetId="8">'SECGT10KW B DATA'!$A$1:$E$149</definedName>
    <definedName name="_xlnm.Print_Area" localSheetId="3">'SECGT10KW Data '!$A$1:$Q$149</definedName>
    <definedName name="_xlnm.Print_Area" localSheetId="7">'SECLE10KW B Data'!$A$1:$D$149</definedName>
    <definedName name="_xlnm.Print_Area" localSheetId="2">'SECLE10KW Data'!$A$1:$R$149</definedName>
    <definedName name="_xlnm.Print_Area" localSheetId="10">'SUBSTATION B DATA'!$A$1:$H$125</definedName>
    <definedName name="_xlnm.Print_Area" localSheetId="5">'SUBSTATION Data'!$A$1:$N$125</definedName>
    <definedName name="_xlnm.Print_Titles" localSheetId="9">'PRMGT10KWD B DATA'!$A:$B,'PRMGT10KWD B DATA'!$1:$10</definedName>
    <definedName name="_xlnm.Print_Titles" localSheetId="4">'PRMGT10KWD Data'!$A:$B,'PRMGT10KWD Data'!$1:$10</definedName>
    <definedName name="_xlnm.Print_Titles" localSheetId="6">'RES B Data'!$A:$B,'RES B Data'!$1:$10</definedName>
    <definedName name="_xlnm.Print_Titles" localSheetId="1">'RES Data'!$A:$B,'RES Data'!$1:$10</definedName>
    <definedName name="_xlnm.Print_Titles" localSheetId="8">'SECGT10KW B DATA'!$A:$B,'SECGT10KW B DATA'!$1:$10</definedName>
    <definedName name="_xlnm.Print_Titles" localSheetId="3">'SECGT10KW Data '!$A:$B,'SECGT10KW Data '!$1:$10</definedName>
    <definedName name="_xlnm.Print_Titles" localSheetId="7">'SECLE10KW B Data'!$A:$B,'SECLE10KW B Data'!$1:$10</definedName>
    <definedName name="_xlnm.Print_Titles" localSheetId="2">'SECLE10KW Data'!$A:$B,'SECLE10KW Data'!$1:$10</definedName>
    <definedName name="_xlnm.Print_Titles" localSheetId="10">'SUBSTATION B DATA'!$A:$B,'SUBSTATION B DATA'!$1:$10</definedName>
    <definedName name="_xlnm.Print_Titles" localSheetId="5">'SUBSTATION Data'!$A:$B,'SUBSTATION Data'!$1:$10</definedName>
  </definedNames>
  <calcPr calcId="152511"/>
</workbook>
</file>

<file path=xl/calcChain.xml><?xml version="1.0" encoding="utf-8"?>
<calcChain xmlns="http://schemas.openxmlformats.org/spreadsheetml/2006/main">
  <c r="A149" i="29" l="1"/>
</calcChain>
</file>

<file path=xl/sharedStrings.xml><?xml version="1.0" encoding="utf-8"?>
<sst xmlns="http://schemas.openxmlformats.org/spreadsheetml/2006/main" count="243" uniqueCount="75">
  <si>
    <t>Month</t>
  </si>
  <si>
    <t>the models presented in Schedule II-H-2.1.</t>
  </si>
  <si>
    <t>Line</t>
  </si>
  <si>
    <t>No.</t>
  </si>
  <si>
    <t>(a)</t>
  </si>
  <si>
    <t>(b)</t>
  </si>
  <si>
    <t>(d)</t>
  </si>
  <si>
    <t>(c)</t>
  </si>
  <si>
    <t>(e)</t>
  </si>
  <si>
    <t>(f)</t>
  </si>
  <si>
    <t>(g)</t>
  </si>
  <si>
    <t>(h)</t>
  </si>
  <si>
    <t>(i)</t>
  </si>
  <si>
    <t>(j)</t>
  </si>
  <si>
    <t>(k)</t>
  </si>
  <si>
    <t>(l)</t>
  </si>
  <si>
    <t>(n)</t>
  </si>
  <si>
    <t>(o)</t>
  </si>
  <si>
    <t>(p)</t>
  </si>
  <si>
    <t>(q)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</si>
  <si>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</si>
  <si>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</si>
  <si>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</si>
  <si>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</si>
  <si>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</si>
  <si>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</si>
  <si>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</si>
  <si>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</si>
  <si>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</si>
  <si>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</si>
  <si>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Res_UPC_Day</t>
  </si>
  <si>
    <t>XOther</t>
  </si>
  <si>
    <t>Jan</t>
  </si>
  <si>
    <t>SS_UPC_Day</t>
  </si>
  <si>
    <t>LS_UPC_Day</t>
  </si>
  <si>
    <t>RESIDENTIAL MODEL</t>
  </si>
  <si>
    <t>SECONDARY SERVICE LESS THAN OR EQUAL TO 10 KW  MODEL</t>
  </si>
  <si>
    <t>SECONDARY SERVICE GREATER THAN 10 KW MODEL</t>
  </si>
  <si>
    <t>PRIMARY SERVICE GREATER THAN 10 KW MODEL</t>
  </si>
  <si>
    <t>RESIDENTIAL (B) MODEL</t>
  </si>
  <si>
    <t>SECONDARY SERVICE LESS THAN OR EQUAL TO 10 KW  (B) MODEL</t>
  </si>
  <si>
    <t xml:space="preserve">PUC DOCKET NO. </t>
  </si>
  <si>
    <t>MODEL DATA</t>
  </si>
  <si>
    <t>SPONSOR: D. E. NELSON</t>
  </si>
  <si>
    <t>ONCOR ELECTRIC DELIVERY COMPANY LLC</t>
  </si>
  <si>
    <t>SECONDARY SERVICE GREATER THAN 10 KW  (B) MODEL</t>
  </si>
  <si>
    <t>PRIMARY SERVICE GREATER THAN 10 KW  DIST (B) MODEL</t>
  </si>
  <si>
    <t>XOtherTrend</t>
  </si>
  <si>
    <t>DFW_ESRV</t>
  </si>
  <si>
    <t>EMFGONCOR</t>
  </si>
  <si>
    <t>LP_UPD</t>
  </si>
  <si>
    <t>GMPR</t>
  </si>
  <si>
    <t>NOV2015</t>
  </si>
  <si>
    <t>Year</t>
  </si>
  <si>
    <t>XHeatNew</t>
  </si>
  <si>
    <t>XCoolNew</t>
  </si>
  <si>
    <t>Dec</t>
  </si>
  <si>
    <t>(r)</t>
  </si>
  <si>
    <t>(s)</t>
  </si>
  <si>
    <t>(t)</t>
  </si>
  <si>
    <t>XHeatTrendNew</t>
  </si>
  <si>
    <t>XCoolTrendNew</t>
  </si>
  <si>
    <t>Page 2 through 16 is the data in models used for the weather adjustment</t>
  </si>
  <si>
    <t>Page 17 through 31 provides data included in the before autocorrelation adjustment</t>
  </si>
  <si>
    <t>SS_HDDNew</t>
  </si>
  <si>
    <t>SS_CDDNew</t>
  </si>
  <si>
    <t>FOR THE TEST YEAR ENDING DECEMBER 31, 2021</t>
  </si>
  <si>
    <t>LS_HDDNew</t>
  </si>
  <si>
    <t>LS_CDDNew</t>
  </si>
  <si>
    <t>LP_CDDNew</t>
  </si>
  <si>
    <t>SUBSTATION MODEL</t>
  </si>
  <si>
    <t>LP_Sub_UPD</t>
  </si>
  <si>
    <t>SUBSTATION  (B) MODEL</t>
  </si>
  <si>
    <t>Schedule II-H-2.2  page 2 to 31 provides the data necessary to replicate</t>
  </si>
  <si>
    <t>SUB_CDDNew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</si>
</sst>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;\-#,##0.00"/>
    <numFmt numFmtId="165" formatCode="#,##0;\-#,##0"/>
  </numFmts>
  <fonts count="9">
    <font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u val="single"/>
      <sz val="12"/>
      <name val="Arial"/>
      <family val="2"/>
    </font>
    <font>
      <u val="single"/>
      <sz val="1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 quotePrefix="1">
      <alignment horizontal="center" vertical="center"/>
    </xf>
    <xf numFmtId="4" fontId="0" fillId="0" borderId="0" xfId="0" applyNumberFormat="1" applyAlignment="1" quotePrefix="1">
      <alignment horizontal="center"/>
    </xf>
    <xf numFmtId="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/>
    </xf>
    <xf numFmtId="0" fontId="8" fillId="0" borderId="0" xfId="0" applyFont="1"/>
    <xf numFmtId="0" fontId="8" fillId="0" borderId="0" xfId="0" applyFont="1" applyAlignment="1">
      <alignment/>
    </xf>
    <xf numFmtId="0" fontId="5" fillId="0" borderId="0" xfId="0" applyFont="1"/>
    <xf numFmtId="4" fontId="0" fillId="0" borderId="0" xfId="0" applyNumberFormat="1" applyAlignment="1">
      <alignment/>
    </xf>
    <xf numFmtId="0" fontId="0" fillId="0" borderId="0" xfId="0" applyBorder="1"/>
    <xf numFmtId="164" fontId="0" fillId="0" borderId="0" xfId="0" applyNumberFormat="1"/>
    <xf numFmtId="0" fontId="7" fillId="0" borderId="0" xfId="0" applyFont="1" applyFill="1" applyAlignment="1">
      <alignment horizontal="center"/>
    </xf>
    <xf numFmtId="0" fontId="0" fillId="0" borderId="0" xfId="0" applyFill="1" applyBorder="1" applyAlignment="1">
      <alignment horizontal="center" vertical="center"/>
    </xf>
    <xf numFmtId="2" fontId="0" fillId="0" borderId="0" xfId="0" applyNumberFormat="1"/>
    <xf numFmtId="165" fontId="0" fillId="0" borderId="0" xfId="0" applyNumberFormat="1"/>
    <xf numFmtId="164" fontId="0" fillId="0" borderId="0" xfId="0" applyNumberFormat="1" applyBorder="1"/>
    <xf numFmtId="165" fontId="0" fillId="0" borderId="0" xfId="0" applyNumberFormat="1" applyBorder="1"/>
    <xf numFmtId="0" fontId="5" fillId="0" borderId="0" xfId="0" applyFont="1"/>
    <xf numFmtId="0" fontId="0" fillId="0" borderId="0" xfId="0" applyFont="1" applyAlignment="1" quotePrefix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2" fontId="0" fillId="0" borderId="0" xfId="0" applyNumberFormat="1" applyBorder="1"/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0" fontId="0" fillId="2" borderId="0" xfId="0" applyFill="1"/>
    <xf numFmtId="0" fontId="0" fillId="2" borderId="0" xfId="0" applyFill="1" applyBorder="1" applyAlignment="1">
      <alignment horizontal="center" vertical="center"/>
    </xf>
    <xf numFmtId="164" fontId="0" fillId="2" borderId="0" xfId="0" applyNumberForma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0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right" vertical="center"/>
    </xf>
    <xf numFmtId="14" fontId="0" fillId="2" borderId="0" xfId="0" applyNumberFormat="1" applyFont="1" applyFill="1" applyBorder="1" applyAlignment="1" quotePrefix="1">
      <alignment horizontal="center" vertical="center"/>
    </xf>
    <xf numFmtId="1" fontId="0" fillId="0" borderId="0" xfId="0" applyNumberFormat="1" applyBorder="1"/>
    <xf numFmtId="4" fontId="0" fillId="0" borderId="0" xfId="0" applyNumberFormat="1" applyBorder="1"/>
    <xf numFmtId="2" fontId="0" fillId="0" borderId="0" xfId="0" applyNumberFormat="1" applyFont="1"/>
    <xf numFmtId="164" fontId="0" fillId="2" borderId="0" xfId="0" applyNumberFormat="1" applyFont="1" applyFill="1" applyBorder="1" applyAlignment="1" quotePrefix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2.xml" /><Relationship Id="rId5" Type="http://schemas.openxmlformats.org/officeDocument/2006/relationships/worksheet" Target="worksheets/sheet4.xml" /><Relationship Id="rId7" Type="http://schemas.openxmlformats.org/officeDocument/2006/relationships/worksheet" Target="worksheets/sheet6.xml" /><Relationship Id="rId9" Type="http://schemas.openxmlformats.org/officeDocument/2006/relationships/worksheet" Target="worksheets/sheet8.xml" /><Relationship Id="rId2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5" Type="http://schemas.openxmlformats.org/officeDocument/2006/relationships/calcChain" Target="calcChain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" Type="http://schemas.openxmlformats.org/officeDocument/2006/relationships/theme" Target="theme/theme1.xml" /><Relationship Id="rId4" Type="http://schemas.openxmlformats.org/officeDocument/2006/relationships/worksheet" Target="worksheets/sheet3.xml" /><Relationship Id="rId6" Type="http://schemas.openxmlformats.org/officeDocument/2006/relationships/worksheet" Target="worksheets/sheet5.xml" /><Relationship Id="rId8" Type="http://schemas.openxmlformats.org/officeDocument/2006/relationships/worksheet" Target="worksheets/sheet7.xml" /><Relationship Id="rId1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T16"/>
  <sheetViews>
    <sheetView view="pageBreakPreview" zoomScaleNormal="100" zoomScaleSheetLayoutView="100" workbookViewId="0" topLeftCell="A1"/>
  </sheetViews>
  <sheetFormatPr defaultRowHeight="13.5"/>
  <cols>
    <col min="1" max="1" width="9.14285714285714" style="4" customWidth="1"/>
  </cols>
  <sheetData>
    <row r="1" spans="1:20" ht="15.6">
      <c r="A1" s="12"/>
      <c r="B1" s="47" t="s">
        <v>41</v>
      </c>
      <c r="C1" s="47"/>
      <c r="D1" s="47"/>
      <c r="E1" s="47"/>
      <c r="F1" s="47"/>
      <c r="G1" s="48"/>
      <c r="H1" s="48"/>
      <c r="I1" s="48"/>
      <c r="J1" s="48"/>
      <c r="K1" s="48"/>
      <c r="L1" s="13"/>
      <c r="M1" s="13"/>
      <c r="N1" s="13"/>
      <c r="O1" s="13"/>
      <c r="P1" s="13"/>
      <c r="Q1" s="13"/>
      <c r="R1" s="13"/>
      <c r="S1" s="13"/>
      <c r="T1" s="13"/>
    </row>
    <row r="2" spans="1:20" ht="15.75" customHeight="1">
      <c r="A2" s="12"/>
      <c r="B2" s="47" t="s">
        <v>44</v>
      </c>
      <c r="C2" s="47"/>
      <c r="D2" s="47"/>
      <c r="E2" s="47"/>
      <c r="F2" s="47"/>
      <c r="G2" s="48"/>
      <c r="H2" s="48"/>
      <c r="I2" s="48"/>
      <c r="J2" s="48"/>
      <c r="K2" s="48"/>
      <c r="L2" s="13"/>
      <c r="M2" s="13"/>
      <c r="N2" s="13"/>
      <c r="O2" s="13"/>
      <c r="P2" s="13"/>
      <c r="Q2" s="13"/>
      <c r="R2" s="13"/>
      <c r="S2" s="13"/>
      <c r="T2" s="13"/>
    </row>
    <row r="3" spans="1:20" ht="15.75" customHeight="1">
      <c r="A3" s="12"/>
      <c r="B3" s="47" t="s">
        <v>42</v>
      </c>
      <c r="C3" s="47"/>
      <c r="D3" s="47"/>
      <c r="E3" s="47"/>
      <c r="F3" s="47"/>
      <c r="G3" s="48"/>
      <c r="H3" s="48"/>
      <c r="I3" s="48"/>
      <c r="J3" s="48"/>
      <c r="K3" s="48"/>
      <c r="L3" s="13"/>
      <c r="M3" s="13"/>
      <c r="N3" s="13"/>
      <c r="O3" s="13"/>
      <c r="P3" s="13"/>
      <c r="Q3" s="13"/>
      <c r="R3" s="13"/>
      <c r="S3" s="13"/>
      <c r="T3" s="13"/>
    </row>
    <row r="4" spans="1:20" ht="15.75" customHeight="1">
      <c r="A4" s="12"/>
      <c r="B4" s="47" t="s">
        <v>66</v>
      </c>
      <c r="C4" s="47"/>
      <c r="D4" s="47"/>
      <c r="E4" s="47"/>
      <c r="F4" s="47"/>
      <c r="G4" s="47"/>
      <c r="H4" s="47"/>
      <c r="I4" s="47"/>
      <c r="J4" s="47"/>
      <c r="K4" s="47"/>
      <c r="L4" s="13"/>
      <c r="M4" s="13"/>
      <c r="N4" s="13"/>
      <c r="O4" s="13"/>
      <c r="P4" s="13"/>
      <c r="Q4" s="13"/>
      <c r="R4" s="13"/>
      <c r="S4" s="13"/>
      <c r="T4" s="13"/>
    </row>
    <row r="5" spans="2:20" ht="13.2">
      <c r="B5" s="14"/>
      <c r="C5" s="14"/>
      <c r="D5" s="14"/>
      <c r="E5" s="14"/>
      <c r="F5" s="14"/>
      <c r="G5" s="17"/>
      <c r="H5" s="17"/>
      <c r="I5" s="17"/>
      <c r="J5" s="17"/>
      <c r="K5" s="17"/>
      <c r="L5" s="17"/>
      <c r="M5" s="17"/>
      <c r="N5" s="17"/>
      <c r="O5" s="13"/>
      <c r="P5" s="13"/>
      <c r="Q5" s="13"/>
      <c r="R5" s="13"/>
      <c r="S5" s="13"/>
      <c r="T5" s="13"/>
    </row>
    <row r="6" spans="1:20" ht="15.75" customHeight="1">
      <c r="A6" s="12"/>
      <c r="B6" s="47" t="s">
        <v>43</v>
      </c>
      <c r="C6" s="47"/>
      <c r="D6" s="47"/>
      <c r="E6" s="47"/>
      <c r="F6" s="47"/>
      <c r="G6" s="48"/>
      <c r="H6" s="48"/>
      <c r="I6" s="48"/>
      <c r="J6" s="48"/>
      <c r="K6" s="48"/>
      <c r="L6" s="13"/>
      <c r="M6" s="13"/>
      <c r="N6" s="13"/>
      <c r="O6" s="13"/>
      <c r="P6" s="13"/>
      <c r="Q6" s="13"/>
      <c r="R6" s="13"/>
      <c r="S6" s="13"/>
      <c r="T6" s="13"/>
    </row>
    <row r="7" spans="2:9" ht="15.6">
      <c r="B7" s="3"/>
      <c r="C7" s="3"/>
      <c r="D7" s="3"/>
      <c r="E7" s="3"/>
      <c r="F7" s="3"/>
      <c r="G7" s="3"/>
      <c r="H7" s="3"/>
      <c r="I7" s="3"/>
    </row>
    <row r="8" spans="1:9" ht="15.6">
      <c r="A8" s="7" t="s">
        <v>2</v>
      </c>
      <c r="B8" s="3"/>
      <c r="C8" s="3"/>
      <c r="D8" s="3"/>
      <c r="E8" s="3"/>
      <c r="F8" s="3"/>
      <c r="G8" s="3"/>
      <c r="H8" s="3"/>
      <c r="I8" s="3"/>
    </row>
    <row r="9" spans="1:9" ht="15.6">
      <c r="A9" s="8" t="s">
        <v>3</v>
      </c>
      <c r="B9" s="3"/>
      <c r="C9" s="3"/>
      <c r="D9" s="3"/>
      <c r="E9" s="3"/>
      <c r="F9" s="3"/>
      <c r="G9" s="3"/>
      <c r="H9" s="3"/>
      <c r="I9" s="3"/>
    </row>
    <row r="10" spans="1:9" ht="15.6">
      <c r="A10" s="4">
        <v>1</v>
      </c>
      <c r="B10" s="6" t="s">
        <v>73</v>
      </c>
      <c r="C10" s="5"/>
      <c r="D10" s="5"/>
      <c r="E10" s="5"/>
      <c r="F10" s="5"/>
      <c r="G10" s="5"/>
      <c r="H10" s="5"/>
      <c r="I10" s="5"/>
    </row>
    <row r="11" spans="2:9" ht="15.6">
      <c r="B11" s="6"/>
      <c r="C11" s="5"/>
      <c r="D11" s="5"/>
      <c r="E11" s="5"/>
      <c r="F11" s="5"/>
      <c r="G11" s="5"/>
      <c r="H11" s="5"/>
      <c r="I11" s="5"/>
    </row>
    <row r="12" spans="1:9" ht="15.6">
      <c r="A12" s="4">
        <v>2</v>
      </c>
      <c r="B12" s="6" t="s">
        <v>1</v>
      </c>
      <c r="C12" s="5"/>
      <c r="D12" s="5"/>
      <c r="E12" s="5"/>
      <c r="F12" s="5"/>
      <c r="G12" s="5"/>
      <c r="H12" s="5"/>
      <c r="I12" s="5"/>
    </row>
    <row r="14" spans="1:8" ht="15">
      <c r="A14" s="4">
        <v>3</v>
      </c>
      <c r="B14" s="26" t="s">
        <v>62</v>
      </c>
      <c r="C14" s="16"/>
      <c r="D14" s="16"/>
      <c r="E14" s="16"/>
      <c r="F14" s="16"/>
      <c r="G14" s="16"/>
      <c r="H14" s="16"/>
    </row>
    <row r="16" spans="1:4" ht="15">
      <c r="A16" s="4">
        <v>4</v>
      </c>
      <c r="B16" s="26" t="s">
        <v>63</v>
      </c>
      <c r="C16" s="16"/>
      <c r="D16" s="16"/>
    </row>
  </sheetData>
  <mergeCells count="5">
    <mergeCell ref="B1:K1"/>
    <mergeCell ref="B2:K2"/>
    <mergeCell ref="B3:K3"/>
    <mergeCell ref="B4:K4"/>
    <mergeCell ref="B6:K6"/>
  </mergeCells>
  <pageMargins left="1.5" right="0.75" top="1" bottom="1" header="0.5" footer="0.5"/>
  <pageSetup orientation="portrait" scale="61" r:id="rId1"/>
  <headerFooter alignWithMargins="0">
    <oddHeader>&amp;RSchedule II-H-2.2
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Y154"/>
  <sheetViews>
    <sheetView tabSelected="1" showOutlineSymbols="0" view="pageBreakPreview" zoomScaleNormal="100" zoomScaleSheetLayoutView="100" workbookViewId="0" topLeftCell="A1">
      <pane xSplit="3" ySplit="10" topLeftCell="D11" activePane="bottomRight" state="frozen"/>
      <selection pane="topLeft" activeCell="A1" sqref="A1"/>
      <selection pane="bottomLeft" activeCell="A1" sqref="A1"/>
      <selection pane="topRight" activeCell="A1" sqref="A1"/>
      <selection pane="bottomRight" activeCell="A1" sqref="A1"/>
    </sheetView>
  </sheetViews>
  <sheetFormatPr defaultRowHeight="12.75" customHeight="1"/>
  <cols>
    <col min="1" max="1" width="9.14285714285714" style="4" customWidth="1"/>
    <col min="2" max="2" width="5" style="1" customWidth="1"/>
    <col min="3" max="3" width="5.85714285714286" style="1" customWidth="1"/>
    <col min="4" max="4" width="13.2857142857143" style="1" customWidth="1"/>
    <col min="5" max="5" width="9.28571428571429" style="2" customWidth="1"/>
    <col min="6" max="6" width="9.28571428571429" style="2" bestFit="1" customWidth="1"/>
    <col min="7" max="7" width="6.71428571428571" style="2" bestFit="1" customWidth="1"/>
    <col min="8" max="14" width="4.57142857142857" style="2" bestFit="1" customWidth="1"/>
    <col min="15" max="16" width="4.28571428571429" bestFit="1" customWidth="1"/>
    <col min="17" max="17" width="3.71428571428571" bestFit="1" customWidth="1"/>
    <col min="18" max="18" width="4" bestFit="1" customWidth="1"/>
    <col min="19" max="19" width="4.57142857142857" bestFit="1" customWidth="1"/>
    <col min="20" max="20" width="11.2857142857143" bestFit="1" customWidth="1"/>
    <col min="22" max="22" width="12.2857142857143" bestFit="1" customWidth="1"/>
    <col min="24" max="25" width="7.28571428571429" bestFit="1" customWidth="1"/>
  </cols>
  <sheetData>
    <row r="1" spans="2:17" ht="15.6">
      <c r="B1" s="47" t="str">
        <f>+Introduction!B1</f>
        <v xml:space="preserve">PUC DOCKET NO. </v>
      </c>
      <c r="C1" s="47"/>
      <c r="D1" s="47"/>
      <c r="E1" s="47"/>
      <c r="F1" s="47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2:17" ht="15.6">
      <c r="B2" s="47" t="str">
        <f>+Introduction!B2</f>
        <v>ONCOR ELECTRIC DELIVERY COMPANY LLC</v>
      </c>
      <c r="C2" s="47"/>
      <c r="D2" s="47"/>
      <c r="E2" s="47"/>
      <c r="F2" s="47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2:17" ht="15.6">
      <c r="B3" s="47" t="str">
        <f>+Introduction!B3</f>
        <v>MODEL DATA</v>
      </c>
      <c r="C3" s="47"/>
      <c r="D3" s="47"/>
      <c r="E3" s="47"/>
      <c r="F3" s="47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</row>
    <row r="4" spans="2:17" ht="12.75" customHeight="1">
      <c r="B4" s="47" t="str">
        <f>+Introduction!B4</f>
        <v>FOR THE TEST YEAR ENDING DECEMBER 31, 2021</v>
      </c>
      <c r="C4" s="47"/>
      <c r="D4" s="47"/>
      <c r="E4" s="47"/>
      <c r="F4" s="47"/>
      <c r="G4" s="47"/>
      <c r="H4" s="47"/>
      <c r="I4" s="47"/>
      <c r="J4" s="47"/>
      <c r="K4" s="47"/>
      <c r="L4" s="48"/>
      <c r="M4" s="48"/>
      <c r="N4" s="48"/>
      <c r="O4" s="48"/>
      <c r="P4" s="48"/>
      <c r="Q4" s="48"/>
    </row>
    <row r="5" spans="2:17" ht="12.75" customHeight="1">
      <c r="B5" s="15"/>
      <c r="C5" s="15"/>
      <c r="D5" s="15"/>
      <c r="E5" s="15"/>
      <c r="F5" s="15"/>
      <c r="G5" s="17"/>
      <c r="H5" s="17"/>
      <c r="I5" s="17"/>
      <c r="J5" s="17"/>
      <c r="K5" s="17"/>
      <c r="L5" s="17"/>
      <c r="M5" s="17"/>
      <c r="N5" s="17"/>
      <c r="O5" s="13"/>
      <c r="P5" s="13"/>
      <c r="Q5" s="13"/>
    </row>
    <row r="6" spans="2:17" ht="12.75" customHeight="1">
      <c r="B6" s="47" t="str">
        <f>+Introduction!B6</f>
        <v>SPONSOR: D. E. NELSON</v>
      </c>
      <c r="C6" s="47"/>
      <c r="D6" s="47"/>
      <c r="E6" s="47"/>
      <c r="F6" s="47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</row>
    <row r="8" spans="2:20" ht="13.2">
      <c r="B8" s="9" t="s">
        <v>4</v>
      </c>
      <c r="C8" s="9" t="s">
        <v>5</v>
      </c>
      <c r="D8" s="9" t="s">
        <v>7</v>
      </c>
      <c r="E8" s="10" t="s">
        <v>6</v>
      </c>
      <c r="F8" s="10" t="s">
        <v>8</v>
      </c>
      <c r="G8" s="10" t="s">
        <v>9</v>
      </c>
      <c r="H8" s="10" t="s">
        <v>10</v>
      </c>
      <c r="I8" s="10" t="s">
        <v>11</v>
      </c>
      <c r="J8" s="10" t="s">
        <v>12</v>
      </c>
      <c r="K8" s="10" t="s">
        <v>13</v>
      </c>
      <c r="L8" s="10" t="s">
        <v>14</v>
      </c>
      <c r="M8" s="11" t="s">
        <v>15</v>
      </c>
      <c r="N8" s="10" t="s">
        <v>16</v>
      </c>
      <c r="O8" s="10" t="s">
        <v>17</v>
      </c>
      <c r="P8" s="10" t="s">
        <v>18</v>
      </c>
      <c r="Q8" s="10" t="s">
        <v>19</v>
      </c>
      <c r="R8" s="10" t="s">
        <v>57</v>
      </c>
      <c r="S8" s="10" t="s">
        <v>58</v>
      </c>
      <c r="T8" s="10" t="s">
        <v>59</v>
      </c>
    </row>
    <row r="9" spans="1:17" ht="15.6">
      <c r="A9" s="4" t="s">
        <v>2</v>
      </c>
      <c r="B9" s="47" t="s">
        <v>35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</row>
    <row r="10" spans="1:20" s="21" customFormat="1" ht="12.75" customHeight="1">
      <c r="A10" s="20" t="s">
        <v>3</v>
      </c>
      <c r="B10" s="39" t="s">
        <v>53</v>
      </c>
      <c r="C10" s="37" t="s">
        <v>0</v>
      </c>
      <c r="D10" s="38" t="s">
        <v>30</v>
      </c>
      <c r="E10" s="38" t="s">
        <v>54</v>
      </c>
      <c r="F10" s="40" t="s">
        <v>55</v>
      </c>
      <c r="G10" s="38" t="s">
        <v>31</v>
      </c>
      <c r="H10" s="38" t="s">
        <v>32</v>
      </c>
      <c r="I10" s="38" t="s">
        <v>20</v>
      </c>
      <c r="J10" s="38" t="s">
        <v>21</v>
      </c>
      <c r="K10" s="38" t="s">
        <v>22</v>
      </c>
      <c r="L10" s="38" t="s">
        <v>23</v>
      </c>
      <c r="M10" s="38" t="s">
        <v>24</v>
      </c>
      <c r="N10" s="38" t="s">
        <v>25</v>
      </c>
      <c r="O10" s="38" t="s">
        <v>26</v>
      </c>
      <c r="P10" s="38" t="s">
        <v>27</v>
      </c>
      <c r="Q10" s="38" t="s">
        <v>28</v>
      </c>
      <c r="R10" s="37" t="s">
        <v>29</v>
      </c>
      <c r="S10" s="37" t="s">
        <v>56</v>
      </c>
      <c r="T10" s="37" t="s">
        <v>47</v>
      </c>
    </row>
    <row r="11" spans="1:20" ht="12.75" customHeight="1">
      <c r="A11" s="4">
        <v>1</v>
      </c>
      <c r="B11">
        <v>2010</v>
      </c>
      <c r="C11">
        <v>1</v>
      </c>
      <c r="D11" s="19">
        <v>49.020000000000003</v>
      </c>
      <c r="E11" s="19">
        <v>11.59218647</v>
      </c>
      <c r="F11" s="22">
        <v>0</v>
      </c>
      <c r="G11" s="19">
        <v>26.129999999999999</v>
      </c>
      <c r="H11" s="23">
        <v>1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>
        <v>0</v>
      </c>
      <c r="S11">
        <v>0</v>
      </c>
      <c r="T11">
        <v>130.63999999999999</v>
      </c>
    </row>
    <row r="12" spans="1:20" ht="12.75" customHeight="1">
      <c r="A12" s="4">
        <f>+A11+1</f>
        <v>2</v>
      </c>
      <c r="B12">
        <v>2010</v>
      </c>
      <c r="C12">
        <v>2</v>
      </c>
      <c r="D12" s="19">
        <v>44.880000000000003</v>
      </c>
      <c r="E12" s="19">
        <v>9.7024626339999998</v>
      </c>
      <c r="F12" s="22">
        <v>0</v>
      </c>
      <c r="G12" s="19">
        <v>25.829999999999998</v>
      </c>
      <c r="H12" s="23">
        <v>0</v>
      </c>
      <c r="I12" s="23">
        <v>1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>
        <v>0</v>
      </c>
      <c r="S12">
        <v>0</v>
      </c>
      <c r="T12">
        <v>129.13</v>
      </c>
    </row>
    <row r="13" spans="1:20" ht="12.75" customHeight="1">
      <c r="A13" s="4">
        <f t="shared" si="0" ref="A13:A76">+A12+1</f>
        <v>3</v>
      </c>
      <c r="B13">
        <v>2010</v>
      </c>
      <c r="C13">
        <v>3</v>
      </c>
      <c r="D13" s="19">
        <v>39.950000000000003</v>
      </c>
      <c r="E13" s="19">
        <v>7.0183813849999996</v>
      </c>
      <c r="F13" s="22">
        <v>0</v>
      </c>
      <c r="G13" s="19">
        <v>25.489999999999998</v>
      </c>
      <c r="H13" s="23">
        <v>0</v>
      </c>
      <c r="I13" s="23">
        <v>0</v>
      </c>
      <c r="J13" s="23">
        <v>1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>
        <v>0</v>
      </c>
      <c r="S13">
        <v>0</v>
      </c>
      <c r="T13">
        <v>127.45</v>
      </c>
    </row>
    <row r="14" spans="1:20" ht="12.75" customHeight="1">
      <c r="A14" s="4">
        <f t="shared" si="0"/>
        <v>4</v>
      </c>
      <c r="B14">
        <v>2010</v>
      </c>
      <c r="C14">
        <v>4</v>
      </c>
      <c r="D14" s="19">
        <v>27.989999999999998</v>
      </c>
      <c r="E14" s="19">
        <v>1.4266774739999999</v>
      </c>
      <c r="F14" s="22">
        <v>0.46000000000000002</v>
      </c>
      <c r="G14" s="19">
        <v>24.899999999999999</v>
      </c>
      <c r="H14" s="23">
        <v>0</v>
      </c>
      <c r="I14" s="23">
        <v>0</v>
      </c>
      <c r="J14" s="23">
        <v>0</v>
      </c>
      <c r="K14" s="23">
        <v>1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>
        <v>0</v>
      </c>
      <c r="S14">
        <v>0</v>
      </c>
      <c r="T14">
        <v>124.52</v>
      </c>
    </row>
    <row r="15" spans="1:20" ht="12.75" customHeight="1">
      <c r="A15" s="4">
        <f t="shared" si="0"/>
        <v>5</v>
      </c>
      <c r="B15">
        <v>2010</v>
      </c>
      <c r="C15">
        <v>5</v>
      </c>
      <c r="D15" s="19">
        <v>28.600000000000001</v>
      </c>
      <c r="E15" s="19">
        <v>0.1092877602</v>
      </c>
      <c r="F15" s="22">
        <v>2.1400000000000001</v>
      </c>
      <c r="G15" s="19">
        <v>24.530000000000001</v>
      </c>
      <c r="H15" s="23">
        <v>0</v>
      </c>
      <c r="I15" s="23">
        <v>0</v>
      </c>
      <c r="J15" s="23">
        <v>0</v>
      </c>
      <c r="K15" s="23">
        <v>0</v>
      </c>
      <c r="L15" s="23">
        <v>1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>
        <v>0</v>
      </c>
      <c r="S15">
        <v>0</v>
      </c>
      <c r="T15">
        <v>122.66</v>
      </c>
    </row>
    <row r="16" spans="1:20" ht="12.75" customHeight="1">
      <c r="A16" s="4">
        <f t="shared" si="0"/>
        <v>6</v>
      </c>
      <c r="B16">
        <v>2010</v>
      </c>
      <c r="C16">
        <v>6</v>
      </c>
      <c r="D16" s="19">
        <v>46.729999999999997</v>
      </c>
      <c r="E16" s="19">
        <v>0.0044418455560000002</v>
      </c>
      <c r="F16" s="22">
        <v>9.3699999999999992</v>
      </c>
      <c r="G16" s="19">
        <v>24.18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1</v>
      </c>
      <c r="N16" s="23">
        <v>0</v>
      </c>
      <c r="O16" s="23">
        <v>0</v>
      </c>
      <c r="P16" s="23">
        <v>0</v>
      </c>
      <c r="Q16" s="23">
        <v>0</v>
      </c>
      <c r="R16">
        <v>0</v>
      </c>
      <c r="S16">
        <v>0</v>
      </c>
      <c r="T16">
        <v>120.92</v>
      </c>
    </row>
    <row r="17" spans="1:20" ht="12.75" customHeight="1">
      <c r="A17" s="4">
        <f t="shared" si="0"/>
        <v>7</v>
      </c>
      <c r="B17">
        <v>2010</v>
      </c>
      <c r="C17">
        <v>7</v>
      </c>
      <c r="D17" s="19">
        <v>55.149999999999999</v>
      </c>
      <c r="E17" s="19">
        <v>0</v>
      </c>
      <c r="F17" s="22">
        <v>12.19</v>
      </c>
      <c r="G17" s="19">
        <v>23.539999999999999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1</v>
      </c>
      <c r="O17" s="23">
        <v>0</v>
      </c>
      <c r="P17" s="23">
        <v>0</v>
      </c>
      <c r="Q17" s="23">
        <v>0</v>
      </c>
      <c r="R17">
        <v>0</v>
      </c>
      <c r="S17">
        <v>0</v>
      </c>
      <c r="T17">
        <v>117.68000000000001</v>
      </c>
    </row>
    <row r="18" spans="1:20" ht="12.75" customHeight="1">
      <c r="A18" s="4">
        <f t="shared" si="0"/>
        <v>8</v>
      </c>
      <c r="B18">
        <v>2010</v>
      </c>
      <c r="C18">
        <v>8</v>
      </c>
      <c r="D18" s="19">
        <v>61.469999999999999</v>
      </c>
      <c r="E18" s="19">
        <v>0</v>
      </c>
      <c r="F18" s="22">
        <v>14.51</v>
      </c>
      <c r="G18" s="19">
        <v>23.440000000000001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1</v>
      </c>
      <c r="P18" s="23">
        <v>0</v>
      </c>
      <c r="Q18" s="23">
        <v>0</v>
      </c>
      <c r="R18">
        <v>0</v>
      </c>
      <c r="S18">
        <v>0</v>
      </c>
      <c r="T18">
        <v>117.22</v>
      </c>
    </row>
    <row r="19" spans="1:20" ht="12.75" customHeight="1">
      <c r="A19" s="4">
        <f t="shared" si="0"/>
        <v>9</v>
      </c>
      <c r="B19">
        <v>2010</v>
      </c>
      <c r="C19">
        <v>9</v>
      </c>
      <c r="D19" s="19">
        <v>57.200000000000003</v>
      </c>
      <c r="E19" s="19">
        <v>0</v>
      </c>
      <c r="F19" s="22">
        <v>13.060000000000001</v>
      </c>
      <c r="G19" s="19">
        <v>23.84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1</v>
      </c>
      <c r="Q19" s="23">
        <v>0</v>
      </c>
      <c r="R19">
        <v>0</v>
      </c>
      <c r="S19">
        <v>0</v>
      </c>
      <c r="T19">
        <v>119.22</v>
      </c>
    </row>
    <row r="20" spans="1:20" ht="12.75" customHeight="1">
      <c r="A20" s="4">
        <f t="shared" si="0"/>
        <v>10</v>
      </c>
      <c r="B20">
        <v>2010</v>
      </c>
      <c r="C20">
        <v>10</v>
      </c>
      <c r="D20" s="19">
        <v>38.289999999999999</v>
      </c>
      <c r="E20" s="19">
        <v>0.024351264090000001</v>
      </c>
      <c r="F20" s="22">
        <v>5.0700000000000003</v>
      </c>
      <c r="G20" s="19">
        <v>24.5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1</v>
      </c>
      <c r="R20">
        <v>0</v>
      </c>
      <c r="S20">
        <v>0</v>
      </c>
      <c r="T20">
        <v>122.52</v>
      </c>
    </row>
    <row r="21" spans="1:20" ht="12.75" customHeight="1">
      <c r="A21" s="4">
        <f t="shared" si="0"/>
        <v>11</v>
      </c>
      <c r="B21">
        <v>2010</v>
      </c>
      <c r="C21">
        <v>11</v>
      </c>
      <c r="D21" s="19">
        <v>28.170000000000002</v>
      </c>
      <c r="E21" s="19">
        <v>0.65601192929999996</v>
      </c>
      <c r="F21" s="22">
        <v>1.1299999999999999</v>
      </c>
      <c r="G21" s="19">
        <v>25.109999999999999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>
        <v>1</v>
      </c>
      <c r="S21">
        <v>0</v>
      </c>
      <c r="T21">
        <v>125.53</v>
      </c>
    </row>
    <row r="22" spans="1:20" ht="12.75" customHeight="1">
      <c r="A22" s="4">
        <f t="shared" si="0"/>
        <v>12</v>
      </c>
      <c r="B22">
        <v>2010</v>
      </c>
      <c r="C22">
        <v>12</v>
      </c>
      <c r="D22" s="19">
        <v>32.93</v>
      </c>
      <c r="E22" s="19">
        <v>4.1149858459999997</v>
      </c>
      <c r="F22" s="22">
        <v>0.33000000000000002</v>
      </c>
      <c r="G22" s="19">
        <v>25.850000000000001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>
        <v>0</v>
      </c>
      <c r="S22">
        <v>1</v>
      </c>
      <c r="T22">
        <v>129.25</v>
      </c>
    </row>
    <row r="23" spans="1:20" ht="12.75" customHeight="1">
      <c r="A23" s="4">
        <f t="shared" si="0"/>
        <v>13</v>
      </c>
      <c r="B23">
        <v>2011</v>
      </c>
      <c r="C23">
        <v>1</v>
      </c>
      <c r="D23" s="19">
        <v>42.420000000000002</v>
      </c>
      <c r="E23" s="19">
        <v>8.4919151809999995</v>
      </c>
      <c r="F23" s="22">
        <v>0.01</v>
      </c>
      <c r="G23" s="19">
        <v>26.870000000000001</v>
      </c>
      <c r="H23" s="23">
        <v>1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>
        <v>0</v>
      </c>
      <c r="S23">
        <v>0</v>
      </c>
      <c r="T23">
        <v>161.22</v>
      </c>
    </row>
    <row r="24" spans="1:20" ht="12.75" customHeight="1">
      <c r="A24" s="4">
        <f t="shared" si="0"/>
        <v>14</v>
      </c>
      <c r="B24">
        <v>2011</v>
      </c>
      <c r="C24">
        <v>2</v>
      </c>
      <c r="D24" s="19">
        <v>48.609999999999999</v>
      </c>
      <c r="E24" s="19">
        <v>11.45441484</v>
      </c>
      <c r="F24" s="22">
        <v>0.040000000000000001</v>
      </c>
      <c r="G24" s="19">
        <v>26.57</v>
      </c>
      <c r="H24" s="23">
        <v>0</v>
      </c>
      <c r="I24" s="23">
        <v>1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>
        <v>0</v>
      </c>
      <c r="S24">
        <v>0</v>
      </c>
      <c r="T24">
        <v>159.40000000000001</v>
      </c>
    </row>
    <row r="25" spans="1:20" ht="12.75" customHeight="1">
      <c r="A25" s="4">
        <f t="shared" si="0"/>
        <v>15</v>
      </c>
      <c r="B25">
        <v>2011</v>
      </c>
      <c r="C25">
        <v>3</v>
      </c>
      <c r="D25" s="19">
        <v>30.02</v>
      </c>
      <c r="E25" s="19">
        <v>3.103371594</v>
      </c>
      <c r="F25" s="22">
        <v>0.40000000000000002</v>
      </c>
      <c r="G25" s="19">
        <v>26.23</v>
      </c>
      <c r="H25" s="23">
        <v>0</v>
      </c>
      <c r="I25" s="23">
        <v>0</v>
      </c>
      <c r="J25" s="23">
        <v>1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>
        <v>0</v>
      </c>
      <c r="S25">
        <v>0</v>
      </c>
      <c r="T25">
        <v>157.38999999999999</v>
      </c>
    </row>
    <row r="26" spans="1:20" ht="12.75" customHeight="1">
      <c r="A26" s="4">
        <f t="shared" si="0"/>
        <v>16</v>
      </c>
      <c r="B26">
        <v>2011</v>
      </c>
      <c r="C26">
        <v>4</v>
      </c>
      <c r="D26" s="19">
        <v>29.02</v>
      </c>
      <c r="E26" s="19">
        <v>0.85151864290000001</v>
      </c>
      <c r="F26" s="22">
        <v>1.9199999999999999</v>
      </c>
      <c r="G26" s="19">
        <v>25.649999999999999</v>
      </c>
      <c r="H26" s="23">
        <v>0</v>
      </c>
      <c r="I26" s="23">
        <v>0</v>
      </c>
      <c r="J26" s="23">
        <v>0</v>
      </c>
      <c r="K26" s="23">
        <v>1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>
        <v>0</v>
      </c>
      <c r="S26">
        <v>0</v>
      </c>
      <c r="T26">
        <v>153.87000000000001</v>
      </c>
    </row>
    <row r="27" spans="1:20" ht="12.75" customHeight="1">
      <c r="A27" s="4">
        <f t="shared" si="0"/>
        <v>17</v>
      </c>
      <c r="B27">
        <v>2011</v>
      </c>
      <c r="C27">
        <v>5</v>
      </c>
      <c r="D27" s="19">
        <v>32.130000000000003</v>
      </c>
      <c r="E27" s="19">
        <v>0.27412225130000001</v>
      </c>
      <c r="F27" s="22">
        <v>3.3700000000000001</v>
      </c>
      <c r="G27" s="19">
        <v>25.27</v>
      </c>
      <c r="H27" s="23">
        <v>0</v>
      </c>
      <c r="I27" s="23">
        <v>0</v>
      </c>
      <c r="J27" s="23">
        <v>0</v>
      </c>
      <c r="K27" s="23">
        <v>0</v>
      </c>
      <c r="L27" s="23">
        <v>1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>
        <v>0</v>
      </c>
      <c r="S27">
        <v>0</v>
      </c>
      <c r="T27">
        <v>151.63999999999999</v>
      </c>
    </row>
    <row r="28" spans="1:20" ht="12.75" customHeight="1">
      <c r="A28" s="4">
        <f t="shared" si="0"/>
        <v>18</v>
      </c>
      <c r="B28">
        <v>2011</v>
      </c>
      <c r="C28">
        <v>6</v>
      </c>
      <c r="D28" s="19">
        <v>48.890000000000001</v>
      </c>
      <c r="E28" s="19">
        <v>0.020632239430000001</v>
      </c>
      <c r="F28" s="22">
        <v>10.08</v>
      </c>
      <c r="G28" s="19">
        <v>24.920000000000002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1</v>
      </c>
      <c r="N28" s="23">
        <v>0</v>
      </c>
      <c r="O28" s="23">
        <v>0</v>
      </c>
      <c r="P28" s="23">
        <v>0</v>
      </c>
      <c r="Q28" s="23">
        <v>0</v>
      </c>
      <c r="R28">
        <v>0</v>
      </c>
      <c r="S28">
        <v>0</v>
      </c>
      <c r="T28">
        <v>149.55000000000001</v>
      </c>
    </row>
    <row r="29" spans="1:20" ht="12.75" customHeight="1">
      <c r="A29" s="4">
        <f t="shared" si="0"/>
        <v>19</v>
      </c>
      <c r="B29">
        <v>2011</v>
      </c>
      <c r="C29">
        <v>7</v>
      </c>
      <c r="D29" s="19">
        <v>64.810000000000002</v>
      </c>
      <c r="E29" s="19">
        <v>0</v>
      </c>
      <c r="F29" s="22">
        <v>16.18</v>
      </c>
      <c r="G29" s="19">
        <v>24.27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1</v>
      </c>
      <c r="O29" s="23">
        <v>0</v>
      </c>
      <c r="P29" s="23">
        <v>0</v>
      </c>
      <c r="Q29" s="23">
        <v>0</v>
      </c>
      <c r="R29">
        <v>0</v>
      </c>
      <c r="S29">
        <v>0</v>
      </c>
      <c r="T29">
        <v>145.63999999999999</v>
      </c>
    </row>
    <row r="30" spans="1:20" ht="12.75" customHeight="1">
      <c r="A30" s="4">
        <f t="shared" si="0"/>
        <v>20</v>
      </c>
      <c r="B30">
        <v>2011</v>
      </c>
      <c r="C30">
        <v>8</v>
      </c>
      <c r="D30" s="19">
        <v>70.920000000000002</v>
      </c>
      <c r="E30" s="19">
        <v>0</v>
      </c>
      <c r="F30" s="22">
        <v>19.07</v>
      </c>
      <c r="G30" s="19">
        <v>24.18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1</v>
      </c>
      <c r="P30" s="23">
        <v>0</v>
      </c>
      <c r="Q30" s="23">
        <v>0</v>
      </c>
      <c r="R30">
        <v>0</v>
      </c>
      <c r="S30">
        <v>0</v>
      </c>
      <c r="T30">
        <v>145.06999999999999</v>
      </c>
    </row>
    <row r="31" spans="1:20" ht="12.75" customHeight="1">
      <c r="A31" s="4">
        <f t="shared" si="0"/>
        <v>21</v>
      </c>
      <c r="B31">
        <v>2011</v>
      </c>
      <c r="C31">
        <v>9</v>
      </c>
      <c r="D31" s="19">
        <v>60.399999999999999</v>
      </c>
      <c r="E31" s="19">
        <v>0.00028117942919999998</v>
      </c>
      <c r="F31" s="22">
        <v>15.08</v>
      </c>
      <c r="G31" s="19">
        <v>24.59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1</v>
      </c>
      <c r="Q31" s="23">
        <v>0</v>
      </c>
      <c r="R31">
        <v>0</v>
      </c>
      <c r="S31">
        <v>0</v>
      </c>
      <c r="T31">
        <v>147.52000000000001</v>
      </c>
    </row>
    <row r="32" spans="1:20" ht="12.75" customHeight="1">
      <c r="A32" s="4">
        <f t="shared" si="0"/>
        <v>22</v>
      </c>
      <c r="B32">
        <v>2011</v>
      </c>
      <c r="C32">
        <v>10</v>
      </c>
      <c r="D32" s="19">
        <v>38.57</v>
      </c>
      <c r="E32" s="19">
        <v>0.023702878720000001</v>
      </c>
      <c r="F32" s="22">
        <v>5.54</v>
      </c>
      <c r="G32" s="19">
        <v>25.25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1</v>
      </c>
      <c r="R32">
        <v>0</v>
      </c>
      <c r="S32">
        <v>0</v>
      </c>
      <c r="T32">
        <v>151.5</v>
      </c>
    </row>
    <row r="33" spans="1:20" ht="12.75" customHeight="1">
      <c r="A33" s="4">
        <f t="shared" si="0"/>
        <v>23</v>
      </c>
      <c r="B33">
        <v>2011</v>
      </c>
      <c r="C33">
        <v>11</v>
      </c>
      <c r="D33" s="19">
        <v>28.25</v>
      </c>
      <c r="E33" s="19">
        <v>1.0706572510000001</v>
      </c>
      <c r="F33" s="22">
        <v>1.1599999999999999</v>
      </c>
      <c r="G33" s="19">
        <v>25.859999999999999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>
        <v>1</v>
      </c>
      <c r="S33">
        <v>0</v>
      </c>
      <c r="T33">
        <v>155.15000000000001</v>
      </c>
    </row>
    <row r="34" spans="1:20" ht="12.75" customHeight="1">
      <c r="A34" s="4">
        <f t="shared" si="0"/>
        <v>24</v>
      </c>
      <c r="B34">
        <v>2011</v>
      </c>
      <c r="C34">
        <v>12</v>
      </c>
      <c r="D34" s="19">
        <v>35.299999999999997</v>
      </c>
      <c r="E34" s="19">
        <v>5.1267055409999998</v>
      </c>
      <c r="F34" s="22">
        <v>0.23000000000000001</v>
      </c>
      <c r="G34" s="19">
        <v>26.609999999999999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>
        <v>0</v>
      </c>
      <c r="S34">
        <v>1</v>
      </c>
      <c r="T34">
        <v>159.65000000000001</v>
      </c>
    </row>
    <row r="35" spans="1:20" ht="12.75" customHeight="1">
      <c r="A35" s="4">
        <f t="shared" si="0"/>
        <v>25</v>
      </c>
      <c r="B35">
        <v>2012</v>
      </c>
      <c r="C35">
        <v>1</v>
      </c>
      <c r="D35" s="19">
        <v>39.609999999999999</v>
      </c>
      <c r="E35" s="19">
        <v>6.5238348009999996</v>
      </c>
      <c r="F35" s="22">
        <v>0</v>
      </c>
      <c r="G35" s="19">
        <v>27.59</v>
      </c>
      <c r="H35" s="23">
        <v>1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>
        <v>0</v>
      </c>
      <c r="S35">
        <v>0</v>
      </c>
      <c r="T35">
        <v>193.09999999999999</v>
      </c>
    </row>
    <row r="36" spans="1:20" ht="12.75" customHeight="1">
      <c r="A36" s="4">
        <f t="shared" si="0"/>
        <v>26</v>
      </c>
      <c r="B36">
        <v>2012</v>
      </c>
      <c r="C36">
        <v>2</v>
      </c>
      <c r="D36" s="19">
        <v>35.740000000000002</v>
      </c>
      <c r="E36" s="19">
        <v>5.2910500459999996</v>
      </c>
      <c r="F36" s="22">
        <v>0.029999999999999999</v>
      </c>
      <c r="G36" s="19">
        <v>27.280000000000001</v>
      </c>
      <c r="H36" s="23">
        <v>0</v>
      </c>
      <c r="I36" s="23">
        <v>1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>
        <v>0</v>
      </c>
      <c r="S36">
        <v>0</v>
      </c>
      <c r="T36">
        <v>190.96000000000001</v>
      </c>
    </row>
    <row r="37" spans="1:20" ht="12.75" customHeight="1">
      <c r="A37" s="4">
        <f t="shared" si="0"/>
        <v>27</v>
      </c>
      <c r="B37">
        <v>2012</v>
      </c>
      <c r="C37">
        <v>3</v>
      </c>
      <c r="D37" s="19">
        <v>30.27</v>
      </c>
      <c r="E37" s="19">
        <v>2.6661750639999999</v>
      </c>
      <c r="F37" s="22">
        <v>0.28999999999999998</v>
      </c>
      <c r="G37" s="19">
        <v>26.940000000000001</v>
      </c>
      <c r="H37" s="23">
        <v>0</v>
      </c>
      <c r="I37" s="23">
        <v>0</v>
      </c>
      <c r="J37" s="23">
        <v>1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>
        <v>0</v>
      </c>
      <c r="S37">
        <v>0</v>
      </c>
      <c r="T37">
        <v>188.59</v>
      </c>
    </row>
    <row r="38" spans="1:20" ht="12.75" customHeight="1">
      <c r="A38" s="4">
        <f t="shared" si="0"/>
        <v>28</v>
      </c>
      <c r="B38">
        <v>2012</v>
      </c>
      <c r="C38">
        <v>4</v>
      </c>
      <c r="D38" s="19">
        <v>28.789999999999999</v>
      </c>
      <c r="E38" s="19">
        <v>0.32087131959999998</v>
      </c>
      <c r="F38" s="22">
        <v>1.3500000000000001</v>
      </c>
      <c r="G38" s="19">
        <v>26.350000000000001</v>
      </c>
      <c r="H38" s="23">
        <v>0</v>
      </c>
      <c r="I38" s="23">
        <v>0</v>
      </c>
      <c r="J38" s="23">
        <v>0</v>
      </c>
      <c r="K38" s="23">
        <v>1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>
        <v>0</v>
      </c>
      <c r="S38">
        <v>0</v>
      </c>
      <c r="T38">
        <v>184.44</v>
      </c>
    </row>
    <row r="39" spans="1:20" ht="12.75" customHeight="1">
      <c r="A39" s="4">
        <f t="shared" si="0"/>
        <v>29</v>
      </c>
      <c r="B39">
        <v>2012</v>
      </c>
      <c r="C39">
        <v>5</v>
      </c>
      <c r="D39" s="19">
        <v>34.960000000000001</v>
      </c>
      <c r="E39" s="19">
        <v>0.01602948077</v>
      </c>
      <c r="F39" s="22">
        <v>4.1799999999999997</v>
      </c>
      <c r="G39" s="19">
        <v>25.969999999999999</v>
      </c>
      <c r="H39" s="23">
        <v>0</v>
      </c>
      <c r="I39" s="23">
        <v>0</v>
      </c>
      <c r="J39" s="23">
        <v>0</v>
      </c>
      <c r="K39" s="23">
        <v>0</v>
      </c>
      <c r="L39" s="23">
        <v>1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>
        <v>0</v>
      </c>
      <c r="S39">
        <v>0</v>
      </c>
      <c r="T39">
        <v>181.80000000000001</v>
      </c>
    </row>
    <row r="40" spans="1:20" ht="12.75" customHeight="1">
      <c r="A40" s="4">
        <f t="shared" si="0"/>
        <v>30</v>
      </c>
      <c r="B40">
        <v>2012</v>
      </c>
      <c r="C40">
        <v>6</v>
      </c>
      <c r="D40" s="19">
        <v>46.229999999999997</v>
      </c>
      <c r="E40" s="19">
        <v>0.001079423463</v>
      </c>
      <c r="F40" s="22">
        <v>8.4299999999999997</v>
      </c>
      <c r="G40" s="19">
        <v>25.620000000000001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1</v>
      </c>
      <c r="N40" s="23">
        <v>0</v>
      </c>
      <c r="O40" s="23">
        <v>0</v>
      </c>
      <c r="P40" s="23">
        <v>0</v>
      </c>
      <c r="Q40" s="23">
        <v>0</v>
      </c>
      <c r="R40">
        <v>0</v>
      </c>
      <c r="S40">
        <v>0</v>
      </c>
      <c r="T40">
        <v>179.31</v>
      </c>
    </row>
    <row r="41" spans="1:20" ht="12.75" customHeight="1">
      <c r="A41" s="4">
        <f t="shared" si="0"/>
        <v>31</v>
      </c>
      <c r="B41">
        <v>2012</v>
      </c>
      <c r="C41">
        <v>7</v>
      </c>
      <c r="D41" s="19">
        <v>56.619999999999997</v>
      </c>
      <c r="E41" s="19">
        <v>0</v>
      </c>
      <c r="F41" s="22">
        <v>12.699999999999999</v>
      </c>
      <c r="G41" s="19">
        <v>24.960000000000001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1</v>
      </c>
      <c r="O41" s="23">
        <v>0</v>
      </c>
      <c r="P41" s="23">
        <v>0</v>
      </c>
      <c r="Q41" s="23">
        <v>0</v>
      </c>
      <c r="R41">
        <v>0</v>
      </c>
      <c r="S41">
        <v>0</v>
      </c>
      <c r="T41">
        <v>174.69999999999999</v>
      </c>
    </row>
    <row r="42" spans="1:20" ht="12.75" customHeight="1">
      <c r="A42" s="4">
        <f t="shared" si="0"/>
        <v>32</v>
      </c>
      <c r="B42">
        <v>2012</v>
      </c>
      <c r="C42">
        <v>8</v>
      </c>
      <c r="D42" s="19">
        <v>62.659999999999997</v>
      </c>
      <c r="E42" s="19">
        <v>0</v>
      </c>
      <c r="F42" s="22">
        <v>15.210000000000001</v>
      </c>
      <c r="G42" s="19">
        <v>24.859999999999999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1</v>
      </c>
      <c r="P42" s="23">
        <v>0</v>
      </c>
      <c r="Q42" s="23">
        <v>0</v>
      </c>
      <c r="R42">
        <v>0</v>
      </c>
      <c r="S42">
        <v>0</v>
      </c>
      <c r="T42">
        <v>174.03</v>
      </c>
    </row>
    <row r="43" spans="1:20" ht="12.75" customHeight="1">
      <c r="A43" s="4">
        <f t="shared" si="0"/>
        <v>33</v>
      </c>
      <c r="B43">
        <v>2012</v>
      </c>
      <c r="C43">
        <v>9</v>
      </c>
      <c r="D43" s="19">
        <v>52.590000000000003</v>
      </c>
      <c r="E43" s="19">
        <v>0.001715901313</v>
      </c>
      <c r="F43" s="22">
        <v>11.15</v>
      </c>
      <c r="G43" s="19">
        <v>25.27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1</v>
      </c>
      <c r="Q43" s="23">
        <v>0</v>
      </c>
      <c r="R43">
        <v>0</v>
      </c>
      <c r="S43">
        <v>0</v>
      </c>
      <c r="T43">
        <v>176.91999999999999</v>
      </c>
    </row>
    <row r="44" spans="1:20" ht="12.75" customHeight="1">
      <c r="A44" s="4">
        <f t="shared" si="0"/>
        <v>34</v>
      </c>
      <c r="B44">
        <v>2012</v>
      </c>
      <c r="C44">
        <v>10</v>
      </c>
      <c r="D44" s="19">
        <v>37.07</v>
      </c>
      <c r="E44" s="19">
        <v>0.24253549799999999</v>
      </c>
      <c r="F44" s="22">
        <v>4.9000000000000004</v>
      </c>
      <c r="G44" s="19">
        <v>25.940000000000001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1</v>
      </c>
      <c r="R44">
        <v>0</v>
      </c>
      <c r="S44">
        <v>0</v>
      </c>
      <c r="T44">
        <v>181.59</v>
      </c>
    </row>
    <row r="45" spans="1:20" ht="12.75" customHeight="1">
      <c r="A45" s="4">
        <f t="shared" si="0"/>
        <v>35</v>
      </c>
      <c r="B45">
        <v>2012</v>
      </c>
      <c r="C45">
        <v>11</v>
      </c>
      <c r="D45" s="19">
        <v>29.440000000000001</v>
      </c>
      <c r="E45" s="19">
        <v>1.190970165</v>
      </c>
      <c r="F45" s="22">
        <v>1.46</v>
      </c>
      <c r="G45" s="19">
        <v>26.550000000000001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>
        <v>1</v>
      </c>
      <c r="S45">
        <v>0</v>
      </c>
      <c r="T45">
        <v>185.87000000000001</v>
      </c>
    </row>
    <row r="46" spans="1:20" ht="12.75" customHeight="1">
      <c r="A46" s="4">
        <f t="shared" si="0"/>
        <v>36</v>
      </c>
      <c r="B46">
        <v>2012</v>
      </c>
      <c r="C46">
        <v>12</v>
      </c>
      <c r="D46" s="19">
        <v>30.690000000000001</v>
      </c>
      <c r="E46" s="19">
        <v>2.6572035390000002</v>
      </c>
      <c r="F46" s="22">
        <v>0.33000000000000002</v>
      </c>
      <c r="G46" s="19">
        <v>27.309999999999999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>
        <v>0</v>
      </c>
      <c r="S46">
        <v>1</v>
      </c>
      <c r="T46">
        <v>191.15000000000001</v>
      </c>
    </row>
    <row r="47" spans="1:20" ht="12.75" customHeight="1">
      <c r="A47" s="4">
        <f t="shared" si="0"/>
        <v>37</v>
      </c>
      <c r="B47">
        <v>2013</v>
      </c>
      <c r="C47">
        <v>1</v>
      </c>
      <c r="D47" s="19">
        <v>43.420000000000002</v>
      </c>
      <c r="E47" s="19">
        <v>8.5666742990000007</v>
      </c>
      <c r="F47" s="22">
        <v>0.059999999999999998</v>
      </c>
      <c r="G47" s="19">
        <v>27.870000000000001</v>
      </c>
      <c r="H47" s="23">
        <v>1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>
        <v>0</v>
      </c>
      <c r="S47">
        <v>0</v>
      </c>
      <c r="T47">
        <v>222.99000000000001</v>
      </c>
    </row>
    <row r="48" spans="1:20" ht="12.75" customHeight="1">
      <c r="A48" s="4">
        <f t="shared" si="0"/>
        <v>38</v>
      </c>
      <c r="B48">
        <v>2013</v>
      </c>
      <c r="C48">
        <v>2</v>
      </c>
      <c r="D48" s="19">
        <v>35.18</v>
      </c>
      <c r="E48" s="19">
        <v>4.7800251600000001</v>
      </c>
      <c r="F48" s="22">
        <v>0.089999999999999997</v>
      </c>
      <c r="G48" s="19">
        <v>27.579999999999998</v>
      </c>
      <c r="H48" s="23">
        <v>0</v>
      </c>
      <c r="I48" s="23">
        <v>1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>
        <v>0</v>
      </c>
      <c r="S48">
        <v>0</v>
      </c>
      <c r="T48">
        <v>220.66</v>
      </c>
    </row>
    <row r="49" spans="1:20" ht="12.75" customHeight="1">
      <c r="A49" s="4">
        <f t="shared" si="0"/>
        <v>39</v>
      </c>
      <c r="B49">
        <v>2013</v>
      </c>
      <c r="C49">
        <v>3</v>
      </c>
      <c r="D49" s="19">
        <v>33.57</v>
      </c>
      <c r="E49" s="19">
        <v>4.3700403520000002</v>
      </c>
      <c r="F49" s="22">
        <v>0.059999999999999998</v>
      </c>
      <c r="G49" s="19">
        <v>27.260000000000002</v>
      </c>
      <c r="H49" s="23">
        <v>0</v>
      </c>
      <c r="I49" s="23">
        <v>0</v>
      </c>
      <c r="J49" s="23">
        <v>1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>
        <v>0</v>
      </c>
      <c r="S49">
        <v>0</v>
      </c>
      <c r="T49">
        <v>218.06999999999999</v>
      </c>
    </row>
    <row r="50" spans="1:20" ht="12.75" customHeight="1">
      <c r="A50" s="4">
        <f t="shared" si="0"/>
        <v>40</v>
      </c>
      <c r="B50">
        <v>2013</v>
      </c>
      <c r="C50">
        <v>4</v>
      </c>
      <c r="D50" s="19">
        <v>29.210000000000001</v>
      </c>
      <c r="E50" s="19">
        <v>2.1411278440000001</v>
      </c>
      <c r="F50" s="22">
        <v>0.53000000000000003</v>
      </c>
      <c r="G50" s="19">
        <v>26.690000000000001</v>
      </c>
      <c r="H50" s="23">
        <v>0</v>
      </c>
      <c r="I50" s="23">
        <v>0</v>
      </c>
      <c r="J50" s="23">
        <v>0</v>
      </c>
      <c r="K50" s="23">
        <v>1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>
        <v>0</v>
      </c>
      <c r="S50">
        <v>0</v>
      </c>
      <c r="T50">
        <v>213.49000000000001</v>
      </c>
    </row>
    <row r="51" spans="1:20" ht="12.75" customHeight="1">
      <c r="A51" s="4">
        <f t="shared" si="0"/>
        <v>41</v>
      </c>
      <c r="B51">
        <v>2013</v>
      </c>
      <c r="C51">
        <v>5</v>
      </c>
      <c r="D51" s="19">
        <v>30.260000000000002</v>
      </c>
      <c r="E51" s="19">
        <v>0.89268725879999999</v>
      </c>
      <c r="F51" s="22">
        <v>1.78</v>
      </c>
      <c r="G51" s="19">
        <v>26.34</v>
      </c>
      <c r="H51" s="23">
        <v>0</v>
      </c>
      <c r="I51" s="23">
        <v>0</v>
      </c>
      <c r="J51" s="23">
        <v>0</v>
      </c>
      <c r="K51" s="23">
        <v>0</v>
      </c>
      <c r="L51" s="23">
        <v>1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>
        <v>0</v>
      </c>
      <c r="S51">
        <v>0</v>
      </c>
      <c r="T51">
        <v>210.69999999999999</v>
      </c>
    </row>
    <row r="52" spans="1:20" ht="12.75" customHeight="1">
      <c r="A52" s="4">
        <f t="shared" si="0"/>
        <v>42</v>
      </c>
      <c r="B52">
        <v>2013</v>
      </c>
      <c r="C52">
        <v>6</v>
      </c>
      <c r="D52" s="19">
        <v>42.049999999999997</v>
      </c>
      <c r="E52" s="19">
        <v>0.046326745709999999</v>
      </c>
      <c r="F52" s="22">
        <v>6.7699999999999996</v>
      </c>
      <c r="G52" s="19">
        <v>26.010000000000002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1</v>
      </c>
      <c r="N52" s="23">
        <v>0</v>
      </c>
      <c r="O52" s="23">
        <v>0</v>
      </c>
      <c r="P52" s="23">
        <v>0</v>
      </c>
      <c r="Q52" s="23">
        <v>0</v>
      </c>
      <c r="R52">
        <v>0</v>
      </c>
      <c r="S52">
        <v>0</v>
      </c>
      <c r="T52">
        <v>208.11000000000001</v>
      </c>
    </row>
    <row r="53" spans="1:20" ht="12.75" customHeight="1">
      <c r="A53" s="4">
        <f t="shared" si="0"/>
        <v>43</v>
      </c>
      <c r="B53">
        <v>2013</v>
      </c>
      <c r="C53">
        <v>7</v>
      </c>
      <c r="D53" s="19">
        <v>53.969999999999999</v>
      </c>
      <c r="E53" s="19">
        <v>0</v>
      </c>
      <c r="F53" s="22">
        <v>11.69</v>
      </c>
      <c r="G53" s="19">
        <v>25.359999999999999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1</v>
      </c>
      <c r="O53" s="23">
        <v>0</v>
      </c>
      <c r="P53" s="23">
        <v>0</v>
      </c>
      <c r="Q53" s="23">
        <v>0</v>
      </c>
      <c r="R53">
        <v>0</v>
      </c>
      <c r="S53">
        <v>0</v>
      </c>
      <c r="T53">
        <v>202.91</v>
      </c>
    </row>
    <row r="54" spans="1:20" ht="12.75" customHeight="1">
      <c r="A54" s="4">
        <f t="shared" si="0"/>
        <v>44</v>
      </c>
      <c r="B54">
        <v>2013</v>
      </c>
      <c r="C54">
        <v>8</v>
      </c>
      <c r="D54" s="19">
        <v>57.43</v>
      </c>
      <c r="E54" s="19">
        <v>0</v>
      </c>
      <c r="F54" s="22">
        <v>13.220000000000001</v>
      </c>
      <c r="G54" s="19">
        <v>25.260000000000002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1</v>
      </c>
      <c r="P54" s="23">
        <v>0</v>
      </c>
      <c r="Q54" s="23">
        <v>0</v>
      </c>
      <c r="R54">
        <v>0</v>
      </c>
      <c r="S54">
        <v>0</v>
      </c>
      <c r="T54">
        <v>202.05000000000001</v>
      </c>
    </row>
    <row r="55" spans="1:20" ht="12.75" customHeight="1">
      <c r="A55" s="4">
        <f t="shared" si="0"/>
        <v>45</v>
      </c>
      <c r="B55">
        <v>2013</v>
      </c>
      <c r="C55">
        <v>9</v>
      </c>
      <c r="D55" s="19">
        <v>57.009999999999998</v>
      </c>
      <c r="E55" s="19">
        <v>0</v>
      </c>
      <c r="F55" s="22">
        <v>12.960000000000001</v>
      </c>
      <c r="G55" s="19">
        <v>25.649999999999999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1</v>
      </c>
      <c r="Q55" s="23">
        <v>0</v>
      </c>
      <c r="R55">
        <v>0</v>
      </c>
      <c r="S55">
        <v>0</v>
      </c>
      <c r="T55">
        <v>205.22</v>
      </c>
    </row>
    <row r="56" spans="1:20" ht="12.75" customHeight="1">
      <c r="A56" s="4">
        <f t="shared" si="0"/>
        <v>46</v>
      </c>
      <c r="B56">
        <v>2013</v>
      </c>
      <c r="C56">
        <v>10</v>
      </c>
      <c r="D56" s="19">
        <v>41.140000000000001</v>
      </c>
      <c r="E56" s="19">
        <v>0.061301335130000002</v>
      </c>
      <c r="F56" s="22">
        <v>6.5999999999999996</v>
      </c>
      <c r="G56" s="19">
        <v>26.289999999999999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1</v>
      </c>
      <c r="R56">
        <v>0</v>
      </c>
      <c r="S56">
        <v>0</v>
      </c>
      <c r="T56">
        <v>210.34</v>
      </c>
    </row>
    <row r="57" spans="1:20" ht="12.75" customHeight="1">
      <c r="A57" s="4">
        <f t="shared" si="0"/>
        <v>47</v>
      </c>
      <c r="B57">
        <v>2013</v>
      </c>
      <c r="C57">
        <v>11</v>
      </c>
      <c r="D57" s="19">
        <v>27.399999999999999</v>
      </c>
      <c r="E57" s="19">
        <v>0.85248051489999999</v>
      </c>
      <c r="F57" s="22">
        <v>0.94999999999999996</v>
      </c>
      <c r="G57" s="19">
        <v>26.879999999999999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>
        <v>1</v>
      </c>
      <c r="S57">
        <v>0</v>
      </c>
      <c r="T57">
        <v>215.00999999999999</v>
      </c>
    </row>
    <row r="58" spans="1:20" ht="12.75" customHeight="1">
      <c r="A58" s="4">
        <f t="shared" si="0"/>
        <v>48</v>
      </c>
      <c r="B58">
        <v>2013</v>
      </c>
      <c r="C58">
        <v>12</v>
      </c>
      <c r="D58" s="19">
        <v>41.25</v>
      </c>
      <c r="E58" s="19">
        <v>7.988905581</v>
      </c>
      <c r="F58" s="22">
        <v>0.16</v>
      </c>
      <c r="G58" s="19">
        <v>27.620000000000001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>
        <v>0</v>
      </c>
      <c r="S58">
        <v>1</v>
      </c>
      <c r="T58">
        <v>220.93000000000001</v>
      </c>
    </row>
    <row r="59" spans="1:20" ht="12.75" customHeight="1">
      <c r="A59" s="4">
        <f t="shared" si="0"/>
        <v>49</v>
      </c>
      <c r="B59">
        <v>2014</v>
      </c>
      <c r="C59">
        <v>1</v>
      </c>
      <c r="D59" s="19">
        <v>48.43</v>
      </c>
      <c r="E59" s="19">
        <v>10.558963200000001</v>
      </c>
      <c r="F59" s="22">
        <v>0</v>
      </c>
      <c r="G59" s="19">
        <v>28.140000000000001</v>
      </c>
      <c r="H59" s="23">
        <v>1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>
        <v>0</v>
      </c>
      <c r="S59">
        <v>0</v>
      </c>
      <c r="T59">
        <v>253.28999999999999</v>
      </c>
    </row>
    <row r="60" spans="1:20" ht="12.75" customHeight="1">
      <c r="A60" s="4">
        <f t="shared" si="0"/>
        <v>50</v>
      </c>
      <c r="B60">
        <v>2014</v>
      </c>
      <c r="C60">
        <v>2</v>
      </c>
      <c r="D60" s="19">
        <v>47.630000000000003</v>
      </c>
      <c r="E60" s="19">
        <v>10.69900681</v>
      </c>
      <c r="F60" s="22">
        <v>0</v>
      </c>
      <c r="G60" s="19">
        <v>27.859999999999999</v>
      </c>
      <c r="H60" s="23">
        <v>0</v>
      </c>
      <c r="I60" s="23">
        <v>1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>
        <v>0</v>
      </c>
      <c r="S60">
        <v>0</v>
      </c>
      <c r="T60">
        <v>250.69999999999999</v>
      </c>
    </row>
    <row r="61" spans="1:20" ht="12.75" customHeight="1">
      <c r="A61" s="4">
        <f t="shared" si="0"/>
        <v>51</v>
      </c>
      <c r="B61">
        <v>2014</v>
      </c>
      <c r="C61">
        <v>3</v>
      </c>
      <c r="D61" s="19">
        <v>39.100000000000001</v>
      </c>
      <c r="E61" s="19">
        <v>6.988691856</v>
      </c>
      <c r="F61" s="22">
        <v>0.029999999999999999</v>
      </c>
      <c r="G61" s="19">
        <v>27.539999999999999</v>
      </c>
      <c r="H61" s="23">
        <v>0</v>
      </c>
      <c r="I61" s="23">
        <v>0</v>
      </c>
      <c r="J61" s="23">
        <v>1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>
        <v>0</v>
      </c>
      <c r="S61">
        <v>0</v>
      </c>
      <c r="T61">
        <v>247.84</v>
      </c>
    </row>
    <row r="62" spans="1:20" ht="12.75" customHeight="1">
      <c r="A62" s="4">
        <f t="shared" si="0"/>
        <v>52</v>
      </c>
      <c r="B62">
        <v>2014</v>
      </c>
      <c r="C62">
        <v>4</v>
      </c>
      <c r="D62" s="19">
        <v>29.109999999999999</v>
      </c>
      <c r="E62" s="19">
        <v>1.9872527200000001</v>
      </c>
      <c r="F62" s="22">
        <v>0.65000000000000002</v>
      </c>
      <c r="G62" s="19">
        <v>26.969999999999999</v>
      </c>
      <c r="H62" s="23">
        <v>0</v>
      </c>
      <c r="I62" s="23">
        <v>0</v>
      </c>
      <c r="J62" s="23">
        <v>0</v>
      </c>
      <c r="K62" s="23">
        <v>1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>
        <v>0</v>
      </c>
      <c r="S62">
        <v>0</v>
      </c>
      <c r="T62">
        <v>242.72</v>
      </c>
    </row>
    <row r="63" spans="1:20" ht="12.75" customHeight="1">
      <c r="A63" s="4">
        <f t="shared" si="0"/>
        <v>53</v>
      </c>
      <c r="B63">
        <v>2014</v>
      </c>
      <c r="C63">
        <v>5</v>
      </c>
      <c r="D63" s="19">
        <v>30.170000000000002</v>
      </c>
      <c r="E63" s="19">
        <v>0.37851431260000001</v>
      </c>
      <c r="F63" s="22">
        <v>2.6600000000000001</v>
      </c>
      <c r="G63" s="19">
        <v>26.629999999999999</v>
      </c>
      <c r="H63" s="23">
        <v>0</v>
      </c>
      <c r="I63" s="23">
        <v>0</v>
      </c>
      <c r="J63" s="23">
        <v>0</v>
      </c>
      <c r="K63" s="23">
        <v>0</v>
      </c>
      <c r="L63" s="23">
        <v>1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>
        <v>0</v>
      </c>
      <c r="S63">
        <v>0</v>
      </c>
      <c r="T63">
        <v>239.65000000000001</v>
      </c>
    </row>
    <row r="64" spans="1:20" ht="12.75" customHeight="1">
      <c r="A64" s="4">
        <f t="shared" si="0"/>
        <v>54</v>
      </c>
      <c r="B64">
        <v>2014</v>
      </c>
      <c r="C64">
        <v>6</v>
      </c>
      <c r="D64" s="19">
        <v>39.899999999999999</v>
      </c>
      <c r="E64" s="19">
        <v>0.016410570329999999</v>
      </c>
      <c r="F64" s="22">
        <v>6.6200000000000001</v>
      </c>
      <c r="G64" s="19">
        <v>26.309999999999999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1</v>
      </c>
      <c r="N64" s="23">
        <v>0</v>
      </c>
      <c r="O64" s="23">
        <v>0</v>
      </c>
      <c r="P64" s="23">
        <v>0</v>
      </c>
      <c r="Q64" s="23">
        <v>0</v>
      </c>
      <c r="R64">
        <v>0</v>
      </c>
      <c r="S64">
        <v>0</v>
      </c>
      <c r="T64">
        <v>236.81</v>
      </c>
    </row>
    <row r="65" spans="1:20" ht="12.75" customHeight="1">
      <c r="A65" s="4">
        <f t="shared" si="0"/>
        <v>55</v>
      </c>
      <c r="B65">
        <v>2014</v>
      </c>
      <c r="C65">
        <v>7</v>
      </c>
      <c r="D65" s="19">
        <v>49.719999999999999</v>
      </c>
      <c r="E65" s="19">
        <v>0</v>
      </c>
      <c r="F65" s="22">
        <v>10.4</v>
      </c>
      <c r="G65" s="19">
        <v>25.66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1</v>
      </c>
      <c r="O65" s="23">
        <v>0</v>
      </c>
      <c r="P65" s="23">
        <v>0</v>
      </c>
      <c r="Q65" s="23">
        <v>0</v>
      </c>
      <c r="R65">
        <v>0</v>
      </c>
      <c r="S65">
        <v>0</v>
      </c>
      <c r="T65">
        <v>230.96000000000001</v>
      </c>
    </row>
    <row r="66" spans="1:20" ht="12.75" customHeight="1">
      <c r="A66" s="4">
        <f t="shared" si="0"/>
        <v>56</v>
      </c>
      <c r="B66">
        <v>2014</v>
      </c>
      <c r="C66">
        <v>8</v>
      </c>
      <c r="D66" s="19">
        <v>52.299999999999997</v>
      </c>
      <c r="E66" s="19">
        <v>0</v>
      </c>
      <c r="F66" s="22">
        <v>11.539999999999999</v>
      </c>
      <c r="G66" s="19">
        <v>25.550000000000001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1</v>
      </c>
      <c r="P66" s="23">
        <v>0</v>
      </c>
      <c r="Q66" s="23">
        <v>0</v>
      </c>
      <c r="R66">
        <v>0</v>
      </c>
      <c r="S66">
        <v>0</v>
      </c>
      <c r="T66">
        <v>229.94999999999999</v>
      </c>
    </row>
    <row r="67" spans="1:20" ht="12.75" customHeight="1">
      <c r="A67" s="4">
        <f t="shared" si="0"/>
        <v>57</v>
      </c>
      <c r="B67">
        <v>2014</v>
      </c>
      <c r="C67">
        <v>9</v>
      </c>
      <c r="D67" s="19">
        <v>54.079999999999998</v>
      </c>
      <c r="E67" s="19">
        <v>0.0058311665449999996</v>
      </c>
      <c r="F67" s="22">
        <v>11.970000000000001</v>
      </c>
      <c r="G67" s="19">
        <v>25.940000000000001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1</v>
      </c>
      <c r="Q67" s="23">
        <v>0</v>
      </c>
      <c r="R67">
        <v>0</v>
      </c>
      <c r="S67">
        <v>0</v>
      </c>
      <c r="T67">
        <v>233.5</v>
      </c>
    </row>
    <row r="68" spans="1:20" ht="12.75" customHeight="1">
      <c r="A68" s="4">
        <f t="shared" si="0"/>
        <v>58</v>
      </c>
      <c r="B68">
        <v>2014</v>
      </c>
      <c r="C68">
        <v>10</v>
      </c>
      <c r="D68" s="19">
        <v>38.670000000000002</v>
      </c>
      <c r="E68" s="19">
        <v>0.02200383618</v>
      </c>
      <c r="F68" s="22">
        <v>5.7400000000000002</v>
      </c>
      <c r="G68" s="19">
        <v>26.579999999999998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1</v>
      </c>
      <c r="R68">
        <v>0</v>
      </c>
      <c r="S68">
        <v>0</v>
      </c>
      <c r="T68">
        <v>239.18000000000001</v>
      </c>
    </row>
    <row r="69" spans="1:20" ht="12.75" customHeight="1">
      <c r="A69" s="4">
        <f t="shared" si="0"/>
        <v>59</v>
      </c>
      <c r="B69">
        <v>2014</v>
      </c>
      <c r="C69">
        <v>11</v>
      </c>
      <c r="D69" s="19">
        <v>30.969999999999999</v>
      </c>
      <c r="E69" s="19">
        <v>1.881405765</v>
      </c>
      <c r="F69" s="22">
        <v>1.51</v>
      </c>
      <c r="G69" s="19">
        <v>27.149999999999999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>
        <v>1</v>
      </c>
      <c r="S69">
        <v>0</v>
      </c>
      <c r="T69">
        <v>244.37000000000001</v>
      </c>
    </row>
    <row r="70" spans="1:20" ht="12.75" customHeight="1">
      <c r="A70" s="4">
        <f t="shared" si="0"/>
        <v>60</v>
      </c>
      <c r="B70">
        <v>2014</v>
      </c>
      <c r="C70">
        <v>12</v>
      </c>
      <c r="D70" s="19">
        <v>34.520000000000003</v>
      </c>
      <c r="E70" s="19">
        <v>5.4628876909999997</v>
      </c>
      <c r="F70" s="22">
        <v>0.040000000000000001</v>
      </c>
      <c r="G70" s="19">
        <v>27.890000000000001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>
        <v>0</v>
      </c>
      <c r="S70">
        <v>1</v>
      </c>
      <c r="T70">
        <v>251</v>
      </c>
    </row>
    <row r="71" spans="1:20" ht="12.75" customHeight="1">
      <c r="A71" s="4">
        <f t="shared" si="0"/>
        <v>61</v>
      </c>
      <c r="B71">
        <v>2015</v>
      </c>
      <c r="C71">
        <v>1</v>
      </c>
      <c r="D71" s="19">
        <v>43.460000000000001</v>
      </c>
      <c r="E71" s="19">
        <v>9.0495906440000002</v>
      </c>
      <c r="F71" s="22">
        <v>0.01</v>
      </c>
      <c r="G71" s="19">
        <v>28.379999999999999</v>
      </c>
      <c r="H71" s="23">
        <v>1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>
        <v>0</v>
      </c>
      <c r="S71">
        <v>0</v>
      </c>
      <c r="T71">
        <v>283.75999999999999</v>
      </c>
    </row>
    <row r="72" spans="1:20" ht="12.75" customHeight="1">
      <c r="A72" s="4">
        <f t="shared" si="0"/>
        <v>62</v>
      </c>
      <c r="B72">
        <v>2015</v>
      </c>
      <c r="C72">
        <v>2</v>
      </c>
      <c r="D72" s="19">
        <v>41.020000000000003</v>
      </c>
      <c r="E72" s="19">
        <v>7.8019117070000004</v>
      </c>
      <c r="F72" s="22">
        <v>0</v>
      </c>
      <c r="G72" s="19">
        <v>28.100000000000001</v>
      </c>
      <c r="H72" s="23">
        <v>0</v>
      </c>
      <c r="I72" s="23">
        <v>1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>
        <v>0</v>
      </c>
      <c r="S72">
        <v>0</v>
      </c>
      <c r="T72">
        <v>280.98000000000002</v>
      </c>
    </row>
    <row r="73" spans="1:20" ht="12.75" customHeight="1">
      <c r="A73" s="4">
        <f t="shared" si="0"/>
        <v>63</v>
      </c>
      <c r="B73">
        <v>2015</v>
      </c>
      <c r="C73">
        <v>3</v>
      </c>
      <c r="D73" s="19">
        <v>43.600000000000001</v>
      </c>
      <c r="E73" s="19">
        <v>9.3078837530000005</v>
      </c>
      <c r="F73" s="22">
        <v>0.02</v>
      </c>
      <c r="G73" s="19">
        <v>27.789999999999999</v>
      </c>
      <c r="H73" s="23">
        <v>0</v>
      </c>
      <c r="I73" s="23">
        <v>0</v>
      </c>
      <c r="J73" s="23">
        <v>1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>
        <v>0</v>
      </c>
      <c r="S73">
        <v>0</v>
      </c>
      <c r="T73">
        <v>277.89999999999998</v>
      </c>
    </row>
    <row r="74" spans="1:20" ht="12.75" customHeight="1">
      <c r="A74" s="4">
        <f t="shared" si="0"/>
        <v>64</v>
      </c>
      <c r="B74">
        <v>2015</v>
      </c>
      <c r="C74">
        <v>4</v>
      </c>
      <c r="D74" s="19">
        <v>28.489999999999998</v>
      </c>
      <c r="E74" s="19">
        <v>1.406386135</v>
      </c>
      <c r="F74" s="22">
        <v>0.72999999999999998</v>
      </c>
      <c r="G74" s="19">
        <v>27.23</v>
      </c>
      <c r="H74" s="23">
        <v>0</v>
      </c>
      <c r="I74" s="23">
        <v>0</v>
      </c>
      <c r="J74" s="23">
        <v>0</v>
      </c>
      <c r="K74" s="23">
        <v>1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>
        <v>0</v>
      </c>
      <c r="S74">
        <v>0</v>
      </c>
      <c r="T74">
        <v>272.33999999999997</v>
      </c>
    </row>
    <row r="75" spans="1:20" ht="12.75" customHeight="1">
      <c r="A75" s="4">
        <f t="shared" si="0"/>
        <v>65</v>
      </c>
      <c r="B75">
        <v>2015</v>
      </c>
      <c r="C75">
        <v>5</v>
      </c>
      <c r="D75" s="19">
        <v>28.120000000000001</v>
      </c>
      <c r="E75" s="19">
        <v>0.15728852979999999</v>
      </c>
      <c r="F75" s="22">
        <v>1.3999999999999999</v>
      </c>
      <c r="G75" s="19">
        <v>26.91</v>
      </c>
      <c r="H75" s="23">
        <v>0</v>
      </c>
      <c r="I75" s="23">
        <v>0</v>
      </c>
      <c r="J75" s="23">
        <v>0</v>
      </c>
      <c r="K75" s="23">
        <v>0</v>
      </c>
      <c r="L75" s="23">
        <v>1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>
        <v>0</v>
      </c>
      <c r="S75">
        <v>0</v>
      </c>
      <c r="T75">
        <v>269.07999999999998</v>
      </c>
    </row>
    <row r="76" spans="1:20" ht="12.75" customHeight="1">
      <c r="A76" s="4">
        <f t="shared" si="0"/>
        <v>66</v>
      </c>
      <c r="B76">
        <v>2015</v>
      </c>
      <c r="C76">
        <v>6</v>
      </c>
      <c r="D76" s="19">
        <v>37.350000000000001</v>
      </c>
      <c r="E76" s="19">
        <v>0.02350903255</v>
      </c>
      <c r="F76" s="22">
        <v>4.4800000000000004</v>
      </c>
      <c r="G76" s="19">
        <v>26.609999999999999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M76" s="23">
        <v>1</v>
      </c>
      <c r="N76" s="23">
        <v>0</v>
      </c>
      <c r="O76" s="23">
        <v>0</v>
      </c>
      <c r="P76" s="23">
        <v>0</v>
      </c>
      <c r="Q76" s="23">
        <v>0</v>
      </c>
      <c r="R76">
        <v>0</v>
      </c>
      <c r="S76">
        <v>0</v>
      </c>
      <c r="T76">
        <v>266.08999999999997</v>
      </c>
    </row>
    <row r="77" spans="1:20" ht="12.75" customHeight="1">
      <c r="A77" s="4">
        <f t="shared" si="1" ref="A77:A140">+A76+1</f>
        <v>67</v>
      </c>
      <c r="B77">
        <v>2015</v>
      </c>
      <c r="C77">
        <v>7</v>
      </c>
      <c r="D77" s="19">
        <v>51.719999999999999</v>
      </c>
      <c r="E77" s="19">
        <v>0</v>
      </c>
      <c r="F77" s="22">
        <v>10.83</v>
      </c>
      <c r="G77" s="19">
        <v>25.969999999999999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1</v>
      </c>
      <c r="O77" s="23">
        <v>0</v>
      </c>
      <c r="P77" s="23">
        <v>0</v>
      </c>
      <c r="Q77" s="23">
        <v>0</v>
      </c>
      <c r="R77">
        <v>0</v>
      </c>
      <c r="S77">
        <v>0</v>
      </c>
      <c r="T77">
        <v>259.67000000000002</v>
      </c>
    </row>
    <row r="78" spans="1:20" ht="12.75" customHeight="1">
      <c r="A78" s="4">
        <f t="shared" si="1"/>
        <v>68</v>
      </c>
      <c r="B78">
        <v>2015</v>
      </c>
      <c r="C78">
        <v>8</v>
      </c>
      <c r="D78" s="19">
        <v>61.25</v>
      </c>
      <c r="E78" s="19">
        <v>0</v>
      </c>
      <c r="F78" s="22">
        <v>14.94</v>
      </c>
      <c r="G78" s="19">
        <v>25.850000000000001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1</v>
      </c>
      <c r="P78" s="23">
        <v>0</v>
      </c>
      <c r="Q78" s="23">
        <v>0</v>
      </c>
      <c r="R78">
        <v>0</v>
      </c>
      <c r="S78">
        <v>0</v>
      </c>
      <c r="T78">
        <v>258.50999999999999</v>
      </c>
    </row>
    <row r="79" spans="1:20" ht="12.75" customHeight="1">
      <c r="A79" s="4">
        <f t="shared" si="1"/>
        <v>69</v>
      </c>
      <c r="B79">
        <v>2015</v>
      </c>
      <c r="C79">
        <v>9</v>
      </c>
      <c r="D79" s="19">
        <v>54.799999999999997</v>
      </c>
      <c r="E79" s="19">
        <v>0</v>
      </c>
      <c r="F79" s="22">
        <v>12.32</v>
      </c>
      <c r="G79" s="19">
        <v>26.239999999999998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1</v>
      </c>
      <c r="Q79" s="23">
        <v>0</v>
      </c>
      <c r="R79">
        <v>0</v>
      </c>
      <c r="S79">
        <v>0</v>
      </c>
      <c r="T79">
        <v>262.38999999999999</v>
      </c>
    </row>
    <row r="80" spans="1:20" ht="12.75" customHeight="1">
      <c r="A80" s="4">
        <f t="shared" si="1"/>
        <v>70</v>
      </c>
      <c r="B80">
        <v>2015</v>
      </c>
      <c r="C80">
        <v>10</v>
      </c>
      <c r="D80" s="19">
        <v>42.380000000000003</v>
      </c>
      <c r="E80" s="19">
        <v>0.001013219462</v>
      </c>
      <c r="F80" s="22">
        <v>7.2800000000000002</v>
      </c>
      <c r="G80" s="19">
        <v>26.859999999999999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1</v>
      </c>
      <c r="R80">
        <v>0</v>
      </c>
      <c r="S80">
        <v>0</v>
      </c>
      <c r="T80">
        <v>268.56</v>
      </c>
    </row>
    <row r="81" spans="1:20" ht="12.75" customHeight="1">
      <c r="A81" s="4">
        <f t="shared" si="1"/>
        <v>71</v>
      </c>
      <c r="B81">
        <v>2015</v>
      </c>
      <c r="C81">
        <v>11</v>
      </c>
      <c r="D81" s="19">
        <v>28.690000000000001</v>
      </c>
      <c r="E81" s="19">
        <v>0.1978361186</v>
      </c>
      <c r="F81" s="22">
        <v>1.8400000000000001</v>
      </c>
      <c r="G81" s="19">
        <v>27.420000000000002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>
        <v>1</v>
      </c>
      <c r="S81">
        <v>0</v>
      </c>
      <c r="T81">
        <v>274.19</v>
      </c>
    </row>
    <row r="82" spans="1:20" ht="12.75" customHeight="1">
      <c r="A82" s="4">
        <f t="shared" si="1"/>
        <v>72</v>
      </c>
      <c r="B82">
        <v>2015</v>
      </c>
      <c r="C82">
        <v>12</v>
      </c>
      <c r="D82" s="19">
        <v>30.800000000000001</v>
      </c>
      <c r="E82" s="19">
        <v>3.1936075609999999</v>
      </c>
      <c r="F82" s="22">
        <v>0.17999999999999999</v>
      </c>
      <c r="G82" s="19">
        <v>28.149999999999999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>
        <v>0</v>
      </c>
      <c r="S82">
        <v>1</v>
      </c>
      <c r="T82">
        <v>281.49000000000001</v>
      </c>
    </row>
    <row r="83" spans="1:20" ht="12.75" customHeight="1">
      <c r="A83" s="4">
        <f t="shared" si="1"/>
        <v>73</v>
      </c>
      <c r="B83">
        <v>2016</v>
      </c>
      <c r="C83">
        <v>1</v>
      </c>
      <c r="D83" s="19">
        <v>38.130000000000003</v>
      </c>
      <c r="E83" s="19">
        <v>6.1085233099999998</v>
      </c>
      <c r="F83" s="22">
        <v>0.11</v>
      </c>
      <c r="G83" s="19">
        <v>29.25</v>
      </c>
      <c r="H83" s="23">
        <v>1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>
        <v>0</v>
      </c>
      <c r="S83">
        <v>0</v>
      </c>
      <c r="T83">
        <v>321.75999999999999</v>
      </c>
    </row>
    <row r="84" spans="1:20" ht="12.75" customHeight="1">
      <c r="A84" s="4">
        <f t="shared" si="1"/>
        <v>74</v>
      </c>
      <c r="B84">
        <v>2016</v>
      </c>
      <c r="C84">
        <v>2</v>
      </c>
      <c r="D84" s="19">
        <v>38.670000000000002</v>
      </c>
      <c r="E84" s="19">
        <v>6.4996112090000002</v>
      </c>
      <c r="F84" s="22">
        <v>0.01</v>
      </c>
      <c r="G84" s="19">
        <v>29.010000000000002</v>
      </c>
      <c r="H84" s="23">
        <v>0</v>
      </c>
      <c r="I84" s="23">
        <v>1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>
        <v>0</v>
      </c>
      <c r="S84">
        <v>0</v>
      </c>
      <c r="T84">
        <v>319.06</v>
      </c>
    </row>
    <row r="85" spans="1:20" ht="12.75" customHeight="1">
      <c r="A85" s="4">
        <f t="shared" si="1"/>
        <v>75</v>
      </c>
      <c r="B85">
        <v>2016</v>
      </c>
      <c r="C85">
        <v>3</v>
      </c>
      <c r="D85" s="19">
        <v>28.66</v>
      </c>
      <c r="E85" s="19">
        <v>2.0634900379999999</v>
      </c>
      <c r="F85" s="22">
        <v>0.12</v>
      </c>
      <c r="G85" s="19">
        <v>28.73</v>
      </c>
      <c r="H85" s="23">
        <v>0</v>
      </c>
      <c r="I85" s="23">
        <v>0</v>
      </c>
      <c r="J85" s="23">
        <v>1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>
        <v>0</v>
      </c>
      <c r="S85">
        <v>0</v>
      </c>
      <c r="T85">
        <v>316.02999999999997</v>
      </c>
    </row>
    <row r="86" spans="1:20" ht="12.75" customHeight="1">
      <c r="A86" s="4">
        <f t="shared" si="1"/>
        <v>76</v>
      </c>
      <c r="B86">
        <v>2016</v>
      </c>
      <c r="C86">
        <v>4</v>
      </c>
      <c r="D86" s="19">
        <v>25.75</v>
      </c>
      <c r="E86" s="19">
        <v>0.85689069259999995</v>
      </c>
      <c r="F86" s="22">
        <v>0.37</v>
      </c>
      <c r="G86" s="19">
        <v>28.219999999999999</v>
      </c>
      <c r="H86" s="23">
        <v>0</v>
      </c>
      <c r="I86" s="23">
        <v>0</v>
      </c>
      <c r="J86" s="23">
        <v>0</v>
      </c>
      <c r="K86" s="23">
        <v>1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>
        <v>0</v>
      </c>
      <c r="S86">
        <v>0</v>
      </c>
      <c r="T86">
        <v>310.37</v>
      </c>
    </row>
    <row r="87" spans="1:20" ht="12.75" customHeight="1">
      <c r="A87" s="4">
        <f t="shared" si="1"/>
        <v>77</v>
      </c>
      <c r="B87">
        <v>2016</v>
      </c>
      <c r="C87">
        <v>5</v>
      </c>
      <c r="D87" s="19">
        <v>28.52</v>
      </c>
      <c r="E87" s="19">
        <v>0.10261327620000001</v>
      </c>
      <c r="F87" s="22">
        <v>1.8200000000000001</v>
      </c>
      <c r="G87" s="19">
        <v>27.949999999999999</v>
      </c>
      <c r="H87" s="23">
        <v>0</v>
      </c>
      <c r="I87" s="23">
        <v>0</v>
      </c>
      <c r="J87" s="23">
        <v>0</v>
      </c>
      <c r="K87" s="23">
        <v>0</v>
      </c>
      <c r="L87" s="23">
        <v>1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>
        <v>0</v>
      </c>
      <c r="S87">
        <v>0</v>
      </c>
      <c r="T87">
        <v>307.42000000000002</v>
      </c>
    </row>
    <row r="88" spans="1:20" ht="12.75" customHeight="1">
      <c r="A88" s="4">
        <f t="shared" si="1"/>
        <v>78</v>
      </c>
      <c r="B88">
        <v>2016</v>
      </c>
      <c r="C88">
        <v>6</v>
      </c>
      <c r="D88" s="19">
        <v>36.479999999999997</v>
      </c>
      <c r="E88" s="19">
        <v>0.028292321419999999</v>
      </c>
      <c r="F88" s="22">
        <v>5.0199999999999996</v>
      </c>
      <c r="G88" s="19">
        <v>27.719999999999999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1</v>
      </c>
      <c r="N88" s="23">
        <v>0</v>
      </c>
      <c r="O88" s="23">
        <v>0</v>
      </c>
      <c r="P88" s="23">
        <v>0</v>
      </c>
      <c r="Q88" s="23">
        <v>0</v>
      </c>
      <c r="R88">
        <v>0</v>
      </c>
      <c r="S88">
        <v>0</v>
      </c>
      <c r="T88">
        <v>304.87</v>
      </c>
    </row>
    <row r="89" spans="1:20" ht="12.75" customHeight="1">
      <c r="A89" s="4">
        <f t="shared" si="1"/>
        <v>79</v>
      </c>
      <c r="B89">
        <v>2016</v>
      </c>
      <c r="C89">
        <v>7</v>
      </c>
      <c r="D89" s="19">
        <v>54.25</v>
      </c>
      <c r="E89" s="19">
        <v>0</v>
      </c>
      <c r="F89" s="22">
        <v>12.35</v>
      </c>
      <c r="G89" s="19">
        <v>27.100000000000001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1</v>
      </c>
      <c r="O89" s="23">
        <v>0</v>
      </c>
      <c r="P89" s="23">
        <v>0</v>
      </c>
      <c r="Q89" s="23">
        <v>0</v>
      </c>
      <c r="R89">
        <v>0</v>
      </c>
      <c r="S89">
        <v>0</v>
      </c>
      <c r="T89">
        <v>298.06999999999999</v>
      </c>
    </row>
    <row r="90" spans="1:20" ht="12.75" customHeight="1">
      <c r="A90" s="4">
        <f t="shared" si="1"/>
        <v>80</v>
      </c>
      <c r="B90">
        <v>2016</v>
      </c>
      <c r="C90">
        <v>8</v>
      </c>
      <c r="D90" s="19">
        <v>60.049999999999997</v>
      </c>
      <c r="E90" s="19">
        <v>0</v>
      </c>
      <c r="F90" s="22">
        <v>14.52</v>
      </c>
      <c r="G90" s="19">
        <v>26.960000000000001</v>
      </c>
      <c r="H90" s="23">
        <v>0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23">
        <v>0</v>
      </c>
      <c r="O90" s="23">
        <v>1</v>
      </c>
      <c r="P90" s="23">
        <v>0</v>
      </c>
      <c r="Q90" s="23">
        <v>0</v>
      </c>
      <c r="R90">
        <v>0</v>
      </c>
      <c r="S90">
        <v>0</v>
      </c>
      <c r="T90">
        <v>296.60000000000002</v>
      </c>
    </row>
    <row r="91" spans="1:20" ht="12.75" customHeight="1">
      <c r="A91" s="4">
        <f t="shared" si="1"/>
        <v>81</v>
      </c>
      <c r="B91">
        <v>2016</v>
      </c>
      <c r="C91">
        <v>9</v>
      </c>
      <c r="D91" s="19">
        <v>50.960000000000001</v>
      </c>
      <c r="E91" s="19">
        <v>0</v>
      </c>
      <c r="F91" s="22">
        <v>10.800000000000001</v>
      </c>
      <c r="G91" s="19">
        <v>27.32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1</v>
      </c>
      <c r="Q91" s="23">
        <v>0</v>
      </c>
      <c r="R91">
        <v>0</v>
      </c>
      <c r="S91">
        <v>0</v>
      </c>
      <c r="T91">
        <v>300.47000000000003</v>
      </c>
    </row>
    <row r="92" spans="1:20" ht="12.75" customHeight="1">
      <c r="A92" s="4">
        <f t="shared" si="1"/>
        <v>82</v>
      </c>
      <c r="B92">
        <v>2016</v>
      </c>
      <c r="C92">
        <v>10</v>
      </c>
      <c r="D92" s="19">
        <v>42.380000000000003</v>
      </c>
      <c r="E92" s="19">
        <v>0.0039346271850000001</v>
      </c>
      <c r="F92" s="22">
        <v>7.2800000000000002</v>
      </c>
      <c r="G92" s="19">
        <v>27.879999999999999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1</v>
      </c>
      <c r="R92">
        <v>0</v>
      </c>
      <c r="S92">
        <v>0</v>
      </c>
      <c r="T92">
        <v>306.63999999999999</v>
      </c>
    </row>
    <row r="93" spans="1:20" ht="12.75" customHeight="1">
      <c r="A93" s="4">
        <f t="shared" si="1"/>
        <v>83</v>
      </c>
      <c r="B93">
        <v>2016</v>
      </c>
      <c r="C93">
        <v>11</v>
      </c>
      <c r="D93" s="19">
        <v>31.41</v>
      </c>
      <c r="E93" s="19">
        <v>0.091173476779999998</v>
      </c>
      <c r="F93" s="22">
        <v>3.02</v>
      </c>
      <c r="G93" s="19">
        <v>28.379999999999999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>
        <v>1</v>
      </c>
      <c r="S93">
        <v>0</v>
      </c>
      <c r="T93">
        <v>312.23000000000002</v>
      </c>
    </row>
    <row r="94" spans="1:20" ht="12.75" customHeight="1">
      <c r="A94" s="4">
        <f t="shared" si="1"/>
        <v>84</v>
      </c>
      <c r="B94">
        <v>2016</v>
      </c>
      <c r="C94">
        <v>12</v>
      </c>
      <c r="D94" s="19">
        <v>30.48</v>
      </c>
      <c r="E94" s="19">
        <v>2.9689254570000001</v>
      </c>
      <c r="F94" s="22">
        <v>0.37</v>
      </c>
      <c r="G94" s="19">
        <v>29.079999999999998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>
        <v>0</v>
      </c>
      <c r="S94">
        <v>1</v>
      </c>
      <c r="T94">
        <v>319.89999999999998</v>
      </c>
    </row>
    <row r="95" spans="1:20" ht="12.75" customHeight="1">
      <c r="A95" s="4">
        <f t="shared" si="1"/>
        <v>85</v>
      </c>
      <c r="B95">
        <v>2017</v>
      </c>
      <c r="C95">
        <v>1</v>
      </c>
      <c r="D95" s="19">
        <v>40.640000000000001</v>
      </c>
      <c r="E95" s="19">
        <v>7.1661187230000003</v>
      </c>
      <c r="F95" s="22">
        <v>0.17000000000000001</v>
      </c>
      <c r="G95" s="19">
        <v>29.600000000000001</v>
      </c>
      <c r="H95" s="23">
        <v>1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>
        <v>0</v>
      </c>
      <c r="S95">
        <v>0</v>
      </c>
      <c r="T95">
        <v>355.20999999999998</v>
      </c>
    </row>
    <row r="96" spans="1:20" ht="12.75" customHeight="1">
      <c r="A96" s="4">
        <f t="shared" si="1"/>
        <v>86</v>
      </c>
      <c r="B96">
        <v>2017</v>
      </c>
      <c r="C96">
        <v>2</v>
      </c>
      <c r="D96" s="19">
        <v>34.549999999999997</v>
      </c>
      <c r="E96" s="19">
        <v>4.4580862569999997</v>
      </c>
      <c r="F96" s="22">
        <v>0.16</v>
      </c>
      <c r="G96" s="19">
        <v>29.370000000000001</v>
      </c>
      <c r="H96" s="23">
        <v>0</v>
      </c>
      <c r="I96" s="23">
        <v>1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>
        <v>0</v>
      </c>
      <c r="S96">
        <v>0</v>
      </c>
      <c r="T96">
        <v>352.41000000000003</v>
      </c>
    </row>
    <row r="97" spans="1:20" ht="12.75" customHeight="1">
      <c r="A97" s="4">
        <f t="shared" si="1"/>
        <v>87</v>
      </c>
      <c r="B97">
        <v>2017</v>
      </c>
      <c r="C97">
        <v>3</v>
      </c>
      <c r="D97" s="19">
        <v>28.27</v>
      </c>
      <c r="E97" s="19">
        <v>1.7976480180000001</v>
      </c>
      <c r="F97" s="22">
        <v>0.55000000000000004</v>
      </c>
      <c r="G97" s="19">
        <v>29.100000000000001</v>
      </c>
      <c r="H97" s="23">
        <v>0</v>
      </c>
      <c r="I97" s="23">
        <v>0</v>
      </c>
      <c r="J97" s="23">
        <v>1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>
        <v>0</v>
      </c>
      <c r="S97">
        <v>0</v>
      </c>
      <c r="T97">
        <v>349.25</v>
      </c>
    </row>
    <row r="98" spans="1:20" ht="12.75" customHeight="1">
      <c r="A98" s="4">
        <f t="shared" si="1"/>
        <v>88</v>
      </c>
      <c r="B98">
        <v>2017</v>
      </c>
      <c r="C98">
        <v>4</v>
      </c>
      <c r="D98" s="19">
        <v>27.420000000000002</v>
      </c>
      <c r="E98" s="19">
        <v>0.46666895930000002</v>
      </c>
      <c r="F98" s="22">
        <v>1.3899999999999999</v>
      </c>
      <c r="G98" s="19">
        <v>28.609999999999999</v>
      </c>
      <c r="H98" s="23">
        <v>0</v>
      </c>
      <c r="I98" s="23">
        <v>0</v>
      </c>
      <c r="J98" s="23">
        <v>0</v>
      </c>
      <c r="K98" s="23">
        <v>1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>
        <v>0</v>
      </c>
      <c r="S98">
        <v>0</v>
      </c>
      <c r="T98">
        <v>343.27999999999997</v>
      </c>
    </row>
    <row r="99" spans="1:20" ht="12.75" customHeight="1">
      <c r="A99" s="4">
        <f t="shared" si="1"/>
        <v>89</v>
      </c>
      <c r="B99">
        <v>2017</v>
      </c>
      <c r="C99">
        <v>5</v>
      </c>
      <c r="D99" s="19">
        <v>29.579999999999998</v>
      </c>
      <c r="E99" s="19">
        <v>0.090373374049999997</v>
      </c>
      <c r="F99" s="22">
        <v>2.3900000000000001</v>
      </c>
      <c r="G99" s="19">
        <v>28.359999999999999</v>
      </c>
      <c r="H99" s="23">
        <v>0</v>
      </c>
      <c r="I99" s="23">
        <v>0</v>
      </c>
      <c r="J99" s="23">
        <v>0</v>
      </c>
      <c r="K99" s="23">
        <v>0</v>
      </c>
      <c r="L99" s="23">
        <v>1</v>
      </c>
      <c r="M99" s="23">
        <v>0</v>
      </c>
      <c r="N99" s="23">
        <v>0</v>
      </c>
      <c r="O99" s="23">
        <v>0</v>
      </c>
      <c r="P99" s="23">
        <v>0</v>
      </c>
      <c r="Q99" s="23">
        <v>0</v>
      </c>
      <c r="R99">
        <v>0</v>
      </c>
      <c r="S99">
        <v>0</v>
      </c>
      <c r="T99">
        <v>340.31999999999999</v>
      </c>
    </row>
    <row r="100" spans="1:20" ht="12.75" customHeight="1">
      <c r="A100" s="4">
        <f t="shared" si="1"/>
        <v>90</v>
      </c>
      <c r="B100">
        <v>2017</v>
      </c>
      <c r="C100">
        <v>6</v>
      </c>
      <c r="D100" s="19">
        <v>38.259999999999998</v>
      </c>
      <c r="E100" s="19">
        <v>0.0077523295919999999</v>
      </c>
      <c r="F100" s="22">
        <v>6.0099999999999998</v>
      </c>
      <c r="G100" s="19">
        <v>28.149999999999999</v>
      </c>
      <c r="H100" s="23">
        <v>0</v>
      </c>
      <c r="I100" s="23">
        <v>0</v>
      </c>
      <c r="J100" s="23">
        <v>0</v>
      </c>
      <c r="K100" s="23">
        <v>0</v>
      </c>
      <c r="L100" s="23">
        <v>0</v>
      </c>
      <c r="M100" s="23">
        <v>1</v>
      </c>
      <c r="N100" s="23">
        <v>0</v>
      </c>
      <c r="O100" s="23">
        <v>0</v>
      </c>
      <c r="P100" s="23">
        <v>0</v>
      </c>
      <c r="Q100" s="23">
        <v>0</v>
      </c>
      <c r="R100">
        <v>0</v>
      </c>
      <c r="S100">
        <v>0</v>
      </c>
      <c r="T100">
        <v>337.86000000000001</v>
      </c>
    </row>
    <row r="101" spans="1:20" ht="12.75" customHeight="1">
      <c r="A101" s="4">
        <f t="shared" si="1"/>
        <v>91</v>
      </c>
      <c r="B101">
        <v>2017</v>
      </c>
      <c r="C101">
        <v>7</v>
      </c>
      <c r="D101" s="19">
        <v>50.880000000000003</v>
      </c>
      <c r="E101" s="19">
        <v>0</v>
      </c>
      <c r="F101" s="22">
        <v>10.779999999999999</v>
      </c>
      <c r="G101" s="19">
        <v>27.550000000000001</v>
      </c>
      <c r="H101" s="23">
        <v>0</v>
      </c>
      <c r="I101" s="23">
        <v>0</v>
      </c>
      <c r="J101" s="23">
        <v>0</v>
      </c>
      <c r="K101" s="23">
        <v>0</v>
      </c>
      <c r="L101" s="23">
        <v>0</v>
      </c>
      <c r="M101" s="23">
        <v>0</v>
      </c>
      <c r="N101" s="23">
        <v>1</v>
      </c>
      <c r="O101" s="23">
        <v>0</v>
      </c>
      <c r="P101" s="23">
        <v>0</v>
      </c>
      <c r="Q101" s="23">
        <v>0</v>
      </c>
      <c r="R101">
        <v>0</v>
      </c>
      <c r="S101">
        <v>0</v>
      </c>
      <c r="T101">
        <v>330.56</v>
      </c>
    </row>
    <row r="102" spans="1:20" s="18" customFormat="1" ht="12.75" customHeight="1">
      <c r="A102" s="4">
        <f t="shared" si="1"/>
        <v>92</v>
      </c>
      <c r="B102">
        <v>2017</v>
      </c>
      <c r="C102">
        <v>8</v>
      </c>
      <c r="D102" s="19">
        <v>56.469999999999999</v>
      </c>
      <c r="E102" s="19">
        <v>0</v>
      </c>
      <c r="F102" s="22">
        <v>13.09</v>
      </c>
      <c r="G102" s="19">
        <v>27.399999999999999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1</v>
      </c>
      <c r="P102" s="23">
        <v>0</v>
      </c>
      <c r="Q102" s="23">
        <v>0</v>
      </c>
      <c r="R102" s="18">
        <v>0</v>
      </c>
      <c r="S102" s="18">
        <v>0</v>
      </c>
      <c r="T102" s="18">
        <v>328.85000000000002</v>
      </c>
    </row>
    <row r="103" spans="1:20" s="18" customFormat="1" ht="12.75" customHeight="1">
      <c r="A103" s="4">
        <f t="shared" si="1"/>
        <v>93</v>
      </c>
      <c r="B103">
        <v>2017</v>
      </c>
      <c r="C103">
        <v>9</v>
      </c>
      <c r="D103" s="19">
        <v>47.969999999999999</v>
      </c>
      <c r="E103" s="19">
        <v>0</v>
      </c>
      <c r="F103" s="22">
        <v>9.7100000000000009</v>
      </c>
      <c r="G103" s="19">
        <v>27.739999999999998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1</v>
      </c>
      <c r="Q103" s="23">
        <v>0</v>
      </c>
      <c r="R103" s="18">
        <v>0</v>
      </c>
      <c r="S103" s="18">
        <v>0</v>
      </c>
      <c r="T103" s="18">
        <v>332.86000000000001</v>
      </c>
    </row>
    <row r="104" spans="1:20" ht="12.75" customHeight="1">
      <c r="A104" s="4">
        <f t="shared" si="1"/>
        <v>94</v>
      </c>
      <c r="B104">
        <v>2017</v>
      </c>
      <c r="C104">
        <v>10</v>
      </c>
      <c r="D104" s="19">
        <v>41.130000000000003</v>
      </c>
      <c r="E104" s="19">
        <v>0.01898503134</v>
      </c>
      <c r="F104" s="22">
        <v>7.0499999999999998</v>
      </c>
      <c r="G104" s="19">
        <v>28.27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1</v>
      </c>
      <c r="R104">
        <v>0</v>
      </c>
      <c r="S104">
        <v>0</v>
      </c>
      <c r="T104">
        <v>339.25999999999999</v>
      </c>
    </row>
    <row r="105" spans="1:20" ht="12.75" customHeight="1">
      <c r="A105" s="4">
        <f t="shared" si="1"/>
        <v>95</v>
      </c>
      <c r="B105">
        <v>2017</v>
      </c>
      <c r="C105">
        <v>11</v>
      </c>
      <c r="D105" s="19">
        <v>29.359999999999999</v>
      </c>
      <c r="E105" s="19">
        <v>0.80886540289999997</v>
      </c>
      <c r="F105" s="22">
        <v>2.0099999999999998</v>
      </c>
      <c r="G105" s="19">
        <v>28.75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>
        <v>1</v>
      </c>
      <c r="S105">
        <v>0</v>
      </c>
      <c r="T105">
        <v>345.01999999999998</v>
      </c>
    </row>
    <row r="106" spans="1:20" ht="12.75" customHeight="1">
      <c r="A106" s="4">
        <f t="shared" si="1"/>
        <v>96</v>
      </c>
      <c r="B106">
        <v>2017</v>
      </c>
      <c r="C106">
        <v>12</v>
      </c>
      <c r="D106" s="19">
        <v>29.579999999999998</v>
      </c>
      <c r="E106" s="19">
        <v>2.3439795370000001</v>
      </c>
      <c r="F106" s="22">
        <v>0.46999999999999997</v>
      </c>
      <c r="G106" s="19">
        <v>29.43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>
        <v>0</v>
      </c>
      <c r="S106">
        <v>1</v>
      </c>
      <c r="T106">
        <v>353.17000000000002</v>
      </c>
    </row>
    <row r="107" spans="1:20" ht="12.75" customHeight="1">
      <c r="A107" s="4">
        <f t="shared" si="1"/>
        <v>97</v>
      </c>
      <c r="B107">
        <v>2018</v>
      </c>
      <c r="C107">
        <v>1</v>
      </c>
      <c r="D107" s="19">
        <v>46.490000000000002</v>
      </c>
      <c r="E107" s="19">
        <v>9.7459348250000009</v>
      </c>
      <c r="F107" s="22">
        <v>0.029999999999999999</v>
      </c>
      <c r="G107" s="19">
        <v>29.640000000000001</v>
      </c>
      <c r="H107" s="23">
        <v>1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>
        <v>0</v>
      </c>
      <c r="S107">
        <v>0</v>
      </c>
      <c r="T107">
        <v>385.31</v>
      </c>
    </row>
    <row r="108" spans="1:20" ht="12.75" customHeight="1">
      <c r="A108" s="4">
        <f t="shared" si="1"/>
        <v>98</v>
      </c>
      <c r="B108">
        <v>2018</v>
      </c>
      <c r="C108">
        <v>2</v>
      </c>
      <c r="D108" s="19">
        <v>43.869999999999997</v>
      </c>
      <c r="E108" s="19">
        <v>8.4528773560000001</v>
      </c>
      <c r="F108" s="22">
        <v>0.040000000000000001</v>
      </c>
      <c r="G108" s="19">
        <v>29.420000000000002</v>
      </c>
      <c r="H108" s="23">
        <v>0</v>
      </c>
      <c r="I108" s="23">
        <v>1</v>
      </c>
      <c r="J108" s="23">
        <v>0</v>
      </c>
      <c r="K108" s="23">
        <v>0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23">
        <v>0</v>
      </c>
      <c r="R108">
        <v>0</v>
      </c>
      <c r="S108">
        <v>0</v>
      </c>
      <c r="T108">
        <v>382.45999999999998</v>
      </c>
    </row>
    <row r="109" spans="1:20" ht="12.75" customHeight="1">
      <c r="A109" s="4">
        <f t="shared" si="1"/>
        <v>99</v>
      </c>
      <c r="B109">
        <v>2018</v>
      </c>
      <c r="C109">
        <v>3</v>
      </c>
      <c r="D109" s="19">
        <v>34.390000000000001</v>
      </c>
      <c r="E109" s="19">
        <v>4.3021568219999997</v>
      </c>
      <c r="F109" s="22">
        <v>0.25</v>
      </c>
      <c r="G109" s="19">
        <v>29.170000000000002</v>
      </c>
      <c r="H109" s="23">
        <v>0</v>
      </c>
      <c r="I109" s="23">
        <v>0</v>
      </c>
      <c r="J109" s="23">
        <v>1</v>
      </c>
      <c r="K109" s="23">
        <v>0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23">
        <v>0</v>
      </c>
      <c r="R109">
        <v>0</v>
      </c>
      <c r="S109">
        <v>0</v>
      </c>
      <c r="T109">
        <v>379.23000000000002</v>
      </c>
    </row>
    <row r="110" spans="1:20" ht="12.75" customHeight="1">
      <c r="A110" s="4">
        <f t="shared" si="1"/>
        <v>100</v>
      </c>
      <c r="B110">
        <v>2018</v>
      </c>
      <c r="C110">
        <v>4</v>
      </c>
      <c r="D110" s="19">
        <v>26.449999999999999</v>
      </c>
      <c r="E110" s="19">
        <v>1.1414412330000001</v>
      </c>
      <c r="F110" s="22">
        <v>0.77000000000000002</v>
      </c>
      <c r="G110" s="19">
        <v>28.690000000000001</v>
      </c>
      <c r="H110" s="23">
        <v>0</v>
      </c>
      <c r="I110" s="23">
        <v>0</v>
      </c>
      <c r="J110" s="23">
        <v>0</v>
      </c>
      <c r="K110" s="23">
        <v>1</v>
      </c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23">
        <v>0</v>
      </c>
      <c r="R110">
        <v>0</v>
      </c>
      <c r="S110">
        <v>0</v>
      </c>
      <c r="T110">
        <v>372.98000000000002</v>
      </c>
    </row>
    <row r="111" spans="1:20" ht="12.75" customHeight="1">
      <c r="A111" s="4">
        <f t="shared" si="1"/>
        <v>101</v>
      </c>
      <c r="B111">
        <v>2018</v>
      </c>
      <c r="C111">
        <v>5</v>
      </c>
      <c r="D111" s="19">
        <v>29.18</v>
      </c>
      <c r="E111" s="19">
        <v>0.66181411639999999</v>
      </c>
      <c r="F111" s="22">
        <v>2.1299999999999999</v>
      </c>
      <c r="G111" s="19">
        <v>28.469999999999999</v>
      </c>
      <c r="H111" s="23">
        <v>0</v>
      </c>
      <c r="I111" s="23">
        <v>0</v>
      </c>
      <c r="J111" s="23">
        <v>0</v>
      </c>
      <c r="K111" s="23">
        <v>0</v>
      </c>
      <c r="L111" s="23">
        <v>1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>
        <v>0</v>
      </c>
      <c r="S111">
        <v>0</v>
      </c>
      <c r="T111">
        <v>370.08999999999998</v>
      </c>
    </row>
    <row r="112" spans="1:20" ht="12.75" customHeight="1">
      <c r="A112" s="4">
        <f t="shared" si="1"/>
        <v>102</v>
      </c>
      <c r="B112">
        <v>2018</v>
      </c>
      <c r="C112">
        <v>6</v>
      </c>
      <c r="D112" s="19">
        <v>46.899999999999999</v>
      </c>
      <c r="E112" s="19">
        <v>0.002988277691</v>
      </c>
      <c r="F112" s="22">
        <v>9.2599999999999998</v>
      </c>
      <c r="G112" s="19">
        <v>28.289999999999999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1</v>
      </c>
      <c r="N112" s="23">
        <v>0</v>
      </c>
      <c r="O112" s="23">
        <v>0</v>
      </c>
      <c r="P112" s="23">
        <v>0</v>
      </c>
      <c r="Q112" s="23">
        <v>0</v>
      </c>
      <c r="R112">
        <v>0</v>
      </c>
      <c r="S112">
        <v>0</v>
      </c>
      <c r="T112">
        <v>367.77999999999997</v>
      </c>
    </row>
    <row r="113" spans="1:20" ht="12.75" customHeight="1">
      <c r="A113" s="4">
        <f t="shared" si="1"/>
        <v>103</v>
      </c>
      <c r="B113">
        <v>2018</v>
      </c>
      <c r="C113">
        <v>7</v>
      </c>
      <c r="D113" s="19">
        <v>56.990000000000002</v>
      </c>
      <c r="E113" s="19">
        <v>0</v>
      </c>
      <c r="F113" s="22">
        <v>13.310000000000001</v>
      </c>
      <c r="G113" s="19">
        <v>27.690000000000001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1</v>
      </c>
      <c r="O113" s="23">
        <v>0</v>
      </c>
      <c r="P113" s="23">
        <v>0</v>
      </c>
      <c r="Q113" s="23">
        <v>0</v>
      </c>
      <c r="R113">
        <v>0</v>
      </c>
      <c r="S113">
        <v>0</v>
      </c>
      <c r="T113">
        <v>359.98000000000002</v>
      </c>
    </row>
    <row r="114" spans="1:20" ht="12.75" customHeight="1">
      <c r="A114" s="4">
        <f t="shared" si="1"/>
        <v>104</v>
      </c>
      <c r="B114">
        <v>2018</v>
      </c>
      <c r="C114">
        <v>8</v>
      </c>
      <c r="D114" s="19">
        <v>58.149999999999999</v>
      </c>
      <c r="E114" s="19">
        <v>0</v>
      </c>
      <c r="F114" s="22">
        <v>14.380000000000001</v>
      </c>
      <c r="G114" s="19">
        <v>27.539999999999999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1</v>
      </c>
      <c r="P114" s="23">
        <v>0</v>
      </c>
      <c r="Q114" s="23">
        <v>0</v>
      </c>
      <c r="R114">
        <v>0</v>
      </c>
      <c r="S114">
        <v>0</v>
      </c>
      <c r="T114">
        <v>358.05000000000001</v>
      </c>
    </row>
    <row r="115" spans="1:20" ht="12.75" customHeight="1">
      <c r="A115" s="4">
        <f t="shared" si="1"/>
        <v>105</v>
      </c>
      <c r="B115">
        <v>2018</v>
      </c>
      <c r="C115">
        <v>9</v>
      </c>
      <c r="D115" s="19">
        <v>51.359999999999999</v>
      </c>
      <c r="E115" s="19">
        <v>2.4135035090000002E-06</v>
      </c>
      <c r="F115" s="22">
        <v>11.07</v>
      </c>
      <c r="G115" s="19">
        <v>27.870000000000001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1</v>
      </c>
      <c r="Q115" s="23">
        <v>0</v>
      </c>
      <c r="R115">
        <v>0</v>
      </c>
      <c r="S115">
        <v>0</v>
      </c>
      <c r="T115">
        <v>362.25</v>
      </c>
    </row>
    <row r="116" spans="1:20" ht="12.75" customHeight="1">
      <c r="A116" s="4">
        <f t="shared" si="1"/>
        <v>106</v>
      </c>
      <c r="B116">
        <v>2018</v>
      </c>
      <c r="C116">
        <v>10</v>
      </c>
      <c r="D116" s="19">
        <v>38.25</v>
      </c>
      <c r="E116" s="19">
        <v>0.22643685180000001</v>
      </c>
      <c r="F116" s="22">
        <v>5.2599999999999998</v>
      </c>
      <c r="G116" s="19">
        <v>28.379999999999999</v>
      </c>
      <c r="H116" s="23">
        <v>0</v>
      </c>
      <c r="I116" s="23">
        <v>0</v>
      </c>
      <c r="J116" s="23">
        <v>0</v>
      </c>
      <c r="K116" s="23">
        <v>0</v>
      </c>
      <c r="L116" s="23">
        <v>0</v>
      </c>
      <c r="M116" s="23">
        <v>0</v>
      </c>
      <c r="N116" s="23">
        <v>0</v>
      </c>
      <c r="O116" s="23">
        <v>0</v>
      </c>
      <c r="P116" s="23">
        <v>0</v>
      </c>
      <c r="Q116" s="23">
        <v>1</v>
      </c>
      <c r="R116">
        <v>0</v>
      </c>
      <c r="S116">
        <v>0</v>
      </c>
      <c r="T116">
        <v>368.92000000000002</v>
      </c>
    </row>
    <row r="117" spans="1:20" ht="12.75" customHeight="1">
      <c r="A117" s="4">
        <f t="shared" si="1"/>
        <v>107</v>
      </c>
      <c r="B117">
        <v>2018</v>
      </c>
      <c r="C117">
        <v>11</v>
      </c>
      <c r="D117" s="19">
        <v>28.800000000000001</v>
      </c>
      <c r="E117" s="19">
        <v>1.9428544299999999</v>
      </c>
      <c r="F117" s="22">
        <v>0.91000000000000003</v>
      </c>
      <c r="G117" s="19">
        <v>28.84</v>
      </c>
      <c r="H117" s="23">
        <v>0</v>
      </c>
      <c r="I117" s="23">
        <v>0</v>
      </c>
      <c r="J117" s="23">
        <v>0</v>
      </c>
      <c r="K117" s="23">
        <v>0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3">
        <v>0</v>
      </c>
      <c r="R117">
        <v>1</v>
      </c>
      <c r="S117">
        <v>0</v>
      </c>
      <c r="T117">
        <v>374.89999999999998</v>
      </c>
    </row>
    <row r="118" spans="1:20" ht="12.75" customHeight="1">
      <c r="A118" s="4">
        <f t="shared" si="1"/>
        <v>108</v>
      </c>
      <c r="B118">
        <v>2018</v>
      </c>
      <c r="C118">
        <v>12</v>
      </c>
      <c r="D118" s="19">
        <v>35.310000000000002</v>
      </c>
      <c r="E118" s="19">
        <v>5.6771650720000002</v>
      </c>
      <c r="F118" s="22">
        <v>0.059999999999999998</v>
      </c>
      <c r="G118" s="19">
        <v>29.510000000000002</v>
      </c>
      <c r="H118" s="23">
        <v>0</v>
      </c>
      <c r="I118" s="23">
        <v>0</v>
      </c>
      <c r="J118" s="23">
        <v>0</v>
      </c>
      <c r="K118" s="23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23">
        <v>0</v>
      </c>
      <c r="R118">
        <v>0</v>
      </c>
      <c r="S118">
        <v>1</v>
      </c>
      <c r="T118">
        <v>383.60000000000002</v>
      </c>
    </row>
    <row r="119" spans="1:20" ht="12.75" customHeight="1">
      <c r="A119" s="4">
        <f t="shared" si="1"/>
        <v>109</v>
      </c>
      <c r="B119">
        <v>2019</v>
      </c>
      <c r="C119">
        <v>1</v>
      </c>
      <c r="D119" s="19">
        <v>39.600000000000001</v>
      </c>
      <c r="E119" s="19">
        <v>7.0189291950000001</v>
      </c>
      <c r="F119" s="22">
        <v>0.01</v>
      </c>
      <c r="G119" s="19">
        <v>29.920000000000002</v>
      </c>
      <c r="H119" s="23">
        <v>1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>
        <v>0</v>
      </c>
      <c r="S119">
        <v>0</v>
      </c>
      <c r="T119">
        <v>418.86000000000001</v>
      </c>
    </row>
    <row r="120" spans="1:20" ht="12.75" customHeight="1">
      <c r="A120" s="4">
        <f t="shared" si="1"/>
        <v>110</v>
      </c>
      <c r="B120">
        <v>2019</v>
      </c>
      <c r="C120">
        <v>2</v>
      </c>
      <c r="D120" s="19">
        <v>40.109999999999999</v>
      </c>
      <c r="E120" s="19">
        <v>7.8167810749999997</v>
      </c>
      <c r="F120" s="22">
        <v>0.059999999999999998</v>
      </c>
      <c r="G120" s="19">
        <v>29.699999999999999</v>
      </c>
      <c r="H120" s="23">
        <v>0</v>
      </c>
      <c r="I120" s="23">
        <v>1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>
        <v>0</v>
      </c>
      <c r="S120">
        <v>0</v>
      </c>
      <c r="T120">
        <v>415.87</v>
      </c>
    </row>
    <row r="121" spans="1:20" ht="12.75" customHeight="1">
      <c r="A121" s="4">
        <f t="shared" si="1"/>
        <v>111</v>
      </c>
      <c r="B121">
        <v>2019</v>
      </c>
      <c r="C121">
        <v>3</v>
      </c>
      <c r="D121" s="19">
        <v>38.950000000000003</v>
      </c>
      <c r="E121" s="19">
        <v>7.5700697979999996</v>
      </c>
      <c r="F121" s="22">
        <v>0.080000000000000002</v>
      </c>
      <c r="G121" s="19">
        <v>29.460000000000001</v>
      </c>
      <c r="H121" s="23">
        <v>0</v>
      </c>
      <c r="I121" s="23">
        <v>0</v>
      </c>
      <c r="J121" s="23">
        <v>1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>
        <v>0</v>
      </c>
      <c r="S121">
        <v>0</v>
      </c>
      <c r="T121">
        <v>412.48000000000002</v>
      </c>
    </row>
    <row r="122" spans="1:20" ht="12.75" customHeight="1">
      <c r="A122" s="4">
        <f t="shared" si="1"/>
        <v>112</v>
      </c>
      <c r="B122">
        <v>2019</v>
      </c>
      <c r="C122">
        <v>4</v>
      </c>
      <c r="D122" s="19">
        <v>28.030000000000001</v>
      </c>
      <c r="E122" s="19">
        <v>2.2338232040000001</v>
      </c>
      <c r="F122" s="22">
        <v>0.35999999999999999</v>
      </c>
      <c r="G122" s="19">
        <v>28.989999999999998</v>
      </c>
      <c r="H122" s="23">
        <v>0</v>
      </c>
      <c r="I122" s="23">
        <v>0</v>
      </c>
      <c r="J122" s="23">
        <v>0</v>
      </c>
      <c r="K122" s="23">
        <v>1</v>
      </c>
      <c r="L122" s="23">
        <v>0</v>
      </c>
      <c r="M122" s="23">
        <v>0</v>
      </c>
      <c r="N122" s="23">
        <v>0</v>
      </c>
      <c r="O122" s="23">
        <v>0</v>
      </c>
      <c r="P122" s="23">
        <v>0</v>
      </c>
      <c r="Q122" s="23">
        <v>0</v>
      </c>
      <c r="R122">
        <v>0</v>
      </c>
      <c r="S122">
        <v>0</v>
      </c>
      <c r="T122">
        <v>405.85000000000002</v>
      </c>
    </row>
    <row r="123" spans="1:20" ht="12.75" customHeight="1">
      <c r="A123" s="4">
        <f t="shared" si="1"/>
        <v>113</v>
      </c>
      <c r="B123">
        <v>2019</v>
      </c>
      <c r="C123">
        <v>5</v>
      </c>
      <c r="D123" s="19">
        <v>27.210000000000001</v>
      </c>
      <c r="E123" s="19">
        <v>0.31675658499999998</v>
      </c>
      <c r="F123" s="22">
        <v>1.52</v>
      </c>
      <c r="G123" s="19">
        <v>28.780000000000001</v>
      </c>
      <c r="H123" s="23">
        <v>0</v>
      </c>
      <c r="I123" s="23">
        <v>0</v>
      </c>
      <c r="J123" s="23">
        <v>0</v>
      </c>
      <c r="K123" s="23">
        <v>0</v>
      </c>
      <c r="L123" s="23">
        <v>1</v>
      </c>
      <c r="M123" s="23">
        <v>0</v>
      </c>
      <c r="N123" s="23">
        <v>0</v>
      </c>
      <c r="O123" s="23">
        <v>0</v>
      </c>
      <c r="P123" s="23">
        <v>0</v>
      </c>
      <c r="Q123" s="23">
        <v>0</v>
      </c>
      <c r="R123">
        <v>0</v>
      </c>
      <c r="S123">
        <v>0</v>
      </c>
      <c r="T123">
        <v>402.93000000000001</v>
      </c>
    </row>
    <row r="124" spans="1:20" ht="12.75" customHeight="1">
      <c r="A124" s="4">
        <f t="shared" si="1"/>
        <v>114</v>
      </c>
      <c r="B124">
        <v>2019</v>
      </c>
      <c r="C124">
        <v>6</v>
      </c>
      <c r="D124" s="19">
        <v>36.979999999999997</v>
      </c>
      <c r="E124" s="19">
        <v>0.06077962814</v>
      </c>
      <c r="F124" s="22">
        <v>5.4900000000000002</v>
      </c>
      <c r="G124" s="19">
        <v>28.620000000000001</v>
      </c>
      <c r="H124" s="23">
        <v>0</v>
      </c>
      <c r="I124" s="23">
        <v>0</v>
      </c>
      <c r="J124" s="23">
        <v>0</v>
      </c>
      <c r="K124" s="23">
        <v>0</v>
      </c>
      <c r="L124" s="23">
        <v>0</v>
      </c>
      <c r="M124" s="23">
        <v>1</v>
      </c>
      <c r="N124" s="23">
        <v>0</v>
      </c>
      <c r="O124" s="23">
        <v>0</v>
      </c>
      <c r="P124" s="23">
        <v>0</v>
      </c>
      <c r="Q124" s="23">
        <v>0</v>
      </c>
      <c r="R124">
        <v>0</v>
      </c>
      <c r="S124">
        <v>0</v>
      </c>
      <c r="T124">
        <v>400.66000000000002</v>
      </c>
    </row>
    <row r="125" spans="1:20" ht="12.75" customHeight="1">
      <c r="A125" s="4">
        <f t="shared" si="1"/>
        <v>115</v>
      </c>
      <c r="B125">
        <v>2019</v>
      </c>
      <c r="C125">
        <v>7</v>
      </c>
      <c r="D125" s="19">
        <v>47.539999999999999</v>
      </c>
      <c r="E125" s="19">
        <v>0</v>
      </c>
      <c r="F125" s="22">
        <v>9.3800000000000008</v>
      </c>
      <c r="G125" s="19">
        <v>28.02</v>
      </c>
      <c r="H125" s="23">
        <v>0</v>
      </c>
      <c r="I125" s="23">
        <v>0</v>
      </c>
      <c r="J125" s="23">
        <v>0</v>
      </c>
      <c r="K125" s="23">
        <v>0</v>
      </c>
      <c r="L125" s="23">
        <v>0</v>
      </c>
      <c r="M125" s="23">
        <v>0</v>
      </c>
      <c r="N125" s="23">
        <v>1</v>
      </c>
      <c r="O125" s="23">
        <v>0</v>
      </c>
      <c r="P125" s="23">
        <v>0</v>
      </c>
      <c r="Q125" s="23">
        <v>0</v>
      </c>
      <c r="R125">
        <v>0</v>
      </c>
      <c r="S125">
        <v>0</v>
      </c>
      <c r="T125">
        <v>392.26999999999998</v>
      </c>
    </row>
    <row r="126" spans="1:20" ht="12.75" customHeight="1">
      <c r="A126" s="4">
        <f t="shared" si="1"/>
        <v>116</v>
      </c>
      <c r="B126">
        <v>2019</v>
      </c>
      <c r="C126">
        <v>8</v>
      </c>
      <c r="D126" s="19">
        <v>54.549999999999997</v>
      </c>
      <c r="E126" s="19">
        <v>0</v>
      </c>
      <c r="F126" s="22">
        <v>12.640000000000001</v>
      </c>
      <c r="G126" s="19">
        <v>27.859999999999999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1</v>
      </c>
      <c r="P126" s="23">
        <v>0</v>
      </c>
      <c r="Q126" s="23">
        <v>0</v>
      </c>
      <c r="R126">
        <v>0</v>
      </c>
      <c r="S126">
        <v>0</v>
      </c>
      <c r="T126">
        <v>390.07999999999998</v>
      </c>
    </row>
    <row r="127" spans="1:20" ht="12.75" customHeight="1">
      <c r="A127" s="4">
        <f t="shared" si="1"/>
        <v>117</v>
      </c>
      <c r="B127">
        <v>2019</v>
      </c>
      <c r="C127">
        <v>9</v>
      </c>
      <c r="D127" s="19">
        <v>56.359999999999999</v>
      </c>
      <c r="E127" s="19">
        <v>0</v>
      </c>
      <c r="F127" s="22">
        <v>13.720000000000001</v>
      </c>
      <c r="G127" s="19">
        <v>28.18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1</v>
      </c>
      <c r="Q127" s="23">
        <v>0</v>
      </c>
      <c r="R127">
        <v>0</v>
      </c>
      <c r="S127">
        <v>0</v>
      </c>
      <c r="T127">
        <v>394.47000000000003</v>
      </c>
    </row>
    <row r="128" spans="1:20" ht="12.75" customHeight="1">
      <c r="A128" s="4">
        <f t="shared" si="1"/>
        <v>118</v>
      </c>
      <c r="B128">
        <v>2019</v>
      </c>
      <c r="C128">
        <v>10</v>
      </c>
      <c r="D128" s="19">
        <v>46.469999999999999</v>
      </c>
      <c r="E128" s="19">
        <v>0.089586618069999999</v>
      </c>
      <c r="F128" s="22">
        <v>9.8300000000000001</v>
      </c>
      <c r="G128" s="19">
        <v>28.670000000000002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1</v>
      </c>
      <c r="R128">
        <v>0</v>
      </c>
      <c r="S128">
        <v>0</v>
      </c>
      <c r="T128">
        <v>401.44</v>
      </c>
    </row>
    <row r="129" spans="1:20" ht="12.75" customHeight="1">
      <c r="A129" s="4">
        <f t="shared" si="1"/>
        <v>119</v>
      </c>
      <c r="B129">
        <v>2019</v>
      </c>
      <c r="C129">
        <v>11</v>
      </c>
      <c r="D129" s="19">
        <v>30.739999999999998</v>
      </c>
      <c r="E129" s="19">
        <v>2.8100156360000001</v>
      </c>
      <c r="F129" s="22">
        <v>1.52</v>
      </c>
      <c r="G129" s="19">
        <v>29.120000000000001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>
        <v>1</v>
      </c>
      <c r="S129">
        <v>0</v>
      </c>
      <c r="T129">
        <v>407.67000000000002</v>
      </c>
    </row>
    <row r="130" spans="1:20" ht="12.75" customHeight="1">
      <c r="A130" s="4">
        <f t="shared" si="1"/>
        <v>120</v>
      </c>
      <c r="B130">
        <v>2019</v>
      </c>
      <c r="C130">
        <v>12</v>
      </c>
      <c r="D130" s="19">
        <v>32.850000000000001</v>
      </c>
      <c r="E130" s="19">
        <v>4.8769064420000001</v>
      </c>
      <c r="F130" s="22">
        <v>0.089999999999999997</v>
      </c>
      <c r="G130" s="19">
        <v>29.780000000000001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>
        <v>0</v>
      </c>
      <c r="S130">
        <v>1</v>
      </c>
      <c r="T130">
        <v>416.94999999999999</v>
      </c>
    </row>
    <row r="131" spans="1:20" ht="12.75" customHeight="1">
      <c r="A131" s="4">
        <f t="shared" si="1"/>
        <v>121</v>
      </c>
      <c r="B131">
        <v>2020</v>
      </c>
      <c r="C131">
        <v>1</v>
      </c>
      <c r="D131" s="19">
        <v>35.630000000000003</v>
      </c>
      <c r="E131" s="19">
        <v>5.6557710439999997</v>
      </c>
      <c r="F131" s="22">
        <v>0.02</v>
      </c>
      <c r="G131" s="19">
        <v>29.879999999999999</v>
      </c>
      <c r="H131" s="23">
        <v>1</v>
      </c>
      <c r="I131" s="23">
        <v>0</v>
      </c>
      <c r="J131" s="23">
        <v>0</v>
      </c>
      <c r="K131" s="23">
        <v>0</v>
      </c>
      <c r="L131" s="23">
        <v>0</v>
      </c>
      <c r="M131" s="23">
        <v>0</v>
      </c>
      <c r="N131" s="23">
        <v>0</v>
      </c>
      <c r="O131" s="23">
        <v>0</v>
      </c>
      <c r="P131" s="23">
        <v>0</v>
      </c>
      <c r="Q131" s="23">
        <v>0</v>
      </c>
      <c r="R131" s="35">
        <v>0</v>
      </c>
      <c r="S131" s="35">
        <v>0</v>
      </c>
      <c r="T131" s="22">
        <v>448.19999999999999</v>
      </c>
    </row>
    <row r="132" spans="1:20" ht="12.75" customHeight="1">
      <c r="A132" s="4">
        <f t="shared" si="1"/>
        <v>122</v>
      </c>
      <c r="B132">
        <v>2020</v>
      </c>
      <c r="C132">
        <v>2</v>
      </c>
      <c r="D132" s="19">
        <v>35.659999999999997</v>
      </c>
      <c r="E132" s="19">
        <v>6.046865317</v>
      </c>
      <c r="F132" s="22">
        <v>0.029999999999999999</v>
      </c>
      <c r="G132" s="19">
        <v>29.670000000000002</v>
      </c>
      <c r="H132" s="23">
        <v>0</v>
      </c>
      <c r="I132" s="23">
        <v>1</v>
      </c>
      <c r="J132" s="23">
        <v>0</v>
      </c>
      <c r="K132" s="23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23">
        <v>0</v>
      </c>
      <c r="R132" s="35">
        <v>0</v>
      </c>
      <c r="S132" s="35">
        <v>0</v>
      </c>
      <c r="T132" s="22">
        <v>445.06</v>
      </c>
    </row>
    <row r="133" spans="1:20" ht="12.75" customHeight="1">
      <c r="A133" s="4">
        <f t="shared" si="1"/>
        <v>123</v>
      </c>
      <c r="B133">
        <v>2020</v>
      </c>
      <c r="C133">
        <v>3</v>
      </c>
      <c r="D133" s="19">
        <v>33.729999999999997</v>
      </c>
      <c r="E133" s="19">
        <v>4.7810417630000002</v>
      </c>
      <c r="F133" s="22">
        <v>0.14000000000000001</v>
      </c>
      <c r="G133" s="19">
        <v>29.43</v>
      </c>
      <c r="H133" s="23">
        <v>0</v>
      </c>
      <c r="I133" s="23">
        <v>0</v>
      </c>
      <c r="J133" s="23">
        <v>1</v>
      </c>
      <c r="K133" s="23">
        <v>0</v>
      </c>
      <c r="L133" s="23">
        <v>0</v>
      </c>
      <c r="M133" s="23">
        <v>0</v>
      </c>
      <c r="N133" s="23">
        <v>0</v>
      </c>
      <c r="O133" s="23">
        <v>0</v>
      </c>
      <c r="P133" s="23">
        <v>0</v>
      </c>
      <c r="Q133" s="23">
        <v>0</v>
      </c>
      <c r="R133" s="35">
        <v>0</v>
      </c>
      <c r="S133" s="35">
        <v>0</v>
      </c>
      <c r="T133" s="22">
        <v>441.5</v>
      </c>
    </row>
    <row r="134" spans="1:20" ht="12.75" customHeight="1">
      <c r="A134" s="33">
        <f t="shared" si="1"/>
        <v>124</v>
      </c>
      <c r="B134" s="1">
        <v>2020</v>
      </c>
      <c r="C134">
        <v>4</v>
      </c>
      <c r="D134" s="32">
        <v>27.77</v>
      </c>
      <c r="E134" s="2">
        <v>1.2455260450000001</v>
      </c>
      <c r="F134" s="2">
        <v>0.98999999999999999</v>
      </c>
      <c r="G134" s="2">
        <v>28.969999999999999</v>
      </c>
      <c r="H134" s="29">
        <v>0</v>
      </c>
      <c r="I134" s="29">
        <v>0</v>
      </c>
      <c r="J134" s="29">
        <v>0</v>
      </c>
      <c r="K134" s="29">
        <v>1</v>
      </c>
      <c r="L134" s="29">
        <v>0</v>
      </c>
      <c r="M134" s="29">
        <v>0</v>
      </c>
      <c r="N134" s="29">
        <v>0</v>
      </c>
      <c r="O134">
        <v>0</v>
      </c>
      <c r="P134">
        <v>0</v>
      </c>
      <c r="Q134">
        <v>0</v>
      </c>
      <c r="R134" s="35">
        <v>0</v>
      </c>
      <c r="S134" s="35">
        <v>0</v>
      </c>
      <c r="T134" s="22">
        <v>434.50999999999999</v>
      </c>
    </row>
    <row r="135" spans="1:20" ht="12.75" customHeight="1">
      <c r="A135" s="33">
        <f t="shared" si="1"/>
        <v>125</v>
      </c>
      <c r="B135" s="1">
        <v>2020</v>
      </c>
      <c r="C135">
        <v>5</v>
      </c>
      <c r="D135" s="32">
        <v>30.879999999999999</v>
      </c>
      <c r="E135" s="2">
        <v>0.65604943699999996</v>
      </c>
      <c r="F135" s="2">
        <v>2.2200000000000002</v>
      </c>
      <c r="G135" s="2">
        <v>28.77</v>
      </c>
      <c r="H135" s="29">
        <v>0</v>
      </c>
      <c r="I135" s="29">
        <v>0</v>
      </c>
      <c r="J135" s="29">
        <v>0</v>
      </c>
      <c r="K135" s="29">
        <v>0</v>
      </c>
      <c r="L135" s="29">
        <v>1</v>
      </c>
      <c r="M135" s="29">
        <v>0</v>
      </c>
      <c r="N135" s="29">
        <v>0</v>
      </c>
      <c r="O135">
        <v>0</v>
      </c>
      <c r="P135">
        <v>0</v>
      </c>
      <c r="Q135">
        <v>0</v>
      </c>
      <c r="R135" s="35">
        <v>0</v>
      </c>
      <c r="S135" s="35">
        <v>0</v>
      </c>
      <c r="T135" s="22">
        <v>431.48000000000002</v>
      </c>
    </row>
    <row r="136" spans="1:20" ht="12.75" customHeight="1">
      <c r="A136" s="33">
        <f t="shared" si="1"/>
        <v>126</v>
      </c>
      <c r="B136" s="1">
        <v>2020</v>
      </c>
      <c r="C136">
        <v>6</v>
      </c>
      <c r="D136" s="32">
        <v>39.710000000000001</v>
      </c>
      <c r="E136" s="2">
        <v>0.0044946266819999997</v>
      </c>
      <c r="F136" s="2">
        <v>5.8600000000000003</v>
      </c>
      <c r="G136" s="2">
        <v>28.609999999999999</v>
      </c>
      <c r="H136" s="29">
        <v>0</v>
      </c>
      <c r="I136" s="29">
        <v>0</v>
      </c>
      <c r="J136" s="29">
        <v>0</v>
      </c>
      <c r="K136" s="29">
        <v>0</v>
      </c>
      <c r="L136" s="29">
        <v>0</v>
      </c>
      <c r="M136" s="29">
        <v>1</v>
      </c>
      <c r="N136" s="29">
        <v>0</v>
      </c>
      <c r="O136">
        <v>0</v>
      </c>
      <c r="P136">
        <v>0</v>
      </c>
      <c r="Q136">
        <v>0</v>
      </c>
      <c r="R136" s="35">
        <v>0</v>
      </c>
      <c r="S136" s="35">
        <v>0</v>
      </c>
      <c r="T136" s="22">
        <v>429.17000000000002</v>
      </c>
    </row>
    <row r="137" spans="1:20" ht="12.75" customHeight="1">
      <c r="A137" s="33">
        <f t="shared" si="1"/>
        <v>127</v>
      </c>
      <c r="B137" s="1">
        <v>2020</v>
      </c>
      <c r="C137">
        <v>7</v>
      </c>
      <c r="D137" s="32">
        <v>51.390000000000001</v>
      </c>
      <c r="E137" s="2">
        <v>0</v>
      </c>
      <c r="F137" s="2">
        <v>10.619999999999999</v>
      </c>
      <c r="G137" s="2">
        <v>28.02</v>
      </c>
      <c r="H137" s="29">
        <v>0</v>
      </c>
      <c r="I137" s="29">
        <v>0</v>
      </c>
      <c r="J137" s="29">
        <v>0</v>
      </c>
      <c r="K137" s="29">
        <v>0</v>
      </c>
      <c r="L137" s="29">
        <v>0</v>
      </c>
      <c r="M137" s="29">
        <v>0</v>
      </c>
      <c r="N137" s="29">
        <v>1</v>
      </c>
      <c r="O137">
        <v>0</v>
      </c>
      <c r="P137">
        <v>0</v>
      </c>
      <c r="Q137">
        <v>0</v>
      </c>
      <c r="R137" s="35">
        <v>0</v>
      </c>
      <c r="S137" s="35">
        <v>0</v>
      </c>
      <c r="T137" s="22">
        <v>420.26999999999998</v>
      </c>
    </row>
    <row r="138" spans="1:20" ht="12.75" customHeight="1">
      <c r="A138" s="33">
        <f t="shared" si="1"/>
        <v>128</v>
      </c>
      <c r="B138" s="1">
        <v>2020</v>
      </c>
      <c r="C138">
        <v>8</v>
      </c>
      <c r="D138" s="32">
        <v>56.530000000000001</v>
      </c>
      <c r="E138" s="2">
        <v>0</v>
      </c>
      <c r="F138" s="2">
        <v>12.880000000000001</v>
      </c>
      <c r="G138" s="2">
        <v>27.859999999999999</v>
      </c>
      <c r="H138" s="29">
        <v>0</v>
      </c>
      <c r="I138" s="29">
        <v>0</v>
      </c>
      <c r="J138" s="29">
        <v>0</v>
      </c>
      <c r="K138" s="29">
        <v>0</v>
      </c>
      <c r="L138" s="29">
        <v>0</v>
      </c>
      <c r="M138" s="29">
        <v>0</v>
      </c>
      <c r="N138" s="29">
        <v>0</v>
      </c>
      <c r="O138">
        <v>1</v>
      </c>
      <c r="P138">
        <v>0</v>
      </c>
      <c r="Q138">
        <v>0</v>
      </c>
      <c r="R138" s="35">
        <v>0</v>
      </c>
      <c r="S138" s="35">
        <v>0</v>
      </c>
      <c r="T138" s="22">
        <v>417.86000000000001</v>
      </c>
    </row>
    <row r="139" spans="1:20" ht="12.75" customHeight="1">
      <c r="A139" s="33">
        <f t="shared" si="1"/>
        <v>129</v>
      </c>
      <c r="B139" s="1">
        <v>2020</v>
      </c>
      <c r="C139">
        <v>9</v>
      </c>
      <c r="D139" s="32">
        <v>52.490000000000002</v>
      </c>
      <c r="E139" s="2">
        <v>0.015881523469999999</v>
      </c>
      <c r="F139" s="2">
        <v>11.109999999999999</v>
      </c>
      <c r="G139" s="2">
        <v>28.16</v>
      </c>
      <c r="H139" s="29">
        <v>0</v>
      </c>
      <c r="I139" s="29">
        <v>0</v>
      </c>
      <c r="J139" s="29">
        <v>0</v>
      </c>
      <c r="K139" s="29">
        <v>0</v>
      </c>
      <c r="L139" s="29">
        <v>0</v>
      </c>
      <c r="M139" s="29">
        <v>0</v>
      </c>
      <c r="N139" s="29">
        <v>0</v>
      </c>
      <c r="O139">
        <v>0</v>
      </c>
      <c r="P139">
        <v>1</v>
      </c>
      <c r="Q139">
        <v>0</v>
      </c>
      <c r="R139" s="35">
        <v>0</v>
      </c>
      <c r="S139" s="35">
        <v>0</v>
      </c>
      <c r="T139" s="22">
        <v>422.45999999999998</v>
      </c>
    </row>
    <row r="140" spans="1:20" ht="12.75" customHeight="1">
      <c r="A140" s="33">
        <f t="shared" si="1"/>
        <v>130</v>
      </c>
      <c r="B140" s="1">
        <v>2020</v>
      </c>
      <c r="C140">
        <v>10</v>
      </c>
      <c r="D140" s="32">
        <v>34.799999999999997</v>
      </c>
      <c r="E140" s="2">
        <v>0.02928805206</v>
      </c>
      <c r="F140" s="2">
        <v>3.77</v>
      </c>
      <c r="G140" s="2">
        <v>28.649999999999999</v>
      </c>
      <c r="H140" s="29">
        <v>0</v>
      </c>
      <c r="I140" s="29">
        <v>0</v>
      </c>
      <c r="J140" s="29">
        <v>0</v>
      </c>
      <c r="K140" s="29">
        <v>0</v>
      </c>
      <c r="L140" s="29">
        <v>0</v>
      </c>
      <c r="M140" s="29">
        <v>0</v>
      </c>
      <c r="N140" s="29">
        <v>0</v>
      </c>
      <c r="O140">
        <v>0</v>
      </c>
      <c r="P140">
        <v>0</v>
      </c>
      <c r="Q140">
        <v>1</v>
      </c>
      <c r="R140" s="35">
        <v>0</v>
      </c>
      <c r="S140" s="35">
        <v>0</v>
      </c>
      <c r="T140" s="22">
        <v>429.73000000000002</v>
      </c>
    </row>
    <row r="141" spans="1:20" ht="12.75" customHeight="1">
      <c r="A141" s="33">
        <f t="shared" si="2" ref="A141:A149">+A140+1</f>
        <v>131</v>
      </c>
      <c r="B141" s="1">
        <v>2020</v>
      </c>
      <c r="C141">
        <v>11</v>
      </c>
      <c r="D141" s="32">
        <v>29.789999999999999</v>
      </c>
      <c r="E141" s="2">
        <v>1.5343315609999999</v>
      </c>
      <c r="F141" s="2">
        <v>1.4099999999999999</v>
      </c>
      <c r="G141" s="2">
        <v>29.079999999999998</v>
      </c>
      <c r="H141" s="29">
        <v>0</v>
      </c>
      <c r="I141" s="29">
        <v>0</v>
      </c>
      <c r="J141" s="29">
        <v>0</v>
      </c>
      <c r="K141" s="29">
        <v>0</v>
      </c>
      <c r="L141" s="29">
        <v>0</v>
      </c>
      <c r="M141" s="29">
        <v>0</v>
      </c>
      <c r="N141" s="29">
        <v>0</v>
      </c>
      <c r="O141">
        <v>0</v>
      </c>
      <c r="P141">
        <v>0</v>
      </c>
      <c r="Q141">
        <v>0</v>
      </c>
      <c r="R141" s="35">
        <v>1</v>
      </c>
      <c r="S141" s="35">
        <v>0</v>
      </c>
      <c r="T141" s="22">
        <v>436.22000000000003</v>
      </c>
    </row>
    <row r="142" spans="1:20" ht="12.75" customHeight="1">
      <c r="A142" s="33">
        <f t="shared" si="2"/>
        <v>132</v>
      </c>
      <c r="B142" s="1">
        <v>2020</v>
      </c>
      <c r="C142">
        <v>12</v>
      </c>
      <c r="D142" s="32">
        <v>30.43</v>
      </c>
      <c r="E142" s="2">
        <v>3.311863652</v>
      </c>
      <c r="F142" s="2">
        <v>0.16</v>
      </c>
      <c r="G142" s="2">
        <v>29.73</v>
      </c>
      <c r="H142" s="29">
        <v>0</v>
      </c>
      <c r="I142" s="29">
        <v>0</v>
      </c>
      <c r="J142" s="29">
        <v>0</v>
      </c>
      <c r="K142" s="29">
        <v>0</v>
      </c>
      <c r="L142" s="29">
        <v>0</v>
      </c>
      <c r="M142" s="29">
        <v>0</v>
      </c>
      <c r="N142" s="29">
        <v>0</v>
      </c>
      <c r="O142">
        <v>0</v>
      </c>
      <c r="P142">
        <v>0</v>
      </c>
      <c r="Q142">
        <v>0</v>
      </c>
      <c r="R142" s="35">
        <v>0</v>
      </c>
      <c r="S142" s="35">
        <v>1</v>
      </c>
      <c r="T142" s="22">
        <v>445.99000000000001</v>
      </c>
    </row>
    <row r="143" spans="1:25" ht="12.75" customHeight="1">
      <c r="A143" s="33">
        <f t="shared" si="2"/>
        <v>133</v>
      </c>
      <c r="B143" s="1">
        <v>2021</v>
      </c>
      <c r="C143">
        <v>1</v>
      </c>
      <c r="D143" s="32">
        <v>39.020000000000003</v>
      </c>
      <c r="E143" s="2">
        <v>6.7828195789999999</v>
      </c>
      <c r="F143" s="2">
        <v>0</v>
      </c>
      <c r="G143" s="2">
        <v>29.530000000000001</v>
      </c>
      <c r="H143" s="29">
        <v>1</v>
      </c>
      <c r="I143" s="29">
        <v>0</v>
      </c>
      <c r="J143" s="29">
        <v>0</v>
      </c>
      <c r="K143" s="29">
        <v>0</v>
      </c>
      <c r="L143" s="29">
        <v>0</v>
      </c>
      <c r="M143" s="29">
        <v>0</v>
      </c>
      <c r="N143" s="29">
        <v>0</v>
      </c>
      <c r="O143">
        <v>0</v>
      </c>
      <c r="P143">
        <v>0</v>
      </c>
      <c r="Q143">
        <v>0</v>
      </c>
      <c r="R143" s="35">
        <v>0</v>
      </c>
      <c r="S143" s="35">
        <v>0</v>
      </c>
      <c r="T143">
        <v>472.44</v>
      </c>
      <c r="V143" s="22"/>
      <c r="W143" s="22"/>
      <c r="X143" s="22"/>
      <c r="Y143" s="22"/>
    </row>
    <row r="144" spans="1:25" ht="12.75" customHeight="1">
      <c r="A144" s="33">
        <f t="shared" si="2"/>
        <v>134</v>
      </c>
      <c r="B144" s="1">
        <v>2021</v>
      </c>
      <c r="C144">
        <v>2</v>
      </c>
      <c r="D144" s="32">
        <v>40.57</v>
      </c>
      <c r="E144" s="2">
        <v>8.4814454109999993</v>
      </c>
      <c r="F144" s="2">
        <v>0</v>
      </c>
      <c r="G144" s="2">
        <v>29.32</v>
      </c>
      <c r="H144" s="29">
        <v>0</v>
      </c>
      <c r="I144" s="29">
        <v>1</v>
      </c>
      <c r="J144" s="29">
        <v>0</v>
      </c>
      <c r="K144" s="29">
        <v>0</v>
      </c>
      <c r="L144" s="29">
        <v>0</v>
      </c>
      <c r="M144" s="29">
        <v>0</v>
      </c>
      <c r="N144" s="29">
        <v>0</v>
      </c>
      <c r="O144">
        <v>0</v>
      </c>
      <c r="P144">
        <v>0</v>
      </c>
      <c r="Q144">
        <v>0</v>
      </c>
      <c r="R144" s="35">
        <v>0</v>
      </c>
      <c r="S144" s="35">
        <v>0</v>
      </c>
      <c r="T144">
        <v>469.12</v>
      </c>
      <c r="V144" s="22"/>
      <c r="W144" s="22"/>
      <c r="X144" s="22"/>
      <c r="Y144" s="22"/>
    </row>
    <row r="145" spans="1:25" ht="12.75" customHeight="1">
      <c r="A145" s="33">
        <f t="shared" si="2"/>
        <v>135</v>
      </c>
      <c r="B145" s="1">
        <v>2021</v>
      </c>
      <c r="C145">
        <v>3</v>
      </c>
      <c r="D145" s="32">
        <v>43.740000000000002</v>
      </c>
      <c r="E145" s="2">
        <v>10.857095559999999</v>
      </c>
      <c r="F145" s="2">
        <v>0.10000000000000001</v>
      </c>
      <c r="G145" s="2">
        <v>29.09</v>
      </c>
      <c r="H145" s="29">
        <v>0</v>
      </c>
      <c r="I145" s="29">
        <v>0</v>
      </c>
      <c r="J145" s="29">
        <v>1</v>
      </c>
      <c r="K145" s="29">
        <v>0</v>
      </c>
      <c r="L145" s="29">
        <v>0</v>
      </c>
      <c r="M145" s="29">
        <v>0</v>
      </c>
      <c r="N145" s="29">
        <v>0</v>
      </c>
      <c r="O145">
        <v>0</v>
      </c>
      <c r="P145">
        <v>0</v>
      </c>
      <c r="Q145">
        <v>0</v>
      </c>
      <c r="R145" s="35">
        <v>0</v>
      </c>
      <c r="S145" s="35">
        <v>0</v>
      </c>
      <c r="T145">
        <v>465.37</v>
      </c>
      <c r="V145" s="22"/>
      <c r="W145" s="22"/>
      <c r="X145" s="22"/>
      <c r="Y145" s="22"/>
    </row>
    <row r="146" spans="1:25" ht="12.75" customHeight="1">
      <c r="A146" s="33">
        <f t="shared" si="2"/>
        <v>136</v>
      </c>
      <c r="B146" s="1">
        <v>2021</v>
      </c>
      <c r="C146">
        <v>4</v>
      </c>
      <c r="D146" s="32">
        <v>25.16</v>
      </c>
      <c r="E146" s="2">
        <v>0.88960102009999997</v>
      </c>
      <c r="F146" s="2">
        <v>0.46000000000000002</v>
      </c>
      <c r="G146" s="2">
        <v>28.620000000000001</v>
      </c>
      <c r="H146" s="29">
        <v>0</v>
      </c>
      <c r="I146" s="29">
        <v>0</v>
      </c>
      <c r="J146" s="29">
        <v>0</v>
      </c>
      <c r="K146" s="29">
        <v>1</v>
      </c>
      <c r="L146" s="29">
        <v>0</v>
      </c>
      <c r="M146" s="29">
        <v>0</v>
      </c>
      <c r="N146" s="29">
        <v>0</v>
      </c>
      <c r="O146">
        <v>0</v>
      </c>
      <c r="P146">
        <v>0</v>
      </c>
      <c r="Q146">
        <v>0</v>
      </c>
      <c r="R146" s="35">
        <v>0</v>
      </c>
      <c r="S146" s="35">
        <v>0</v>
      </c>
      <c r="T146">
        <v>457.99000000000001</v>
      </c>
      <c r="V146" s="22"/>
      <c r="W146" s="22"/>
      <c r="X146" s="22"/>
      <c r="Y146" s="22"/>
    </row>
    <row r="147" spans="1:25" ht="12.75" customHeight="1">
      <c r="A147" s="33">
        <f t="shared" si="2"/>
        <v>137</v>
      </c>
      <c r="B147" s="1">
        <v>2021</v>
      </c>
      <c r="C147">
        <v>5</v>
      </c>
      <c r="D147" s="32">
        <v>26.219999999999999</v>
      </c>
      <c r="E147" s="2">
        <v>0.5169193581</v>
      </c>
      <c r="F147" s="2">
        <v>1.19</v>
      </c>
      <c r="G147" s="2">
        <v>28.43</v>
      </c>
      <c r="H147" s="29">
        <v>0</v>
      </c>
      <c r="I147" s="29">
        <v>0</v>
      </c>
      <c r="J147" s="29">
        <v>0</v>
      </c>
      <c r="K147" s="29">
        <v>0</v>
      </c>
      <c r="L147" s="29">
        <v>1</v>
      </c>
      <c r="M147" s="29">
        <v>0</v>
      </c>
      <c r="N147" s="29">
        <v>0</v>
      </c>
      <c r="O147">
        <v>0</v>
      </c>
      <c r="P147">
        <v>0</v>
      </c>
      <c r="Q147">
        <v>0</v>
      </c>
      <c r="R147" s="35">
        <v>0</v>
      </c>
      <c r="S147" s="35">
        <v>0</v>
      </c>
      <c r="T147">
        <v>454.82999999999998</v>
      </c>
      <c r="V147" s="22"/>
      <c r="W147" s="22"/>
      <c r="X147" s="22"/>
      <c r="Y147" s="22"/>
    </row>
    <row r="148" spans="1:25" ht="12.75" customHeight="1">
      <c r="A148" s="33">
        <f t="shared" si="2"/>
        <v>138</v>
      </c>
      <c r="B148" s="1">
        <v>2021</v>
      </c>
      <c r="C148">
        <v>6</v>
      </c>
      <c r="D148" s="32">
        <v>33.100000000000001</v>
      </c>
      <c r="E148" s="2">
        <v>0.038093954069999998</v>
      </c>
      <c r="F148" s="2">
        <v>4.0599999999999996</v>
      </c>
      <c r="G148" s="2">
        <v>28.280000000000001</v>
      </c>
      <c r="H148" s="29">
        <v>0</v>
      </c>
      <c r="I148" s="29">
        <v>0</v>
      </c>
      <c r="J148" s="29">
        <v>0</v>
      </c>
      <c r="K148" s="29">
        <v>0</v>
      </c>
      <c r="L148" s="29">
        <v>0</v>
      </c>
      <c r="M148" s="29">
        <v>1</v>
      </c>
      <c r="N148" s="29">
        <v>0</v>
      </c>
      <c r="O148">
        <v>0</v>
      </c>
      <c r="P148">
        <v>0</v>
      </c>
      <c r="Q148">
        <v>0</v>
      </c>
      <c r="R148" s="35">
        <v>0</v>
      </c>
      <c r="S148" s="35">
        <v>0</v>
      </c>
      <c r="T148">
        <v>452.42000000000002</v>
      </c>
      <c r="V148" s="22"/>
      <c r="W148" s="22"/>
      <c r="X148" s="22"/>
      <c r="Y148" s="22"/>
    </row>
    <row r="149" spans="1:25" ht="12.75" customHeight="1">
      <c r="A149" s="33">
        <f t="shared" si="2"/>
        <v>139</v>
      </c>
      <c r="B149" s="1">
        <v>2021</v>
      </c>
      <c r="C149">
        <v>7</v>
      </c>
      <c r="D149" s="32">
        <v>47.5</v>
      </c>
      <c r="E149" s="2">
        <v>1.925298531E-05</v>
      </c>
      <c r="F149" s="2">
        <v>9.8900000000000006</v>
      </c>
      <c r="G149" s="2">
        <v>27.690000000000001</v>
      </c>
      <c r="H149" s="29">
        <v>0</v>
      </c>
      <c r="I149" s="29">
        <v>0</v>
      </c>
      <c r="J149" s="29">
        <v>0</v>
      </c>
      <c r="K149" s="29">
        <v>0</v>
      </c>
      <c r="L149" s="29">
        <v>0</v>
      </c>
      <c r="M149" s="29">
        <v>0</v>
      </c>
      <c r="N149" s="29">
        <v>1</v>
      </c>
      <c r="O149">
        <v>0</v>
      </c>
      <c r="P149">
        <v>0</v>
      </c>
      <c r="Q149">
        <v>0</v>
      </c>
      <c r="R149" s="35">
        <v>0</v>
      </c>
      <c r="S149" s="35">
        <v>0</v>
      </c>
      <c r="T149">
        <v>442.99000000000001</v>
      </c>
      <c r="V149" s="22"/>
      <c r="W149" s="22"/>
      <c r="X149" s="22"/>
      <c r="Y149" s="22"/>
    </row>
    <row r="150" spans="22:25" ht="12.75" customHeight="1">
      <c r="V150" s="22"/>
      <c r="W150" s="22"/>
      <c r="X150" s="22"/>
      <c r="Y150" s="22"/>
    </row>
    <row r="151" spans="22:25" ht="12.75" customHeight="1">
      <c r="V151" s="22"/>
      <c r="W151" s="22"/>
      <c r="X151" s="22"/>
      <c r="Y151" s="22"/>
    </row>
    <row r="152" spans="22:25" ht="12.75" customHeight="1">
      <c r="V152" s="22"/>
      <c r="W152" s="22"/>
      <c r="X152" s="22"/>
      <c r="Y152" s="22"/>
    </row>
    <row r="153" spans="22:25" ht="12.75" customHeight="1">
      <c r="V153" s="22"/>
      <c r="W153" s="22"/>
      <c r="X153" s="22"/>
      <c r="Y153" s="22"/>
    </row>
    <row r="154" spans="22:25" ht="12.75" customHeight="1">
      <c r="V154" s="22"/>
      <c r="W154" s="22"/>
      <c r="X154" s="22"/>
      <c r="Y154" s="22"/>
    </row>
  </sheetData>
  <mergeCells count="6">
    <mergeCell ref="B9:Q9"/>
    <mergeCell ref="B1:Q1"/>
    <mergeCell ref="B2:Q2"/>
    <mergeCell ref="B3:Q3"/>
    <mergeCell ref="B4:Q4"/>
    <mergeCell ref="B6:Q6"/>
  </mergeCells>
  <pageMargins left="1.5" right="0.75" top="1" bottom="1" header="0.5" footer="0.5"/>
  <pageSetup orientation="portrait" scale="61" r:id="rId1"/>
  <headerFooter alignWithMargins="0">
    <oddHeader>&amp;RSchedule II-H-2.2
Page &amp;P of &amp;N</oddHeader>
  </headerFooter>
  <rowBreaks count="2" manualBreakCount="2">
    <brk id="58" max="19" man="1"/>
    <brk id="106" max="1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W154"/>
  <sheetViews>
    <sheetView showOutlineSymbols="0" view="pageBreakPreview" zoomScaleNormal="100" zoomScaleSheetLayoutView="100" workbookViewId="0" topLeftCell="A1">
      <pane xSplit="3" ySplit="10" topLeftCell="D11" activePane="bottomRight" state="frozen"/>
      <selection pane="topLeft" activeCell="A1" sqref="A1"/>
      <selection pane="bottomLeft" activeCell="A1" sqref="A1"/>
      <selection pane="topRight" activeCell="A1" sqref="A1"/>
      <selection pane="bottomRight" activeCell="A1" sqref="A1"/>
    </sheetView>
  </sheetViews>
  <sheetFormatPr defaultRowHeight="12.75" customHeight="1"/>
  <cols>
    <col min="1" max="1" width="4.42857142857143" style="4" bestFit="1" customWidth="1"/>
    <col min="2" max="2" width="5" style="1" bestFit="1" customWidth="1"/>
    <col min="3" max="3" width="5.85714285714286" style="1" bestFit="1" customWidth="1"/>
    <col min="4" max="4" width="12.5714285714286" style="1" bestFit="1" customWidth="1"/>
    <col min="5" max="6" width="12.7142857142857" style="2" bestFit="1" customWidth="1"/>
    <col min="7" max="7" width="4.14285714285714" style="2" bestFit="1" customWidth="1"/>
    <col min="8" max="9" width="4.28571428571429" style="2" bestFit="1" customWidth="1"/>
    <col min="10" max="10" width="4" style="2" bestFit="1" customWidth="1"/>
    <col min="11" max="11" width="4.57142857142857" style="2" bestFit="1" customWidth="1"/>
    <col min="12" max="12" width="4.14285714285714" style="2" bestFit="1" customWidth="1"/>
    <col min="13" max="13" width="3.57142857142857" style="2" bestFit="1" customWidth="1"/>
    <col min="14" max="14" width="4.28571428571429" style="2" bestFit="1" customWidth="1"/>
    <col min="15" max="15" width="9.14285714285714" bestFit="1" customWidth="1"/>
    <col min="22" max="23" width="4.57142857142857" bestFit="1" customWidth="1"/>
  </cols>
  <sheetData>
    <row r="1" spans="2:15" ht="15.6">
      <c r="B1" s="47" t="str">
        <f>+Introduction!B1</f>
        <v xml:space="preserve">PUC DOCKET NO. </v>
      </c>
      <c r="C1" s="47"/>
      <c r="D1" s="47"/>
      <c r="E1" s="47"/>
      <c r="F1" s="47"/>
      <c r="G1" s="48"/>
      <c r="H1" s="48"/>
      <c r="I1" s="48"/>
      <c r="J1" s="48"/>
      <c r="K1" s="48"/>
      <c r="L1" s="48"/>
      <c r="M1" s="48"/>
      <c r="N1" s="48"/>
      <c r="O1" s="48"/>
    </row>
    <row r="2" spans="2:15" ht="15.6">
      <c r="B2" s="47" t="str">
        <f>+Introduction!B2</f>
        <v>ONCOR ELECTRIC DELIVERY COMPANY LLC</v>
      </c>
      <c r="C2" s="47"/>
      <c r="D2" s="47"/>
      <c r="E2" s="47"/>
      <c r="F2" s="47"/>
      <c r="G2" s="48"/>
      <c r="H2" s="48"/>
      <c r="I2" s="48"/>
      <c r="J2" s="48"/>
      <c r="K2" s="48"/>
      <c r="L2" s="48"/>
      <c r="M2" s="48"/>
      <c r="N2" s="48"/>
      <c r="O2" s="48"/>
    </row>
    <row r="3" spans="2:15" ht="15.6">
      <c r="B3" s="47" t="str">
        <f>+Introduction!B3</f>
        <v>MODEL DATA</v>
      </c>
      <c r="C3" s="47"/>
      <c r="D3" s="47"/>
      <c r="E3" s="47"/>
      <c r="F3" s="47"/>
      <c r="G3" s="48"/>
      <c r="H3" s="48"/>
      <c r="I3" s="48"/>
      <c r="J3" s="48"/>
      <c r="K3" s="48"/>
      <c r="L3" s="48"/>
      <c r="M3" s="48"/>
      <c r="N3" s="48"/>
      <c r="O3" s="48"/>
    </row>
    <row r="4" spans="2:15" ht="15.6">
      <c r="B4" s="47" t="str">
        <f>+Introduction!B4</f>
        <v>FOR THE TEST YEAR ENDING DECEMBER 31, 2021</v>
      </c>
      <c r="C4" s="47"/>
      <c r="D4" s="47"/>
      <c r="E4" s="47"/>
      <c r="F4" s="47"/>
      <c r="G4" s="47"/>
      <c r="H4" s="47"/>
      <c r="I4" s="47"/>
      <c r="J4" s="47"/>
      <c r="K4" s="47"/>
      <c r="L4" s="49"/>
      <c r="M4" s="49"/>
      <c r="N4" s="49"/>
      <c r="O4" s="49"/>
    </row>
    <row r="5" spans="2:6" ht="12.75" customHeight="1">
      <c r="B5" s="14"/>
      <c r="C5" s="14"/>
      <c r="D5" s="14"/>
      <c r="E5" s="14"/>
      <c r="F5" s="14"/>
    </row>
    <row r="6" spans="2:15" ht="15.6">
      <c r="B6" s="47" t="str">
        <f>+Introduction!B6</f>
        <v>SPONSOR: D. E. NELSON</v>
      </c>
      <c r="C6" s="47"/>
      <c r="D6" s="47"/>
      <c r="E6" s="47"/>
      <c r="F6" s="47"/>
      <c r="G6" s="48"/>
      <c r="H6" s="48"/>
      <c r="I6" s="48"/>
      <c r="J6" s="48"/>
      <c r="K6" s="48"/>
      <c r="L6" s="48"/>
      <c r="M6" s="48"/>
      <c r="N6" s="48"/>
      <c r="O6" s="48"/>
    </row>
    <row r="8" spans="2:18" ht="12.75" customHeight="1">
      <c r="B8" s="9" t="s">
        <v>4</v>
      </c>
      <c r="C8" s="9" t="s">
        <v>5</v>
      </c>
      <c r="D8" s="9" t="s">
        <v>7</v>
      </c>
      <c r="E8" s="10" t="s">
        <v>6</v>
      </c>
      <c r="F8" s="10" t="s">
        <v>8</v>
      </c>
      <c r="G8" s="10" t="s">
        <v>9</v>
      </c>
      <c r="H8" s="10" t="s">
        <v>10</v>
      </c>
      <c r="I8" s="10" t="s">
        <v>11</v>
      </c>
      <c r="J8" s="10" t="s">
        <v>12</v>
      </c>
      <c r="K8" s="10" t="s">
        <v>13</v>
      </c>
      <c r="L8" s="10" t="s">
        <v>14</v>
      </c>
      <c r="M8" s="11" t="s">
        <v>15</v>
      </c>
      <c r="N8" s="10" t="s">
        <v>16</v>
      </c>
      <c r="O8" s="10" t="s">
        <v>17</v>
      </c>
      <c r="P8" s="10" t="s">
        <v>18</v>
      </c>
      <c r="Q8" s="10" t="s">
        <v>19</v>
      </c>
      <c r="R8" s="10" t="s">
        <v>57</v>
      </c>
    </row>
    <row r="9" spans="1:15" ht="15.6">
      <c r="A9" s="4" t="s">
        <v>2</v>
      </c>
      <c r="B9" s="47" t="s">
        <v>36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</row>
    <row r="10" spans="1:18" s="21" customFormat="1" ht="12.75" customHeight="1">
      <c r="A10" s="20" t="s">
        <v>3</v>
      </c>
      <c r="B10" s="41" t="s">
        <v>53</v>
      </c>
      <c r="C10" s="41" t="s">
        <v>0</v>
      </c>
      <c r="D10" s="38" t="s">
        <v>33</v>
      </c>
      <c r="E10" s="38" t="s">
        <v>64</v>
      </c>
      <c r="F10" s="38" t="s">
        <v>65</v>
      </c>
      <c r="G10" s="38" t="s">
        <v>32</v>
      </c>
      <c r="H10" s="38" t="s">
        <v>20</v>
      </c>
      <c r="I10" s="38" t="s">
        <v>21</v>
      </c>
      <c r="J10" s="38" t="s">
        <v>22</v>
      </c>
      <c r="K10" s="38" t="s">
        <v>23</v>
      </c>
      <c r="L10" s="38" t="s">
        <v>24</v>
      </c>
      <c r="M10" s="38" t="s">
        <v>25</v>
      </c>
      <c r="N10" s="38" t="s">
        <v>26</v>
      </c>
      <c r="O10" s="42" t="s">
        <v>27</v>
      </c>
      <c r="P10" s="37" t="s">
        <v>28</v>
      </c>
      <c r="Q10" s="37" t="s">
        <v>29</v>
      </c>
      <c r="R10" s="37" t="s">
        <v>56</v>
      </c>
    </row>
    <row r="11" spans="1:18" ht="12.75" customHeight="1">
      <c r="A11" s="4">
        <v>1</v>
      </c>
      <c r="B11">
        <v>2010</v>
      </c>
      <c r="C11">
        <v>1</v>
      </c>
      <c r="D11" s="19">
        <v>19.68</v>
      </c>
      <c r="E11" s="19">
        <v>12.85</v>
      </c>
      <c r="F11" s="19">
        <v>0</v>
      </c>
      <c r="G11" s="23">
        <v>1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35">
        <v>0</v>
      </c>
      <c r="Q11" s="35">
        <v>0</v>
      </c>
      <c r="R11" s="35">
        <v>0</v>
      </c>
    </row>
    <row r="12" spans="1:18" ht="12.75" customHeight="1">
      <c r="A12" s="4">
        <f t="shared" si="0" ref="A12:A75">+A11+1</f>
        <v>2</v>
      </c>
      <c r="B12">
        <v>2010</v>
      </c>
      <c r="C12">
        <v>2</v>
      </c>
      <c r="D12" s="19">
        <v>18.850000000000001</v>
      </c>
      <c r="E12" s="19">
        <v>10.720000000000001</v>
      </c>
      <c r="F12" s="19">
        <v>0</v>
      </c>
      <c r="G12" s="23">
        <v>0</v>
      </c>
      <c r="H12" s="23">
        <v>1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35">
        <v>0</v>
      </c>
      <c r="Q12" s="35">
        <v>0</v>
      </c>
      <c r="R12" s="35">
        <v>0</v>
      </c>
    </row>
    <row r="13" spans="1:18" ht="12.75" customHeight="1">
      <c r="A13" s="4">
        <f t="shared" si="0"/>
        <v>3</v>
      </c>
      <c r="B13">
        <v>2010</v>
      </c>
      <c r="C13">
        <v>3</v>
      </c>
      <c r="D13" s="19">
        <v>17.66</v>
      </c>
      <c r="E13" s="19">
        <v>7.7599999999999998</v>
      </c>
      <c r="F13" s="19">
        <v>0</v>
      </c>
      <c r="G13" s="23">
        <v>0</v>
      </c>
      <c r="H13" s="23">
        <v>0</v>
      </c>
      <c r="I13" s="23">
        <v>1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35">
        <v>0</v>
      </c>
      <c r="Q13" s="35">
        <v>0</v>
      </c>
      <c r="R13" s="35">
        <v>0</v>
      </c>
    </row>
    <row r="14" spans="1:18" ht="12.75" customHeight="1">
      <c r="A14" s="4">
        <f t="shared" si="0"/>
        <v>4</v>
      </c>
      <c r="B14">
        <v>2010</v>
      </c>
      <c r="C14">
        <v>4</v>
      </c>
      <c r="D14" s="19">
        <v>15.48</v>
      </c>
      <c r="E14" s="19">
        <v>1.5600000000000001</v>
      </c>
      <c r="F14" s="19">
        <v>0.34999999999999998</v>
      </c>
      <c r="G14" s="23">
        <v>0</v>
      </c>
      <c r="H14" s="23">
        <v>0</v>
      </c>
      <c r="I14" s="23">
        <v>0</v>
      </c>
      <c r="J14" s="23">
        <v>1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35">
        <v>0</v>
      </c>
      <c r="Q14" s="35">
        <v>0</v>
      </c>
      <c r="R14" s="35">
        <v>0</v>
      </c>
    </row>
    <row r="15" spans="1:18" ht="12.75" customHeight="1">
      <c r="A15" s="4">
        <f t="shared" si="0"/>
        <v>5</v>
      </c>
      <c r="B15">
        <v>2010</v>
      </c>
      <c r="C15">
        <v>5</v>
      </c>
      <c r="D15" s="19">
        <v>15.640000000000001</v>
      </c>
      <c r="E15" s="19">
        <v>0.10000000000000001</v>
      </c>
      <c r="F15" s="19">
        <v>1.6699999999999999</v>
      </c>
      <c r="G15" s="23">
        <v>0</v>
      </c>
      <c r="H15" s="23">
        <v>0</v>
      </c>
      <c r="I15" s="23">
        <v>0</v>
      </c>
      <c r="J15" s="23">
        <v>0</v>
      </c>
      <c r="K15" s="23">
        <v>1</v>
      </c>
      <c r="L15" s="23">
        <v>0</v>
      </c>
      <c r="M15" s="23">
        <v>0</v>
      </c>
      <c r="N15" s="23">
        <v>0</v>
      </c>
      <c r="O15" s="23">
        <v>0</v>
      </c>
      <c r="P15" s="35">
        <v>0</v>
      </c>
      <c r="Q15" s="35">
        <v>0</v>
      </c>
      <c r="R15" s="35">
        <v>0</v>
      </c>
    </row>
    <row r="16" spans="1:18" ht="12.75" customHeight="1">
      <c r="A16" s="4">
        <f t="shared" si="0"/>
        <v>6</v>
      </c>
      <c r="B16">
        <v>2010</v>
      </c>
      <c r="C16">
        <v>6</v>
      </c>
      <c r="D16" s="19">
        <v>18.550000000000001</v>
      </c>
      <c r="E16" s="19">
        <v>0</v>
      </c>
      <c r="F16" s="19">
        <v>7.7599999999999998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1</v>
      </c>
      <c r="M16" s="23">
        <v>0</v>
      </c>
      <c r="N16" s="23">
        <v>0</v>
      </c>
      <c r="O16" s="23">
        <v>0</v>
      </c>
      <c r="P16" s="35">
        <v>0</v>
      </c>
      <c r="Q16" s="35">
        <v>0</v>
      </c>
      <c r="R16" s="35">
        <v>0</v>
      </c>
    </row>
    <row r="17" spans="1:18" ht="12.75" customHeight="1">
      <c r="A17" s="4">
        <f t="shared" si="0"/>
        <v>7</v>
      </c>
      <c r="B17">
        <v>2010</v>
      </c>
      <c r="C17">
        <v>7</v>
      </c>
      <c r="D17" s="19">
        <v>20.739999999999998</v>
      </c>
      <c r="E17" s="19">
        <v>0</v>
      </c>
      <c r="F17" s="19">
        <v>10.199999999999999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1</v>
      </c>
      <c r="N17" s="23">
        <v>0</v>
      </c>
      <c r="O17" s="23">
        <v>0</v>
      </c>
      <c r="P17" s="35">
        <v>0</v>
      </c>
      <c r="Q17" s="35">
        <v>0</v>
      </c>
      <c r="R17" s="35">
        <v>0</v>
      </c>
    </row>
    <row r="18" spans="1:18" ht="12.75" customHeight="1">
      <c r="A18" s="4">
        <f t="shared" si="0"/>
        <v>8</v>
      </c>
      <c r="B18">
        <v>2010</v>
      </c>
      <c r="C18">
        <v>8</v>
      </c>
      <c r="D18" s="19">
        <v>21.940000000000001</v>
      </c>
      <c r="E18" s="19">
        <v>0</v>
      </c>
      <c r="F18" s="19">
        <v>12.41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1</v>
      </c>
      <c r="O18" s="23">
        <v>0</v>
      </c>
      <c r="P18" s="35">
        <v>0</v>
      </c>
      <c r="Q18" s="35">
        <v>0</v>
      </c>
      <c r="R18" s="35">
        <v>0</v>
      </c>
    </row>
    <row r="19" spans="1:18" ht="12.75" customHeight="1">
      <c r="A19" s="4">
        <f t="shared" si="0"/>
        <v>9</v>
      </c>
      <c r="B19">
        <v>2010</v>
      </c>
      <c r="C19">
        <v>9</v>
      </c>
      <c r="D19" s="19">
        <v>21.050000000000001</v>
      </c>
      <c r="E19" s="19">
        <v>0</v>
      </c>
      <c r="F19" s="19">
        <v>11.119999999999999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1</v>
      </c>
      <c r="P19" s="35">
        <v>0</v>
      </c>
      <c r="Q19" s="35">
        <v>0</v>
      </c>
      <c r="R19" s="35">
        <v>0</v>
      </c>
    </row>
    <row r="20" spans="1:18" ht="12.75" customHeight="1">
      <c r="A20" s="4">
        <f t="shared" si="0"/>
        <v>10</v>
      </c>
      <c r="B20">
        <v>2010</v>
      </c>
      <c r="C20">
        <v>10</v>
      </c>
      <c r="D20" s="19">
        <v>17.969999999999999</v>
      </c>
      <c r="E20" s="19">
        <v>0</v>
      </c>
      <c r="F20" s="19">
        <v>4.0499999999999998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35">
        <v>1</v>
      </c>
      <c r="Q20" s="35">
        <v>0</v>
      </c>
      <c r="R20" s="35">
        <v>0</v>
      </c>
    </row>
    <row r="21" spans="1:18" ht="12.75" customHeight="1">
      <c r="A21" s="4">
        <f t="shared" si="0"/>
        <v>11</v>
      </c>
      <c r="B21">
        <v>2010</v>
      </c>
      <c r="C21">
        <v>11</v>
      </c>
      <c r="D21" s="19">
        <v>16.359999999999999</v>
      </c>
      <c r="E21" s="19">
        <v>0.68999999999999995</v>
      </c>
      <c r="F21" s="19">
        <v>0.82999999999999996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35">
        <v>0</v>
      </c>
      <c r="Q21" s="35">
        <v>1</v>
      </c>
      <c r="R21" s="35">
        <v>0</v>
      </c>
    </row>
    <row r="22" spans="1:18" ht="12.75" customHeight="1">
      <c r="A22" s="4">
        <f t="shared" si="0"/>
        <v>12</v>
      </c>
      <c r="B22">
        <v>2010</v>
      </c>
      <c r="C22">
        <v>12</v>
      </c>
      <c r="D22" s="19">
        <v>17.18</v>
      </c>
      <c r="E22" s="19">
        <v>4.6399999999999997</v>
      </c>
      <c r="F22" s="19">
        <v>0.23000000000000001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35">
        <v>0</v>
      </c>
      <c r="Q22" s="35">
        <v>0</v>
      </c>
      <c r="R22" s="35">
        <v>1</v>
      </c>
    </row>
    <row r="23" spans="1:18" ht="12.75" customHeight="1">
      <c r="A23" s="4">
        <f t="shared" si="0"/>
        <v>13</v>
      </c>
      <c r="B23">
        <v>2011</v>
      </c>
      <c r="C23">
        <v>1</v>
      </c>
      <c r="D23" s="19">
        <v>18.32</v>
      </c>
      <c r="E23" s="19">
        <v>9.2899999999999991</v>
      </c>
      <c r="F23" s="19">
        <v>0.01</v>
      </c>
      <c r="G23" s="23">
        <v>1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35">
        <v>0</v>
      </c>
      <c r="Q23" s="35">
        <v>0</v>
      </c>
      <c r="R23" s="35">
        <v>0</v>
      </c>
    </row>
    <row r="24" spans="1:18" ht="12.75" customHeight="1">
      <c r="A24" s="4">
        <f t="shared" si="0"/>
        <v>14</v>
      </c>
      <c r="B24">
        <v>2011</v>
      </c>
      <c r="C24">
        <v>2</v>
      </c>
      <c r="D24" s="19">
        <v>19.260000000000002</v>
      </c>
      <c r="E24" s="19">
        <v>12.359999999999999</v>
      </c>
      <c r="F24" s="19">
        <v>0.029999999999999999</v>
      </c>
      <c r="G24" s="23">
        <v>0</v>
      </c>
      <c r="H24" s="23">
        <v>1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35">
        <v>0</v>
      </c>
      <c r="Q24" s="35">
        <v>0</v>
      </c>
      <c r="R24" s="35">
        <v>0</v>
      </c>
    </row>
    <row r="25" spans="1:18" ht="12.75" customHeight="1">
      <c r="A25" s="4">
        <f t="shared" si="0"/>
        <v>15</v>
      </c>
      <c r="B25">
        <v>2011</v>
      </c>
      <c r="C25">
        <v>3</v>
      </c>
      <c r="D25" s="19">
        <v>16.09</v>
      </c>
      <c r="E25" s="19">
        <v>3.3100000000000001</v>
      </c>
      <c r="F25" s="19">
        <v>0.28999999999999998</v>
      </c>
      <c r="G25" s="23">
        <v>0</v>
      </c>
      <c r="H25" s="23">
        <v>0</v>
      </c>
      <c r="I25" s="23">
        <v>1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35">
        <v>0</v>
      </c>
      <c r="Q25" s="35">
        <v>0</v>
      </c>
      <c r="R25" s="35">
        <v>0</v>
      </c>
    </row>
    <row r="26" spans="1:18" ht="12.75" customHeight="1">
      <c r="A26" s="4">
        <f t="shared" si="0"/>
        <v>16</v>
      </c>
      <c r="B26">
        <v>2011</v>
      </c>
      <c r="C26">
        <v>4</v>
      </c>
      <c r="D26" s="19">
        <v>15.48</v>
      </c>
      <c r="E26" s="19">
        <v>0.87</v>
      </c>
      <c r="F26" s="19">
        <v>1.5600000000000001</v>
      </c>
      <c r="G26" s="23">
        <v>0</v>
      </c>
      <c r="H26" s="23">
        <v>0</v>
      </c>
      <c r="I26" s="23">
        <v>0</v>
      </c>
      <c r="J26" s="23">
        <v>1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35">
        <v>0</v>
      </c>
      <c r="Q26" s="35">
        <v>0</v>
      </c>
      <c r="R26" s="35">
        <v>0</v>
      </c>
    </row>
    <row r="27" spans="1:18" ht="12.75" customHeight="1">
      <c r="A27" s="4">
        <f t="shared" si="0"/>
        <v>17</v>
      </c>
      <c r="B27">
        <v>2011</v>
      </c>
      <c r="C27">
        <v>5</v>
      </c>
      <c r="D27" s="19">
        <v>16.010000000000002</v>
      </c>
      <c r="E27" s="19">
        <v>0.25</v>
      </c>
      <c r="F27" s="19">
        <v>2.8399999999999999</v>
      </c>
      <c r="G27" s="23">
        <v>0</v>
      </c>
      <c r="H27" s="23">
        <v>0</v>
      </c>
      <c r="I27" s="23">
        <v>0</v>
      </c>
      <c r="J27" s="23">
        <v>0</v>
      </c>
      <c r="K27" s="23">
        <v>1</v>
      </c>
      <c r="L27" s="23">
        <v>0</v>
      </c>
      <c r="M27" s="23">
        <v>0</v>
      </c>
      <c r="N27" s="23">
        <v>0</v>
      </c>
      <c r="O27" s="23">
        <v>0</v>
      </c>
      <c r="P27" s="35">
        <v>0</v>
      </c>
      <c r="Q27" s="35">
        <v>0</v>
      </c>
      <c r="R27" s="35">
        <v>0</v>
      </c>
    </row>
    <row r="28" spans="1:18" ht="12.75" customHeight="1">
      <c r="A28" s="4">
        <f t="shared" si="0"/>
        <v>18</v>
      </c>
      <c r="B28">
        <v>2011</v>
      </c>
      <c r="C28">
        <v>6</v>
      </c>
      <c r="D28" s="19">
        <v>18.219999999999999</v>
      </c>
      <c r="E28" s="19">
        <v>0.01</v>
      </c>
      <c r="F28" s="19">
        <v>8.7899999999999991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1</v>
      </c>
      <c r="M28" s="23">
        <v>0</v>
      </c>
      <c r="N28" s="23">
        <v>0</v>
      </c>
      <c r="O28" s="23">
        <v>0</v>
      </c>
      <c r="P28" s="35">
        <v>0</v>
      </c>
      <c r="Q28" s="35">
        <v>0</v>
      </c>
      <c r="R28" s="35">
        <v>0</v>
      </c>
    </row>
    <row r="29" spans="1:18" ht="12.75" customHeight="1">
      <c r="A29" s="4">
        <f t="shared" si="0"/>
        <v>19</v>
      </c>
      <c r="B29">
        <v>2011</v>
      </c>
      <c r="C29">
        <v>7</v>
      </c>
      <c r="D29" s="19">
        <v>20.600000000000001</v>
      </c>
      <c r="E29" s="19">
        <v>0</v>
      </c>
      <c r="F29" s="19">
        <v>14.51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1</v>
      </c>
      <c r="N29" s="23">
        <v>0</v>
      </c>
      <c r="O29" s="23">
        <v>0</v>
      </c>
      <c r="P29" s="35">
        <v>0</v>
      </c>
      <c r="Q29" s="35">
        <v>0</v>
      </c>
      <c r="R29" s="35">
        <v>0</v>
      </c>
    </row>
    <row r="30" spans="1:18" ht="12.75" customHeight="1">
      <c r="A30" s="4">
        <f t="shared" si="0"/>
        <v>20</v>
      </c>
      <c r="B30">
        <v>2011</v>
      </c>
      <c r="C30">
        <v>8</v>
      </c>
      <c r="D30" s="19">
        <v>21.829999999999998</v>
      </c>
      <c r="E30" s="19">
        <v>0</v>
      </c>
      <c r="F30" s="19">
        <v>17.34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1</v>
      </c>
      <c r="O30" s="23">
        <v>0</v>
      </c>
      <c r="P30" s="35">
        <v>0</v>
      </c>
      <c r="Q30" s="35">
        <v>0</v>
      </c>
      <c r="R30" s="35">
        <v>0</v>
      </c>
    </row>
    <row r="31" spans="1:18" ht="12.75" customHeight="1">
      <c r="A31" s="4">
        <f t="shared" si="0"/>
        <v>21</v>
      </c>
      <c r="B31">
        <v>2011</v>
      </c>
      <c r="C31">
        <v>9</v>
      </c>
      <c r="D31" s="19">
        <v>20.100000000000001</v>
      </c>
      <c r="E31" s="19">
        <v>0</v>
      </c>
      <c r="F31" s="19">
        <v>13.390000000000001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1</v>
      </c>
      <c r="P31" s="35">
        <v>0</v>
      </c>
      <c r="Q31" s="35">
        <v>0</v>
      </c>
      <c r="R31" s="35">
        <v>0</v>
      </c>
    </row>
    <row r="32" spans="1:18" ht="12.75" customHeight="1">
      <c r="A32" s="4">
        <f t="shared" si="0"/>
        <v>22</v>
      </c>
      <c r="B32">
        <v>2011</v>
      </c>
      <c r="C32">
        <v>10</v>
      </c>
      <c r="D32" s="19">
        <v>17.27</v>
      </c>
      <c r="E32" s="19">
        <v>0.02</v>
      </c>
      <c r="F32" s="19">
        <v>4.5199999999999996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35">
        <v>1</v>
      </c>
      <c r="Q32" s="35">
        <v>0</v>
      </c>
      <c r="R32" s="35">
        <v>0</v>
      </c>
    </row>
    <row r="33" spans="1:18" ht="12.75" customHeight="1">
      <c r="A33" s="4">
        <f t="shared" si="0"/>
        <v>23</v>
      </c>
      <c r="B33">
        <v>2011</v>
      </c>
      <c r="C33">
        <v>11</v>
      </c>
      <c r="D33" s="19">
        <v>15.76</v>
      </c>
      <c r="E33" s="19">
        <v>1.1799999999999999</v>
      </c>
      <c r="F33" s="19">
        <v>0.88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35">
        <v>0</v>
      </c>
      <c r="Q33" s="35">
        <v>1</v>
      </c>
      <c r="R33" s="35">
        <v>0</v>
      </c>
    </row>
    <row r="34" spans="1:18" ht="12.75" customHeight="1">
      <c r="A34" s="4">
        <f t="shared" si="0"/>
        <v>24</v>
      </c>
      <c r="B34">
        <v>2011</v>
      </c>
      <c r="C34">
        <v>12</v>
      </c>
      <c r="D34" s="19">
        <v>16.920000000000002</v>
      </c>
      <c r="E34" s="19">
        <v>5.7599999999999998</v>
      </c>
      <c r="F34" s="19">
        <v>0.16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35">
        <v>0</v>
      </c>
      <c r="Q34" s="35">
        <v>0</v>
      </c>
      <c r="R34" s="35">
        <v>1</v>
      </c>
    </row>
    <row r="35" spans="1:18" ht="12.75" customHeight="1">
      <c r="A35" s="4">
        <f t="shared" si="0"/>
        <v>25</v>
      </c>
      <c r="B35">
        <v>2012</v>
      </c>
      <c r="C35">
        <v>1</v>
      </c>
      <c r="D35" s="19">
        <v>17.629999999999999</v>
      </c>
      <c r="E35" s="19">
        <v>7.3300000000000001</v>
      </c>
      <c r="F35" s="19">
        <v>0</v>
      </c>
      <c r="G35" s="23">
        <v>1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35">
        <v>0</v>
      </c>
      <c r="Q35" s="35">
        <v>0</v>
      </c>
      <c r="R35" s="35">
        <v>0</v>
      </c>
    </row>
    <row r="36" spans="1:18" ht="12.75" customHeight="1">
      <c r="A36" s="4">
        <f t="shared" si="0"/>
        <v>26</v>
      </c>
      <c r="B36">
        <v>2012</v>
      </c>
      <c r="C36">
        <v>2</v>
      </c>
      <c r="D36" s="19">
        <v>17.079999999999998</v>
      </c>
      <c r="E36" s="19">
        <v>5.8200000000000003</v>
      </c>
      <c r="F36" s="19">
        <v>0.02</v>
      </c>
      <c r="G36" s="23">
        <v>0</v>
      </c>
      <c r="H36" s="23">
        <v>1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35">
        <v>0</v>
      </c>
      <c r="Q36" s="35">
        <v>0</v>
      </c>
      <c r="R36" s="35">
        <v>0</v>
      </c>
    </row>
    <row r="37" spans="1:18" ht="12.75" customHeight="1">
      <c r="A37" s="4">
        <f t="shared" si="0"/>
        <v>27</v>
      </c>
      <c r="B37">
        <v>2012</v>
      </c>
      <c r="C37">
        <v>3</v>
      </c>
      <c r="D37" s="19">
        <v>16</v>
      </c>
      <c r="E37" s="19">
        <v>2.9500000000000002</v>
      </c>
      <c r="F37" s="19">
        <v>0.22</v>
      </c>
      <c r="G37" s="23">
        <v>0</v>
      </c>
      <c r="H37" s="23">
        <v>0</v>
      </c>
      <c r="I37" s="23">
        <v>1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35">
        <v>0</v>
      </c>
      <c r="Q37" s="35">
        <v>0</v>
      </c>
      <c r="R37" s="35">
        <v>0</v>
      </c>
    </row>
    <row r="38" spans="1:18" ht="12.75" customHeight="1">
      <c r="A38" s="4">
        <f t="shared" si="0"/>
        <v>28</v>
      </c>
      <c r="B38">
        <v>2012</v>
      </c>
      <c r="C38">
        <v>4</v>
      </c>
      <c r="D38" s="19">
        <v>15.75</v>
      </c>
      <c r="E38" s="19">
        <v>0.34999999999999998</v>
      </c>
      <c r="F38" s="19">
        <v>1.0700000000000001</v>
      </c>
      <c r="G38" s="23">
        <v>0</v>
      </c>
      <c r="H38" s="23">
        <v>0</v>
      </c>
      <c r="I38" s="23">
        <v>0</v>
      </c>
      <c r="J38" s="23">
        <v>1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35">
        <v>0</v>
      </c>
      <c r="Q38" s="35">
        <v>0</v>
      </c>
      <c r="R38" s="35">
        <v>0</v>
      </c>
    </row>
    <row r="39" spans="1:18" ht="12.75" customHeight="1">
      <c r="A39" s="4">
        <f t="shared" si="0"/>
        <v>29</v>
      </c>
      <c r="B39">
        <v>2012</v>
      </c>
      <c r="C39">
        <v>5</v>
      </c>
      <c r="D39" s="19">
        <v>16.699999999999999</v>
      </c>
      <c r="E39" s="19">
        <v>0</v>
      </c>
      <c r="F39" s="19">
        <v>3.4700000000000002</v>
      </c>
      <c r="G39" s="23">
        <v>0</v>
      </c>
      <c r="H39" s="23">
        <v>0</v>
      </c>
      <c r="I39" s="23">
        <v>0</v>
      </c>
      <c r="J39" s="23">
        <v>0</v>
      </c>
      <c r="K39" s="23">
        <v>1</v>
      </c>
      <c r="L39" s="23">
        <v>0</v>
      </c>
      <c r="M39" s="23">
        <v>0</v>
      </c>
      <c r="N39" s="23">
        <v>0</v>
      </c>
      <c r="O39" s="23">
        <v>0</v>
      </c>
      <c r="P39" s="35">
        <v>0</v>
      </c>
      <c r="Q39" s="35">
        <v>0</v>
      </c>
      <c r="R39" s="35">
        <v>0</v>
      </c>
    </row>
    <row r="40" spans="1:18" ht="12.75" customHeight="1">
      <c r="A40" s="4">
        <f t="shared" si="0"/>
        <v>30</v>
      </c>
      <c r="B40">
        <v>2012</v>
      </c>
      <c r="C40">
        <v>6</v>
      </c>
      <c r="D40" s="19">
        <v>17.579999999999998</v>
      </c>
      <c r="E40" s="19">
        <v>0</v>
      </c>
      <c r="F40" s="19">
        <v>7.0800000000000001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1</v>
      </c>
      <c r="M40" s="23">
        <v>0</v>
      </c>
      <c r="N40" s="23">
        <v>0</v>
      </c>
      <c r="O40" s="23">
        <v>0</v>
      </c>
      <c r="P40" s="35">
        <v>0</v>
      </c>
      <c r="Q40" s="35">
        <v>0</v>
      </c>
      <c r="R40" s="35">
        <v>0</v>
      </c>
    </row>
    <row r="41" spans="1:18" ht="12.75" customHeight="1">
      <c r="A41" s="4">
        <f t="shared" si="0"/>
        <v>31</v>
      </c>
      <c r="B41">
        <v>2012</v>
      </c>
      <c r="C41">
        <v>7</v>
      </c>
      <c r="D41" s="19">
        <v>19.41</v>
      </c>
      <c r="E41" s="19">
        <v>0</v>
      </c>
      <c r="F41" s="19">
        <v>10.92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1</v>
      </c>
      <c r="N41" s="23">
        <v>0</v>
      </c>
      <c r="O41" s="23">
        <v>0</v>
      </c>
      <c r="P41" s="35">
        <v>0</v>
      </c>
      <c r="Q41" s="35">
        <v>0</v>
      </c>
      <c r="R41" s="35">
        <v>0</v>
      </c>
    </row>
    <row r="42" spans="1:18" ht="12.75" customHeight="1">
      <c r="A42" s="4">
        <f t="shared" si="0"/>
        <v>32</v>
      </c>
      <c r="B42">
        <v>2012</v>
      </c>
      <c r="C42">
        <v>8</v>
      </c>
      <c r="D42" s="19">
        <v>20.25</v>
      </c>
      <c r="E42" s="19">
        <v>0</v>
      </c>
      <c r="F42" s="19">
        <v>13.380000000000001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1</v>
      </c>
      <c r="O42" s="23">
        <v>0</v>
      </c>
      <c r="P42" s="35">
        <v>0</v>
      </c>
      <c r="Q42" s="35">
        <v>0</v>
      </c>
      <c r="R42" s="35">
        <v>0</v>
      </c>
    </row>
    <row r="43" spans="1:18" ht="12.75" customHeight="1">
      <c r="A43" s="4">
        <f t="shared" si="0"/>
        <v>33</v>
      </c>
      <c r="B43">
        <v>2012</v>
      </c>
      <c r="C43">
        <v>9</v>
      </c>
      <c r="D43" s="19">
        <v>19.07</v>
      </c>
      <c r="E43" s="19">
        <v>0</v>
      </c>
      <c r="F43" s="19">
        <v>9.5500000000000007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1</v>
      </c>
      <c r="P43" s="35">
        <v>0</v>
      </c>
      <c r="Q43" s="35">
        <v>0</v>
      </c>
      <c r="R43" s="35">
        <v>0</v>
      </c>
    </row>
    <row r="44" spans="1:18" ht="12.75" customHeight="1">
      <c r="A44" s="4">
        <f t="shared" si="0"/>
        <v>34</v>
      </c>
      <c r="B44">
        <v>2012</v>
      </c>
      <c r="C44">
        <v>10</v>
      </c>
      <c r="D44" s="19">
        <v>17.100000000000001</v>
      </c>
      <c r="E44" s="19">
        <v>0.27000000000000002</v>
      </c>
      <c r="F44" s="19">
        <v>3.9399999999999999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35">
        <v>1</v>
      </c>
      <c r="Q44" s="35">
        <v>0</v>
      </c>
      <c r="R44" s="35">
        <v>0</v>
      </c>
    </row>
    <row r="45" spans="1:18" ht="12.75" customHeight="1">
      <c r="A45" s="4">
        <f t="shared" si="0"/>
        <v>35</v>
      </c>
      <c r="B45">
        <v>2012</v>
      </c>
      <c r="C45">
        <v>11</v>
      </c>
      <c r="D45" s="19">
        <v>16.039999999999999</v>
      </c>
      <c r="E45" s="19">
        <v>1.27</v>
      </c>
      <c r="F45" s="19">
        <v>1.1000000000000001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35">
        <v>0</v>
      </c>
      <c r="Q45" s="35">
        <v>1</v>
      </c>
      <c r="R45" s="35">
        <v>0</v>
      </c>
    </row>
    <row r="46" spans="1:18" ht="12.75" customHeight="1">
      <c r="A46" s="4">
        <f t="shared" si="0"/>
        <v>36</v>
      </c>
      <c r="B46">
        <v>2012</v>
      </c>
      <c r="C46">
        <v>12</v>
      </c>
      <c r="D46" s="19">
        <v>16.149999999999999</v>
      </c>
      <c r="E46" s="19">
        <v>2.8599999999999999</v>
      </c>
      <c r="F46" s="19">
        <v>0.23000000000000001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35">
        <v>0</v>
      </c>
      <c r="Q46" s="35">
        <v>0</v>
      </c>
      <c r="R46" s="35">
        <v>1</v>
      </c>
    </row>
    <row r="47" spans="1:18" ht="12.75" customHeight="1">
      <c r="A47" s="4">
        <f t="shared" si="0"/>
        <v>37</v>
      </c>
      <c r="B47">
        <v>2013</v>
      </c>
      <c r="C47">
        <v>1</v>
      </c>
      <c r="D47" s="19">
        <v>18.190000000000001</v>
      </c>
      <c r="E47" s="19">
        <v>9.4199999999999999</v>
      </c>
      <c r="F47" s="19">
        <v>0.040000000000000001</v>
      </c>
      <c r="G47" s="23">
        <v>1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35">
        <v>0</v>
      </c>
      <c r="Q47" s="35">
        <v>0</v>
      </c>
      <c r="R47" s="35">
        <v>0</v>
      </c>
    </row>
    <row r="48" spans="1:18" ht="12.75" customHeight="1">
      <c r="A48" s="4">
        <f t="shared" si="0"/>
        <v>38</v>
      </c>
      <c r="B48">
        <v>2013</v>
      </c>
      <c r="C48">
        <v>2</v>
      </c>
      <c r="D48" s="19">
        <v>17.010000000000002</v>
      </c>
      <c r="E48" s="19">
        <v>5.2800000000000002</v>
      </c>
      <c r="F48" s="19">
        <v>0.059999999999999998</v>
      </c>
      <c r="G48" s="23">
        <v>0</v>
      </c>
      <c r="H48" s="23">
        <v>1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35">
        <v>0</v>
      </c>
      <c r="Q48" s="35">
        <v>0</v>
      </c>
      <c r="R48" s="35">
        <v>0</v>
      </c>
    </row>
    <row r="49" spans="1:18" ht="12.75" customHeight="1">
      <c r="A49" s="4">
        <f t="shared" si="0"/>
        <v>39</v>
      </c>
      <c r="B49">
        <v>2013</v>
      </c>
      <c r="C49">
        <v>3</v>
      </c>
      <c r="D49" s="19">
        <v>16.420000000000002</v>
      </c>
      <c r="E49" s="19">
        <v>4.7300000000000004</v>
      </c>
      <c r="F49" s="19">
        <v>0.050000000000000003</v>
      </c>
      <c r="G49" s="23">
        <v>0</v>
      </c>
      <c r="H49" s="23">
        <v>0</v>
      </c>
      <c r="I49" s="23">
        <v>1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35">
        <v>0</v>
      </c>
      <c r="Q49" s="35">
        <v>0</v>
      </c>
      <c r="R49" s="35">
        <v>0</v>
      </c>
    </row>
    <row r="50" spans="1:18" ht="12.75" customHeight="1">
      <c r="A50" s="4">
        <f t="shared" si="0"/>
        <v>40</v>
      </c>
      <c r="B50">
        <v>2013</v>
      </c>
      <c r="C50">
        <v>4</v>
      </c>
      <c r="D50" s="19">
        <v>15.69</v>
      </c>
      <c r="E50" s="19">
        <v>2.2400000000000002</v>
      </c>
      <c r="F50" s="19">
        <v>0.44</v>
      </c>
      <c r="G50" s="23">
        <v>0</v>
      </c>
      <c r="H50" s="23">
        <v>0</v>
      </c>
      <c r="I50" s="23">
        <v>0</v>
      </c>
      <c r="J50" s="23">
        <v>1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35">
        <v>0</v>
      </c>
      <c r="Q50" s="35">
        <v>0</v>
      </c>
      <c r="R50" s="35">
        <v>0</v>
      </c>
    </row>
    <row r="51" spans="1:18" ht="12.75" customHeight="1">
      <c r="A51" s="4">
        <f t="shared" si="0"/>
        <v>41</v>
      </c>
      <c r="B51">
        <v>2013</v>
      </c>
      <c r="C51">
        <v>5</v>
      </c>
      <c r="D51" s="19">
        <v>15.75</v>
      </c>
      <c r="E51" s="19">
        <v>0.92000000000000004</v>
      </c>
      <c r="F51" s="19">
        <v>1.49</v>
      </c>
      <c r="G51" s="23">
        <v>0</v>
      </c>
      <c r="H51" s="23">
        <v>0</v>
      </c>
      <c r="I51" s="23">
        <v>0</v>
      </c>
      <c r="J51" s="23">
        <v>0</v>
      </c>
      <c r="K51" s="23">
        <v>1</v>
      </c>
      <c r="L51" s="23">
        <v>0</v>
      </c>
      <c r="M51" s="23">
        <v>0</v>
      </c>
      <c r="N51" s="23">
        <v>0</v>
      </c>
      <c r="O51" s="23">
        <v>0</v>
      </c>
      <c r="P51" s="35">
        <v>0</v>
      </c>
      <c r="Q51" s="35">
        <v>0</v>
      </c>
      <c r="R51" s="35">
        <v>0</v>
      </c>
    </row>
    <row r="52" spans="1:18" ht="12.75" customHeight="1">
      <c r="A52" s="4">
        <f t="shared" si="0"/>
        <v>42</v>
      </c>
      <c r="B52">
        <v>2013</v>
      </c>
      <c r="C52">
        <v>6</v>
      </c>
      <c r="D52" s="19">
        <v>17.640000000000001</v>
      </c>
      <c r="E52" s="19">
        <v>0.050000000000000003</v>
      </c>
      <c r="F52" s="19">
        <v>5.75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1</v>
      </c>
      <c r="M52" s="23">
        <v>0</v>
      </c>
      <c r="N52" s="23">
        <v>0</v>
      </c>
      <c r="O52" s="23">
        <v>0</v>
      </c>
      <c r="P52" s="35">
        <v>0</v>
      </c>
      <c r="Q52" s="35">
        <v>0</v>
      </c>
      <c r="R52" s="35">
        <v>0</v>
      </c>
    </row>
    <row r="53" spans="1:18" ht="12.75" customHeight="1">
      <c r="A53" s="4">
        <f t="shared" si="0"/>
        <v>43</v>
      </c>
      <c r="B53">
        <v>2013</v>
      </c>
      <c r="C53">
        <v>7</v>
      </c>
      <c r="D53" s="19">
        <v>19.809999999999999</v>
      </c>
      <c r="E53" s="19">
        <v>0</v>
      </c>
      <c r="F53" s="19">
        <v>9.9499999999999993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1</v>
      </c>
      <c r="N53" s="23">
        <v>0</v>
      </c>
      <c r="O53" s="23">
        <v>0</v>
      </c>
      <c r="P53" s="35">
        <v>0</v>
      </c>
      <c r="Q53" s="35">
        <v>0</v>
      </c>
      <c r="R53" s="35">
        <v>0</v>
      </c>
    </row>
    <row r="54" spans="1:18" ht="12.75" customHeight="1">
      <c r="A54" s="4">
        <f t="shared" si="0"/>
        <v>44</v>
      </c>
      <c r="B54">
        <v>2013</v>
      </c>
      <c r="C54">
        <v>8</v>
      </c>
      <c r="D54" s="19">
        <v>20.809999999999999</v>
      </c>
      <c r="E54" s="19">
        <v>0</v>
      </c>
      <c r="F54" s="19">
        <v>11.369999999999999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1</v>
      </c>
      <c r="O54" s="23">
        <v>0</v>
      </c>
      <c r="P54" s="35">
        <v>0</v>
      </c>
      <c r="Q54" s="35">
        <v>0</v>
      </c>
      <c r="R54" s="35">
        <v>0</v>
      </c>
    </row>
    <row r="55" spans="1:18" ht="12.75" customHeight="1">
      <c r="A55" s="4">
        <f t="shared" si="0"/>
        <v>45</v>
      </c>
      <c r="B55">
        <v>2013</v>
      </c>
      <c r="C55">
        <v>9</v>
      </c>
      <c r="D55" s="19">
        <v>21.16</v>
      </c>
      <c r="E55" s="19">
        <v>0</v>
      </c>
      <c r="F55" s="19">
        <v>11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1</v>
      </c>
      <c r="P55" s="35">
        <v>0</v>
      </c>
      <c r="Q55" s="35">
        <v>0</v>
      </c>
      <c r="R55" s="35">
        <v>0</v>
      </c>
    </row>
    <row r="56" spans="1:18" ht="12.75" customHeight="1">
      <c r="A56" s="4">
        <f t="shared" si="0"/>
        <v>46</v>
      </c>
      <c r="B56">
        <v>2013</v>
      </c>
      <c r="C56">
        <v>10</v>
      </c>
      <c r="D56" s="19">
        <v>18.989999999999998</v>
      </c>
      <c r="E56" s="19">
        <v>0.050000000000000003</v>
      </c>
      <c r="F56" s="19">
        <v>5.3600000000000003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35">
        <v>1</v>
      </c>
      <c r="Q56" s="35">
        <v>0</v>
      </c>
      <c r="R56" s="35">
        <v>0</v>
      </c>
    </row>
    <row r="57" spans="1:18" ht="12.75" customHeight="1">
      <c r="A57" s="4">
        <f t="shared" si="0"/>
        <v>47</v>
      </c>
      <c r="B57">
        <v>2013</v>
      </c>
      <c r="C57">
        <v>11</v>
      </c>
      <c r="D57" s="19">
        <v>16.539999999999999</v>
      </c>
      <c r="E57" s="19">
        <v>0.84999999999999998</v>
      </c>
      <c r="F57" s="19">
        <v>0.73999999999999999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35">
        <v>0</v>
      </c>
      <c r="Q57" s="35">
        <v>1</v>
      </c>
      <c r="R57" s="35">
        <v>0</v>
      </c>
    </row>
    <row r="58" spans="1:18" ht="12.75" customHeight="1">
      <c r="A58" s="4">
        <f t="shared" si="0"/>
        <v>48</v>
      </c>
      <c r="B58">
        <v>2013</v>
      </c>
      <c r="C58">
        <v>12</v>
      </c>
      <c r="D58" s="19">
        <v>18.77</v>
      </c>
      <c r="E58" s="19">
        <v>8.5899999999999999</v>
      </c>
      <c r="F58" s="19">
        <v>0.11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35">
        <v>0</v>
      </c>
      <c r="Q58" s="35">
        <v>0</v>
      </c>
      <c r="R58" s="35">
        <v>1</v>
      </c>
    </row>
    <row r="59" spans="1:18" ht="12.75" customHeight="1">
      <c r="A59" s="4">
        <f t="shared" si="0"/>
        <v>49</v>
      </c>
      <c r="B59">
        <v>2014</v>
      </c>
      <c r="C59">
        <v>1</v>
      </c>
      <c r="D59" s="19">
        <v>20.600000000000001</v>
      </c>
      <c r="E59" s="19">
        <v>11.300000000000001</v>
      </c>
      <c r="F59" s="19">
        <v>0</v>
      </c>
      <c r="G59" s="23">
        <v>1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35">
        <v>0</v>
      </c>
      <c r="Q59" s="35">
        <v>0</v>
      </c>
      <c r="R59" s="35">
        <v>0</v>
      </c>
    </row>
    <row r="60" spans="1:18" ht="12.75" customHeight="1">
      <c r="A60" s="4">
        <f t="shared" si="0"/>
        <v>50</v>
      </c>
      <c r="B60">
        <v>2014</v>
      </c>
      <c r="C60">
        <v>2</v>
      </c>
      <c r="D60" s="19">
        <v>21.050000000000001</v>
      </c>
      <c r="E60" s="19">
        <v>11.369999999999999</v>
      </c>
      <c r="F60" s="19">
        <v>0</v>
      </c>
      <c r="G60" s="23">
        <v>0</v>
      </c>
      <c r="H60" s="23">
        <v>1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35">
        <v>0</v>
      </c>
      <c r="Q60" s="35">
        <v>0</v>
      </c>
      <c r="R60" s="35">
        <v>0</v>
      </c>
    </row>
    <row r="61" spans="1:18" ht="12.75" customHeight="1">
      <c r="A61" s="4">
        <f t="shared" si="0"/>
        <v>51</v>
      </c>
      <c r="B61">
        <v>2014</v>
      </c>
      <c r="C61">
        <v>3</v>
      </c>
      <c r="D61" s="19">
        <v>18.879999999999999</v>
      </c>
      <c r="E61" s="19">
        <v>7.3099999999999996</v>
      </c>
      <c r="F61" s="19">
        <v>0.02</v>
      </c>
      <c r="G61" s="23">
        <v>0</v>
      </c>
      <c r="H61" s="23">
        <v>0</v>
      </c>
      <c r="I61" s="23">
        <v>1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35">
        <v>0</v>
      </c>
      <c r="Q61" s="35">
        <v>0</v>
      </c>
      <c r="R61" s="35">
        <v>0</v>
      </c>
    </row>
    <row r="62" spans="1:18" ht="12.75" customHeight="1">
      <c r="A62" s="4">
        <f t="shared" si="0"/>
        <v>52</v>
      </c>
      <c r="B62">
        <v>2014</v>
      </c>
      <c r="C62">
        <v>4</v>
      </c>
      <c r="D62" s="19">
        <v>16.82</v>
      </c>
      <c r="E62" s="19">
        <v>2.0299999999999998</v>
      </c>
      <c r="F62" s="19">
        <v>0.53000000000000003</v>
      </c>
      <c r="G62" s="23">
        <v>0</v>
      </c>
      <c r="H62" s="23">
        <v>0</v>
      </c>
      <c r="I62" s="23">
        <v>0</v>
      </c>
      <c r="J62" s="23">
        <v>1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35">
        <v>0</v>
      </c>
      <c r="Q62" s="35">
        <v>0</v>
      </c>
      <c r="R62" s="35">
        <v>0</v>
      </c>
    </row>
    <row r="63" spans="1:18" ht="12.75" customHeight="1">
      <c r="A63" s="4">
        <f t="shared" si="0"/>
        <v>53</v>
      </c>
      <c r="B63">
        <v>2014</v>
      </c>
      <c r="C63">
        <v>5</v>
      </c>
      <c r="D63" s="19">
        <v>16.780000000000001</v>
      </c>
      <c r="E63" s="19">
        <v>0.35999999999999999</v>
      </c>
      <c r="F63" s="19">
        <v>2.2000000000000002</v>
      </c>
      <c r="G63" s="23">
        <v>0</v>
      </c>
      <c r="H63" s="23">
        <v>0</v>
      </c>
      <c r="I63" s="23">
        <v>0</v>
      </c>
      <c r="J63" s="23">
        <v>0</v>
      </c>
      <c r="K63" s="23">
        <v>1</v>
      </c>
      <c r="L63" s="23">
        <v>0</v>
      </c>
      <c r="M63" s="23">
        <v>0</v>
      </c>
      <c r="N63" s="23">
        <v>0</v>
      </c>
      <c r="O63" s="23">
        <v>0</v>
      </c>
      <c r="P63" s="35">
        <v>0</v>
      </c>
      <c r="Q63" s="35">
        <v>0</v>
      </c>
      <c r="R63" s="35">
        <v>0</v>
      </c>
    </row>
    <row r="64" spans="1:18" ht="12.75" customHeight="1">
      <c r="A64" s="4">
        <f t="shared" si="0"/>
        <v>54</v>
      </c>
      <c r="B64">
        <v>2014</v>
      </c>
      <c r="C64">
        <v>6</v>
      </c>
      <c r="D64" s="19">
        <v>18.420000000000002</v>
      </c>
      <c r="E64" s="19">
        <v>0.01</v>
      </c>
      <c r="F64" s="19">
        <v>5.5499999999999998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1</v>
      </c>
      <c r="M64" s="23">
        <v>0</v>
      </c>
      <c r="N64" s="23">
        <v>0</v>
      </c>
      <c r="O64" s="23">
        <v>0</v>
      </c>
      <c r="P64" s="35">
        <v>0</v>
      </c>
      <c r="Q64" s="35">
        <v>0</v>
      </c>
      <c r="R64" s="35">
        <v>0</v>
      </c>
    </row>
    <row r="65" spans="1:18" ht="12.75" customHeight="1">
      <c r="A65" s="4">
        <f t="shared" si="0"/>
        <v>55</v>
      </c>
      <c r="B65">
        <v>2014</v>
      </c>
      <c r="C65">
        <v>7</v>
      </c>
      <c r="D65" s="19">
        <v>19.800000000000001</v>
      </c>
      <c r="E65" s="19">
        <v>0</v>
      </c>
      <c r="F65" s="19">
        <v>8.8200000000000003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1</v>
      </c>
      <c r="N65" s="23">
        <v>0</v>
      </c>
      <c r="O65" s="23">
        <v>0</v>
      </c>
      <c r="P65" s="35">
        <v>0</v>
      </c>
      <c r="Q65" s="35">
        <v>0</v>
      </c>
      <c r="R65" s="35">
        <v>0</v>
      </c>
    </row>
    <row r="66" spans="1:18" ht="12.75" customHeight="1">
      <c r="A66" s="4">
        <f t="shared" si="0"/>
        <v>56</v>
      </c>
      <c r="B66">
        <v>2014</v>
      </c>
      <c r="C66">
        <v>8</v>
      </c>
      <c r="D66" s="19">
        <v>20.850000000000001</v>
      </c>
      <c r="E66" s="19">
        <v>0</v>
      </c>
      <c r="F66" s="19">
        <v>9.9299999999999997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1</v>
      </c>
      <c r="O66" s="23">
        <v>0</v>
      </c>
      <c r="P66" s="35">
        <v>0</v>
      </c>
      <c r="Q66" s="35">
        <v>0</v>
      </c>
      <c r="R66" s="35">
        <v>0</v>
      </c>
    </row>
    <row r="67" spans="1:18" ht="12.75" customHeight="1">
      <c r="A67" s="4">
        <f t="shared" si="0"/>
        <v>57</v>
      </c>
      <c r="B67">
        <v>2014</v>
      </c>
      <c r="C67">
        <v>9</v>
      </c>
      <c r="D67" s="19">
        <v>21.199999999999999</v>
      </c>
      <c r="E67" s="19">
        <v>0.01</v>
      </c>
      <c r="F67" s="19">
        <v>10.18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1</v>
      </c>
      <c r="P67" s="35">
        <v>0</v>
      </c>
      <c r="Q67" s="35">
        <v>0</v>
      </c>
      <c r="R67" s="35">
        <v>0</v>
      </c>
    </row>
    <row r="68" spans="1:18" ht="12.75" customHeight="1">
      <c r="A68" s="4">
        <f t="shared" si="0"/>
        <v>58</v>
      </c>
      <c r="B68">
        <v>2014</v>
      </c>
      <c r="C68">
        <v>10</v>
      </c>
      <c r="D68" s="19">
        <v>18.870000000000001</v>
      </c>
      <c r="E68" s="19">
        <v>0.01</v>
      </c>
      <c r="F68" s="19">
        <v>4.5999999999999996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35">
        <v>1</v>
      </c>
      <c r="Q68" s="35">
        <v>0</v>
      </c>
      <c r="R68" s="35">
        <v>0</v>
      </c>
    </row>
    <row r="69" spans="1:18" ht="12.75" customHeight="1">
      <c r="A69" s="4">
        <f t="shared" si="0"/>
        <v>59</v>
      </c>
      <c r="B69">
        <v>2014</v>
      </c>
      <c r="C69">
        <v>11</v>
      </c>
      <c r="D69" s="19">
        <v>17.579999999999998</v>
      </c>
      <c r="E69" s="19">
        <v>1.97</v>
      </c>
      <c r="F69" s="19">
        <v>1.1799999999999999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35">
        <v>0</v>
      </c>
      <c r="Q69" s="35">
        <v>1</v>
      </c>
      <c r="R69" s="35">
        <v>0</v>
      </c>
    </row>
    <row r="70" spans="1:18" ht="12.75" customHeight="1">
      <c r="A70" s="4">
        <f t="shared" si="0"/>
        <v>60</v>
      </c>
      <c r="B70">
        <v>2014</v>
      </c>
      <c r="C70">
        <v>12</v>
      </c>
      <c r="D70" s="19">
        <v>18.120000000000001</v>
      </c>
      <c r="E70" s="19">
        <v>5.7800000000000002</v>
      </c>
      <c r="F70" s="19">
        <v>0.029999999999999999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35">
        <v>0</v>
      </c>
      <c r="Q70" s="35">
        <v>0</v>
      </c>
      <c r="R70" s="35">
        <v>1</v>
      </c>
    </row>
    <row r="71" spans="1:18" ht="12.75" customHeight="1">
      <c r="A71" s="4">
        <f t="shared" si="0"/>
        <v>61</v>
      </c>
      <c r="B71">
        <v>2015</v>
      </c>
      <c r="C71">
        <v>1</v>
      </c>
      <c r="D71" s="19">
        <v>19.960000000000001</v>
      </c>
      <c r="E71" s="19">
        <v>9.7100000000000009</v>
      </c>
      <c r="F71" s="19">
        <v>0</v>
      </c>
      <c r="G71" s="23">
        <v>1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35">
        <v>0</v>
      </c>
      <c r="Q71" s="35">
        <v>0</v>
      </c>
      <c r="R71" s="35">
        <v>0</v>
      </c>
    </row>
    <row r="72" spans="1:18" ht="12.75" customHeight="1">
      <c r="A72" s="4">
        <f t="shared" si="0"/>
        <v>62</v>
      </c>
      <c r="B72">
        <v>2015</v>
      </c>
      <c r="C72">
        <v>2</v>
      </c>
      <c r="D72" s="19">
        <v>19.829999999999998</v>
      </c>
      <c r="E72" s="19">
        <v>8.3399999999999999</v>
      </c>
      <c r="F72" s="19">
        <v>0</v>
      </c>
      <c r="G72" s="23">
        <v>0</v>
      </c>
      <c r="H72" s="23">
        <v>1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35">
        <v>0</v>
      </c>
      <c r="Q72" s="35">
        <v>0</v>
      </c>
      <c r="R72" s="35">
        <v>0</v>
      </c>
    </row>
    <row r="73" spans="1:18" ht="12.75" customHeight="1">
      <c r="A73" s="4">
        <f t="shared" si="0"/>
        <v>63</v>
      </c>
      <c r="B73">
        <v>2015</v>
      </c>
      <c r="C73">
        <v>3</v>
      </c>
      <c r="D73" s="19">
        <v>19.75</v>
      </c>
      <c r="E73" s="19">
        <v>9.75</v>
      </c>
      <c r="F73" s="19">
        <v>0.02</v>
      </c>
      <c r="G73" s="23">
        <v>0</v>
      </c>
      <c r="H73" s="23">
        <v>0</v>
      </c>
      <c r="I73" s="23">
        <v>1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35">
        <v>0</v>
      </c>
      <c r="Q73" s="35">
        <v>0</v>
      </c>
      <c r="R73" s="35">
        <v>0</v>
      </c>
    </row>
    <row r="74" spans="1:18" ht="12.75" customHeight="1">
      <c r="A74" s="4">
        <f t="shared" si="0"/>
        <v>64</v>
      </c>
      <c r="B74">
        <v>2015</v>
      </c>
      <c r="C74">
        <v>4</v>
      </c>
      <c r="D74" s="19">
        <v>16.77</v>
      </c>
      <c r="E74" s="19">
        <v>1.4299999999999999</v>
      </c>
      <c r="F74" s="19">
        <v>0.57999999999999996</v>
      </c>
      <c r="G74" s="23">
        <v>0</v>
      </c>
      <c r="H74" s="23">
        <v>0</v>
      </c>
      <c r="I74" s="23">
        <v>0</v>
      </c>
      <c r="J74" s="23">
        <v>1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35">
        <v>0</v>
      </c>
      <c r="Q74" s="35">
        <v>0</v>
      </c>
      <c r="R74" s="35">
        <v>0</v>
      </c>
    </row>
    <row r="75" spans="1:18" ht="12.75" customHeight="1">
      <c r="A75" s="4">
        <f t="shared" si="0"/>
        <v>65</v>
      </c>
      <c r="B75">
        <v>2015</v>
      </c>
      <c r="C75">
        <v>5</v>
      </c>
      <c r="D75" s="19">
        <v>16.5</v>
      </c>
      <c r="E75" s="19">
        <v>0.13</v>
      </c>
      <c r="F75" s="19">
        <v>1.1499999999999999</v>
      </c>
      <c r="G75" s="23">
        <v>0</v>
      </c>
      <c r="H75" s="23">
        <v>0</v>
      </c>
      <c r="I75" s="23">
        <v>0</v>
      </c>
      <c r="J75" s="23">
        <v>0</v>
      </c>
      <c r="K75" s="23">
        <v>1</v>
      </c>
      <c r="L75" s="23">
        <v>0</v>
      </c>
      <c r="M75" s="23">
        <v>0</v>
      </c>
      <c r="N75" s="23">
        <v>0</v>
      </c>
      <c r="O75" s="23">
        <v>0</v>
      </c>
      <c r="P75" s="35">
        <v>0</v>
      </c>
      <c r="Q75" s="35">
        <v>0</v>
      </c>
      <c r="R75" s="35">
        <v>0</v>
      </c>
    </row>
    <row r="76" spans="1:18" ht="12.75" customHeight="1">
      <c r="A76" s="4">
        <f t="shared" si="1" ref="A76:A123">+A75+1</f>
        <v>66</v>
      </c>
      <c r="B76">
        <v>2015</v>
      </c>
      <c r="C76">
        <v>6</v>
      </c>
      <c r="D76" s="19">
        <v>18.690000000000001</v>
      </c>
      <c r="E76" s="19">
        <v>0.01</v>
      </c>
      <c r="F76" s="19">
        <v>3.7599999999999998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  <c r="L76" s="23">
        <v>1</v>
      </c>
      <c r="M76" s="23">
        <v>0</v>
      </c>
      <c r="N76" s="23">
        <v>0</v>
      </c>
      <c r="O76" s="23">
        <v>0</v>
      </c>
      <c r="P76" s="35">
        <v>0</v>
      </c>
      <c r="Q76" s="35">
        <v>0</v>
      </c>
      <c r="R76" s="35">
        <v>0</v>
      </c>
    </row>
    <row r="77" spans="1:18" ht="12.75" customHeight="1">
      <c r="A77" s="4">
        <f t="shared" si="1"/>
        <v>67</v>
      </c>
      <c r="B77">
        <v>2015</v>
      </c>
      <c r="C77">
        <v>7</v>
      </c>
      <c r="D77" s="19">
        <v>20.149999999999999</v>
      </c>
      <c r="E77" s="19">
        <v>0</v>
      </c>
      <c r="F77" s="19">
        <v>9.1400000000000006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1</v>
      </c>
      <c r="N77" s="23">
        <v>0</v>
      </c>
      <c r="O77" s="23">
        <v>0</v>
      </c>
      <c r="P77" s="35">
        <v>0</v>
      </c>
      <c r="Q77" s="35">
        <v>0</v>
      </c>
      <c r="R77" s="35">
        <v>0</v>
      </c>
    </row>
    <row r="78" spans="1:18" ht="12.75" customHeight="1">
      <c r="A78" s="4">
        <f t="shared" si="1"/>
        <v>68</v>
      </c>
      <c r="B78">
        <v>2015</v>
      </c>
      <c r="C78">
        <v>8</v>
      </c>
      <c r="D78" s="19">
        <v>22.77</v>
      </c>
      <c r="E78" s="19">
        <v>0</v>
      </c>
      <c r="F78" s="19">
        <v>13.25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1</v>
      </c>
      <c r="O78" s="23">
        <v>0</v>
      </c>
      <c r="P78" s="35">
        <v>0</v>
      </c>
      <c r="Q78" s="35">
        <v>0</v>
      </c>
      <c r="R78" s="35">
        <v>0</v>
      </c>
    </row>
    <row r="79" spans="1:18" ht="12.75" customHeight="1">
      <c r="A79" s="4">
        <f t="shared" si="1"/>
        <v>69</v>
      </c>
      <c r="B79">
        <v>2015</v>
      </c>
      <c r="C79">
        <v>9</v>
      </c>
      <c r="D79" s="19">
        <v>21.34</v>
      </c>
      <c r="E79" s="19">
        <v>0</v>
      </c>
      <c r="F79" s="19">
        <v>10.66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1</v>
      </c>
      <c r="P79" s="35">
        <v>0</v>
      </c>
      <c r="Q79" s="35">
        <v>0</v>
      </c>
      <c r="R79" s="35">
        <v>0</v>
      </c>
    </row>
    <row r="80" spans="1:18" ht="12.75" customHeight="1">
      <c r="A80" s="4">
        <f t="shared" si="1"/>
        <v>70</v>
      </c>
      <c r="B80">
        <v>2015</v>
      </c>
      <c r="C80">
        <v>10</v>
      </c>
      <c r="D80" s="19">
        <v>19.27</v>
      </c>
      <c r="E80" s="19">
        <v>0</v>
      </c>
      <c r="F80" s="19">
        <v>6.0099999999999998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35">
        <v>1</v>
      </c>
      <c r="Q80" s="35">
        <v>0</v>
      </c>
      <c r="R80" s="35">
        <v>0</v>
      </c>
    </row>
    <row r="81" spans="1:18" ht="12.75" customHeight="1">
      <c r="A81" s="4">
        <f t="shared" si="1"/>
        <v>71</v>
      </c>
      <c r="B81">
        <v>2015</v>
      </c>
      <c r="C81">
        <v>11</v>
      </c>
      <c r="D81" s="19">
        <v>16.129999999999999</v>
      </c>
      <c r="E81" s="19">
        <v>0.19</v>
      </c>
      <c r="F81" s="19">
        <v>1.4099999999999999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35">
        <v>0</v>
      </c>
      <c r="Q81" s="35">
        <v>1</v>
      </c>
      <c r="R81" s="35">
        <v>0</v>
      </c>
    </row>
    <row r="82" spans="1:18" ht="12.75" customHeight="1">
      <c r="A82" s="4">
        <f t="shared" si="1"/>
        <v>72</v>
      </c>
      <c r="B82">
        <v>2015</v>
      </c>
      <c r="C82">
        <v>12</v>
      </c>
      <c r="D82" s="19">
        <v>16.600000000000001</v>
      </c>
      <c r="E82" s="19">
        <v>3.4700000000000002</v>
      </c>
      <c r="F82" s="19">
        <v>0.13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35">
        <v>0</v>
      </c>
      <c r="Q82" s="35">
        <v>0</v>
      </c>
      <c r="R82" s="35">
        <v>1</v>
      </c>
    </row>
    <row r="83" spans="1:18" ht="12.75" customHeight="1">
      <c r="A83" s="4">
        <f t="shared" si="1"/>
        <v>73</v>
      </c>
      <c r="B83">
        <v>2016</v>
      </c>
      <c r="C83">
        <v>1</v>
      </c>
      <c r="D83" s="19">
        <v>17.969999999999999</v>
      </c>
      <c r="E83" s="19">
        <v>6.7199999999999998</v>
      </c>
      <c r="F83" s="19">
        <v>0.080000000000000002</v>
      </c>
      <c r="G83" s="23">
        <v>1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35">
        <v>0</v>
      </c>
      <c r="Q83" s="35">
        <v>0</v>
      </c>
      <c r="R83" s="35">
        <v>0</v>
      </c>
    </row>
    <row r="84" spans="1:18" ht="12.75" customHeight="1">
      <c r="A84" s="4">
        <f t="shared" si="1"/>
        <v>74</v>
      </c>
      <c r="B84">
        <v>2016</v>
      </c>
      <c r="C84">
        <v>2</v>
      </c>
      <c r="D84" s="19">
        <v>18.25</v>
      </c>
      <c r="E84" s="19">
        <v>6.9699999999999998</v>
      </c>
      <c r="F84" s="19">
        <v>0.01</v>
      </c>
      <c r="G84" s="23">
        <v>0</v>
      </c>
      <c r="H84" s="23">
        <v>1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35">
        <v>0</v>
      </c>
      <c r="Q84" s="35">
        <v>0</v>
      </c>
      <c r="R84" s="35">
        <v>0</v>
      </c>
    </row>
    <row r="85" spans="1:18" ht="12.75" customHeight="1">
      <c r="A85" s="4">
        <f t="shared" si="1"/>
        <v>75</v>
      </c>
      <c r="B85">
        <v>2016</v>
      </c>
      <c r="C85">
        <v>3</v>
      </c>
      <c r="D85" s="19">
        <v>16.329999999999998</v>
      </c>
      <c r="E85" s="19">
        <v>2.1499999999999999</v>
      </c>
      <c r="F85" s="19">
        <v>0.089999999999999997</v>
      </c>
      <c r="G85" s="23">
        <v>0</v>
      </c>
      <c r="H85" s="23">
        <v>0</v>
      </c>
      <c r="I85" s="23">
        <v>1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35">
        <v>0</v>
      </c>
      <c r="Q85" s="35">
        <v>0</v>
      </c>
      <c r="R85" s="35">
        <v>0</v>
      </c>
    </row>
    <row r="86" spans="1:18" ht="12.75" customHeight="1">
      <c r="A86" s="4">
        <f t="shared" si="1"/>
        <v>76</v>
      </c>
      <c r="B86">
        <v>2016</v>
      </c>
      <c r="C86">
        <v>4</v>
      </c>
      <c r="D86" s="19">
        <v>15.539999999999999</v>
      </c>
      <c r="E86" s="19">
        <v>0.84999999999999998</v>
      </c>
      <c r="F86" s="19">
        <v>0.28000000000000003</v>
      </c>
      <c r="G86" s="23">
        <v>0</v>
      </c>
      <c r="H86" s="23">
        <v>0</v>
      </c>
      <c r="I86" s="23">
        <v>0</v>
      </c>
      <c r="J86" s="23">
        <v>1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35">
        <v>0</v>
      </c>
      <c r="Q86" s="35">
        <v>0</v>
      </c>
      <c r="R86" s="35">
        <v>0</v>
      </c>
    </row>
    <row r="87" spans="1:18" ht="12.75" customHeight="1">
      <c r="A87" s="4">
        <f t="shared" si="1"/>
        <v>77</v>
      </c>
      <c r="B87">
        <v>2016</v>
      </c>
      <c r="C87">
        <v>5</v>
      </c>
      <c r="D87" s="19">
        <v>15.970000000000001</v>
      </c>
      <c r="E87" s="19">
        <v>0.089999999999999997</v>
      </c>
      <c r="F87" s="19">
        <v>1.44</v>
      </c>
      <c r="G87" s="23">
        <v>0</v>
      </c>
      <c r="H87" s="23">
        <v>0</v>
      </c>
      <c r="I87" s="23">
        <v>0</v>
      </c>
      <c r="J87" s="23">
        <v>0</v>
      </c>
      <c r="K87" s="23">
        <v>1</v>
      </c>
      <c r="L87" s="23">
        <v>0</v>
      </c>
      <c r="M87" s="23">
        <v>0</v>
      </c>
      <c r="N87" s="23">
        <v>0</v>
      </c>
      <c r="O87" s="23">
        <v>0</v>
      </c>
      <c r="P87" s="35">
        <v>0</v>
      </c>
      <c r="Q87" s="35">
        <v>0</v>
      </c>
      <c r="R87" s="35">
        <v>0</v>
      </c>
    </row>
    <row r="88" spans="1:18" ht="12.75" customHeight="1">
      <c r="A88" s="4">
        <f t="shared" si="1"/>
        <v>78</v>
      </c>
      <c r="B88">
        <v>2016</v>
      </c>
      <c r="C88">
        <v>6</v>
      </c>
      <c r="D88" s="19">
        <v>17.210000000000001</v>
      </c>
      <c r="E88" s="19">
        <v>0.02</v>
      </c>
      <c r="F88" s="19">
        <v>4.2000000000000002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1</v>
      </c>
      <c r="M88" s="23">
        <v>0</v>
      </c>
      <c r="N88" s="23">
        <v>0</v>
      </c>
      <c r="O88" s="23">
        <v>0</v>
      </c>
      <c r="P88" s="35">
        <v>0</v>
      </c>
      <c r="Q88" s="35">
        <v>0</v>
      </c>
      <c r="R88" s="35">
        <v>0</v>
      </c>
    </row>
    <row r="89" spans="1:18" ht="12.75" customHeight="1">
      <c r="A89" s="4">
        <f t="shared" si="1"/>
        <v>79</v>
      </c>
      <c r="B89">
        <v>2016</v>
      </c>
      <c r="C89">
        <v>7</v>
      </c>
      <c r="D89" s="19">
        <v>20.449999999999999</v>
      </c>
      <c r="E89" s="19">
        <v>0</v>
      </c>
      <c r="F89" s="19">
        <v>10.66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1</v>
      </c>
      <c r="N89" s="23">
        <v>0</v>
      </c>
      <c r="O89" s="23">
        <v>0</v>
      </c>
      <c r="P89" s="35">
        <v>0</v>
      </c>
      <c r="Q89" s="35">
        <v>0</v>
      </c>
      <c r="R89" s="35">
        <v>0</v>
      </c>
    </row>
    <row r="90" spans="1:18" ht="12.75" customHeight="1">
      <c r="A90" s="4">
        <f t="shared" si="1"/>
        <v>80</v>
      </c>
      <c r="B90">
        <v>2016</v>
      </c>
      <c r="C90">
        <v>8</v>
      </c>
      <c r="D90" s="19">
        <v>21.75</v>
      </c>
      <c r="E90" s="19">
        <v>0</v>
      </c>
      <c r="F90" s="19">
        <v>12.84</v>
      </c>
      <c r="G90" s="23">
        <v>0</v>
      </c>
      <c r="H90" s="23">
        <v>0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23">
        <v>1</v>
      </c>
      <c r="O90" s="23">
        <v>0</v>
      </c>
      <c r="P90" s="35">
        <v>0</v>
      </c>
      <c r="Q90" s="35">
        <v>0</v>
      </c>
      <c r="R90" s="35">
        <v>0</v>
      </c>
    </row>
    <row r="91" spans="1:18" ht="12.75" customHeight="1">
      <c r="A91" s="4">
        <f t="shared" si="1"/>
        <v>81</v>
      </c>
      <c r="B91">
        <v>2016</v>
      </c>
      <c r="C91">
        <v>9</v>
      </c>
      <c r="D91" s="19">
        <v>20.07</v>
      </c>
      <c r="E91" s="19">
        <v>0</v>
      </c>
      <c r="F91" s="19">
        <v>9.0600000000000005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1</v>
      </c>
      <c r="P91" s="35">
        <v>0</v>
      </c>
      <c r="Q91" s="35">
        <v>0</v>
      </c>
      <c r="R91" s="35">
        <v>0</v>
      </c>
    </row>
    <row r="92" spans="1:18" ht="12.75" customHeight="1">
      <c r="A92" s="4">
        <f t="shared" si="1"/>
        <v>82</v>
      </c>
      <c r="B92">
        <v>2016</v>
      </c>
      <c r="C92">
        <v>10</v>
      </c>
      <c r="D92" s="19">
        <v>18.68</v>
      </c>
      <c r="E92" s="19">
        <v>0</v>
      </c>
      <c r="F92" s="19">
        <v>5.9100000000000001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35">
        <v>1</v>
      </c>
      <c r="Q92" s="35">
        <v>0</v>
      </c>
      <c r="R92" s="35">
        <v>0</v>
      </c>
    </row>
    <row r="93" spans="1:18" ht="12.75" customHeight="1">
      <c r="A93" s="4">
        <f t="shared" si="1"/>
        <v>83</v>
      </c>
      <c r="B93">
        <v>2016</v>
      </c>
      <c r="C93">
        <v>11</v>
      </c>
      <c r="D93" s="19">
        <v>16.859999999999999</v>
      </c>
      <c r="E93" s="19">
        <v>0.080000000000000002</v>
      </c>
      <c r="F93" s="19">
        <v>2.3700000000000001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35">
        <v>0</v>
      </c>
      <c r="Q93" s="35">
        <v>1</v>
      </c>
      <c r="R93" s="35">
        <v>0</v>
      </c>
    </row>
    <row r="94" spans="1:18" ht="12.75" customHeight="1">
      <c r="A94" s="4">
        <f t="shared" si="1"/>
        <v>84</v>
      </c>
      <c r="B94">
        <v>2016</v>
      </c>
      <c r="C94">
        <v>12</v>
      </c>
      <c r="D94" s="19">
        <v>16.66</v>
      </c>
      <c r="E94" s="19">
        <v>3.1400000000000001</v>
      </c>
      <c r="F94" s="19">
        <v>0.27000000000000002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35">
        <v>0</v>
      </c>
      <c r="Q94" s="35">
        <v>0</v>
      </c>
      <c r="R94" s="35">
        <v>1</v>
      </c>
    </row>
    <row r="95" spans="1:18" ht="12.75" customHeight="1">
      <c r="A95" s="4">
        <f t="shared" si="1"/>
        <v>85</v>
      </c>
      <c r="B95">
        <v>2017</v>
      </c>
      <c r="C95">
        <v>1</v>
      </c>
      <c r="D95" s="19">
        <v>18.760000000000002</v>
      </c>
      <c r="E95" s="19">
        <v>7.5</v>
      </c>
      <c r="F95" s="19">
        <v>0.12</v>
      </c>
      <c r="G95" s="23">
        <v>1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35">
        <v>0</v>
      </c>
      <c r="Q95" s="35">
        <v>0</v>
      </c>
      <c r="R95" s="35">
        <v>0</v>
      </c>
    </row>
    <row r="96" spans="1:18" ht="12.75" customHeight="1">
      <c r="A96" s="4">
        <f t="shared" si="1"/>
        <v>86</v>
      </c>
      <c r="B96">
        <v>2017</v>
      </c>
      <c r="C96">
        <v>2</v>
      </c>
      <c r="D96" s="19">
        <v>17.550000000000001</v>
      </c>
      <c r="E96" s="19">
        <v>4.79</v>
      </c>
      <c r="F96" s="19">
        <v>0.11</v>
      </c>
      <c r="G96" s="23">
        <v>0</v>
      </c>
      <c r="H96" s="23">
        <v>1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35">
        <v>0</v>
      </c>
      <c r="Q96" s="35">
        <v>0</v>
      </c>
      <c r="R96" s="35">
        <v>0</v>
      </c>
    </row>
    <row r="97" spans="1:18" ht="12.75" customHeight="1">
      <c r="A97" s="4">
        <f t="shared" si="1"/>
        <v>87</v>
      </c>
      <c r="B97">
        <v>2017</v>
      </c>
      <c r="C97">
        <v>3</v>
      </c>
      <c r="D97" s="19">
        <v>16.059999999999999</v>
      </c>
      <c r="E97" s="19">
        <v>1.8999999999999999</v>
      </c>
      <c r="F97" s="19">
        <v>0.40000000000000002</v>
      </c>
      <c r="G97" s="23">
        <v>0</v>
      </c>
      <c r="H97" s="23">
        <v>0</v>
      </c>
      <c r="I97" s="23">
        <v>1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35">
        <v>0</v>
      </c>
      <c r="Q97" s="35">
        <v>0</v>
      </c>
      <c r="R97" s="35">
        <v>0</v>
      </c>
    </row>
    <row r="98" spans="1:18" ht="12.75" customHeight="1">
      <c r="A98" s="4">
        <f t="shared" si="1"/>
        <v>88</v>
      </c>
      <c r="B98">
        <v>2017</v>
      </c>
      <c r="C98">
        <v>4</v>
      </c>
      <c r="D98" s="19">
        <v>15.75</v>
      </c>
      <c r="E98" s="19">
        <v>0.47999999999999998</v>
      </c>
      <c r="F98" s="19">
        <v>1.05</v>
      </c>
      <c r="G98" s="23">
        <v>0</v>
      </c>
      <c r="H98" s="23">
        <v>0</v>
      </c>
      <c r="I98" s="23">
        <v>0</v>
      </c>
      <c r="J98" s="23">
        <v>1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35">
        <v>0</v>
      </c>
      <c r="Q98" s="35">
        <v>0</v>
      </c>
      <c r="R98" s="35">
        <v>0</v>
      </c>
    </row>
    <row r="99" spans="1:18" ht="12.75" customHeight="1">
      <c r="A99" s="4">
        <f t="shared" si="1"/>
        <v>89</v>
      </c>
      <c r="B99">
        <v>2017</v>
      </c>
      <c r="C99">
        <v>5</v>
      </c>
      <c r="D99" s="19">
        <v>16.629999999999999</v>
      </c>
      <c r="E99" s="19">
        <v>0.080000000000000002</v>
      </c>
      <c r="F99" s="19">
        <v>1.8700000000000001</v>
      </c>
      <c r="G99" s="23">
        <v>0</v>
      </c>
      <c r="H99" s="23">
        <v>0</v>
      </c>
      <c r="I99" s="23">
        <v>0</v>
      </c>
      <c r="J99" s="23">
        <v>0</v>
      </c>
      <c r="K99" s="23">
        <v>1</v>
      </c>
      <c r="L99" s="23">
        <v>0</v>
      </c>
      <c r="M99" s="23">
        <v>0</v>
      </c>
      <c r="N99" s="23">
        <v>0</v>
      </c>
      <c r="O99" s="23">
        <v>0</v>
      </c>
      <c r="P99" s="35">
        <v>0</v>
      </c>
      <c r="Q99" s="35">
        <v>0</v>
      </c>
      <c r="R99" s="35">
        <v>0</v>
      </c>
    </row>
    <row r="100" spans="1:18" ht="12.75" customHeight="1">
      <c r="A100" s="4">
        <f t="shared" si="1"/>
        <v>90</v>
      </c>
      <c r="B100">
        <v>2017</v>
      </c>
      <c r="C100">
        <v>6</v>
      </c>
      <c r="D100" s="19">
        <v>16.68</v>
      </c>
      <c r="E100" s="19">
        <v>0.01</v>
      </c>
      <c r="F100" s="19">
        <v>4.9400000000000004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  <c r="L100" s="23">
        <v>1</v>
      </c>
      <c r="M100" s="23">
        <v>0</v>
      </c>
      <c r="N100" s="23">
        <v>0</v>
      </c>
      <c r="O100" s="23">
        <v>0</v>
      </c>
      <c r="P100" s="35">
        <v>0</v>
      </c>
      <c r="Q100" s="35">
        <v>0</v>
      </c>
      <c r="R100" s="35">
        <v>0</v>
      </c>
    </row>
    <row r="101" spans="1:18" ht="12.75" customHeight="1">
      <c r="A101" s="4">
        <f t="shared" si="1"/>
        <v>91</v>
      </c>
      <c r="B101">
        <v>2017</v>
      </c>
      <c r="C101">
        <v>7</v>
      </c>
      <c r="D101" s="19">
        <v>19.73</v>
      </c>
      <c r="E101" s="19">
        <v>0</v>
      </c>
      <c r="F101" s="19">
        <v>9.2400000000000002</v>
      </c>
      <c r="G101" s="23">
        <v>0</v>
      </c>
      <c r="H101" s="23">
        <v>0</v>
      </c>
      <c r="I101" s="23">
        <v>0</v>
      </c>
      <c r="J101" s="23">
        <v>0</v>
      </c>
      <c r="K101" s="23">
        <v>0</v>
      </c>
      <c r="L101" s="23">
        <v>0</v>
      </c>
      <c r="M101" s="23">
        <v>1</v>
      </c>
      <c r="N101" s="23">
        <v>0</v>
      </c>
      <c r="O101" s="23">
        <v>0</v>
      </c>
      <c r="P101" s="35">
        <v>0</v>
      </c>
      <c r="Q101" s="35">
        <v>0</v>
      </c>
      <c r="R101" s="35">
        <v>0</v>
      </c>
    </row>
    <row r="102" spans="1:18" s="18" customFormat="1" ht="12.75" customHeight="1">
      <c r="A102" s="4">
        <f t="shared" si="1"/>
        <v>92</v>
      </c>
      <c r="B102">
        <v>2017</v>
      </c>
      <c r="C102">
        <v>8</v>
      </c>
      <c r="D102" s="19">
        <v>20.879999999999999</v>
      </c>
      <c r="E102" s="19">
        <v>0</v>
      </c>
      <c r="F102" s="19">
        <v>11.210000000000001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1</v>
      </c>
      <c r="O102" s="23">
        <v>0</v>
      </c>
      <c r="P102" s="43">
        <v>0</v>
      </c>
      <c r="Q102" s="43">
        <v>0</v>
      </c>
      <c r="R102" s="43">
        <v>0</v>
      </c>
    </row>
    <row r="103" spans="1:18" s="18" customFormat="1" ht="12.75" customHeight="1">
      <c r="A103" s="4">
        <f t="shared" si="1"/>
        <v>93</v>
      </c>
      <c r="B103">
        <v>2017</v>
      </c>
      <c r="C103">
        <v>9</v>
      </c>
      <c r="D103" s="19">
        <v>19.370000000000001</v>
      </c>
      <c r="E103" s="19">
        <v>0</v>
      </c>
      <c r="F103" s="19">
        <v>8.0800000000000001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1</v>
      </c>
      <c r="P103" s="43">
        <v>0</v>
      </c>
      <c r="Q103" s="43">
        <v>0</v>
      </c>
      <c r="R103" s="43">
        <v>0</v>
      </c>
    </row>
    <row r="104" spans="1:18" ht="12.75" customHeight="1">
      <c r="A104" s="4">
        <f t="shared" si="1"/>
        <v>94</v>
      </c>
      <c r="B104">
        <v>2017</v>
      </c>
      <c r="C104">
        <v>10</v>
      </c>
      <c r="D104" s="19">
        <v>18.32</v>
      </c>
      <c r="E104" s="19">
        <v>0.01</v>
      </c>
      <c r="F104" s="19">
        <v>5.7199999999999998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35">
        <v>1</v>
      </c>
      <c r="Q104" s="35">
        <v>0</v>
      </c>
      <c r="R104" s="35">
        <v>0</v>
      </c>
    </row>
    <row r="105" spans="1:18" ht="12.75" customHeight="1">
      <c r="A105" s="4">
        <f t="shared" si="1"/>
        <v>95</v>
      </c>
      <c r="B105">
        <v>2017</v>
      </c>
      <c r="C105">
        <v>11</v>
      </c>
      <c r="D105" s="19">
        <v>16.34</v>
      </c>
      <c r="E105" s="19">
        <v>0.82999999999999996</v>
      </c>
      <c r="F105" s="19">
        <v>1.5700000000000001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35">
        <v>0</v>
      </c>
      <c r="Q105" s="35">
        <v>1</v>
      </c>
      <c r="R105" s="35">
        <v>0</v>
      </c>
    </row>
    <row r="106" spans="1:18" ht="12.75" customHeight="1">
      <c r="A106" s="4">
        <f t="shared" si="1"/>
        <v>96</v>
      </c>
      <c r="B106">
        <v>2017</v>
      </c>
      <c r="C106">
        <v>12</v>
      </c>
      <c r="D106" s="19">
        <v>16.350000000000001</v>
      </c>
      <c r="E106" s="19">
        <v>2.5099999999999998</v>
      </c>
      <c r="F106" s="19">
        <v>0.34999999999999998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35">
        <v>0</v>
      </c>
      <c r="Q106" s="35">
        <v>0</v>
      </c>
      <c r="R106" s="35">
        <v>1</v>
      </c>
    </row>
    <row r="107" spans="1:18" ht="12.75" customHeight="1">
      <c r="A107" s="4">
        <f t="shared" si="1"/>
        <v>97</v>
      </c>
      <c r="B107">
        <v>2018</v>
      </c>
      <c r="C107">
        <v>1</v>
      </c>
      <c r="D107" s="19">
        <v>20.23</v>
      </c>
      <c r="E107" s="19">
        <v>10.32</v>
      </c>
      <c r="F107" s="19">
        <v>0.02</v>
      </c>
      <c r="G107" s="23">
        <v>1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35">
        <v>0</v>
      </c>
      <c r="Q107" s="35">
        <v>0</v>
      </c>
      <c r="R107" s="35">
        <v>0</v>
      </c>
    </row>
    <row r="108" spans="1:18" ht="12.75" customHeight="1">
      <c r="A108" s="4">
        <f t="shared" si="1"/>
        <v>98</v>
      </c>
      <c r="B108">
        <v>2018</v>
      </c>
      <c r="C108">
        <v>2</v>
      </c>
      <c r="D108" s="19">
        <v>20.129999999999999</v>
      </c>
      <c r="E108" s="19">
        <v>8.8300000000000001</v>
      </c>
      <c r="F108" s="19">
        <v>0.029999999999999999</v>
      </c>
      <c r="G108" s="23">
        <v>0</v>
      </c>
      <c r="H108" s="23">
        <v>1</v>
      </c>
      <c r="I108" s="23">
        <v>0</v>
      </c>
      <c r="J108" s="23">
        <v>0</v>
      </c>
      <c r="K108" s="23">
        <v>0</v>
      </c>
      <c r="L108" s="23">
        <v>0</v>
      </c>
      <c r="M108" s="23">
        <v>0</v>
      </c>
      <c r="N108" s="23">
        <v>0</v>
      </c>
      <c r="O108" s="23">
        <v>0</v>
      </c>
      <c r="P108" s="35">
        <v>0</v>
      </c>
      <c r="Q108" s="35">
        <v>0</v>
      </c>
      <c r="R108" s="35">
        <v>0</v>
      </c>
    </row>
    <row r="109" spans="1:18" ht="12.75" customHeight="1">
      <c r="A109" s="4">
        <f t="shared" si="1"/>
        <v>99</v>
      </c>
      <c r="B109">
        <v>2018</v>
      </c>
      <c r="C109">
        <v>3</v>
      </c>
      <c r="D109" s="19">
        <v>17.84</v>
      </c>
      <c r="E109" s="19">
        <v>4.5</v>
      </c>
      <c r="F109" s="19">
        <v>0.17999999999999999</v>
      </c>
      <c r="G109" s="23">
        <v>0</v>
      </c>
      <c r="H109" s="23">
        <v>0</v>
      </c>
      <c r="I109" s="23">
        <v>1</v>
      </c>
      <c r="J109" s="23">
        <v>0</v>
      </c>
      <c r="K109" s="23">
        <v>0</v>
      </c>
      <c r="L109" s="23">
        <v>0</v>
      </c>
      <c r="M109" s="23">
        <v>0</v>
      </c>
      <c r="N109" s="23">
        <v>0</v>
      </c>
      <c r="O109" s="23">
        <v>0</v>
      </c>
      <c r="P109" s="35">
        <v>0</v>
      </c>
      <c r="Q109" s="35">
        <v>0</v>
      </c>
      <c r="R109" s="35">
        <v>0</v>
      </c>
    </row>
    <row r="110" spans="1:18" ht="12.75" customHeight="1">
      <c r="A110" s="4">
        <f t="shared" si="1"/>
        <v>100</v>
      </c>
      <c r="B110">
        <v>2018</v>
      </c>
      <c r="C110">
        <v>4</v>
      </c>
      <c r="D110" s="19">
        <v>15.57</v>
      </c>
      <c r="E110" s="19">
        <v>1.1200000000000001</v>
      </c>
      <c r="F110" s="19">
        <v>0.59999999999999998</v>
      </c>
      <c r="G110" s="23">
        <v>0</v>
      </c>
      <c r="H110" s="23">
        <v>0</v>
      </c>
      <c r="I110" s="23">
        <v>0</v>
      </c>
      <c r="J110" s="23">
        <v>1</v>
      </c>
      <c r="K110" s="23">
        <v>0</v>
      </c>
      <c r="L110" s="23">
        <v>0</v>
      </c>
      <c r="M110" s="23">
        <v>0</v>
      </c>
      <c r="N110" s="23">
        <v>0</v>
      </c>
      <c r="O110" s="23">
        <v>0</v>
      </c>
      <c r="P110" s="35">
        <v>0</v>
      </c>
      <c r="Q110" s="35">
        <v>0</v>
      </c>
      <c r="R110" s="35">
        <v>0</v>
      </c>
    </row>
    <row r="111" spans="1:18" ht="12.75" customHeight="1">
      <c r="A111" s="4">
        <f t="shared" si="1"/>
        <v>101</v>
      </c>
      <c r="B111">
        <v>2018</v>
      </c>
      <c r="C111">
        <v>5</v>
      </c>
      <c r="D111" s="19">
        <v>15.83</v>
      </c>
      <c r="E111" s="19">
        <v>0.59999999999999998</v>
      </c>
      <c r="F111" s="19">
        <v>1.8</v>
      </c>
      <c r="G111" s="23">
        <v>0</v>
      </c>
      <c r="H111" s="23">
        <v>0</v>
      </c>
      <c r="I111" s="23">
        <v>0</v>
      </c>
      <c r="J111" s="23">
        <v>0</v>
      </c>
      <c r="K111" s="23">
        <v>1</v>
      </c>
      <c r="L111" s="23">
        <v>0</v>
      </c>
      <c r="M111" s="23">
        <v>0</v>
      </c>
      <c r="N111" s="23">
        <v>0</v>
      </c>
      <c r="O111" s="23">
        <v>0</v>
      </c>
      <c r="P111" s="35">
        <v>0</v>
      </c>
      <c r="Q111" s="35">
        <v>0</v>
      </c>
      <c r="R111" s="35">
        <v>0</v>
      </c>
    </row>
    <row r="112" spans="1:18" ht="12.75" customHeight="1">
      <c r="A112" s="4">
        <f t="shared" si="1"/>
        <v>102</v>
      </c>
      <c r="B112">
        <v>2018</v>
      </c>
      <c r="C112">
        <v>6</v>
      </c>
      <c r="D112" s="19">
        <v>18.920000000000002</v>
      </c>
      <c r="E112" s="19">
        <v>0</v>
      </c>
      <c r="F112" s="19">
        <v>8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1</v>
      </c>
      <c r="M112" s="23">
        <v>0</v>
      </c>
      <c r="N112" s="23">
        <v>0</v>
      </c>
      <c r="O112" s="23">
        <v>0</v>
      </c>
      <c r="P112" s="35">
        <v>0</v>
      </c>
      <c r="Q112" s="35">
        <v>0</v>
      </c>
      <c r="R112" s="35">
        <v>0</v>
      </c>
    </row>
    <row r="113" spans="1:18" ht="12.75" customHeight="1">
      <c r="A113" s="4">
        <f t="shared" si="1"/>
        <v>103</v>
      </c>
      <c r="B113">
        <v>2018</v>
      </c>
      <c r="C113">
        <v>7</v>
      </c>
      <c r="D113" s="19">
        <v>20.870000000000001</v>
      </c>
      <c r="E113" s="19">
        <v>0</v>
      </c>
      <c r="F113" s="19">
        <v>11.59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1</v>
      </c>
      <c r="N113" s="23">
        <v>0</v>
      </c>
      <c r="O113" s="23">
        <v>0</v>
      </c>
      <c r="P113" s="35">
        <v>0</v>
      </c>
      <c r="Q113" s="35">
        <v>0</v>
      </c>
      <c r="R113" s="35">
        <v>0</v>
      </c>
    </row>
    <row r="114" spans="1:18" ht="12.75" customHeight="1">
      <c r="A114" s="4">
        <f t="shared" si="1"/>
        <v>104</v>
      </c>
      <c r="B114">
        <v>2018</v>
      </c>
      <c r="C114">
        <v>8</v>
      </c>
      <c r="D114" s="19">
        <v>21.059999999999999</v>
      </c>
      <c r="E114" s="19">
        <v>0</v>
      </c>
      <c r="F114" s="19">
        <v>12.66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1</v>
      </c>
      <c r="O114" s="23">
        <v>0</v>
      </c>
      <c r="P114" s="35">
        <v>0</v>
      </c>
      <c r="Q114" s="35">
        <v>0</v>
      </c>
      <c r="R114" s="35">
        <v>0</v>
      </c>
    </row>
    <row r="115" spans="1:18" ht="12.75" customHeight="1">
      <c r="A115" s="4">
        <f t="shared" si="1"/>
        <v>105</v>
      </c>
      <c r="B115">
        <v>2018</v>
      </c>
      <c r="C115">
        <v>9</v>
      </c>
      <c r="D115" s="19">
        <v>19.899999999999999</v>
      </c>
      <c r="E115" s="19">
        <v>0</v>
      </c>
      <c r="F115" s="19">
        <v>9.4399999999999995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1</v>
      </c>
      <c r="P115" s="35">
        <v>0</v>
      </c>
      <c r="Q115" s="35">
        <v>0</v>
      </c>
      <c r="R115" s="35">
        <v>0</v>
      </c>
    </row>
    <row r="116" spans="1:18" ht="12.75" customHeight="1">
      <c r="A116" s="4">
        <f t="shared" si="1"/>
        <v>106</v>
      </c>
      <c r="B116">
        <v>2018</v>
      </c>
      <c r="C116">
        <v>10</v>
      </c>
      <c r="D116" s="19">
        <v>17.510000000000002</v>
      </c>
      <c r="E116" s="19">
        <v>0.23000000000000001</v>
      </c>
      <c r="F116" s="19">
        <v>4.2599999999999998</v>
      </c>
      <c r="G116" s="23">
        <v>0</v>
      </c>
      <c r="H116" s="23">
        <v>0</v>
      </c>
      <c r="I116" s="23">
        <v>0</v>
      </c>
      <c r="J116" s="23">
        <v>0</v>
      </c>
      <c r="K116" s="23">
        <v>0</v>
      </c>
      <c r="L116" s="23">
        <v>0</v>
      </c>
      <c r="M116" s="23">
        <v>0</v>
      </c>
      <c r="N116" s="23">
        <v>0</v>
      </c>
      <c r="O116" s="23">
        <v>0</v>
      </c>
      <c r="P116" s="35">
        <v>1</v>
      </c>
      <c r="Q116" s="35">
        <v>0</v>
      </c>
      <c r="R116" s="35">
        <v>0</v>
      </c>
    </row>
    <row r="117" spans="1:18" ht="12.75" customHeight="1">
      <c r="A117" s="4">
        <f t="shared" si="1"/>
        <v>107</v>
      </c>
      <c r="B117">
        <v>2018</v>
      </c>
      <c r="C117">
        <v>11</v>
      </c>
      <c r="D117" s="19">
        <v>15.91</v>
      </c>
      <c r="E117" s="19">
        <v>1.99</v>
      </c>
      <c r="F117" s="19">
        <v>0.71999999999999997</v>
      </c>
      <c r="G117" s="23">
        <v>0</v>
      </c>
      <c r="H117" s="23">
        <v>0</v>
      </c>
      <c r="I117" s="23">
        <v>0</v>
      </c>
      <c r="J117" s="23">
        <v>0</v>
      </c>
      <c r="K117" s="23">
        <v>0</v>
      </c>
      <c r="L117" s="23">
        <v>0</v>
      </c>
      <c r="M117" s="23">
        <v>0</v>
      </c>
      <c r="N117" s="23">
        <v>0</v>
      </c>
      <c r="O117" s="23">
        <v>0</v>
      </c>
      <c r="P117" s="35">
        <v>0</v>
      </c>
      <c r="Q117" s="35">
        <v>1</v>
      </c>
      <c r="R117" s="35">
        <v>0</v>
      </c>
    </row>
    <row r="118" spans="1:18" ht="12.75" customHeight="1">
      <c r="A118" s="4">
        <f t="shared" si="1"/>
        <v>108</v>
      </c>
      <c r="B118">
        <v>2018</v>
      </c>
      <c r="C118">
        <v>12</v>
      </c>
      <c r="D118" s="19">
        <v>17.190000000000001</v>
      </c>
      <c r="E118" s="19">
        <v>5.9800000000000004</v>
      </c>
      <c r="F118" s="19">
        <v>0.040000000000000001</v>
      </c>
      <c r="G118" s="23">
        <v>0</v>
      </c>
      <c r="H118" s="23">
        <v>0</v>
      </c>
      <c r="I118" s="23">
        <v>0</v>
      </c>
      <c r="J118" s="23">
        <v>0</v>
      </c>
      <c r="K118" s="23">
        <v>0</v>
      </c>
      <c r="L118" s="23">
        <v>0</v>
      </c>
      <c r="M118" s="23">
        <v>0</v>
      </c>
      <c r="N118" s="23">
        <v>0</v>
      </c>
      <c r="O118" s="23">
        <v>0</v>
      </c>
      <c r="P118" s="35">
        <v>0</v>
      </c>
      <c r="Q118" s="35">
        <v>0</v>
      </c>
      <c r="R118" s="35">
        <v>1</v>
      </c>
    </row>
    <row r="119" spans="1:18" ht="12.75" customHeight="1">
      <c r="A119" s="4">
        <f t="shared" si="1"/>
        <v>109</v>
      </c>
      <c r="B119">
        <v>2019</v>
      </c>
      <c r="C119">
        <v>1</v>
      </c>
      <c r="D119" s="19">
        <v>18.440000000000001</v>
      </c>
      <c r="E119" s="19">
        <v>7.3899999999999997</v>
      </c>
      <c r="F119" s="19">
        <v>0</v>
      </c>
      <c r="G119" s="23">
        <v>1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35">
        <v>0</v>
      </c>
      <c r="Q119" s="35">
        <v>0</v>
      </c>
      <c r="R119" s="35">
        <v>0</v>
      </c>
    </row>
    <row r="120" spans="1:18" ht="12.75" customHeight="1">
      <c r="A120" s="4">
        <f t="shared" si="1"/>
        <v>110</v>
      </c>
      <c r="B120">
        <v>2019</v>
      </c>
      <c r="C120">
        <v>2</v>
      </c>
      <c r="D120" s="19">
        <v>17.829999999999998</v>
      </c>
      <c r="E120" s="19">
        <v>8.0600000000000005</v>
      </c>
      <c r="F120" s="19">
        <v>0.040000000000000001</v>
      </c>
      <c r="G120" s="23">
        <v>0</v>
      </c>
      <c r="H120" s="23">
        <v>1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35">
        <v>0</v>
      </c>
      <c r="Q120" s="35">
        <v>0</v>
      </c>
      <c r="R120" s="35">
        <v>0</v>
      </c>
    </row>
    <row r="121" spans="1:18" ht="12.75" customHeight="1">
      <c r="A121" s="4">
        <f t="shared" si="1"/>
        <v>111</v>
      </c>
      <c r="B121">
        <v>2019</v>
      </c>
      <c r="C121">
        <v>3</v>
      </c>
      <c r="D121" s="19">
        <v>17.989999999999998</v>
      </c>
      <c r="E121" s="19">
        <v>7.6900000000000004</v>
      </c>
      <c r="F121" s="19">
        <v>0.059999999999999998</v>
      </c>
      <c r="G121" s="23">
        <v>0</v>
      </c>
      <c r="H121" s="23">
        <v>0</v>
      </c>
      <c r="I121" s="23">
        <v>1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35">
        <v>0</v>
      </c>
      <c r="Q121" s="35">
        <v>0</v>
      </c>
      <c r="R121" s="35">
        <v>0</v>
      </c>
    </row>
    <row r="122" spans="1:18" ht="12.75" customHeight="1">
      <c r="A122" s="4">
        <f t="shared" si="1"/>
        <v>112</v>
      </c>
      <c r="B122">
        <v>2019</v>
      </c>
      <c r="C122">
        <v>4</v>
      </c>
      <c r="D122" s="19">
        <v>15.66</v>
      </c>
      <c r="E122" s="19">
        <v>2.2400000000000002</v>
      </c>
      <c r="F122" s="19">
        <v>0.28000000000000003</v>
      </c>
      <c r="G122" s="23">
        <v>0</v>
      </c>
      <c r="H122" s="23">
        <v>0</v>
      </c>
      <c r="I122" s="23">
        <v>0</v>
      </c>
      <c r="J122" s="23">
        <v>1</v>
      </c>
      <c r="K122" s="23">
        <v>0</v>
      </c>
      <c r="L122" s="23">
        <v>0</v>
      </c>
      <c r="M122" s="23">
        <v>0</v>
      </c>
      <c r="N122" s="23">
        <v>0</v>
      </c>
      <c r="O122" s="23">
        <v>0</v>
      </c>
      <c r="P122" s="35">
        <v>0</v>
      </c>
      <c r="Q122" s="35">
        <v>0</v>
      </c>
      <c r="R122" s="35">
        <v>0</v>
      </c>
    </row>
    <row r="123" spans="1:18" ht="12.75" customHeight="1">
      <c r="A123" s="4">
        <f t="shared" si="1"/>
        <v>113</v>
      </c>
      <c r="B123">
        <v>2019</v>
      </c>
      <c r="C123">
        <v>5</v>
      </c>
      <c r="D123" s="19">
        <v>15.109999999999999</v>
      </c>
      <c r="E123" s="19">
        <v>0.29999999999999999</v>
      </c>
      <c r="F123" s="19">
        <v>1.19</v>
      </c>
      <c r="G123" s="23">
        <v>0</v>
      </c>
      <c r="H123" s="23">
        <v>0</v>
      </c>
      <c r="I123" s="23">
        <v>0</v>
      </c>
      <c r="J123" s="23">
        <v>0</v>
      </c>
      <c r="K123" s="23">
        <v>1</v>
      </c>
      <c r="L123" s="23">
        <v>0</v>
      </c>
      <c r="M123" s="23">
        <v>0</v>
      </c>
      <c r="N123" s="23">
        <v>0</v>
      </c>
      <c r="O123" s="23">
        <v>0</v>
      </c>
      <c r="P123" s="35">
        <v>0</v>
      </c>
      <c r="Q123" s="35">
        <v>0</v>
      </c>
      <c r="R123" s="35">
        <v>0</v>
      </c>
    </row>
    <row r="124" spans="1:18" ht="12.75" customHeight="1">
      <c r="A124" s="4">
        <f t="shared" si="2" ref="A124:A149">+A123+1</f>
        <v>114</v>
      </c>
      <c r="B124">
        <v>2019</v>
      </c>
      <c r="C124">
        <v>6</v>
      </c>
      <c r="D124" s="19">
        <v>16.77</v>
      </c>
      <c r="E124" s="19">
        <v>0.059999999999999998</v>
      </c>
      <c r="F124" s="19">
        <v>4.4199999999999999</v>
      </c>
      <c r="G124" s="23">
        <v>0</v>
      </c>
      <c r="H124" s="23">
        <v>0</v>
      </c>
      <c r="I124" s="23">
        <v>0</v>
      </c>
      <c r="J124" s="23">
        <v>0</v>
      </c>
      <c r="K124" s="23">
        <v>0</v>
      </c>
      <c r="L124" s="23">
        <v>1</v>
      </c>
      <c r="M124" s="23">
        <v>0</v>
      </c>
      <c r="N124" s="23">
        <v>0</v>
      </c>
      <c r="O124" s="23">
        <v>0</v>
      </c>
      <c r="P124" s="35">
        <v>0</v>
      </c>
      <c r="Q124" s="35">
        <v>0</v>
      </c>
      <c r="R124" s="35">
        <v>0</v>
      </c>
    </row>
    <row r="125" spans="1:18" ht="12.75" customHeight="1">
      <c r="A125" s="4">
        <f t="shared" si="2"/>
        <v>115</v>
      </c>
      <c r="B125">
        <v>2019</v>
      </c>
      <c r="C125">
        <v>7</v>
      </c>
      <c r="D125" s="19">
        <v>18.780000000000001</v>
      </c>
      <c r="E125" s="19">
        <v>0</v>
      </c>
      <c r="F125" s="19">
        <v>7.9400000000000004</v>
      </c>
      <c r="G125" s="23">
        <v>0</v>
      </c>
      <c r="H125" s="23">
        <v>0</v>
      </c>
      <c r="I125" s="23">
        <v>0</v>
      </c>
      <c r="J125" s="23">
        <v>0</v>
      </c>
      <c r="K125" s="23">
        <v>0</v>
      </c>
      <c r="L125" s="23">
        <v>0</v>
      </c>
      <c r="M125" s="23">
        <v>1</v>
      </c>
      <c r="N125" s="23">
        <v>0</v>
      </c>
      <c r="O125" s="23">
        <v>0</v>
      </c>
      <c r="P125" s="35">
        <v>0</v>
      </c>
      <c r="Q125" s="35">
        <v>0</v>
      </c>
      <c r="R125" s="35">
        <v>0</v>
      </c>
    </row>
    <row r="126" spans="1:18" ht="12.75" customHeight="1">
      <c r="A126" s="4">
        <f t="shared" si="2"/>
        <v>116</v>
      </c>
      <c r="B126">
        <v>2019</v>
      </c>
      <c r="C126">
        <v>8</v>
      </c>
      <c r="D126" s="19">
        <v>20.309999999999999</v>
      </c>
      <c r="E126" s="19">
        <v>0</v>
      </c>
      <c r="F126" s="19">
        <v>10.93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1</v>
      </c>
      <c r="O126" s="23">
        <v>0</v>
      </c>
      <c r="P126" s="35">
        <v>0</v>
      </c>
      <c r="Q126" s="35">
        <v>0</v>
      </c>
      <c r="R126" s="35">
        <v>0</v>
      </c>
    </row>
    <row r="127" spans="1:18" ht="12.75" customHeight="1">
      <c r="A127" s="4">
        <f t="shared" si="2"/>
        <v>117</v>
      </c>
      <c r="B127">
        <v>2019</v>
      </c>
      <c r="C127">
        <v>9</v>
      </c>
      <c r="D127" s="19">
        <v>20.859999999999999</v>
      </c>
      <c r="E127" s="19">
        <v>0</v>
      </c>
      <c r="F127" s="19">
        <v>11.93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1</v>
      </c>
      <c r="P127" s="35">
        <v>0</v>
      </c>
      <c r="Q127" s="35">
        <v>0</v>
      </c>
      <c r="R127" s="35">
        <v>0</v>
      </c>
    </row>
    <row r="128" spans="1:18" ht="12.75" customHeight="1">
      <c r="A128" s="4">
        <f t="shared" si="2"/>
        <v>118</v>
      </c>
      <c r="B128">
        <v>2019</v>
      </c>
      <c r="C128">
        <v>10</v>
      </c>
      <c r="D128" s="19">
        <v>19.07</v>
      </c>
      <c r="E128" s="19">
        <v>0.089999999999999997</v>
      </c>
      <c r="F128" s="19">
        <v>8.1099999999999994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35">
        <v>1</v>
      </c>
      <c r="Q128" s="35">
        <v>0</v>
      </c>
      <c r="R128" s="35">
        <v>0</v>
      </c>
    </row>
    <row r="129" spans="1:18" ht="12.75" customHeight="1">
      <c r="A129" s="4">
        <f t="shared" si="2"/>
        <v>119</v>
      </c>
      <c r="B129">
        <v>2019</v>
      </c>
      <c r="C129">
        <v>11</v>
      </c>
      <c r="D129" s="19">
        <v>16.210000000000001</v>
      </c>
      <c r="E129" s="19">
        <v>2.8700000000000001</v>
      </c>
      <c r="F129" s="19">
        <v>1.23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35">
        <v>0</v>
      </c>
      <c r="Q129" s="35">
        <v>1</v>
      </c>
      <c r="R129" s="35">
        <v>0</v>
      </c>
    </row>
    <row r="130" spans="1:18" ht="12.75" customHeight="1">
      <c r="A130" s="4">
        <f t="shared" si="2"/>
        <v>120</v>
      </c>
      <c r="B130">
        <v>2019</v>
      </c>
      <c r="C130">
        <v>12</v>
      </c>
      <c r="D130" s="24">
        <v>16.52</v>
      </c>
      <c r="E130" s="24">
        <v>4.96</v>
      </c>
      <c r="F130" s="24">
        <v>0.059999999999999998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5">
        <v>0</v>
      </c>
      <c r="M130" s="25">
        <v>0</v>
      </c>
      <c r="N130" s="25">
        <v>0</v>
      </c>
      <c r="O130" s="25">
        <v>0</v>
      </c>
      <c r="P130" s="35">
        <v>0</v>
      </c>
      <c r="Q130" s="35">
        <v>0</v>
      </c>
      <c r="R130" s="35">
        <v>1</v>
      </c>
    </row>
    <row r="131" spans="1:18" ht="12.75" customHeight="1">
      <c r="A131" s="4">
        <f t="shared" si="2"/>
        <v>121</v>
      </c>
      <c r="B131">
        <v>2020</v>
      </c>
      <c r="C131">
        <v>1</v>
      </c>
      <c r="D131" s="24">
        <v>16.93</v>
      </c>
      <c r="E131" s="24">
        <v>5.8799999999999999</v>
      </c>
      <c r="F131" s="24">
        <v>0.01</v>
      </c>
      <c r="G131" s="25">
        <v>1</v>
      </c>
      <c r="H131" s="25">
        <v>0</v>
      </c>
      <c r="I131" s="25">
        <v>0</v>
      </c>
      <c r="J131" s="25">
        <v>0</v>
      </c>
      <c r="K131" s="25">
        <v>0</v>
      </c>
      <c r="L131" s="25">
        <v>0</v>
      </c>
      <c r="M131" s="25">
        <v>0</v>
      </c>
      <c r="N131" s="25">
        <v>0</v>
      </c>
      <c r="O131" s="25">
        <v>0</v>
      </c>
      <c r="P131" s="35">
        <v>0</v>
      </c>
      <c r="Q131" s="35">
        <v>0</v>
      </c>
      <c r="R131" s="35">
        <v>0</v>
      </c>
    </row>
    <row r="132" spans="1:18" ht="12.75" customHeight="1">
      <c r="A132" s="4">
        <f t="shared" si="2"/>
        <v>122</v>
      </c>
      <c r="B132">
        <v>2020</v>
      </c>
      <c r="C132">
        <v>2</v>
      </c>
      <c r="D132" s="24">
        <v>17.309999999999999</v>
      </c>
      <c r="E132" s="24">
        <v>6.3399999999999999</v>
      </c>
      <c r="F132" s="24">
        <v>0.02</v>
      </c>
      <c r="G132" s="25">
        <v>0</v>
      </c>
      <c r="H132" s="25">
        <v>1</v>
      </c>
      <c r="I132" s="25">
        <v>0</v>
      </c>
      <c r="J132" s="25">
        <v>0</v>
      </c>
      <c r="K132" s="25">
        <v>0</v>
      </c>
      <c r="L132" s="25">
        <v>0</v>
      </c>
      <c r="M132" s="25">
        <v>0</v>
      </c>
      <c r="N132" s="25">
        <v>0</v>
      </c>
      <c r="O132" s="25">
        <v>0</v>
      </c>
      <c r="P132" s="35">
        <v>0</v>
      </c>
      <c r="Q132" s="35">
        <v>0</v>
      </c>
      <c r="R132" s="35">
        <v>0</v>
      </c>
    </row>
    <row r="133" spans="1:18" ht="12.75" customHeight="1">
      <c r="A133" s="4">
        <f t="shared" si="2"/>
        <v>123</v>
      </c>
      <c r="B133">
        <v>2020</v>
      </c>
      <c r="C133">
        <v>3</v>
      </c>
      <c r="D133" s="24">
        <v>16.68</v>
      </c>
      <c r="E133" s="24">
        <v>4.9800000000000004</v>
      </c>
      <c r="F133" s="24">
        <v>0.10000000000000001</v>
      </c>
      <c r="G133" s="25">
        <v>0</v>
      </c>
      <c r="H133" s="25">
        <v>0</v>
      </c>
      <c r="I133" s="25">
        <v>1</v>
      </c>
      <c r="J133" s="25">
        <v>0</v>
      </c>
      <c r="K133" s="25">
        <v>0</v>
      </c>
      <c r="L133" s="25">
        <v>0</v>
      </c>
      <c r="M133" s="25">
        <v>0</v>
      </c>
      <c r="N133" s="25">
        <v>0</v>
      </c>
      <c r="O133" s="25">
        <v>0</v>
      </c>
      <c r="P133" s="35">
        <v>0</v>
      </c>
      <c r="Q133" s="35">
        <v>0</v>
      </c>
      <c r="R133" s="35">
        <v>0</v>
      </c>
    </row>
    <row r="134" spans="1:18" ht="12.75" customHeight="1">
      <c r="A134" s="33">
        <f t="shared" si="2"/>
        <v>124</v>
      </c>
      <c r="B134" s="1">
        <v>2020</v>
      </c>
      <c r="C134" s="32">
        <v>4</v>
      </c>
      <c r="D134" s="32">
        <v>14.5</v>
      </c>
      <c r="E134" s="2">
        <v>1.22</v>
      </c>
      <c r="F134" s="2">
        <v>0.75</v>
      </c>
      <c r="G134" s="29">
        <v>0</v>
      </c>
      <c r="H134" s="29">
        <v>0</v>
      </c>
      <c r="I134" s="29">
        <v>0</v>
      </c>
      <c r="J134" s="29">
        <v>1</v>
      </c>
      <c r="K134" s="29">
        <v>0</v>
      </c>
      <c r="L134" s="29">
        <v>0</v>
      </c>
      <c r="M134" s="29">
        <v>0</v>
      </c>
      <c r="N134" s="29">
        <v>0</v>
      </c>
      <c r="O134">
        <v>0</v>
      </c>
      <c r="P134" s="35">
        <v>0</v>
      </c>
      <c r="Q134" s="35">
        <v>0</v>
      </c>
      <c r="R134" s="35">
        <v>0</v>
      </c>
    </row>
    <row r="135" spans="1:18" ht="12.75" customHeight="1">
      <c r="A135" s="33">
        <f t="shared" si="2"/>
        <v>125</v>
      </c>
      <c r="B135" s="1">
        <v>2020</v>
      </c>
      <c r="C135" s="32">
        <v>5</v>
      </c>
      <c r="D135" s="32">
        <v>14.470000000000001</v>
      </c>
      <c r="E135" s="2">
        <v>0.64000000000000001</v>
      </c>
      <c r="F135" s="2">
        <v>1.9099999999999999</v>
      </c>
      <c r="G135" s="29">
        <v>0</v>
      </c>
      <c r="H135" s="29">
        <v>0</v>
      </c>
      <c r="I135" s="29">
        <v>0</v>
      </c>
      <c r="J135" s="29">
        <v>0</v>
      </c>
      <c r="K135" s="29">
        <v>1</v>
      </c>
      <c r="L135" s="29">
        <v>0</v>
      </c>
      <c r="M135" s="29">
        <v>0</v>
      </c>
      <c r="N135" s="29">
        <v>0</v>
      </c>
      <c r="O135">
        <v>0</v>
      </c>
      <c r="P135" s="35">
        <v>0</v>
      </c>
      <c r="Q135" s="35">
        <v>0</v>
      </c>
      <c r="R135" s="35">
        <v>0</v>
      </c>
    </row>
    <row r="136" spans="1:18" ht="12.75" customHeight="1">
      <c r="A136" s="33">
        <f t="shared" si="2"/>
        <v>126</v>
      </c>
      <c r="B136" s="1">
        <v>2020</v>
      </c>
      <c r="C136" s="32">
        <v>6</v>
      </c>
      <c r="D136" s="32">
        <v>16.510000000000002</v>
      </c>
      <c r="E136" s="2">
        <v>0</v>
      </c>
      <c r="F136" s="2">
        <v>4.96</v>
      </c>
      <c r="G136" s="29">
        <v>0</v>
      </c>
      <c r="H136" s="29">
        <v>0</v>
      </c>
      <c r="I136" s="29">
        <v>0</v>
      </c>
      <c r="J136" s="29">
        <v>0</v>
      </c>
      <c r="K136" s="29">
        <v>0</v>
      </c>
      <c r="L136" s="29">
        <v>1</v>
      </c>
      <c r="M136" s="29">
        <v>0</v>
      </c>
      <c r="N136" s="29">
        <v>0</v>
      </c>
      <c r="O136">
        <v>0</v>
      </c>
      <c r="P136" s="35">
        <v>0</v>
      </c>
      <c r="Q136" s="35">
        <v>0</v>
      </c>
      <c r="R136" s="35">
        <v>0</v>
      </c>
    </row>
    <row r="137" spans="1:18" ht="12.75" customHeight="1">
      <c r="A137" s="33">
        <f t="shared" si="2"/>
        <v>127</v>
      </c>
      <c r="B137" s="1">
        <v>2020</v>
      </c>
      <c r="C137" s="32">
        <v>7</v>
      </c>
      <c r="D137" s="32">
        <v>18.960000000000001</v>
      </c>
      <c r="E137" s="2">
        <v>0</v>
      </c>
      <c r="F137" s="2">
        <v>9.1799999999999997</v>
      </c>
      <c r="G137" s="29">
        <v>0</v>
      </c>
      <c r="H137" s="29">
        <v>0</v>
      </c>
      <c r="I137" s="29">
        <v>0</v>
      </c>
      <c r="J137" s="29">
        <v>0</v>
      </c>
      <c r="K137" s="29">
        <v>0</v>
      </c>
      <c r="L137" s="29">
        <v>0</v>
      </c>
      <c r="M137" s="29">
        <v>1</v>
      </c>
      <c r="N137" s="29">
        <v>0</v>
      </c>
      <c r="O137">
        <v>0</v>
      </c>
      <c r="P137" s="35">
        <v>0</v>
      </c>
      <c r="Q137" s="35">
        <v>0</v>
      </c>
      <c r="R137" s="35">
        <v>0</v>
      </c>
    </row>
    <row r="138" spans="1:18" ht="12.75" customHeight="1">
      <c r="A138" s="33">
        <f t="shared" si="2"/>
        <v>128</v>
      </c>
      <c r="B138" s="1">
        <v>2020</v>
      </c>
      <c r="C138" s="32">
        <v>8</v>
      </c>
      <c r="D138" s="32">
        <v>20.140000000000001</v>
      </c>
      <c r="E138" s="2">
        <v>0</v>
      </c>
      <c r="F138" s="2">
        <v>11.289999999999999</v>
      </c>
      <c r="G138" s="29">
        <v>0</v>
      </c>
      <c r="H138" s="29">
        <v>0</v>
      </c>
      <c r="I138" s="29">
        <v>0</v>
      </c>
      <c r="J138" s="29">
        <v>0</v>
      </c>
      <c r="K138" s="29">
        <v>0</v>
      </c>
      <c r="L138" s="29">
        <v>0</v>
      </c>
      <c r="M138" s="29">
        <v>0</v>
      </c>
      <c r="N138" s="29">
        <v>1</v>
      </c>
      <c r="O138">
        <v>0</v>
      </c>
      <c r="P138" s="35">
        <v>0</v>
      </c>
      <c r="Q138" s="35">
        <v>0</v>
      </c>
      <c r="R138" s="35">
        <v>0</v>
      </c>
    </row>
    <row r="139" spans="1:18" ht="12.75" customHeight="1">
      <c r="A139" s="33">
        <f t="shared" si="2"/>
        <v>129</v>
      </c>
      <c r="B139" s="1">
        <v>2020</v>
      </c>
      <c r="C139" s="32">
        <v>9</v>
      </c>
      <c r="D139" s="32">
        <v>19.370000000000001</v>
      </c>
      <c r="E139" s="2">
        <v>0.029999999999999999</v>
      </c>
      <c r="F139" s="2">
        <v>9.6600000000000001</v>
      </c>
      <c r="G139" s="29">
        <v>0</v>
      </c>
      <c r="H139" s="29">
        <v>0</v>
      </c>
      <c r="I139" s="29">
        <v>0</v>
      </c>
      <c r="J139" s="29">
        <v>0</v>
      </c>
      <c r="K139" s="29">
        <v>0</v>
      </c>
      <c r="L139" s="29">
        <v>0</v>
      </c>
      <c r="M139" s="29">
        <v>0</v>
      </c>
      <c r="N139" s="29">
        <v>0</v>
      </c>
      <c r="O139">
        <v>1</v>
      </c>
      <c r="P139" s="35">
        <v>0</v>
      </c>
      <c r="Q139" s="35">
        <v>0</v>
      </c>
      <c r="R139" s="35">
        <v>0</v>
      </c>
    </row>
    <row r="140" spans="1:18" ht="12.75" customHeight="1">
      <c r="A140" s="33">
        <f t="shared" si="2"/>
        <v>130</v>
      </c>
      <c r="B140" s="1">
        <v>2020</v>
      </c>
      <c r="C140" s="32">
        <v>10</v>
      </c>
      <c r="D140" s="32">
        <v>16.260000000000002</v>
      </c>
      <c r="E140" s="2">
        <v>0.040000000000000001</v>
      </c>
      <c r="F140" s="2">
        <v>3.1200000000000001</v>
      </c>
      <c r="G140" s="29">
        <v>0</v>
      </c>
      <c r="H140" s="29">
        <v>0</v>
      </c>
      <c r="I140" s="29">
        <v>0</v>
      </c>
      <c r="J140" s="29">
        <v>0</v>
      </c>
      <c r="K140" s="29">
        <v>0</v>
      </c>
      <c r="L140" s="29">
        <v>0</v>
      </c>
      <c r="M140" s="29">
        <v>0</v>
      </c>
      <c r="N140" s="29">
        <v>0</v>
      </c>
      <c r="O140">
        <v>0</v>
      </c>
      <c r="P140" s="35">
        <v>1</v>
      </c>
      <c r="Q140" s="35">
        <v>0</v>
      </c>
      <c r="R140" s="35">
        <v>0</v>
      </c>
    </row>
    <row r="141" spans="1:18" ht="12.75" customHeight="1">
      <c r="A141" s="33">
        <f t="shared" si="2"/>
        <v>131</v>
      </c>
      <c r="B141" s="1">
        <v>2020</v>
      </c>
      <c r="C141" s="32">
        <v>11</v>
      </c>
      <c r="D141" s="32">
        <v>15.529999999999999</v>
      </c>
      <c r="E141" s="2">
        <v>1.5900000000000001</v>
      </c>
      <c r="F141" s="2">
        <v>1.1100000000000001</v>
      </c>
      <c r="G141" s="29">
        <v>0</v>
      </c>
      <c r="H141" s="29">
        <v>0</v>
      </c>
      <c r="I141" s="29">
        <v>0</v>
      </c>
      <c r="J141" s="29">
        <v>0</v>
      </c>
      <c r="K141" s="29">
        <v>0</v>
      </c>
      <c r="L141" s="29">
        <v>0</v>
      </c>
      <c r="M141" s="29">
        <v>0</v>
      </c>
      <c r="N141" s="29">
        <v>0</v>
      </c>
      <c r="O141">
        <v>0</v>
      </c>
      <c r="P141" s="35">
        <v>0</v>
      </c>
      <c r="Q141" s="35">
        <v>1</v>
      </c>
      <c r="R141" s="35">
        <v>0</v>
      </c>
    </row>
    <row r="142" spans="1:18" ht="12.75" customHeight="1">
      <c r="A142" s="33">
        <f t="shared" si="2"/>
        <v>132</v>
      </c>
      <c r="B142" s="1">
        <v>2020</v>
      </c>
      <c r="C142" s="32">
        <v>12</v>
      </c>
      <c r="D142" s="32">
        <v>15.59</v>
      </c>
      <c r="E142" s="2">
        <v>3.5</v>
      </c>
      <c r="F142" s="2">
        <v>0.11</v>
      </c>
      <c r="G142" s="29">
        <v>0</v>
      </c>
      <c r="H142" s="29">
        <v>0</v>
      </c>
      <c r="I142" s="29">
        <v>0</v>
      </c>
      <c r="J142" s="29">
        <v>0</v>
      </c>
      <c r="K142" s="29">
        <v>0</v>
      </c>
      <c r="L142" s="29">
        <v>0</v>
      </c>
      <c r="M142" s="29">
        <v>0</v>
      </c>
      <c r="N142" s="29">
        <v>0</v>
      </c>
      <c r="O142">
        <v>0</v>
      </c>
      <c r="P142" s="35">
        <v>0</v>
      </c>
      <c r="Q142" s="35">
        <v>0</v>
      </c>
      <c r="R142" s="35">
        <v>1</v>
      </c>
    </row>
    <row r="143" spans="1:23" ht="12.75" customHeight="1">
      <c r="A143" s="33">
        <f t="shared" si="2"/>
        <v>133</v>
      </c>
      <c r="B143" s="1">
        <v>2021</v>
      </c>
      <c r="C143" s="32">
        <v>1</v>
      </c>
      <c r="D143" s="32">
        <v>17.27</v>
      </c>
      <c r="E143" s="2">
        <v>7.3300000000000001</v>
      </c>
      <c r="F143" s="2">
        <v>0</v>
      </c>
      <c r="G143" s="29">
        <v>1</v>
      </c>
      <c r="H143" s="29">
        <v>0</v>
      </c>
      <c r="I143" s="29">
        <v>0</v>
      </c>
      <c r="J143" s="29">
        <v>0</v>
      </c>
      <c r="K143" s="29">
        <v>0</v>
      </c>
      <c r="L143" s="29">
        <v>0</v>
      </c>
      <c r="M143" s="29">
        <v>0</v>
      </c>
      <c r="N143" s="29">
        <v>0</v>
      </c>
      <c r="O143">
        <v>0</v>
      </c>
      <c r="P143" s="35">
        <v>0</v>
      </c>
      <c r="Q143" s="35">
        <v>0</v>
      </c>
      <c r="R143" s="35">
        <v>0</v>
      </c>
      <c r="T143" s="22"/>
      <c r="U143" s="22"/>
      <c r="V143" s="22"/>
      <c r="W143" s="22"/>
    </row>
    <row r="144" spans="1:23" ht="12.75" customHeight="1">
      <c r="A144" s="33">
        <f t="shared" si="2"/>
        <v>134</v>
      </c>
      <c r="B144" s="1">
        <v>2021</v>
      </c>
      <c r="C144" s="32">
        <v>2</v>
      </c>
      <c r="D144" s="32">
        <v>17.82</v>
      </c>
      <c r="E144" s="2">
        <v>8.8699999999999992</v>
      </c>
      <c r="F144" s="2">
        <v>0</v>
      </c>
      <c r="G144" s="29">
        <v>0</v>
      </c>
      <c r="H144" s="29">
        <v>1</v>
      </c>
      <c r="I144" s="29">
        <v>0</v>
      </c>
      <c r="J144" s="29">
        <v>0</v>
      </c>
      <c r="K144" s="29">
        <v>0</v>
      </c>
      <c r="L144" s="29">
        <v>0</v>
      </c>
      <c r="M144" s="29">
        <v>0</v>
      </c>
      <c r="N144" s="29">
        <v>0</v>
      </c>
      <c r="O144">
        <v>0</v>
      </c>
      <c r="P144" s="35">
        <v>0</v>
      </c>
      <c r="Q144" s="35">
        <v>0</v>
      </c>
      <c r="R144" s="35">
        <v>0</v>
      </c>
      <c r="T144" s="22"/>
      <c r="U144" s="22"/>
      <c r="V144" s="22"/>
      <c r="W144" s="22"/>
    </row>
    <row r="145" spans="1:23" ht="12.75" customHeight="1">
      <c r="A145" s="33">
        <f t="shared" si="2"/>
        <v>135</v>
      </c>
      <c r="B145" s="1">
        <v>2021</v>
      </c>
      <c r="C145" s="32">
        <v>3</v>
      </c>
      <c r="D145" s="32">
        <v>18</v>
      </c>
      <c r="E145" s="2">
        <v>10.99</v>
      </c>
      <c r="F145" s="2">
        <v>0.070000000000000007</v>
      </c>
      <c r="G145" s="29">
        <v>0</v>
      </c>
      <c r="H145" s="29">
        <v>0</v>
      </c>
      <c r="I145" s="29">
        <v>1</v>
      </c>
      <c r="J145" s="29">
        <v>0</v>
      </c>
      <c r="K145" s="29">
        <v>0</v>
      </c>
      <c r="L145" s="29">
        <v>0</v>
      </c>
      <c r="M145" s="29">
        <v>0</v>
      </c>
      <c r="N145" s="29">
        <v>0</v>
      </c>
      <c r="O145">
        <v>0</v>
      </c>
      <c r="P145" s="35">
        <v>0</v>
      </c>
      <c r="Q145" s="35">
        <v>0</v>
      </c>
      <c r="R145" s="35">
        <v>0</v>
      </c>
      <c r="T145" s="22"/>
      <c r="U145" s="22"/>
      <c r="V145" s="22"/>
      <c r="W145" s="22"/>
    </row>
    <row r="146" spans="1:23" ht="12.75" customHeight="1">
      <c r="A146" s="33">
        <f t="shared" si="2"/>
        <v>136</v>
      </c>
      <c r="B146" s="1">
        <v>2021</v>
      </c>
      <c r="C146" s="32">
        <v>4</v>
      </c>
      <c r="D146" s="32">
        <v>14.4</v>
      </c>
      <c r="E146" s="2">
        <v>0.91000000000000003</v>
      </c>
      <c r="F146" s="2">
        <v>0.34000000000000002</v>
      </c>
      <c r="G146" s="29">
        <v>0</v>
      </c>
      <c r="H146" s="29">
        <v>0</v>
      </c>
      <c r="I146" s="29">
        <v>0</v>
      </c>
      <c r="J146" s="29">
        <v>1</v>
      </c>
      <c r="K146" s="29">
        <v>0</v>
      </c>
      <c r="L146" s="29">
        <v>0</v>
      </c>
      <c r="M146" s="29">
        <v>0</v>
      </c>
      <c r="N146" s="29">
        <v>0</v>
      </c>
      <c r="O146">
        <v>0</v>
      </c>
      <c r="P146" s="35">
        <v>0</v>
      </c>
      <c r="Q146" s="35">
        <v>0</v>
      </c>
      <c r="R146" s="35">
        <v>0</v>
      </c>
      <c r="T146" s="22"/>
      <c r="U146" s="22"/>
      <c r="V146" s="22"/>
      <c r="W146" s="22"/>
    </row>
    <row r="147" spans="1:23" ht="12.75" customHeight="1">
      <c r="A147" s="33">
        <f t="shared" si="2"/>
        <v>137</v>
      </c>
      <c r="B147" s="1">
        <v>2021</v>
      </c>
      <c r="C147" s="32">
        <v>5</v>
      </c>
      <c r="D147" s="32">
        <v>14.24</v>
      </c>
      <c r="E147" s="2">
        <v>0.55000000000000004</v>
      </c>
      <c r="F147" s="2">
        <v>0.95999999999999996</v>
      </c>
      <c r="G147" s="29">
        <v>0</v>
      </c>
      <c r="H147" s="29">
        <v>0</v>
      </c>
      <c r="I147" s="29">
        <v>0</v>
      </c>
      <c r="J147" s="29">
        <v>0</v>
      </c>
      <c r="K147" s="29">
        <v>1</v>
      </c>
      <c r="L147" s="29">
        <v>0</v>
      </c>
      <c r="M147" s="29">
        <v>0</v>
      </c>
      <c r="N147" s="29">
        <v>0</v>
      </c>
      <c r="O147">
        <v>0</v>
      </c>
      <c r="P147" s="35">
        <v>0</v>
      </c>
      <c r="Q147" s="35">
        <v>0</v>
      </c>
      <c r="R147" s="35">
        <v>0</v>
      </c>
      <c r="T147" s="22"/>
      <c r="U147" s="22"/>
      <c r="V147" s="22"/>
      <c r="W147" s="22"/>
    </row>
    <row r="148" spans="1:23" ht="12.75" customHeight="1">
      <c r="A148" s="33">
        <f t="shared" si="2"/>
        <v>138</v>
      </c>
      <c r="B148" s="1">
        <v>2021</v>
      </c>
      <c r="C148" s="32">
        <v>6</v>
      </c>
      <c r="D148" s="32">
        <v>15.369999999999999</v>
      </c>
      <c r="E148" s="2">
        <v>0.02</v>
      </c>
      <c r="F148" s="2">
        <v>3.3900000000000001</v>
      </c>
      <c r="G148" s="29">
        <v>0</v>
      </c>
      <c r="H148" s="29">
        <v>0</v>
      </c>
      <c r="I148" s="29">
        <v>0</v>
      </c>
      <c r="J148" s="29">
        <v>0</v>
      </c>
      <c r="K148" s="29">
        <v>0</v>
      </c>
      <c r="L148" s="29">
        <v>1</v>
      </c>
      <c r="M148" s="29">
        <v>0</v>
      </c>
      <c r="N148" s="29">
        <v>0</v>
      </c>
      <c r="O148">
        <v>0</v>
      </c>
      <c r="P148" s="35">
        <v>0</v>
      </c>
      <c r="Q148" s="35">
        <v>0</v>
      </c>
      <c r="R148" s="35">
        <v>0</v>
      </c>
      <c r="T148" s="22"/>
      <c r="U148" s="22"/>
      <c r="V148" s="22"/>
      <c r="W148" s="22"/>
    </row>
    <row r="149" spans="1:23" ht="12.75" customHeight="1">
      <c r="A149" s="33">
        <f t="shared" si="2"/>
        <v>139</v>
      </c>
      <c r="B149" s="1">
        <v>2021</v>
      </c>
      <c r="C149" s="32">
        <v>7</v>
      </c>
      <c r="D149" s="32">
        <v>18.120000000000001</v>
      </c>
      <c r="E149" s="2">
        <v>0</v>
      </c>
      <c r="F149" s="2">
        <v>8.3699999999999992</v>
      </c>
      <c r="G149" s="29">
        <v>0</v>
      </c>
      <c r="H149" s="29">
        <v>0</v>
      </c>
      <c r="I149" s="29">
        <v>0</v>
      </c>
      <c r="J149" s="29">
        <v>0</v>
      </c>
      <c r="K149" s="29">
        <v>0</v>
      </c>
      <c r="L149" s="29">
        <v>0</v>
      </c>
      <c r="M149" s="29">
        <v>1</v>
      </c>
      <c r="N149" s="29">
        <v>0</v>
      </c>
      <c r="O149">
        <v>0</v>
      </c>
      <c r="P149" s="35">
        <v>0</v>
      </c>
      <c r="Q149" s="35">
        <v>0</v>
      </c>
      <c r="R149" s="35">
        <v>0</v>
      </c>
      <c r="T149" s="22"/>
      <c r="U149" s="22"/>
      <c r="V149" s="22"/>
      <c r="W149" s="22"/>
    </row>
    <row r="150" spans="20:23" ht="12.75" customHeight="1">
      <c r="T150" s="22"/>
      <c r="U150" s="22"/>
      <c r="V150" s="22"/>
      <c r="W150" s="22"/>
    </row>
    <row r="151" spans="20:23" ht="12.75" customHeight="1">
      <c r="T151" s="22"/>
      <c r="U151" s="22"/>
      <c r="V151" s="22"/>
      <c r="W151" s="22"/>
    </row>
    <row r="152" spans="20:23" ht="12.75" customHeight="1">
      <c r="T152" s="22"/>
      <c r="U152" s="22"/>
      <c r="V152" s="22"/>
      <c r="W152" s="22"/>
    </row>
    <row r="153" spans="20:23" ht="12.75" customHeight="1">
      <c r="T153" s="22"/>
      <c r="U153" s="22"/>
      <c r="V153" s="22"/>
      <c r="W153" s="22"/>
    </row>
    <row r="154" spans="20:23" ht="12.75" customHeight="1">
      <c r="T154" s="22"/>
      <c r="U154" s="22"/>
      <c r="V154" s="22"/>
      <c r="W154" s="22"/>
    </row>
  </sheetData>
  <mergeCells count="6">
    <mergeCell ref="B3:O3"/>
    <mergeCell ref="B4:O4"/>
    <mergeCell ref="B6:O6"/>
    <mergeCell ref="B9:O9"/>
    <mergeCell ref="B1:O1"/>
    <mergeCell ref="B2:O2"/>
  </mergeCells>
  <pageMargins left="1.5" right="0.75" top="1" bottom="1" header="0.5" footer="0.5"/>
  <pageSetup orientation="portrait" scale="61" r:id="rId1"/>
  <headerFooter alignWithMargins="0">
    <oddHeader>&amp;RSchedule II-H-2.2
Page &amp;P of &amp;N</oddHeader>
  </headerFooter>
  <rowBreaks count="2" manualBreakCount="2">
    <brk id="58" max="17" man="1"/>
    <brk id="106" max="1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V154"/>
  <sheetViews>
    <sheetView showOutlineSymbols="0" view="pageBreakPreview" zoomScaleNormal="100" zoomScaleSheetLayoutView="100" workbookViewId="0" topLeftCell="A1"/>
  </sheetViews>
  <sheetFormatPr defaultRowHeight="12.75" customHeight="1"/>
  <cols>
    <col min="1" max="1" width="4.42857142857143" style="4" bestFit="1" customWidth="1"/>
    <col min="2" max="2" width="5" style="1" bestFit="1" customWidth="1"/>
    <col min="3" max="3" width="5.85714285714286" style="1" bestFit="1" customWidth="1"/>
    <col min="4" max="4" width="12.2857142857143" style="1" bestFit="1" customWidth="1"/>
    <col min="5" max="5" width="12.4285714285714" style="2" bestFit="1" customWidth="1"/>
    <col min="6" max="7" width="12.5714285714286" style="2" bestFit="1" customWidth="1"/>
    <col min="8" max="8" width="4.14285714285714" style="2" bestFit="1" customWidth="1"/>
    <col min="9" max="10" width="4.28571428571429" style="2" bestFit="1" customWidth="1"/>
    <col min="11" max="11" width="4.57142857142857" style="2" bestFit="1" customWidth="1"/>
    <col min="12" max="12" width="4.14285714285714" style="2" bestFit="1" customWidth="1"/>
    <col min="13" max="13" width="3.57142857142857" style="2" bestFit="1" customWidth="1"/>
    <col min="14" max="14" width="4.28571428571429" style="2" bestFit="1" customWidth="1"/>
    <col min="15" max="15" width="4.28571428571429" bestFit="1" customWidth="1"/>
    <col min="16" max="16" width="3.71428571428571" bestFit="1" customWidth="1"/>
    <col min="17" max="17" width="4" bestFit="1" customWidth="1"/>
    <col min="18" max="18" width="4.57142857142857" bestFit="1" customWidth="1"/>
    <col min="21" max="21" width="4.57142857142857" bestFit="1" customWidth="1"/>
  </cols>
  <sheetData>
    <row r="1" spans="2:17" ht="15.6">
      <c r="B1" s="47" t="str">
        <f>+Introduction!B1</f>
        <v xml:space="preserve">PUC DOCKET NO. </v>
      </c>
      <c r="C1" s="47"/>
      <c r="D1" s="47"/>
      <c r="E1" s="47"/>
      <c r="F1" s="47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2:17" ht="12.75" customHeight="1">
      <c r="B2" s="47" t="str">
        <f>+Introduction!B2</f>
        <v>ONCOR ELECTRIC DELIVERY COMPANY LLC</v>
      </c>
      <c r="C2" s="47"/>
      <c r="D2" s="47"/>
      <c r="E2" s="47"/>
      <c r="F2" s="47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2:17" ht="12.75" customHeight="1">
      <c r="B3" s="47" t="str">
        <f>+Introduction!B3</f>
        <v>MODEL DATA</v>
      </c>
      <c r="C3" s="47"/>
      <c r="D3" s="47"/>
      <c r="E3" s="47"/>
      <c r="F3" s="47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</row>
    <row r="4" spans="2:17" ht="15.6">
      <c r="B4" s="47" t="str">
        <f>+Introduction!B4</f>
        <v>FOR THE TEST YEAR ENDING DECEMBER 31, 2021</v>
      </c>
      <c r="C4" s="47"/>
      <c r="D4" s="47"/>
      <c r="E4" s="47"/>
      <c r="F4" s="47"/>
      <c r="G4" s="47"/>
      <c r="H4" s="47"/>
      <c r="I4" s="47"/>
      <c r="J4" s="47"/>
      <c r="K4" s="47"/>
      <c r="L4" s="48"/>
      <c r="M4" s="48"/>
      <c r="N4" s="48"/>
      <c r="O4" s="48"/>
      <c r="P4" s="48"/>
      <c r="Q4" s="48"/>
    </row>
    <row r="5" spans="2:11" ht="12.75" customHeight="1">
      <c r="B5" s="14"/>
      <c r="C5" s="14"/>
      <c r="D5" s="14"/>
      <c r="E5" s="14"/>
      <c r="F5" s="14"/>
      <c r="G5" s="17"/>
      <c r="H5" s="17"/>
      <c r="I5" s="17"/>
      <c r="J5" s="17"/>
      <c r="K5" s="17"/>
    </row>
    <row r="6" spans="2:17" ht="15.6">
      <c r="B6" s="47" t="str">
        <f>+Introduction!B6</f>
        <v>SPONSOR: D. E. NELSON</v>
      </c>
      <c r="C6" s="47"/>
      <c r="D6" s="47"/>
      <c r="E6" s="47"/>
      <c r="F6" s="47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</row>
    <row r="8" spans="2:17" ht="12.75" customHeight="1">
      <c r="B8" s="9" t="s">
        <v>4</v>
      </c>
      <c r="C8" s="9" t="s">
        <v>5</v>
      </c>
      <c r="D8" s="9" t="s">
        <v>7</v>
      </c>
      <c r="E8" s="10" t="s">
        <v>6</v>
      </c>
      <c r="F8" s="10" t="s">
        <v>8</v>
      </c>
      <c r="G8" s="10" t="s">
        <v>9</v>
      </c>
      <c r="H8" s="10" t="s">
        <v>10</v>
      </c>
      <c r="I8" s="10" t="s">
        <v>11</v>
      </c>
      <c r="J8" s="10" t="s">
        <v>12</v>
      </c>
      <c r="K8" s="10" t="s">
        <v>13</v>
      </c>
      <c r="L8" s="10" t="s">
        <v>14</v>
      </c>
      <c r="M8" s="11" t="s">
        <v>15</v>
      </c>
      <c r="N8" s="10" t="s">
        <v>16</v>
      </c>
      <c r="O8" s="10" t="s">
        <v>17</v>
      </c>
      <c r="P8" s="10" t="s">
        <v>18</v>
      </c>
      <c r="Q8" s="10" t="s">
        <v>19</v>
      </c>
    </row>
    <row r="9" spans="1:17" ht="15.6">
      <c r="A9" s="4" t="s">
        <v>2</v>
      </c>
      <c r="B9" s="47" t="s">
        <v>37</v>
      </c>
      <c r="C9" s="47"/>
      <c r="D9" s="47"/>
      <c r="E9" s="47"/>
      <c r="F9" s="47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</row>
    <row r="10" spans="1:17" s="21" customFormat="1" ht="12.75" customHeight="1">
      <c r="A10" s="20" t="s">
        <v>3</v>
      </c>
      <c r="B10" s="41" t="s">
        <v>53</v>
      </c>
      <c r="C10" s="41" t="s">
        <v>0</v>
      </c>
      <c r="D10" s="38" t="s">
        <v>34</v>
      </c>
      <c r="E10" s="38" t="s">
        <v>67</v>
      </c>
      <c r="F10" s="38" t="s">
        <v>68</v>
      </c>
      <c r="G10" s="38" t="s">
        <v>49</v>
      </c>
      <c r="H10" s="38" t="s">
        <v>32</v>
      </c>
      <c r="I10" s="38" t="s">
        <v>20</v>
      </c>
      <c r="J10" s="38" t="s">
        <v>21</v>
      </c>
      <c r="K10" s="38" t="s">
        <v>22</v>
      </c>
      <c r="L10" s="38" t="s">
        <v>23</v>
      </c>
      <c r="M10" s="38" t="s">
        <v>24</v>
      </c>
      <c r="N10" s="38" t="s">
        <v>25</v>
      </c>
      <c r="O10" s="38" t="s">
        <v>26</v>
      </c>
      <c r="P10" s="38" t="s">
        <v>29</v>
      </c>
      <c r="Q10" s="38" t="s">
        <v>56</v>
      </c>
    </row>
    <row r="11" spans="1:17" ht="12.75" customHeight="1">
      <c r="A11" s="4">
        <v>1</v>
      </c>
      <c r="B11">
        <v>2010</v>
      </c>
      <c r="C11">
        <v>1</v>
      </c>
      <c r="D11" s="19">
        <v>595.58000000000004</v>
      </c>
      <c r="E11" s="19">
        <v>9.4800000000000004</v>
      </c>
      <c r="F11" s="19">
        <v>0.050000000000000003</v>
      </c>
      <c r="G11" s="2">
        <v>392.52999999999997</v>
      </c>
      <c r="H11" s="23">
        <v>1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</row>
    <row r="12" spans="1:17" ht="12.75" customHeight="1">
      <c r="A12" s="4">
        <f t="shared" si="0" ref="A12:A75">+A11+1</f>
        <v>2</v>
      </c>
      <c r="B12">
        <v>2010</v>
      </c>
      <c r="C12">
        <v>2</v>
      </c>
      <c r="D12" s="19">
        <v>610.82000000000005</v>
      </c>
      <c r="E12" s="19">
        <v>7.6600000000000001</v>
      </c>
      <c r="F12" s="19">
        <v>0.040000000000000001</v>
      </c>
      <c r="G12" s="2">
        <v>392.70999999999998</v>
      </c>
      <c r="H12" s="23">
        <v>0</v>
      </c>
      <c r="I12" s="23">
        <v>1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</row>
    <row r="13" spans="1:17" ht="12.75" customHeight="1">
      <c r="A13" s="4">
        <f t="shared" si="0"/>
        <v>3</v>
      </c>
      <c r="B13">
        <v>2010</v>
      </c>
      <c r="C13">
        <v>3</v>
      </c>
      <c r="D13" s="19">
        <v>587.08000000000004</v>
      </c>
      <c r="E13" s="19">
        <v>5.0300000000000002</v>
      </c>
      <c r="F13" s="19">
        <v>0.029999999999999999</v>
      </c>
      <c r="G13" s="2">
        <v>392.81</v>
      </c>
      <c r="H13" s="23">
        <v>0</v>
      </c>
      <c r="I13" s="23">
        <v>0</v>
      </c>
      <c r="J13" s="23">
        <v>1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</row>
    <row r="14" spans="1:17" ht="12.75" customHeight="1">
      <c r="A14" s="4">
        <f t="shared" si="0"/>
        <v>4</v>
      </c>
      <c r="B14">
        <v>2010</v>
      </c>
      <c r="C14">
        <v>4</v>
      </c>
      <c r="D14" s="19">
        <v>568.46000000000004</v>
      </c>
      <c r="E14" s="19">
        <v>0.66000000000000003</v>
      </c>
      <c r="F14" s="19">
        <v>1.3300000000000001</v>
      </c>
      <c r="G14" s="2">
        <v>392.82999999999998</v>
      </c>
      <c r="H14" s="23">
        <v>0</v>
      </c>
      <c r="I14" s="23">
        <v>0</v>
      </c>
      <c r="J14" s="23">
        <v>0</v>
      </c>
      <c r="K14" s="23">
        <v>1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</row>
    <row r="15" spans="1:17" ht="12.75" customHeight="1">
      <c r="A15" s="4">
        <f t="shared" si="0"/>
        <v>5</v>
      </c>
      <c r="B15">
        <v>2010</v>
      </c>
      <c r="C15">
        <v>5</v>
      </c>
      <c r="D15" s="19">
        <v>614.22000000000003</v>
      </c>
      <c r="E15" s="19">
        <v>0.01</v>
      </c>
      <c r="F15" s="19">
        <v>4.2000000000000002</v>
      </c>
      <c r="G15" s="2">
        <v>392.75</v>
      </c>
      <c r="H15" s="23">
        <v>0</v>
      </c>
      <c r="I15" s="23">
        <v>0</v>
      </c>
      <c r="J15" s="23">
        <v>0</v>
      </c>
      <c r="K15" s="23">
        <v>0</v>
      </c>
      <c r="L15" s="23">
        <v>1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</row>
    <row r="16" spans="1:17" ht="12.75" customHeight="1">
      <c r="A16" s="4">
        <f t="shared" si="0"/>
        <v>6</v>
      </c>
      <c r="B16">
        <v>2010</v>
      </c>
      <c r="C16">
        <v>6</v>
      </c>
      <c r="D16" s="19">
        <v>719.90999999999997</v>
      </c>
      <c r="E16" s="19">
        <v>0</v>
      </c>
      <c r="F16" s="19">
        <v>13.359999999999999</v>
      </c>
      <c r="G16" s="2">
        <v>392.56999999999999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1</v>
      </c>
      <c r="N16" s="23">
        <v>0</v>
      </c>
      <c r="O16" s="23">
        <v>0</v>
      </c>
      <c r="P16" s="23">
        <v>0</v>
      </c>
      <c r="Q16" s="23">
        <v>0</v>
      </c>
    </row>
    <row r="17" spans="1:17" ht="12.75" customHeight="1">
      <c r="A17" s="4">
        <f t="shared" si="0"/>
        <v>7</v>
      </c>
      <c r="B17">
        <v>2010</v>
      </c>
      <c r="C17">
        <v>7</v>
      </c>
      <c r="D17" s="19">
        <v>770.37</v>
      </c>
      <c r="E17" s="19">
        <v>0</v>
      </c>
      <c r="F17" s="19">
        <v>16.600000000000001</v>
      </c>
      <c r="G17" s="2">
        <v>392.29000000000002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1</v>
      </c>
      <c r="O17" s="23">
        <v>0</v>
      </c>
      <c r="P17" s="23">
        <v>0</v>
      </c>
      <c r="Q17" s="23">
        <v>0</v>
      </c>
    </row>
    <row r="18" spans="1:17" ht="12.75" customHeight="1">
      <c r="A18" s="4">
        <f t="shared" si="0"/>
        <v>8</v>
      </c>
      <c r="B18">
        <v>2010</v>
      </c>
      <c r="C18">
        <v>8</v>
      </c>
      <c r="D18" s="19">
        <v>808.13999999999999</v>
      </c>
      <c r="E18" s="19">
        <v>0</v>
      </c>
      <c r="F18" s="19">
        <v>19.210000000000001</v>
      </c>
      <c r="G18" s="2">
        <v>391.89999999999998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1</v>
      </c>
      <c r="P18" s="23">
        <v>0</v>
      </c>
      <c r="Q18" s="23">
        <v>0</v>
      </c>
    </row>
    <row r="19" spans="1:17" ht="12.75" customHeight="1">
      <c r="A19" s="4">
        <f t="shared" si="0"/>
        <v>9</v>
      </c>
      <c r="B19">
        <v>2010</v>
      </c>
      <c r="C19">
        <v>9</v>
      </c>
      <c r="D19" s="19">
        <v>800.35000000000002</v>
      </c>
      <c r="E19" s="19">
        <v>0</v>
      </c>
      <c r="F19" s="19">
        <v>17.530000000000001</v>
      </c>
      <c r="G19" s="2">
        <v>391.43000000000001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</row>
    <row r="20" spans="1:17" ht="12.75" customHeight="1">
      <c r="A20" s="4">
        <f t="shared" si="0"/>
        <v>10</v>
      </c>
      <c r="B20">
        <v>2010</v>
      </c>
      <c r="C20">
        <v>10</v>
      </c>
      <c r="D20" s="19">
        <v>682.57000000000005</v>
      </c>
      <c r="E20" s="19">
        <v>0</v>
      </c>
      <c r="F20" s="19">
        <v>8.0199999999999996</v>
      </c>
      <c r="G20" s="2">
        <v>390.88999999999999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</row>
    <row r="21" spans="1:17" ht="12.75" customHeight="1">
      <c r="A21" s="4">
        <f t="shared" si="0"/>
        <v>11</v>
      </c>
      <c r="B21">
        <v>2010</v>
      </c>
      <c r="C21">
        <v>11</v>
      </c>
      <c r="D21" s="19">
        <v>612.57000000000005</v>
      </c>
      <c r="E21" s="19">
        <v>0.19</v>
      </c>
      <c r="F21" s="19">
        <v>2.6000000000000001</v>
      </c>
      <c r="G21" s="2">
        <v>390.30000000000001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1</v>
      </c>
      <c r="Q21" s="23">
        <v>0</v>
      </c>
    </row>
    <row r="22" spans="1:17" ht="12.75" customHeight="1">
      <c r="A22" s="4">
        <f t="shared" si="0"/>
        <v>12</v>
      </c>
      <c r="B22">
        <v>2010</v>
      </c>
      <c r="C22">
        <v>12</v>
      </c>
      <c r="D22" s="19">
        <v>574.98000000000002</v>
      </c>
      <c r="E22" s="19">
        <v>2.5099999999999998</v>
      </c>
      <c r="F22" s="19">
        <v>0.78000000000000003</v>
      </c>
      <c r="G22" s="2">
        <v>389.68000000000001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1</v>
      </c>
    </row>
    <row r="23" spans="1:17" ht="12.75" customHeight="1">
      <c r="A23" s="4">
        <f t="shared" si="0"/>
        <v>13</v>
      </c>
      <c r="B23">
        <v>2011</v>
      </c>
      <c r="C23">
        <v>1</v>
      </c>
      <c r="D23" s="19">
        <v>580.16999999999996</v>
      </c>
      <c r="E23" s="19">
        <v>6.3300000000000001</v>
      </c>
      <c r="F23" s="19">
        <v>0.10000000000000001</v>
      </c>
      <c r="G23" s="2">
        <v>389.05000000000001</v>
      </c>
      <c r="H23" s="23">
        <v>1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</row>
    <row r="24" spans="1:17" ht="12.75" customHeight="1">
      <c r="A24" s="4">
        <f t="shared" si="0"/>
        <v>14</v>
      </c>
      <c r="B24">
        <v>2011</v>
      </c>
      <c r="C24">
        <v>2</v>
      </c>
      <c r="D24" s="19">
        <v>618.87</v>
      </c>
      <c r="E24" s="19">
        <v>9.3599999999999994</v>
      </c>
      <c r="F24" s="19">
        <v>0.19</v>
      </c>
      <c r="G24" s="2">
        <v>388.44</v>
      </c>
      <c r="H24" s="23">
        <v>0</v>
      </c>
      <c r="I24" s="23">
        <v>1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</row>
    <row r="25" spans="1:17" ht="12.75" customHeight="1">
      <c r="A25" s="4">
        <f t="shared" si="0"/>
        <v>15</v>
      </c>
      <c r="B25">
        <v>2011</v>
      </c>
      <c r="C25">
        <v>3</v>
      </c>
      <c r="D25" s="19">
        <v>591.80999999999995</v>
      </c>
      <c r="E25" s="19">
        <v>2.0800000000000001</v>
      </c>
      <c r="F25" s="19">
        <v>1.2</v>
      </c>
      <c r="G25" s="2">
        <v>387.86000000000001</v>
      </c>
      <c r="H25" s="23">
        <v>0</v>
      </c>
      <c r="I25" s="23">
        <v>0</v>
      </c>
      <c r="J25" s="23">
        <v>1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</row>
    <row r="26" spans="1:17" ht="12.75" customHeight="1">
      <c r="A26" s="4">
        <f t="shared" si="0"/>
        <v>16</v>
      </c>
      <c r="B26">
        <v>2011</v>
      </c>
      <c r="C26">
        <v>4</v>
      </c>
      <c r="D26" s="19">
        <v>585.13999999999999</v>
      </c>
      <c r="E26" s="19">
        <v>0.34999999999999998</v>
      </c>
      <c r="F26" s="19">
        <v>3.6800000000000002</v>
      </c>
      <c r="G26" s="2">
        <v>387.29000000000002</v>
      </c>
      <c r="H26" s="23">
        <v>0</v>
      </c>
      <c r="I26" s="23">
        <v>0</v>
      </c>
      <c r="J26" s="23">
        <v>0</v>
      </c>
      <c r="K26" s="23">
        <v>1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</row>
    <row r="27" spans="1:17" ht="12.75" customHeight="1">
      <c r="A27" s="4">
        <f t="shared" si="0"/>
        <v>17</v>
      </c>
      <c r="B27">
        <v>2011</v>
      </c>
      <c r="C27">
        <v>5</v>
      </c>
      <c r="D27" s="19">
        <v>626.00999999999999</v>
      </c>
      <c r="E27" s="19">
        <v>0.080000000000000002</v>
      </c>
      <c r="F27" s="19">
        <v>5.6600000000000001</v>
      </c>
      <c r="G27" s="2">
        <v>386.79000000000002</v>
      </c>
      <c r="H27" s="23">
        <v>0</v>
      </c>
      <c r="I27" s="23">
        <v>0</v>
      </c>
      <c r="J27" s="23">
        <v>0</v>
      </c>
      <c r="K27" s="23">
        <v>0</v>
      </c>
      <c r="L27" s="23">
        <v>1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</row>
    <row r="28" spans="1:17" ht="12.75" customHeight="1">
      <c r="A28" s="4">
        <f t="shared" si="0"/>
        <v>18</v>
      </c>
      <c r="B28">
        <v>2011</v>
      </c>
      <c r="C28">
        <v>6</v>
      </c>
      <c r="D28" s="19">
        <v>717.00999999999999</v>
      </c>
      <c r="E28" s="19">
        <v>0</v>
      </c>
      <c r="F28" s="19">
        <v>14.02</v>
      </c>
      <c r="G28" s="2">
        <v>386.37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1</v>
      </c>
      <c r="N28" s="23">
        <v>0</v>
      </c>
      <c r="O28" s="23">
        <v>0</v>
      </c>
      <c r="P28" s="23">
        <v>0</v>
      </c>
      <c r="Q28" s="23">
        <v>0</v>
      </c>
    </row>
    <row r="29" spans="1:17" ht="12.75" customHeight="1">
      <c r="A29" s="4">
        <f t="shared" si="0"/>
        <v>19</v>
      </c>
      <c r="B29">
        <v>2011</v>
      </c>
      <c r="C29">
        <v>7</v>
      </c>
      <c r="D29" s="19">
        <v>791.72000000000003</v>
      </c>
      <c r="E29" s="19">
        <v>0</v>
      </c>
      <c r="F29" s="19">
        <v>21.100000000000001</v>
      </c>
      <c r="G29" s="2">
        <v>386.04000000000002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1</v>
      </c>
      <c r="O29" s="23">
        <v>0</v>
      </c>
      <c r="P29" s="23">
        <v>0</v>
      </c>
      <c r="Q29" s="23">
        <v>0</v>
      </c>
    </row>
    <row r="30" spans="1:17" ht="12.75" customHeight="1">
      <c r="A30" s="4">
        <f t="shared" si="0"/>
        <v>20</v>
      </c>
      <c r="B30">
        <v>2011</v>
      </c>
      <c r="C30">
        <v>8</v>
      </c>
      <c r="D30" s="19">
        <v>841.79999999999995</v>
      </c>
      <c r="E30" s="19">
        <v>0</v>
      </c>
      <c r="F30" s="19">
        <v>24.300000000000001</v>
      </c>
      <c r="G30" s="2">
        <v>385.80000000000001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1</v>
      </c>
      <c r="P30" s="23">
        <v>0</v>
      </c>
      <c r="Q30" s="23">
        <v>0</v>
      </c>
    </row>
    <row r="31" spans="1:17" ht="12.75" customHeight="1">
      <c r="A31" s="4">
        <f t="shared" si="0"/>
        <v>21</v>
      </c>
      <c r="B31">
        <v>2011</v>
      </c>
      <c r="C31">
        <v>9</v>
      </c>
      <c r="D31" s="19">
        <v>792.05999999999995</v>
      </c>
      <c r="E31" s="19">
        <v>0</v>
      </c>
      <c r="F31" s="19">
        <v>19.75</v>
      </c>
      <c r="G31" s="2">
        <v>385.64999999999998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</row>
    <row r="32" spans="1:17" ht="12.75" customHeight="1">
      <c r="A32" s="4">
        <f t="shared" si="0"/>
        <v>22</v>
      </c>
      <c r="B32">
        <v>2011</v>
      </c>
      <c r="C32">
        <v>10</v>
      </c>
      <c r="D32" s="19">
        <v>670.09000000000003</v>
      </c>
      <c r="E32" s="19">
        <v>0</v>
      </c>
      <c r="F32" s="19">
        <v>8.6799999999999997</v>
      </c>
      <c r="G32" s="2">
        <v>385.58999999999998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</row>
    <row r="33" spans="1:17" ht="12.75" customHeight="1">
      <c r="A33" s="4">
        <f t="shared" si="0"/>
        <v>23</v>
      </c>
      <c r="B33">
        <v>2011</v>
      </c>
      <c r="C33">
        <v>11</v>
      </c>
      <c r="D33" s="19">
        <v>589.63999999999999</v>
      </c>
      <c r="E33" s="19">
        <v>0.39000000000000001</v>
      </c>
      <c r="F33" s="19">
        <v>2.5</v>
      </c>
      <c r="G33" s="2">
        <v>385.58999999999998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1</v>
      </c>
      <c r="Q33" s="23">
        <v>0</v>
      </c>
    </row>
    <row r="34" spans="1:17" ht="12.75" customHeight="1">
      <c r="A34" s="4">
        <f t="shared" si="0"/>
        <v>24</v>
      </c>
      <c r="B34">
        <v>2011</v>
      </c>
      <c r="C34">
        <v>12</v>
      </c>
      <c r="D34" s="19">
        <v>566.55999999999995</v>
      </c>
      <c r="E34" s="19">
        <v>3.29</v>
      </c>
      <c r="F34" s="19">
        <v>0.55000000000000004</v>
      </c>
      <c r="G34" s="2">
        <v>385.64999999999998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1</v>
      </c>
    </row>
    <row r="35" spans="1:17" ht="12.75" customHeight="1">
      <c r="A35" s="4">
        <f t="shared" si="0"/>
        <v>25</v>
      </c>
      <c r="B35">
        <v>2012</v>
      </c>
      <c r="C35">
        <v>1</v>
      </c>
      <c r="D35" s="19">
        <v>556.89999999999998</v>
      </c>
      <c r="E35" s="19">
        <v>4.1399999999999997</v>
      </c>
      <c r="F35" s="19">
        <v>0.050000000000000003</v>
      </c>
      <c r="G35" s="2">
        <v>385.75</v>
      </c>
      <c r="H35" s="23">
        <v>1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</row>
    <row r="36" spans="1:17" ht="12.75" customHeight="1">
      <c r="A36" s="4">
        <f t="shared" si="0"/>
        <v>26</v>
      </c>
      <c r="B36">
        <v>2012</v>
      </c>
      <c r="C36">
        <v>2</v>
      </c>
      <c r="D36" s="19">
        <v>575.41999999999996</v>
      </c>
      <c r="E36" s="19">
        <v>3.2999999999999998</v>
      </c>
      <c r="F36" s="19">
        <v>0.17000000000000001</v>
      </c>
      <c r="G36" s="2">
        <v>385.88</v>
      </c>
      <c r="H36" s="23">
        <v>0</v>
      </c>
      <c r="I36" s="23">
        <v>1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</row>
    <row r="37" spans="1:17" ht="12.75" customHeight="1">
      <c r="A37" s="4">
        <f t="shared" si="0"/>
        <v>27</v>
      </c>
      <c r="B37">
        <v>2012</v>
      </c>
      <c r="C37">
        <v>3</v>
      </c>
      <c r="D37" s="19">
        <v>568.65999999999997</v>
      </c>
      <c r="E37" s="19">
        <v>1.48</v>
      </c>
      <c r="F37" s="19">
        <v>0.95999999999999996</v>
      </c>
      <c r="G37" s="2">
        <v>386.02999999999997</v>
      </c>
      <c r="H37" s="23">
        <v>0</v>
      </c>
      <c r="I37" s="23">
        <v>0</v>
      </c>
      <c r="J37" s="23">
        <v>1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</row>
    <row r="38" spans="1:17" ht="12.75" customHeight="1">
      <c r="A38" s="4">
        <f t="shared" si="0"/>
        <v>28</v>
      </c>
      <c r="B38">
        <v>2012</v>
      </c>
      <c r="C38">
        <v>4</v>
      </c>
      <c r="D38" s="19">
        <v>595.21000000000004</v>
      </c>
      <c r="E38" s="19">
        <v>0.11</v>
      </c>
      <c r="F38" s="19">
        <v>3.1899999999999999</v>
      </c>
      <c r="G38" s="2">
        <v>386.19999999999999</v>
      </c>
      <c r="H38" s="23">
        <v>0</v>
      </c>
      <c r="I38" s="23">
        <v>0</v>
      </c>
      <c r="J38" s="23">
        <v>0</v>
      </c>
      <c r="K38" s="23">
        <v>1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</row>
    <row r="39" spans="1:17" ht="12.75" customHeight="1">
      <c r="A39" s="4">
        <f t="shared" si="0"/>
        <v>29</v>
      </c>
      <c r="B39">
        <v>2012</v>
      </c>
      <c r="C39">
        <v>5</v>
      </c>
      <c r="D39" s="19">
        <v>650.23000000000002</v>
      </c>
      <c r="E39" s="19">
        <v>0</v>
      </c>
      <c r="F39" s="19">
        <v>7.0800000000000001</v>
      </c>
      <c r="G39" s="2">
        <v>386.37</v>
      </c>
      <c r="H39" s="23">
        <v>0</v>
      </c>
      <c r="I39" s="23">
        <v>0</v>
      </c>
      <c r="J39" s="23">
        <v>0</v>
      </c>
      <c r="K39" s="23">
        <v>0</v>
      </c>
      <c r="L39" s="23">
        <v>1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</row>
    <row r="40" spans="1:17" ht="12.75" customHeight="1">
      <c r="A40" s="4">
        <f t="shared" si="0"/>
        <v>30</v>
      </c>
      <c r="B40">
        <v>2012</v>
      </c>
      <c r="C40">
        <v>6</v>
      </c>
      <c r="D40" s="19">
        <v>700.59000000000003</v>
      </c>
      <c r="E40" s="19">
        <v>0</v>
      </c>
      <c r="F40" s="19">
        <v>12.33</v>
      </c>
      <c r="G40" s="2">
        <v>386.51999999999998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1</v>
      </c>
      <c r="N40" s="23">
        <v>0</v>
      </c>
      <c r="O40" s="23">
        <v>0</v>
      </c>
      <c r="P40" s="23">
        <v>0</v>
      </c>
      <c r="Q40" s="23">
        <v>0</v>
      </c>
    </row>
    <row r="41" spans="1:17" ht="12.75" customHeight="1">
      <c r="A41" s="4">
        <f t="shared" si="0"/>
        <v>31</v>
      </c>
      <c r="B41">
        <v>2012</v>
      </c>
      <c r="C41">
        <v>7</v>
      </c>
      <c r="D41" s="19">
        <v>750.33000000000004</v>
      </c>
      <c r="E41" s="19">
        <v>0</v>
      </c>
      <c r="F41" s="19">
        <v>17.260000000000002</v>
      </c>
      <c r="G41" s="2">
        <v>386.66000000000002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1</v>
      </c>
      <c r="O41" s="23">
        <v>0</v>
      </c>
      <c r="P41" s="23">
        <v>0</v>
      </c>
      <c r="Q41" s="23">
        <v>0</v>
      </c>
    </row>
    <row r="42" spans="1:17" ht="12.75" customHeight="1">
      <c r="A42" s="4">
        <f t="shared" si="0"/>
        <v>32</v>
      </c>
      <c r="B42">
        <v>2012</v>
      </c>
      <c r="C42">
        <v>8</v>
      </c>
      <c r="D42" s="19">
        <v>789.96000000000004</v>
      </c>
      <c r="E42" s="19">
        <v>0</v>
      </c>
      <c r="F42" s="19">
        <v>20.07</v>
      </c>
      <c r="G42" s="2">
        <v>386.77999999999997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1</v>
      </c>
      <c r="P42" s="23">
        <v>0</v>
      </c>
      <c r="Q42" s="23">
        <v>0</v>
      </c>
    </row>
    <row r="43" spans="1:17" ht="12.75" customHeight="1">
      <c r="A43" s="4">
        <f t="shared" si="0"/>
        <v>33</v>
      </c>
      <c r="B43">
        <v>2012</v>
      </c>
      <c r="C43">
        <v>9</v>
      </c>
      <c r="D43" s="19">
        <v>749.13</v>
      </c>
      <c r="E43" s="19">
        <v>0</v>
      </c>
      <c r="F43" s="19">
        <v>15.4</v>
      </c>
      <c r="G43" s="2">
        <v>386.87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</row>
    <row r="44" spans="1:17" ht="12.75" customHeight="1">
      <c r="A44" s="4">
        <f t="shared" si="0"/>
        <v>34</v>
      </c>
      <c r="B44">
        <v>2012</v>
      </c>
      <c r="C44">
        <v>10</v>
      </c>
      <c r="D44" s="19">
        <v>667.03999999999996</v>
      </c>
      <c r="E44" s="19">
        <v>0.089999999999999997</v>
      </c>
      <c r="F44" s="19">
        <v>7.8300000000000001</v>
      </c>
      <c r="G44" s="2">
        <v>386.94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</row>
    <row r="45" spans="1:17" ht="12.75" customHeight="1">
      <c r="A45" s="4">
        <f t="shared" si="0"/>
        <v>35</v>
      </c>
      <c r="B45">
        <v>2012</v>
      </c>
      <c r="C45">
        <v>11</v>
      </c>
      <c r="D45" s="19">
        <v>601.82000000000005</v>
      </c>
      <c r="E45" s="19">
        <v>0.51000000000000001</v>
      </c>
      <c r="F45" s="19">
        <v>2.9399999999999999</v>
      </c>
      <c r="G45" s="2">
        <v>386.98000000000002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1</v>
      </c>
      <c r="Q45" s="23">
        <v>0</v>
      </c>
    </row>
    <row r="46" spans="1:17" ht="12.75" customHeight="1">
      <c r="A46" s="4">
        <f t="shared" si="0"/>
        <v>36</v>
      </c>
      <c r="B46">
        <v>2012</v>
      </c>
      <c r="C46">
        <v>12</v>
      </c>
      <c r="D46" s="19">
        <v>563.99000000000001</v>
      </c>
      <c r="E46" s="19">
        <v>1.48</v>
      </c>
      <c r="F46" s="19">
        <v>0.93999999999999995</v>
      </c>
      <c r="G46" s="2">
        <v>387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1</v>
      </c>
    </row>
    <row r="47" spans="1:17" ht="12.75" customHeight="1">
      <c r="A47" s="4">
        <f t="shared" si="0"/>
        <v>37</v>
      </c>
      <c r="B47">
        <v>2013</v>
      </c>
      <c r="C47">
        <v>1</v>
      </c>
      <c r="D47" s="19">
        <v>573.76999999999998</v>
      </c>
      <c r="E47" s="19">
        <v>6.4100000000000001</v>
      </c>
      <c r="F47" s="19">
        <v>0.17999999999999999</v>
      </c>
      <c r="G47" s="2">
        <v>387.00999999999999</v>
      </c>
      <c r="H47" s="23">
        <v>1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</row>
    <row r="48" spans="1:17" ht="12.75" customHeight="1">
      <c r="A48" s="4">
        <f t="shared" si="0"/>
        <v>38</v>
      </c>
      <c r="B48">
        <v>2013</v>
      </c>
      <c r="C48">
        <v>2</v>
      </c>
      <c r="D48" s="19">
        <v>574.00999999999999</v>
      </c>
      <c r="E48" s="19">
        <v>2.9300000000000002</v>
      </c>
      <c r="F48" s="19">
        <v>0.33000000000000002</v>
      </c>
      <c r="G48" s="2">
        <v>386.99000000000001</v>
      </c>
      <c r="H48" s="23">
        <v>0</v>
      </c>
      <c r="I48" s="23">
        <v>1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</row>
    <row r="49" spans="1:17" ht="12.75" customHeight="1">
      <c r="A49" s="4">
        <f t="shared" si="0"/>
        <v>39</v>
      </c>
      <c r="B49">
        <v>2013</v>
      </c>
      <c r="C49">
        <v>3</v>
      </c>
      <c r="D49" s="19">
        <v>565.00999999999999</v>
      </c>
      <c r="E49" s="19">
        <v>2.4300000000000002</v>
      </c>
      <c r="F49" s="19">
        <v>0.28999999999999998</v>
      </c>
      <c r="G49" s="2">
        <v>386.95999999999998</v>
      </c>
      <c r="H49" s="23">
        <v>0</v>
      </c>
      <c r="I49" s="23">
        <v>0</v>
      </c>
      <c r="J49" s="23">
        <v>1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</row>
    <row r="50" spans="1:17" ht="12.75" customHeight="1">
      <c r="A50" s="4">
        <f t="shared" si="0"/>
        <v>40</v>
      </c>
      <c r="B50">
        <v>2013</v>
      </c>
      <c r="C50">
        <v>4</v>
      </c>
      <c r="D50" s="19">
        <v>566.73000000000002</v>
      </c>
      <c r="E50" s="19">
        <v>1.0600000000000001</v>
      </c>
      <c r="F50" s="19">
        <v>1.3899999999999999</v>
      </c>
      <c r="G50" s="2">
        <v>386.91000000000002</v>
      </c>
      <c r="H50" s="23">
        <v>0</v>
      </c>
      <c r="I50" s="23">
        <v>0</v>
      </c>
      <c r="J50" s="23">
        <v>0</v>
      </c>
      <c r="K50" s="23">
        <v>1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</row>
    <row r="51" spans="1:17" ht="12.75" customHeight="1">
      <c r="A51" s="4">
        <f t="shared" si="0"/>
        <v>41</v>
      </c>
      <c r="B51">
        <v>2013</v>
      </c>
      <c r="C51">
        <v>5</v>
      </c>
      <c r="D51" s="19">
        <v>599.58000000000004</v>
      </c>
      <c r="E51" s="19">
        <v>0.34000000000000002</v>
      </c>
      <c r="F51" s="19">
        <v>3.46</v>
      </c>
      <c r="G51" s="2">
        <v>386.85000000000002</v>
      </c>
      <c r="H51" s="23">
        <v>0</v>
      </c>
      <c r="I51" s="23">
        <v>0</v>
      </c>
      <c r="J51" s="23">
        <v>0</v>
      </c>
      <c r="K51" s="23">
        <v>0</v>
      </c>
      <c r="L51" s="23">
        <v>1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</row>
    <row r="52" spans="1:17" ht="12.75" customHeight="1">
      <c r="A52" s="4">
        <f t="shared" si="0"/>
        <v>42</v>
      </c>
      <c r="B52">
        <v>2013</v>
      </c>
      <c r="C52">
        <v>6</v>
      </c>
      <c r="D52" s="19">
        <v>679.92999999999995</v>
      </c>
      <c r="E52" s="19">
        <v>0.01</v>
      </c>
      <c r="F52" s="19">
        <v>10.27</v>
      </c>
      <c r="G52" s="2">
        <v>386.76999999999998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1</v>
      </c>
      <c r="N52" s="23">
        <v>0</v>
      </c>
      <c r="O52" s="23">
        <v>0</v>
      </c>
      <c r="P52" s="23">
        <v>0</v>
      </c>
      <c r="Q52" s="23">
        <v>0</v>
      </c>
    </row>
    <row r="53" spans="1:17" ht="12.75" customHeight="1">
      <c r="A53" s="4">
        <f t="shared" si="0"/>
        <v>43</v>
      </c>
      <c r="B53">
        <v>2013</v>
      </c>
      <c r="C53">
        <v>7</v>
      </c>
      <c r="D53" s="19">
        <v>735.12</v>
      </c>
      <c r="E53" s="19">
        <v>0</v>
      </c>
      <c r="F53" s="19">
        <v>16</v>
      </c>
      <c r="G53" s="2">
        <v>386.69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1</v>
      </c>
      <c r="O53" s="23">
        <v>0</v>
      </c>
      <c r="P53" s="23">
        <v>0</v>
      </c>
      <c r="Q53" s="23">
        <v>0</v>
      </c>
    </row>
    <row r="54" spans="1:17" ht="12.75" customHeight="1">
      <c r="A54" s="4">
        <f t="shared" si="0"/>
        <v>44</v>
      </c>
      <c r="B54">
        <v>2013</v>
      </c>
      <c r="C54">
        <v>8</v>
      </c>
      <c r="D54" s="19">
        <v>772.16999999999996</v>
      </c>
      <c r="E54" s="19">
        <v>0</v>
      </c>
      <c r="F54" s="19">
        <v>17.739999999999998</v>
      </c>
      <c r="G54" s="2">
        <v>386.57999999999998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1</v>
      </c>
      <c r="P54" s="23">
        <v>0</v>
      </c>
      <c r="Q54" s="23">
        <v>0</v>
      </c>
    </row>
    <row r="55" spans="1:17" ht="12.75" customHeight="1">
      <c r="A55" s="4">
        <f t="shared" si="0"/>
        <v>45</v>
      </c>
      <c r="B55">
        <v>2013</v>
      </c>
      <c r="C55">
        <v>9</v>
      </c>
      <c r="D55" s="19">
        <v>780.48000000000002</v>
      </c>
      <c r="E55" s="19">
        <v>0</v>
      </c>
      <c r="F55" s="19">
        <v>17.510000000000002</v>
      </c>
      <c r="G55" s="2">
        <v>386.47000000000003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</row>
    <row r="56" spans="1:17" ht="12.75" customHeight="1">
      <c r="A56" s="4">
        <f t="shared" si="0"/>
        <v>46</v>
      </c>
      <c r="B56">
        <v>2013</v>
      </c>
      <c r="C56">
        <v>10</v>
      </c>
      <c r="D56" s="19">
        <v>702.63</v>
      </c>
      <c r="E56" s="19">
        <v>0.01</v>
      </c>
      <c r="F56" s="19">
        <v>9.8900000000000006</v>
      </c>
      <c r="G56" s="2">
        <v>386.36000000000001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</row>
    <row r="57" spans="1:17" ht="12.75" customHeight="1">
      <c r="A57" s="4">
        <f t="shared" si="0"/>
        <v>47</v>
      </c>
      <c r="B57">
        <v>2013</v>
      </c>
      <c r="C57">
        <v>11</v>
      </c>
      <c r="D57" s="19">
        <v>594.63999999999999</v>
      </c>
      <c r="E57" s="19">
        <v>0.33000000000000002</v>
      </c>
      <c r="F57" s="19">
        <v>2.04</v>
      </c>
      <c r="G57" s="2">
        <v>386.23000000000002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1</v>
      </c>
      <c r="Q57" s="23">
        <v>0</v>
      </c>
    </row>
    <row r="58" spans="1:17" ht="12.75" customHeight="1">
      <c r="A58" s="4">
        <f t="shared" si="0"/>
        <v>48</v>
      </c>
      <c r="B58">
        <v>2013</v>
      </c>
      <c r="C58">
        <v>12</v>
      </c>
      <c r="D58" s="19">
        <v>593.91999999999996</v>
      </c>
      <c r="E58" s="19">
        <v>6.2699999999999996</v>
      </c>
      <c r="F58" s="19">
        <v>0.42999999999999999</v>
      </c>
      <c r="G58" s="2">
        <v>386.10000000000002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1</v>
      </c>
    </row>
    <row r="59" spans="1:17" ht="12.75" customHeight="1">
      <c r="A59" s="4">
        <f t="shared" si="0"/>
        <v>49</v>
      </c>
      <c r="B59">
        <v>2014</v>
      </c>
      <c r="C59">
        <v>1</v>
      </c>
      <c r="D59" s="19">
        <v>607.15999999999997</v>
      </c>
      <c r="E59" s="19">
        <v>8.1199999999999992</v>
      </c>
      <c r="F59" s="19">
        <v>0.029999999999999999</v>
      </c>
      <c r="G59" s="2">
        <v>385.94999999999999</v>
      </c>
      <c r="H59" s="23">
        <v>1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</row>
    <row r="60" spans="1:17" ht="12.75" customHeight="1">
      <c r="A60" s="4">
        <f t="shared" si="0"/>
        <v>50</v>
      </c>
      <c r="B60">
        <v>2014</v>
      </c>
      <c r="C60">
        <v>2</v>
      </c>
      <c r="D60" s="19">
        <v>629.76999999999998</v>
      </c>
      <c r="E60" s="19">
        <v>8.3599999999999994</v>
      </c>
      <c r="F60" s="19">
        <v>0.059999999999999998</v>
      </c>
      <c r="G60" s="2">
        <v>385.81</v>
      </c>
      <c r="H60" s="23">
        <v>0</v>
      </c>
      <c r="I60" s="23">
        <v>1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</row>
    <row r="61" spans="1:17" ht="12.75" customHeight="1">
      <c r="A61" s="4">
        <f t="shared" si="0"/>
        <v>51</v>
      </c>
      <c r="B61">
        <v>2014</v>
      </c>
      <c r="C61">
        <v>3</v>
      </c>
      <c r="D61" s="19">
        <v>604.46000000000004</v>
      </c>
      <c r="E61" s="19">
        <v>5.2300000000000004</v>
      </c>
      <c r="F61" s="19">
        <v>0.26000000000000001</v>
      </c>
      <c r="G61" s="2">
        <v>385.67000000000002</v>
      </c>
      <c r="H61" s="23">
        <v>0</v>
      </c>
      <c r="I61" s="23">
        <v>0</v>
      </c>
      <c r="J61" s="23">
        <v>1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</row>
    <row r="62" spans="1:17" ht="12.75" customHeight="1">
      <c r="A62" s="4">
        <f t="shared" si="0"/>
        <v>52</v>
      </c>
      <c r="B62">
        <v>2014</v>
      </c>
      <c r="C62">
        <v>4</v>
      </c>
      <c r="D62" s="19">
        <v>588.75</v>
      </c>
      <c r="E62" s="19">
        <v>0.94999999999999996</v>
      </c>
      <c r="F62" s="19">
        <v>1.55</v>
      </c>
      <c r="G62" s="2">
        <v>385.50999999999999</v>
      </c>
      <c r="H62" s="23">
        <v>0</v>
      </c>
      <c r="I62" s="23">
        <v>0</v>
      </c>
      <c r="J62" s="23">
        <v>0</v>
      </c>
      <c r="K62" s="23">
        <v>1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</row>
    <row r="63" spans="1:17" ht="12.75" customHeight="1">
      <c r="A63" s="4">
        <f t="shared" si="0"/>
        <v>53</v>
      </c>
      <c r="B63">
        <v>2014</v>
      </c>
      <c r="C63">
        <v>5</v>
      </c>
      <c r="D63" s="19">
        <v>621.95000000000005</v>
      </c>
      <c r="E63" s="19">
        <v>0.12</v>
      </c>
      <c r="F63" s="19">
        <v>4.9000000000000004</v>
      </c>
      <c r="G63" s="2">
        <v>385.36000000000001</v>
      </c>
      <c r="H63" s="23">
        <v>0</v>
      </c>
      <c r="I63" s="23">
        <v>0</v>
      </c>
      <c r="J63" s="23">
        <v>0</v>
      </c>
      <c r="K63" s="23">
        <v>0</v>
      </c>
      <c r="L63" s="23">
        <v>1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</row>
    <row r="64" spans="1:17" ht="12.75" customHeight="1">
      <c r="A64" s="4">
        <f t="shared" si="0"/>
        <v>54</v>
      </c>
      <c r="B64">
        <v>2014</v>
      </c>
      <c r="C64">
        <v>6</v>
      </c>
      <c r="D64" s="19">
        <v>685.55999999999995</v>
      </c>
      <c r="E64" s="19">
        <v>0</v>
      </c>
      <c r="F64" s="19">
        <v>10.23</v>
      </c>
      <c r="G64" s="2">
        <v>385.19999999999999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1</v>
      </c>
      <c r="N64" s="23">
        <v>0</v>
      </c>
      <c r="O64" s="23">
        <v>0</v>
      </c>
      <c r="P64" s="23">
        <v>0</v>
      </c>
      <c r="Q64" s="23">
        <v>0</v>
      </c>
    </row>
    <row r="65" spans="1:17" ht="12.75" customHeight="1">
      <c r="A65" s="4">
        <f t="shared" si="0"/>
        <v>55</v>
      </c>
      <c r="B65">
        <v>2014</v>
      </c>
      <c r="C65">
        <v>7</v>
      </c>
      <c r="D65" s="19">
        <v>737.53999999999996</v>
      </c>
      <c r="E65" s="19">
        <v>0</v>
      </c>
      <c r="F65" s="19">
        <v>14.73</v>
      </c>
      <c r="G65" s="2">
        <v>385.04000000000002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1</v>
      </c>
      <c r="O65" s="23">
        <v>0</v>
      </c>
      <c r="P65" s="23">
        <v>0</v>
      </c>
      <c r="Q65" s="23">
        <v>0</v>
      </c>
    </row>
    <row r="66" spans="1:17" ht="12.75" customHeight="1">
      <c r="A66" s="4">
        <f t="shared" si="0"/>
        <v>56</v>
      </c>
      <c r="B66">
        <v>2014</v>
      </c>
      <c r="C66">
        <v>8</v>
      </c>
      <c r="D66" s="19">
        <v>763.90999999999997</v>
      </c>
      <c r="E66" s="19">
        <v>0</v>
      </c>
      <c r="F66" s="19">
        <v>15.949999999999999</v>
      </c>
      <c r="G66" s="2">
        <v>384.88999999999999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1</v>
      </c>
      <c r="P66" s="23">
        <v>0</v>
      </c>
      <c r="Q66" s="23">
        <v>0</v>
      </c>
    </row>
    <row r="67" spans="1:17" ht="12.75" customHeight="1">
      <c r="A67" s="4">
        <f t="shared" si="0"/>
        <v>57</v>
      </c>
      <c r="B67">
        <v>2014</v>
      </c>
      <c r="C67">
        <v>9</v>
      </c>
      <c r="D67" s="19">
        <v>783.46000000000004</v>
      </c>
      <c r="E67" s="19">
        <v>0</v>
      </c>
      <c r="F67" s="19">
        <v>16.390000000000001</v>
      </c>
      <c r="G67" s="2">
        <v>384.73000000000002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</row>
    <row r="68" spans="1:17" ht="12.75" customHeight="1">
      <c r="A68" s="4">
        <f t="shared" si="0"/>
        <v>58</v>
      </c>
      <c r="B68">
        <v>2014</v>
      </c>
      <c r="C68">
        <v>10</v>
      </c>
      <c r="D68" s="19">
        <v>703.08000000000004</v>
      </c>
      <c r="E68" s="19">
        <v>0</v>
      </c>
      <c r="F68" s="19">
        <v>9</v>
      </c>
      <c r="G68" s="2">
        <v>384.57999999999998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</row>
    <row r="69" spans="1:17" ht="12.75" customHeight="1">
      <c r="A69" s="4">
        <f t="shared" si="0"/>
        <v>59</v>
      </c>
      <c r="B69">
        <v>2014</v>
      </c>
      <c r="C69">
        <v>11</v>
      </c>
      <c r="D69" s="19">
        <v>631.19000000000005</v>
      </c>
      <c r="E69" s="19">
        <v>1.29</v>
      </c>
      <c r="F69" s="19">
        <v>3.0699999999999998</v>
      </c>
      <c r="G69" s="2">
        <v>384.44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1</v>
      </c>
      <c r="Q69" s="23">
        <v>0</v>
      </c>
    </row>
    <row r="70" spans="1:17" ht="12.75" customHeight="1">
      <c r="A70" s="4">
        <f t="shared" si="0"/>
        <v>60</v>
      </c>
      <c r="B70">
        <v>2014</v>
      </c>
      <c r="C70">
        <v>12</v>
      </c>
      <c r="D70" s="19">
        <v>592.98000000000002</v>
      </c>
      <c r="E70" s="19">
        <v>3.6899999999999999</v>
      </c>
      <c r="F70" s="19">
        <v>0.25</v>
      </c>
      <c r="G70" s="2">
        <v>384.30000000000001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1</v>
      </c>
    </row>
    <row r="71" spans="1:17" ht="12.75" customHeight="1">
      <c r="A71" s="4">
        <f t="shared" si="0"/>
        <v>61</v>
      </c>
      <c r="B71">
        <v>2015</v>
      </c>
      <c r="C71">
        <v>1</v>
      </c>
      <c r="D71" s="19">
        <v>601.78999999999996</v>
      </c>
      <c r="E71" s="19">
        <v>6.6500000000000004</v>
      </c>
      <c r="F71" s="19">
        <v>0.070000000000000007</v>
      </c>
      <c r="G71" s="2">
        <v>384.16000000000002</v>
      </c>
      <c r="H71" s="23">
        <v>1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</row>
    <row r="72" spans="1:17" ht="12.75" customHeight="1">
      <c r="A72" s="4">
        <f t="shared" si="0"/>
        <v>62</v>
      </c>
      <c r="B72">
        <v>2015</v>
      </c>
      <c r="C72">
        <v>2</v>
      </c>
      <c r="D72" s="19">
        <v>615.52999999999997</v>
      </c>
      <c r="E72" s="19">
        <v>5.5499999999999998</v>
      </c>
      <c r="F72" s="19">
        <v>0.040000000000000001</v>
      </c>
      <c r="G72" s="2">
        <v>384.04000000000002</v>
      </c>
      <c r="H72" s="23">
        <v>0</v>
      </c>
      <c r="I72" s="23">
        <v>1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</row>
    <row r="73" spans="1:17" ht="12.75" customHeight="1">
      <c r="A73" s="4">
        <f t="shared" si="0"/>
        <v>63</v>
      </c>
      <c r="B73">
        <v>2015</v>
      </c>
      <c r="C73">
        <v>3</v>
      </c>
      <c r="D73" s="19">
        <v>620.16999999999996</v>
      </c>
      <c r="E73" s="19">
        <v>7.21</v>
      </c>
      <c r="F73" s="19">
        <v>0.11</v>
      </c>
      <c r="G73" s="2">
        <v>383.93000000000001</v>
      </c>
      <c r="H73" s="23">
        <v>0</v>
      </c>
      <c r="I73" s="23">
        <v>0</v>
      </c>
      <c r="J73" s="23">
        <v>1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</row>
    <row r="74" spans="1:17" ht="12.75" customHeight="1">
      <c r="A74" s="4">
        <f t="shared" si="0"/>
        <v>64</v>
      </c>
      <c r="B74">
        <v>2015</v>
      </c>
      <c r="C74">
        <v>4</v>
      </c>
      <c r="D74" s="19">
        <v>604.58000000000004</v>
      </c>
      <c r="E74" s="19">
        <v>0.78000000000000003</v>
      </c>
      <c r="F74" s="19">
        <v>1.8600000000000001</v>
      </c>
      <c r="G74" s="2">
        <v>383.82999999999998</v>
      </c>
      <c r="H74" s="23">
        <v>0</v>
      </c>
      <c r="I74" s="23">
        <v>0</v>
      </c>
      <c r="J74" s="23">
        <v>0</v>
      </c>
      <c r="K74" s="23">
        <v>1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</row>
    <row r="75" spans="1:17" ht="12.75" customHeight="1">
      <c r="A75" s="4">
        <f t="shared" si="0"/>
        <v>65</v>
      </c>
      <c r="B75">
        <v>2015</v>
      </c>
      <c r="C75">
        <v>5</v>
      </c>
      <c r="D75" s="19">
        <v>627.35000000000002</v>
      </c>
      <c r="E75" s="19">
        <v>0.02</v>
      </c>
      <c r="F75" s="19">
        <v>3.25</v>
      </c>
      <c r="G75" s="2">
        <v>383.74000000000001</v>
      </c>
      <c r="H75" s="23">
        <v>0</v>
      </c>
      <c r="I75" s="23">
        <v>0</v>
      </c>
      <c r="J75" s="23">
        <v>0</v>
      </c>
      <c r="K75" s="23">
        <v>0</v>
      </c>
      <c r="L75" s="23">
        <v>1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</row>
    <row r="76" spans="1:17" ht="12.75" customHeight="1">
      <c r="A76" s="4">
        <f t="shared" si="1" ref="A76:A123">+A75+1</f>
        <v>66</v>
      </c>
      <c r="B76">
        <v>2015</v>
      </c>
      <c r="C76">
        <v>6</v>
      </c>
      <c r="D76" s="19">
        <v>681.13</v>
      </c>
      <c r="E76" s="19">
        <v>0</v>
      </c>
      <c r="F76" s="19">
        <v>7.46</v>
      </c>
      <c r="G76" s="2">
        <v>383.67000000000002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M76" s="23">
        <v>1</v>
      </c>
      <c r="N76" s="23">
        <v>0</v>
      </c>
      <c r="O76" s="23">
        <v>0</v>
      </c>
      <c r="P76" s="23">
        <v>0</v>
      </c>
      <c r="Q76" s="23">
        <v>0</v>
      </c>
    </row>
    <row r="77" spans="1:17" ht="12.75" customHeight="1">
      <c r="A77" s="4">
        <f t="shared" si="1"/>
        <v>67</v>
      </c>
      <c r="B77">
        <v>2015</v>
      </c>
      <c r="C77">
        <v>7</v>
      </c>
      <c r="D77" s="19">
        <v>766.69000000000005</v>
      </c>
      <c r="E77" s="19">
        <v>0</v>
      </c>
      <c r="F77" s="19">
        <v>15.380000000000001</v>
      </c>
      <c r="G77" s="2">
        <v>383.61000000000001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1</v>
      </c>
      <c r="O77" s="23">
        <v>0</v>
      </c>
      <c r="P77" s="23">
        <v>0</v>
      </c>
      <c r="Q77" s="23">
        <v>0</v>
      </c>
    </row>
    <row r="78" spans="1:17" ht="12.75" customHeight="1">
      <c r="A78" s="4">
        <f t="shared" si="1"/>
        <v>68</v>
      </c>
      <c r="B78">
        <v>2015</v>
      </c>
      <c r="C78">
        <v>8</v>
      </c>
      <c r="D78" s="19">
        <v>828.77999999999997</v>
      </c>
      <c r="E78" s="19">
        <v>0</v>
      </c>
      <c r="F78" s="19">
        <v>20.030000000000001</v>
      </c>
      <c r="G78" s="2">
        <v>383.56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1</v>
      </c>
      <c r="P78" s="23">
        <v>0</v>
      </c>
      <c r="Q78" s="23">
        <v>0</v>
      </c>
    </row>
    <row r="79" spans="1:17" ht="12.75" customHeight="1">
      <c r="A79" s="4">
        <f t="shared" si="1"/>
        <v>69</v>
      </c>
      <c r="B79">
        <v>2015</v>
      </c>
      <c r="C79">
        <v>9</v>
      </c>
      <c r="D79" s="19">
        <v>799.5</v>
      </c>
      <c r="E79" s="19">
        <v>0</v>
      </c>
      <c r="F79" s="19">
        <v>17.039999999999999</v>
      </c>
      <c r="G79" s="2">
        <v>383.52999999999997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</row>
    <row r="80" spans="1:17" ht="12.75" customHeight="1">
      <c r="A80" s="4">
        <f t="shared" si="1"/>
        <v>70</v>
      </c>
      <c r="B80">
        <v>2015</v>
      </c>
      <c r="C80">
        <v>10</v>
      </c>
      <c r="D80" s="19">
        <v>729.34000000000003</v>
      </c>
      <c r="E80" s="19">
        <v>0</v>
      </c>
      <c r="F80" s="19">
        <v>11.09</v>
      </c>
      <c r="G80" s="2">
        <v>383.5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</row>
    <row r="81" spans="1:17" ht="12.75" customHeight="1">
      <c r="A81" s="4">
        <f t="shared" si="1"/>
        <v>71</v>
      </c>
      <c r="B81">
        <v>2015</v>
      </c>
      <c r="C81">
        <v>11</v>
      </c>
      <c r="D81" s="19">
        <v>631.71000000000004</v>
      </c>
      <c r="E81" s="19">
        <v>0.02</v>
      </c>
      <c r="F81" s="19">
        <v>3.71</v>
      </c>
      <c r="G81" s="2">
        <v>383.48000000000002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1</v>
      </c>
      <c r="Q81" s="23">
        <v>0</v>
      </c>
    </row>
    <row r="82" spans="1:17" ht="12.75" customHeight="1">
      <c r="A82" s="4">
        <f t="shared" si="1"/>
        <v>72</v>
      </c>
      <c r="B82">
        <v>2015</v>
      </c>
      <c r="C82">
        <v>12</v>
      </c>
      <c r="D82" s="19">
        <v>577.55999999999995</v>
      </c>
      <c r="E82" s="19">
        <v>1.69</v>
      </c>
      <c r="F82" s="19">
        <v>0.56999999999999995</v>
      </c>
      <c r="G82" s="2">
        <v>383.47000000000003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1</v>
      </c>
    </row>
    <row r="83" spans="1:17" ht="12.75" customHeight="1">
      <c r="A83" s="4">
        <f t="shared" si="1"/>
        <v>73</v>
      </c>
      <c r="B83">
        <v>2016</v>
      </c>
      <c r="C83">
        <v>1</v>
      </c>
      <c r="D83" s="19">
        <v>582.87</v>
      </c>
      <c r="E83" s="19">
        <v>4.0199999999999996</v>
      </c>
      <c r="F83" s="19">
        <v>0.33000000000000002</v>
      </c>
      <c r="G83" s="2">
        <v>383.44999999999999</v>
      </c>
      <c r="H83" s="23">
        <v>1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</row>
    <row r="84" spans="1:17" ht="12.75" customHeight="1">
      <c r="A84" s="4">
        <f t="shared" si="1"/>
        <v>74</v>
      </c>
      <c r="B84">
        <v>2016</v>
      </c>
      <c r="C84">
        <v>2</v>
      </c>
      <c r="D84" s="19">
        <v>599.76999999999998</v>
      </c>
      <c r="E84" s="19">
        <v>4.2000000000000002</v>
      </c>
      <c r="F84" s="19">
        <v>0.080000000000000002</v>
      </c>
      <c r="G84" s="2">
        <v>383.43000000000001</v>
      </c>
      <c r="H84" s="23">
        <v>0</v>
      </c>
      <c r="I84" s="23">
        <v>1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</row>
    <row r="85" spans="1:17" ht="12.75" customHeight="1">
      <c r="A85" s="4">
        <f t="shared" si="1"/>
        <v>75</v>
      </c>
      <c r="B85">
        <v>2016</v>
      </c>
      <c r="C85">
        <v>3</v>
      </c>
      <c r="D85" s="19">
        <v>579.49000000000001</v>
      </c>
      <c r="E85" s="19">
        <v>0.92000000000000004</v>
      </c>
      <c r="F85" s="19">
        <v>0.62</v>
      </c>
      <c r="G85" s="2">
        <v>383.39999999999998</v>
      </c>
      <c r="H85" s="23">
        <v>0</v>
      </c>
      <c r="I85" s="23">
        <v>0</v>
      </c>
      <c r="J85" s="23">
        <v>1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</row>
    <row r="86" spans="1:17" ht="12.75" customHeight="1">
      <c r="A86" s="4">
        <f t="shared" si="1"/>
        <v>76</v>
      </c>
      <c r="B86">
        <v>2016</v>
      </c>
      <c r="C86">
        <v>4</v>
      </c>
      <c r="D86" s="19">
        <v>579.92999999999995</v>
      </c>
      <c r="E86" s="19">
        <v>0.23999999999999999</v>
      </c>
      <c r="F86" s="19">
        <v>1.29</v>
      </c>
      <c r="G86" s="2">
        <v>383.36000000000001</v>
      </c>
      <c r="H86" s="23">
        <v>0</v>
      </c>
      <c r="I86" s="23">
        <v>0</v>
      </c>
      <c r="J86" s="23">
        <v>0</v>
      </c>
      <c r="K86" s="23">
        <v>1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</row>
    <row r="87" spans="1:17" ht="12.75" customHeight="1">
      <c r="A87" s="4">
        <f t="shared" si="1"/>
        <v>77</v>
      </c>
      <c r="B87">
        <v>2016</v>
      </c>
      <c r="C87">
        <v>5</v>
      </c>
      <c r="D87" s="19">
        <v>622.33000000000004</v>
      </c>
      <c r="E87" s="19">
        <v>0.01</v>
      </c>
      <c r="F87" s="19">
        <v>3.9199999999999999</v>
      </c>
      <c r="G87" s="2">
        <v>383.31</v>
      </c>
      <c r="H87" s="23">
        <v>0</v>
      </c>
      <c r="I87" s="23">
        <v>0</v>
      </c>
      <c r="J87" s="23">
        <v>0</v>
      </c>
      <c r="K87" s="23">
        <v>0</v>
      </c>
      <c r="L87" s="23">
        <v>1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</row>
    <row r="88" spans="1:17" ht="12.75" customHeight="1">
      <c r="A88" s="4">
        <f t="shared" si="1"/>
        <v>78</v>
      </c>
      <c r="B88">
        <v>2016</v>
      </c>
      <c r="C88">
        <v>6</v>
      </c>
      <c r="D88" s="19">
        <v>675</v>
      </c>
      <c r="E88" s="19">
        <v>0</v>
      </c>
      <c r="F88" s="19">
        <v>8.2100000000000009</v>
      </c>
      <c r="G88" s="2">
        <v>383.24000000000001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1</v>
      </c>
      <c r="N88" s="23">
        <v>0</v>
      </c>
      <c r="O88" s="23">
        <v>0</v>
      </c>
      <c r="P88" s="23">
        <v>0</v>
      </c>
      <c r="Q88" s="23">
        <v>0</v>
      </c>
    </row>
    <row r="89" spans="1:17" ht="12.75" customHeight="1">
      <c r="A89" s="4">
        <f t="shared" si="1"/>
        <v>79</v>
      </c>
      <c r="B89">
        <v>2016</v>
      </c>
      <c r="C89">
        <v>7</v>
      </c>
      <c r="D89" s="19">
        <v>777.50999999999999</v>
      </c>
      <c r="E89" s="19">
        <v>0</v>
      </c>
      <c r="F89" s="19">
        <v>17</v>
      </c>
      <c r="G89" s="2">
        <v>383.16000000000002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1</v>
      </c>
      <c r="O89" s="23">
        <v>0</v>
      </c>
      <c r="P89" s="23">
        <v>0</v>
      </c>
      <c r="Q89" s="23">
        <v>0</v>
      </c>
    </row>
    <row r="90" spans="1:17" ht="12.75" customHeight="1">
      <c r="A90" s="4">
        <f t="shared" si="1"/>
        <v>80</v>
      </c>
      <c r="B90">
        <v>2016</v>
      </c>
      <c r="C90">
        <v>8</v>
      </c>
      <c r="D90" s="19">
        <v>820.57000000000005</v>
      </c>
      <c r="E90" s="19">
        <v>0</v>
      </c>
      <c r="F90" s="19">
        <v>19.460000000000001</v>
      </c>
      <c r="G90" s="2">
        <v>383.05000000000001</v>
      </c>
      <c r="H90" s="23">
        <v>0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23">
        <v>0</v>
      </c>
      <c r="O90" s="23">
        <v>1</v>
      </c>
      <c r="P90" s="23">
        <v>0</v>
      </c>
      <c r="Q90" s="23">
        <v>0</v>
      </c>
    </row>
    <row r="91" spans="1:17" ht="12.75" customHeight="1">
      <c r="A91" s="4">
        <f t="shared" si="1"/>
        <v>81</v>
      </c>
      <c r="B91">
        <v>2016</v>
      </c>
      <c r="C91">
        <v>9</v>
      </c>
      <c r="D91" s="19">
        <v>780.72000000000003</v>
      </c>
      <c r="E91" s="19">
        <v>0</v>
      </c>
      <c r="F91" s="19">
        <v>15.23</v>
      </c>
      <c r="G91" s="2">
        <v>382.93000000000001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</row>
    <row r="92" spans="1:17" ht="12.75" customHeight="1">
      <c r="A92" s="4">
        <f t="shared" si="1"/>
        <v>82</v>
      </c>
      <c r="B92">
        <v>2016</v>
      </c>
      <c r="C92">
        <v>10</v>
      </c>
      <c r="D92" s="19">
        <v>725.44000000000005</v>
      </c>
      <c r="E92" s="19">
        <v>0</v>
      </c>
      <c r="F92" s="19">
        <v>10.94</v>
      </c>
      <c r="G92" s="2">
        <v>382.77999999999997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</row>
    <row r="93" spans="1:17" ht="12.75" customHeight="1">
      <c r="A93" s="4">
        <f t="shared" si="1"/>
        <v>83</v>
      </c>
      <c r="B93">
        <v>2016</v>
      </c>
      <c r="C93">
        <v>11</v>
      </c>
      <c r="D93" s="19">
        <v>653.97000000000003</v>
      </c>
      <c r="E93" s="19">
        <v>0.02</v>
      </c>
      <c r="F93" s="19">
        <v>5.5</v>
      </c>
      <c r="G93" s="2">
        <v>382.62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1</v>
      </c>
      <c r="Q93" s="23">
        <v>0</v>
      </c>
    </row>
    <row r="94" spans="1:17" ht="12.75" customHeight="1">
      <c r="A94" s="4">
        <f t="shared" si="1"/>
        <v>84</v>
      </c>
      <c r="B94">
        <v>2016</v>
      </c>
      <c r="C94">
        <v>12</v>
      </c>
      <c r="D94" s="19">
        <v>584.57000000000005</v>
      </c>
      <c r="E94" s="19">
        <v>1.72</v>
      </c>
      <c r="F94" s="19">
        <v>1.03</v>
      </c>
      <c r="G94" s="2">
        <v>382.43000000000001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1</v>
      </c>
    </row>
    <row r="95" spans="1:17" ht="12.75" customHeight="1">
      <c r="A95" s="4">
        <f t="shared" si="1"/>
        <v>85</v>
      </c>
      <c r="B95">
        <v>2017</v>
      </c>
      <c r="C95">
        <v>1</v>
      </c>
      <c r="D95" s="19">
        <v>592.99000000000001</v>
      </c>
      <c r="E95" s="19">
        <v>5.1699999999999999</v>
      </c>
      <c r="F95" s="19">
        <v>0.47999999999999998</v>
      </c>
      <c r="G95" s="2">
        <v>382.22000000000003</v>
      </c>
      <c r="H95" s="23">
        <v>1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</row>
    <row r="96" spans="1:17" ht="12.75" customHeight="1">
      <c r="A96" s="4">
        <f t="shared" si="1"/>
        <v>86</v>
      </c>
      <c r="B96">
        <v>2017</v>
      </c>
      <c r="C96">
        <v>2</v>
      </c>
      <c r="D96" s="19">
        <v>589.89999999999998</v>
      </c>
      <c r="E96" s="19">
        <v>2.77</v>
      </c>
      <c r="F96" s="19">
        <v>0.52000000000000002</v>
      </c>
      <c r="G96" s="2">
        <v>382.00999999999999</v>
      </c>
      <c r="H96" s="23">
        <v>0</v>
      </c>
      <c r="I96" s="23">
        <v>1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</row>
    <row r="97" spans="1:17" ht="12.75" customHeight="1">
      <c r="A97" s="4">
        <f t="shared" si="1"/>
        <v>87</v>
      </c>
      <c r="B97">
        <v>2017</v>
      </c>
      <c r="C97">
        <v>3</v>
      </c>
      <c r="D97" s="19">
        <v>579.22000000000003</v>
      </c>
      <c r="E97" s="19">
        <v>0.78000000000000003</v>
      </c>
      <c r="F97" s="19">
        <v>1.4299999999999999</v>
      </c>
      <c r="G97" s="2">
        <v>381.76999999999998</v>
      </c>
      <c r="H97" s="23">
        <v>0</v>
      </c>
      <c r="I97" s="23">
        <v>0</v>
      </c>
      <c r="J97" s="23">
        <v>1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</row>
    <row r="98" spans="1:17" ht="12.75" customHeight="1">
      <c r="A98" s="4">
        <f t="shared" si="1"/>
        <v>88</v>
      </c>
      <c r="B98">
        <v>2017</v>
      </c>
      <c r="C98">
        <v>4</v>
      </c>
      <c r="D98" s="19">
        <v>597.05999999999995</v>
      </c>
      <c r="E98" s="19">
        <v>0.14000000000000001</v>
      </c>
      <c r="F98" s="19">
        <v>3.2000000000000002</v>
      </c>
      <c r="G98" s="2">
        <v>381.50999999999999</v>
      </c>
      <c r="H98" s="23">
        <v>0</v>
      </c>
      <c r="I98" s="23">
        <v>0</v>
      </c>
      <c r="J98" s="23">
        <v>0</v>
      </c>
      <c r="K98" s="23">
        <v>1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</row>
    <row r="99" spans="1:17" ht="12.75" customHeight="1">
      <c r="A99" s="4">
        <f t="shared" si="1"/>
        <v>89</v>
      </c>
      <c r="B99">
        <v>2017</v>
      </c>
      <c r="C99">
        <v>5</v>
      </c>
      <c r="D99" s="19">
        <v>625.10000000000002</v>
      </c>
      <c r="E99" s="19">
        <v>0.01</v>
      </c>
      <c r="F99" s="19">
        <v>4.6900000000000004</v>
      </c>
      <c r="G99" s="2">
        <v>381.23000000000002</v>
      </c>
      <c r="H99" s="23">
        <v>0</v>
      </c>
      <c r="I99" s="23">
        <v>0</v>
      </c>
      <c r="J99" s="23">
        <v>0</v>
      </c>
      <c r="K99" s="23">
        <v>0</v>
      </c>
      <c r="L99" s="23">
        <v>1</v>
      </c>
      <c r="M99" s="23">
        <v>0</v>
      </c>
      <c r="N99" s="23">
        <v>0</v>
      </c>
      <c r="O99" s="23">
        <v>0</v>
      </c>
      <c r="P99" s="23">
        <v>0</v>
      </c>
      <c r="Q99" s="23">
        <v>0</v>
      </c>
    </row>
    <row r="100" spans="1:17" ht="12.75" customHeight="1">
      <c r="A100" s="4">
        <f t="shared" si="1"/>
        <v>90</v>
      </c>
      <c r="B100">
        <v>2017</v>
      </c>
      <c r="C100">
        <v>6</v>
      </c>
      <c r="D100" s="19">
        <v>676.39999999999998</v>
      </c>
      <c r="E100" s="19">
        <v>0</v>
      </c>
      <c r="F100" s="19">
        <v>9.5</v>
      </c>
      <c r="G100" s="2">
        <v>380.93000000000001</v>
      </c>
      <c r="H100" s="23">
        <v>0</v>
      </c>
      <c r="I100" s="23">
        <v>0</v>
      </c>
      <c r="J100" s="23">
        <v>0</v>
      </c>
      <c r="K100" s="23">
        <v>0</v>
      </c>
      <c r="L100" s="23">
        <v>0</v>
      </c>
      <c r="M100" s="23">
        <v>1</v>
      </c>
      <c r="N100" s="23">
        <v>0</v>
      </c>
      <c r="O100" s="23">
        <v>0</v>
      </c>
      <c r="P100" s="23">
        <v>0</v>
      </c>
      <c r="Q100" s="23">
        <v>0</v>
      </c>
    </row>
    <row r="101" spans="1:17" ht="12.75" customHeight="1">
      <c r="A101" s="4">
        <f t="shared" si="1"/>
        <v>91</v>
      </c>
      <c r="B101">
        <v>2017</v>
      </c>
      <c r="C101">
        <v>7</v>
      </c>
      <c r="D101" s="19">
        <v>748.85000000000002</v>
      </c>
      <c r="E101" s="19">
        <v>0</v>
      </c>
      <c r="F101" s="19">
        <v>15.199999999999999</v>
      </c>
      <c r="G101" s="2">
        <v>380.62</v>
      </c>
      <c r="H101" s="23">
        <v>0</v>
      </c>
      <c r="I101" s="23">
        <v>0</v>
      </c>
      <c r="J101" s="23">
        <v>0</v>
      </c>
      <c r="K101" s="23">
        <v>0</v>
      </c>
      <c r="L101" s="23">
        <v>0</v>
      </c>
      <c r="M101" s="23">
        <v>0</v>
      </c>
      <c r="N101" s="23">
        <v>1</v>
      </c>
      <c r="O101" s="23">
        <v>0</v>
      </c>
      <c r="P101" s="23">
        <v>0</v>
      </c>
      <c r="Q101" s="23">
        <v>0</v>
      </c>
    </row>
    <row r="102" spans="1:17" s="18" customFormat="1" ht="12.75" customHeight="1">
      <c r="A102" s="4">
        <f t="shared" si="1"/>
        <v>92</v>
      </c>
      <c r="B102">
        <v>2017</v>
      </c>
      <c r="C102">
        <v>8</v>
      </c>
      <c r="D102" s="19">
        <v>793.65999999999997</v>
      </c>
      <c r="E102" s="19">
        <v>0</v>
      </c>
      <c r="F102" s="19">
        <v>17.800000000000001</v>
      </c>
      <c r="G102" s="2">
        <v>380.27999999999997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1</v>
      </c>
      <c r="P102" s="23">
        <v>0</v>
      </c>
      <c r="Q102" s="23">
        <v>0</v>
      </c>
    </row>
    <row r="103" spans="1:17" s="18" customFormat="1" ht="12.75" customHeight="1">
      <c r="A103" s="4">
        <f t="shared" si="1"/>
        <v>93</v>
      </c>
      <c r="B103">
        <v>2017</v>
      </c>
      <c r="C103">
        <v>9</v>
      </c>
      <c r="D103" s="19">
        <v>754.63999999999999</v>
      </c>
      <c r="E103" s="19">
        <v>0</v>
      </c>
      <c r="F103" s="19">
        <v>13.970000000000001</v>
      </c>
      <c r="G103" s="2">
        <v>379.93000000000001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</row>
    <row r="104" spans="1:17" ht="12.75" customHeight="1">
      <c r="A104" s="4">
        <f t="shared" si="1"/>
        <v>94</v>
      </c>
      <c r="B104">
        <v>2017</v>
      </c>
      <c r="C104">
        <v>10</v>
      </c>
      <c r="D104" s="19">
        <v>712.50999999999999</v>
      </c>
      <c r="E104" s="19">
        <v>0</v>
      </c>
      <c r="F104" s="19">
        <v>10.74</v>
      </c>
      <c r="G104" s="2">
        <v>379.56999999999999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</row>
    <row r="105" spans="1:17" ht="12.75" customHeight="1">
      <c r="A105" s="4">
        <f t="shared" si="1"/>
        <v>95</v>
      </c>
      <c r="B105">
        <v>2017</v>
      </c>
      <c r="C105">
        <v>11</v>
      </c>
      <c r="D105" s="19">
        <v>586.28999999999996</v>
      </c>
      <c r="E105" s="19">
        <v>0.29999999999999999</v>
      </c>
      <c r="F105" s="19">
        <v>3.73</v>
      </c>
      <c r="G105" s="2">
        <v>379.19999999999999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1</v>
      </c>
      <c r="Q105" s="23">
        <v>0</v>
      </c>
    </row>
    <row r="106" spans="1:17" ht="12.75" customHeight="1">
      <c r="A106" s="4">
        <f t="shared" si="1"/>
        <v>96</v>
      </c>
      <c r="B106">
        <v>2017</v>
      </c>
      <c r="C106">
        <v>12</v>
      </c>
      <c r="D106" s="19">
        <v>568.82000000000005</v>
      </c>
      <c r="E106" s="19">
        <v>1.1100000000000001</v>
      </c>
      <c r="F106" s="19">
        <v>1.1499999999999999</v>
      </c>
      <c r="G106" s="2">
        <v>378.81999999999999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1</v>
      </c>
    </row>
    <row r="107" spans="1:17" ht="12.75" customHeight="1">
      <c r="A107" s="4">
        <f t="shared" si="1"/>
        <v>97</v>
      </c>
      <c r="B107">
        <v>2018</v>
      </c>
      <c r="C107">
        <v>1</v>
      </c>
      <c r="D107" s="19">
        <v>601.60000000000002</v>
      </c>
      <c r="E107" s="19">
        <v>7.0800000000000001</v>
      </c>
      <c r="F107" s="19">
        <v>0.11</v>
      </c>
      <c r="G107" s="2">
        <v>378.43000000000001</v>
      </c>
      <c r="H107" s="23">
        <v>1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</row>
    <row r="108" spans="1:17" ht="12.75" customHeight="1">
      <c r="A108" s="4">
        <f t="shared" si="1"/>
        <v>98</v>
      </c>
      <c r="B108">
        <v>2018</v>
      </c>
      <c r="C108">
        <v>2</v>
      </c>
      <c r="D108" s="19">
        <v>593.63</v>
      </c>
      <c r="E108" s="19">
        <v>5.9400000000000004</v>
      </c>
      <c r="F108" s="19">
        <v>0.14000000000000001</v>
      </c>
      <c r="G108" s="2">
        <v>378.05000000000001</v>
      </c>
      <c r="H108" s="23">
        <v>0</v>
      </c>
      <c r="I108" s="23">
        <v>1</v>
      </c>
      <c r="J108" s="23">
        <v>0</v>
      </c>
      <c r="K108" s="23">
        <v>0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23">
        <v>0</v>
      </c>
    </row>
    <row r="109" spans="1:17" ht="12.75" customHeight="1">
      <c r="A109" s="4">
        <f t="shared" si="1"/>
        <v>99</v>
      </c>
      <c r="B109">
        <v>2018</v>
      </c>
      <c r="C109">
        <v>3</v>
      </c>
      <c r="D109" s="19">
        <v>578.25</v>
      </c>
      <c r="E109" s="19">
        <v>2.7400000000000002</v>
      </c>
      <c r="F109" s="19">
        <v>0.71999999999999997</v>
      </c>
      <c r="G109" s="2">
        <v>377.67000000000002</v>
      </c>
      <c r="H109" s="23">
        <v>0</v>
      </c>
      <c r="I109" s="23">
        <v>0</v>
      </c>
      <c r="J109" s="23">
        <v>1</v>
      </c>
      <c r="K109" s="23">
        <v>0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23">
        <v>0</v>
      </c>
    </row>
    <row r="110" spans="1:17" ht="12.75" customHeight="1">
      <c r="A110" s="4">
        <f t="shared" si="1"/>
        <v>100</v>
      </c>
      <c r="B110">
        <v>2018</v>
      </c>
      <c r="C110">
        <v>4</v>
      </c>
      <c r="D110" s="19">
        <v>563.78999999999996</v>
      </c>
      <c r="E110" s="19">
        <v>0.45000000000000001</v>
      </c>
      <c r="F110" s="19">
        <v>1.8899999999999999</v>
      </c>
      <c r="G110" s="2">
        <v>377.27999999999997</v>
      </c>
      <c r="H110" s="23">
        <v>0</v>
      </c>
      <c r="I110" s="23">
        <v>0</v>
      </c>
      <c r="J110" s="23">
        <v>0</v>
      </c>
      <c r="K110" s="23">
        <v>1</v>
      </c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23">
        <v>0</v>
      </c>
    </row>
    <row r="111" spans="1:17" ht="12.75" customHeight="1">
      <c r="A111" s="4">
        <f t="shared" si="1"/>
        <v>101</v>
      </c>
      <c r="B111">
        <v>2018</v>
      </c>
      <c r="C111">
        <v>5</v>
      </c>
      <c r="D111" s="19">
        <v>600.94000000000005</v>
      </c>
      <c r="E111" s="19">
        <v>0.27000000000000002</v>
      </c>
      <c r="F111" s="19">
        <v>3.96</v>
      </c>
      <c r="G111" s="2">
        <v>376.89999999999998</v>
      </c>
      <c r="H111" s="23">
        <v>0</v>
      </c>
      <c r="I111" s="23">
        <v>0</v>
      </c>
      <c r="J111" s="23">
        <v>0</v>
      </c>
      <c r="K111" s="23">
        <v>0</v>
      </c>
      <c r="L111" s="23">
        <v>1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</row>
    <row r="112" spans="1:17" ht="12.75" customHeight="1">
      <c r="A112" s="4">
        <f t="shared" si="1"/>
        <v>102</v>
      </c>
      <c r="B112">
        <v>2018</v>
      </c>
      <c r="C112">
        <v>6</v>
      </c>
      <c r="D112" s="19">
        <v>714.54999999999995</v>
      </c>
      <c r="E112" s="19">
        <v>0</v>
      </c>
      <c r="F112" s="19">
        <v>13.390000000000001</v>
      </c>
      <c r="G112" s="2">
        <v>376.51999999999998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1</v>
      </c>
      <c r="N112" s="23">
        <v>0</v>
      </c>
      <c r="O112" s="23">
        <v>0</v>
      </c>
      <c r="P112" s="23">
        <v>0</v>
      </c>
      <c r="Q112" s="23">
        <v>0</v>
      </c>
    </row>
    <row r="113" spans="1:17" ht="12.75" customHeight="1">
      <c r="A113" s="4">
        <f t="shared" si="1"/>
        <v>103</v>
      </c>
      <c r="B113">
        <v>2018</v>
      </c>
      <c r="C113">
        <v>7</v>
      </c>
      <c r="D113" s="19">
        <v>769.52999999999997</v>
      </c>
      <c r="E113" s="19">
        <v>0</v>
      </c>
      <c r="F113" s="19">
        <v>18.050000000000001</v>
      </c>
      <c r="G113" s="2">
        <v>376.14999999999998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1</v>
      </c>
      <c r="O113" s="23">
        <v>0</v>
      </c>
      <c r="P113" s="23">
        <v>0</v>
      </c>
      <c r="Q113" s="23">
        <v>0</v>
      </c>
    </row>
    <row r="114" spans="1:17" ht="12.75" customHeight="1">
      <c r="A114" s="4">
        <f t="shared" si="1"/>
        <v>104</v>
      </c>
      <c r="B114">
        <v>2018</v>
      </c>
      <c r="C114">
        <v>8</v>
      </c>
      <c r="D114" s="19">
        <v>776.26999999999998</v>
      </c>
      <c r="E114" s="19">
        <v>0</v>
      </c>
      <c r="F114" s="19">
        <v>19.18</v>
      </c>
      <c r="G114" s="2">
        <v>375.77999999999997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1</v>
      </c>
      <c r="P114" s="23">
        <v>0</v>
      </c>
      <c r="Q114" s="23">
        <v>0</v>
      </c>
    </row>
    <row r="115" spans="1:17" ht="12.75" customHeight="1">
      <c r="A115" s="4">
        <f t="shared" si="1"/>
        <v>105</v>
      </c>
      <c r="B115">
        <v>2018</v>
      </c>
      <c r="C115">
        <v>9</v>
      </c>
      <c r="D115" s="19">
        <v>757.88999999999999</v>
      </c>
      <c r="E115" s="19">
        <v>0</v>
      </c>
      <c r="F115" s="19">
        <v>15.359999999999999</v>
      </c>
      <c r="G115" s="2">
        <v>375.42000000000002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</row>
    <row r="116" spans="1:17" ht="12.75" customHeight="1">
      <c r="A116" s="4">
        <f t="shared" si="1"/>
        <v>106</v>
      </c>
      <c r="B116">
        <v>2018</v>
      </c>
      <c r="C116">
        <v>10</v>
      </c>
      <c r="D116" s="19">
        <v>671.69000000000005</v>
      </c>
      <c r="E116" s="19">
        <v>0.11</v>
      </c>
      <c r="F116" s="19">
        <v>8.3000000000000007</v>
      </c>
      <c r="G116" s="2">
        <v>375.06999999999999</v>
      </c>
      <c r="H116" s="23">
        <v>0</v>
      </c>
      <c r="I116" s="23">
        <v>0</v>
      </c>
      <c r="J116" s="23">
        <v>0</v>
      </c>
      <c r="K116" s="23">
        <v>0</v>
      </c>
      <c r="L116" s="23">
        <v>0</v>
      </c>
      <c r="M116" s="23">
        <v>0</v>
      </c>
      <c r="N116" s="23">
        <v>0</v>
      </c>
      <c r="O116" s="23">
        <v>0</v>
      </c>
      <c r="P116" s="23">
        <v>0</v>
      </c>
      <c r="Q116" s="23">
        <v>0</v>
      </c>
    </row>
    <row r="117" spans="1:17" ht="12.75" customHeight="1">
      <c r="A117" s="4">
        <f t="shared" si="1"/>
        <v>107</v>
      </c>
      <c r="B117">
        <v>2018</v>
      </c>
      <c r="C117">
        <v>11</v>
      </c>
      <c r="D117" s="19">
        <v>579.49000000000001</v>
      </c>
      <c r="E117" s="19">
        <v>1</v>
      </c>
      <c r="F117" s="19">
        <v>1.79</v>
      </c>
      <c r="G117" s="2">
        <v>374.72000000000003</v>
      </c>
      <c r="H117" s="23">
        <v>0</v>
      </c>
      <c r="I117" s="23">
        <v>0</v>
      </c>
      <c r="J117" s="23">
        <v>0</v>
      </c>
      <c r="K117" s="23">
        <v>0</v>
      </c>
      <c r="L117" s="23">
        <v>0</v>
      </c>
      <c r="M117" s="23">
        <v>0</v>
      </c>
      <c r="N117" s="23">
        <v>0</v>
      </c>
      <c r="O117" s="23">
        <v>0</v>
      </c>
      <c r="P117" s="23">
        <v>1</v>
      </c>
      <c r="Q117" s="23">
        <v>0</v>
      </c>
    </row>
    <row r="118" spans="1:17" ht="12.75" customHeight="1">
      <c r="A118" s="4">
        <f t="shared" si="1"/>
        <v>108</v>
      </c>
      <c r="B118">
        <v>2018</v>
      </c>
      <c r="C118">
        <v>12</v>
      </c>
      <c r="D118" s="19">
        <v>561.25</v>
      </c>
      <c r="E118" s="19">
        <v>3.5099999999999998</v>
      </c>
      <c r="F118" s="19">
        <v>0.25</v>
      </c>
      <c r="G118" s="2">
        <v>374.38</v>
      </c>
      <c r="H118" s="23">
        <v>0</v>
      </c>
      <c r="I118" s="23">
        <v>0</v>
      </c>
      <c r="J118" s="23">
        <v>0</v>
      </c>
      <c r="K118" s="23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23">
        <v>1</v>
      </c>
    </row>
    <row r="119" spans="1:17" ht="12.75" customHeight="1">
      <c r="A119" s="4">
        <f t="shared" si="1"/>
        <v>109</v>
      </c>
      <c r="B119">
        <v>2019</v>
      </c>
      <c r="C119">
        <v>1</v>
      </c>
      <c r="D119" s="19">
        <v>564.12</v>
      </c>
      <c r="E119" s="19">
        <v>4.4500000000000002</v>
      </c>
      <c r="F119" s="19">
        <v>0.059999999999999998</v>
      </c>
      <c r="G119" s="2">
        <v>374.02999999999997</v>
      </c>
      <c r="H119" s="23">
        <v>1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</row>
    <row r="120" spans="1:17" ht="12.75" customHeight="1">
      <c r="A120" s="4">
        <f t="shared" si="1"/>
        <v>110</v>
      </c>
      <c r="B120">
        <v>2019</v>
      </c>
      <c r="C120">
        <v>2</v>
      </c>
      <c r="D120" s="19">
        <v>586.77999999999997</v>
      </c>
      <c r="E120" s="19">
        <v>5.3200000000000003</v>
      </c>
      <c r="F120" s="19">
        <v>0.23000000000000001</v>
      </c>
      <c r="G120" s="2">
        <v>373.69</v>
      </c>
      <c r="H120" s="23">
        <v>0</v>
      </c>
      <c r="I120" s="23">
        <v>1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</row>
    <row r="121" spans="1:17" ht="12.75" customHeight="1">
      <c r="A121" s="4">
        <f t="shared" si="1"/>
        <v>111</v>
      </c>
      <c r="B121">
        <v>2019</v>
      </c>
      <c r="C121">
        <v>3</v>
      </c>
      <c r="D121" s="19">
        <v>589.60000000000002</v>
      </c>
      <c r="E121" s="19">
        <v>5.29</v>
      </c>
      <c r="F121" s="19">
        <v>0.28999999999999998</v>
      </c>
      <c r="G121" s="2">
        <v>373.36000000000001</v>
      </c>
      <c r="H121" s="23">
        <v>0</v>
      </c>
      <c r="I121" s="23">
        <v>0</v>
      </c>
      <c r="J121" s="23">
        <v>1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</row>
    <row r="122" spans="1:17" ht="12.75" customHeight="1">
      <c r="A122" s="4">
        <f t="shared" si="1"/>
        <v>112</v>
      </c>
      <c r="B122">
        <v>2019</v>
      </c>
      <c r="C122">
        <v>4</v>
      </c>
      <c r="D122" s="19">
        <v>559.77999999999997</v>
      </c>
      <c r="E122" s="19">
        <v>1.25</v>
      </c>
      <c r="F122" s="19">
        <v>1.1000000000000001</v>
      </c>
      <c r="G122" s="2">
        <v>373.00999999999999</v>
      </c>
      <c r="H122" s="23">
        <v>0</v>
      </c>
      <c r="I122" s="23">
        <v>0</v>
      </c>
      <c r="J122" s="23">
        <v>0</v>
      </c>
      <c r="K122" s="23">
        <v>1</v>
      </c>
      <c r="L122" s="23">
        <v>0</v>
      </c>
      <c r="M122" s="23">
        <v>0</v>
      </c>
      <c r="N122" s="23">
        <v>0</v>
      </c>
      <c r="O122" s="23">
        <v>0</v>
      </c>
      <c r="P122" s="23">
        <v>0</v>
      </c>
      <c r="Q122" s="23">
        <v>0</v>
      </c>
    </row>
    <row r="123" spans="1:17" ht="12.75" customHeight="1">
      <c r="A123" s="4">
        <f t="shared" si="1"/>
        <v>113</v>
      </c>
      <c r="B123">
        <v>2019</v>
      </c>
      <c r="C123">
        <v>5</v>
      </c>
      <c r="D123" s="19">
        <v>584.01999999999998</v>
      </c>
      <c r="E123" s="19">
        <v>0.080000000000000002</v>
      </c>
      <c r="F123" s="19">
        <v>3.3500000000000001</v>
      </c>
      <c r="G123" s="2">
        <v>372.66000000000002</v>
      </c>
      <c r="H123" s="23">
        <v>0</v>
      </c>
      <c r="I123" s="23">
        <v>0</v>
      </c>
      <c r="J123" s="23">
        <v>0</v>
      </c>
      <c r="K123" s="23">
        <v>0</v>
      </c>
      <c r="L123" s="23">
        <v>1</v>
      </c>
      <c r="M123" s="23">
        <v>0</v>
      </c>
      <c r="N123" s="23">
        <v>0</v>
      </c>
      <c r="O123" s="23">
        <v>0</v>
      </c>
      <c r="P123" s="23">
        <v>0</v>
      </c>
      <c r="Q123" s="23">
        <v>0</v>
      </c>
    </row>
    <row r="124" spans="1:17" ht="12.75" customHeight="1">
      <c r="A124" s="4">
        <f t="shared" si="2" ref="A124:A149">+A123+1</f>
        <v>114</v>
      </c>
      <c r="B124">
        <v>2019</v>
      </c>
      <c r="C124">
        <v>6</v>
      </c>
      <c r="D124" s="19">
        <v>650.35000000000002</v>
      </c>
      <c r="E124" s="19">
        <v>0.01</v>
      </c>
      <c r="F124" s="19">
        <v>8.6799999999999997</v>
      </c>
      <c r="G124" s="2">
        <v>372.30000000000001</v>
      </c>
      <c r="H124" s="23">
        <v>0</v>
      </c>
      <c r="I124" s="23">
        <v>0</v>
      </c>
      <c r="J124" s="23">
        <v>0</v>
      </c>
      <c r="K124" s="23">
        <v>0</v>
      </c>
      <c r="L124" s="23">
        <v>0</v>
      </c>
      <c r="M124" s="23">
        <v>1</v>
      </c>
      <c r="N124" s="23">
        <v>0</v>
      </c>
      <c r="O124" s="23">
        <v>0</v>
      </c>
      <c r="P124" s="23">
        <v>0</v>
      </c>
      <c r="Q124" s="23">
        <v>0</v>
      </c>
    </row>
    <row r="125" spans="1:17" ht="12.75" customHeight="1">
      <c r="A125" s="4">
        <f t="shared" si="2"/>
        <v>115</v>
      </c>
      <c r="B125">
        <v>2019</v>
      </c>
      <c r="C125">
        <v>7</v>
      </c>
      <c r="D125" s="19">
        <v>711.70000000000005</v>
      </c>
      <c r="E125" s="19">
        <v>0</v>
      </c>
      <c r="F125" s="19">
        <v>13.44</v>
      </c>
      <c r="G125" s="2">
        <v>371.93000000000001</v>
      </c>
      <c r="H125" s="23">
        <v>0</v>
      </c>
      <c r="I125" s="23">
        <v>0</v>
      </c>
      <c r="J125" s="23">
        <v>0</v>
      </c>
      <c r="K125" s="23">
        <v>0</v>
      </c>
      <c r="L125" s="23">
        <v>0</v>
      </c>
      <c r="M125" s="23">
        <v>0</v>
      </c>
      <c r="N125" s="23">
        <v>1</v>
      </c>
      <c r="O125" s="23">
        <v>0</v>
      </c>
      <c r="P125" s="23">
        <v>0</v>
      </c>
      <c r="Q125" s="23">
        <v>0</v>
      </c>
    </row>
    <row r="126" spans="1:17" ht="12.75" customHeight="1">
      <c r="A126" s="4">
        <f t="shared" si="2"/>
        <v>116</v>
      </c>
      <c r="B126">
        <v>2019</v>
      </c>
      <c r="C126">
        <v>8</v>
      </c>
      <c r="D126" s="19">
        <v>766.78999999999996</v>
      </c>
      <c r="E126" s="19">
        <v>0</v>
      </c>
      <c r="F126" s="19">
        <v>17.18</v>
      </c>
      <c r="G126" s="2">
        <v>371.56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1</v>
      </c>
      <c r="P126" s="23">
        <v>0</v>
      </c>
      <c r="Q126" s="23">
        <v>0</v>
      </c>
    </row>
    <row r="127" spans="1:17" ht="12.75" customHeight="1">
      <c r="A127" s="4">
        <f t="shared" si="2"/>
        <v>117</v>
      </c>
      <c r="B127">
        <v>2019</v>
      </c>
      <c r="C127">
        <v>9</v>
      </c>
      <c r="D127" s="19">
        <v>790.45000000000005</v>
      </c>
      <c r="E127" s="19">
        <v>0</v>
      </c>
      <c r="F127" s="19">
        <v>18.34</v>
      </c>
      <c r="G127" s="2">
        <v>371.18000000000001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</row>
    <row r="128" spans="1:17" ht="12.75" customHeight="1">
      <c r="A128" s="4">
        <f t="shared" si="2"/>
        <v>118</v>
      </c>
      <c r="B128">
        <v>2019</v>
      </c>
      <c r="C128">
        <v>10</v>
      </c>
      <c r="D128" s="19">
        <v>728.52999999999997</v>
      </c>
      <c r="E128" s="19">
        <v>0.02</v>
      </c>
      <c r="F128" s="19">
        <v>13.73</v>
      </c>
      <c r="G128" s="2">
        <v>370.80000000000001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</row>
    <row r="129" spans="1:17" ht="12.75" customHeight="1">
      <c r="A129" s="4">
        <f t="shared" si="2"/>
        <v>119</v>
      </c>
      <c r="B129">
        <v>2019</v>
      </c>
      <c r="C129">
        <v>11</v>
      </c>
      <c r="D129" s="19">
        <v>589.30999999999995</v>
      </c>
      <c r="E129" s="19">
        <v>1.6000000000000001</v>
      </c>
      <c r="F129" s="19">
        <v>2.5699999999999998</v>
      </c>
      <c r="G129" s="2">
        <v>370.42000000000002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1</v>
      </c>
      <c r="Q129" s="23">
        <v>0</v>
      </c>
    </row>
    <row r="130" spans="1:17" ht="12.75" customHeight="1">
      <c r="A130" s="4">
        <f t="shared" si="2"/>
        <v>120</v>
      </c>
      <c r="B130">
        <v>2019</v>
      </c>
      <c r="C130">
        <v>12</v>
      </c>
      <c r="D130" s="24">
        <v>557.19000000000005</v>
      </c>
      <c r="E130" s="24">
        <v>2.7999999999999998</v>
      </c>
      <c r="F130" s="24">
        <v>0.34000000000000002</v>
      </c>
      <c r="G130" s="44">
        <v>370.04000000000002</v>
      </c>
      <c r="H130" s="25">
        <v>0</v>
      </c>
      <c r="I130" s="25">
        <v>0</v>
      </c>
      <c r="J130" s="25">
        <v>0</v>
      </c>
      <c r="K130" s="25">
        <v>0</v>
      </c>
      <c r="L130" s="25">
        <v>0</v>
      </c>
      <c r="M130" s="25">
        <v>0</v>
      </c>
      <c r="N130" s="25">
        <v>0</v>
      </c>
      <c r="O130" s="25">
        <v>0</v>
      </c>
      <c r="P130" s="25">
        <v>0</v>
      </c>
      <c r="Q130" s="25">
        <v>1</v>
      </c>
    </row>
    <row r="131" spans="1:19" ht="12.75" customHeight="1">
      <c r="A131" s="4">
        <f t="shared" si="2"/>
        <v>121</v>
      </c>
      <c r="B131">
        <v>2020</v>
      </c>
      <c r="C131">
        <v>1</v>
      </c>
      <c r="D131" s="24">
        <v>546.77999999999997</v>
      </c>
      <c r="E131" s="24">
        <v>3.2599999999999998</v>
      </c>
      <c r="F131" s="24">
        <v>0.11</v>
      </c>
      <c r="G131" s="44">
        <v>369.67000000000002</v>
      </c>
      <c r="H131" s="25">
        <v>1</v>
      </c>
      <c r="I131" s="25">
        <v>0</v>
      </c>
      <c r="J131" s="25">
        <v>0</v>
      </c>
      <c r="K131" s="25">
        <v>0</v>
      </c>
      <c r="L131" s="25">
        <v>0</v>
      </c>
      <c r="M131" s="25">
        <v>0</v>
      </c>
      <c r="N131" s="25">
        <v>0</v>
      </c>
      <c r="O131" s="25">
        <v>0</v>
      </c>
      <c r="P131" s="25">
        <v>0</v>
      </c>
      <c r="Q131" s="25">
        <v>0</v>
      </c>
      <c r="R131" s="22"/>
      <c r="S131" s="22"/>
    </row>
    <row r="132" spans="1:19" ht="12.75" customHeight="1">
      <c r="A132" s="4">
        <f t="shared" si="2"/>
        <v>122</v>
      </c>
      <c r="B132">
        <v>2020</v>
      </c>
      <c r="C132">
        <v>2</v>
      </c>
      <c r="D132" s="24">
        <v>565.03999999999996</v>
      </c>
      <c r="E132" s="24">
        <v>3.6899999999999999</v>
      </c>
      <c r="F132" s="24">
        <v>0.17000000000000001</v>
      </c>
      <c r="G132" s="44">
        <v>369.31</v>
      </c>
      <c r="H132" s="25">
        <v>0</v>
      </c>
      <c r="I132" s="25">
        <v>1</v>
      </c>
      <c r="J132" s="25">
        <v>0</v>
      </c>
      <c r="K132" s="25">
        <v>0</v>
      </c>
      <c r="L132" s="25">
        <v>0</v>
      </c>
      <c r="M132" s="25">
        <v>0</v>
      </c>
      <c r="N132" s="25">
        <v>0</v>
      </c>
      <c r="O132" s="25">
        <v>0</v>
      </c>
      <c r="P132" s="25">
        <v>0</v>
      </c>
      <c r="Q132" s="25">
        <v>0</v>
      </c>
      <c r="R132" s="22"/>
      <c r="S132" s="22"/>
    </row>
    <row r="133" spans="1:19" ht="12.75" customHeight="1">
      <c r="A133" s="4">
        <f t="shared" si="2"/>
        <v>123</v>
      </c>
      <c r="B133">
        <v>2020</v>
      </c>
      <c r="C133">
        <v>3</v>
      </c>
      <c r="D133" s="24">
        <v>559.21000000000004</v>
      </c>
      <c r="E133" s="24">
        <v>2.9100000000000001</v>
      </c>
      <c r="F133" s="24">
        <v>0.44</v>
      </c>
      <c r="G133" s="44">
        <v>368.95999999999998</v>
      </c>
      <c r="H133" s="25">
        <v>0</v>
      </c>
      <c r="I133" s="25">
        <v>0</v>
      </c>
      <c r="J133" s="25">
        <v>1</v>
      </c>
      <c r="K133" s="25">
        <v>0</v>
      </c>
      <c r="L133" s="25">
        <v>0</v>
      </c>
      <c r="M133" s="25">
        <v>0</v>
      </c>
      <c r="N133" s="25">
        <v>0</v>
      </c>
      <c r="O133" s="25">
        <v>0</v>
      </c>
      <c r="P133" s="25">
        <v>0</v>
      </c>
      <c r="Q133" s="25">
        <v>0</v>
      </c>
      <c r="R133" s="22"/>
      <c r="S133" s="22"/>
    </row>
    <row r="134" spans="1:19" ht="12.75" customHeight="1">
      <c r="A134" s="34">
        <f t="shared" si="2"/>
        <v>124</v>
      </c>
      <c r="B134" s="1">
        <v>2020</v>
      </c>
      <c r="C134" s="32">
        <v>4</v>
      </c>
      <c r="D134" s="32">
        <v>513.57000000000005</v>
      </c>
      <c r="E134" s="2">
        <v>0.46999999999999997</v>
      </c>
      <c r="F134" s="2">
        <v>2.1299999999999999</v>
      </c>
      <c r="G134" s="2">
        <v>368.62</v>
      </c>
      <c r="H134" s="29">
        <v>0</v>
      </c>
      <c r="I134" s="29">
        <v>0</v>
      </c>
      <c r="J134" s="29">
        <v>0</v>
      </c>
      <c r="K134" s="29">
        <v>1</v>
      </c>
      <c r="L134" s="29">
        <v>0</v>
      </c>
      <c r="M134" s="29">
        <v>0</v>
      </c>
      <c r="N134" s="29">
        <v>0</v>
      </c>
      <c r="O134">
        <v>0</v>
      </c>
      <c r="P134">
        <v>0</v>
      </c>
      <c r="Q134">
        <v>0</v>
      </c>
      <c r="R134" s="22"/>
      <c r="S134" s="22"/>
    </row>
    <row r="135" spans="1:19" ht="12.75" customHeight="1">
      <c r="A135" s="34">
        <f t="shared" si="2"/>
        <v>125</v>
      </c>
      <c r="B135" s="1">
        <v>2020</v>
      </c>
      <c r="C135" s="32">
        <v>5</v>
      </c>
      <c r="D135" s="32">
        <v>512.62</v>
      </c>
      <c r="E135" s="2">
        <v>0.27000000000000002</v>
      </c>
      <c r="F135" s="2">
        <v>4.2599999999999998</v>
      </c>
      <c r="G135" s="2">
        <v>368.29000000000002</v>
      </c>
      <c r="H135" s="29">
        <v>0</v>
      </c>
      <c r="I135" s="29">
        <v>0</v>
      </c>
      <c r="J135" s="29">
        <v>0</v>
      </c>
      <c r="K135" s="29">
        <v>0</v>
      </c>
      <c r="L135" s="29">
        <v>1</v>
      </c>
      <c r="M135" s="29">
        <v>0</v>
      </c>
      <c r="N135" s="29">
        <v>0</v>
      </c>
      <c r="O135">
        <v>0</v>
      </c>
      <c r="P135">
        <v>0</v>
      </c>
      <c r="Q135">
        <v>0</v>
      </c>
      <c r="R135" s="22"/>
      <c r="S135" s="22"/>
    </row>
    <row r="136" spans="1:19" ht="12.75" customHeight="1">
      <c r="A136" s="34">
        <f t="shared" si="2"/>
        <v>126</v>
      </c>
      <c r="B136" s="1">
        <v>2020</v>
      </c>
      <c r="C136" s="32">
        <v>6</v>
      </c>
      <c r="D136" s="32">
        <v>594.51999999999998</v>
      </c>
      <c r="E136" s="2">
        <v>0</v>
      </c>
      <c r="F136" s="2">
        <v>9.2400000000000002</v>
      </c>
      <c r="G136" s="2">
        <v>367.98000000000002</v>
      </c>
      <c r="H136" s="29">
        <v>0</v>
      </c>
      <c r="I136" s="29">
        <v>0</v>
      </c>
      <c r="J136" s="29">
        <v>0</v>
      </c>
      <c r="K136" s="29">
        <v>0</v>
      </c>
      <c r="L136" s="29">
        <v>0</v>
      </c>
      <c r="M136" s="29">
        <v>1</v>
      </c>
      <c r="N136" s="29">
        <v>0</v>
      </c>
      <c r="O136">
        <v>0</v>
      </c>
      <c r="P136">
        <v>0</v>
      </c>
      <c r="Q136">
        <v>0</v>
      </c>
      <c r="R136" s="22"/>
      <c r="S136" s="22"/>
    </row>
    <row r="137" spans="1:19" ht="12.75" customHeight="1">
      <c r="A137" s="34">
        <f t="shared" si="2"/>
        <v>127</v>
      </c>
      <c r="B137" s="1">
        <v>2020</v>
      </c>
      <c r="C137" s="32">
        <v>7</v>
      </c>
      <c r="D137" s="32">
        <v>683.28999999999996</v>
      </c>
      <c r="E137" s="2">
        <v>0</v>
      </c>
      <c r="F137" s="2">
        <v>14.99</v>
      </c>
      <c r="G137" s="2">
        <v>367.68000000000001</v>
      </c>
      <c r="H137" s="29">
        <v>0</v>
      </c>
      <c r="I137" s="29">
        <v>0</v>
      </c>
      <c r="J137" s="29">
        <v>0</v>
      </c>
      <c r="K137" s="29">
        <v>0</v>
      </c>
      <c r="L137" s="29">
        <v>0</v>
      </c>
      <c r="M137" s="29">
        <v>0</v>
      </c>
      <c r="N137" s="29">
        <v>1</v>
      </c>
      <c r="O137">
        <v>0</v>
      </c>
      <c r="P137">
        <v>0</v>
      </c>
      <c r="Q137">
        <v>0</v>
      </c>
      <c r="R137" s="22"/>
      <c r="S137" s="22"/>
    </row>
    <row r="138" spans="1:19" ht="12.75" customHeight="1">
      <c r="A138" s="34">
        <f t="shared" si="2"/>
        <v>128</v>
      </c>
      <c r="B138" s="1">
        <v>2020</v>
      </c>
      <c r="C138" s="32">
        <v>8</v>
      </c>
      <c r="D138" s="32">
        <v>730.25</v>
      </c>
      <c r="E138" s="2">
        <v>0</v>
      </c>
      <c r="F138" s="2">
        <v>17.539999999999999</v>
      </c>
      <c r="G138" s="2">
        <v>367.39999999999998</v>
      </c>
      <c r="H138" s="29">
        <v>0</v>
      </c>
      <c r="I138" s="29">
        <v>0</v>
      </c>
      <c r="J138" s="29">
        <v>0</v>
      </c>
      <c r="K138" s="29">
        <v>0</v>
      </c>
      <c r="L138" s="29">
        <v>0</v>
      </c>
      <c r="M138" s="29">
        <v>0</v>
      </c>
      <c r="N138" s="29">
        <v>0</v>
      </c>
      <c r="O138">
        <v>1</v>
      </c>
      <c r="P138">
        <v>0</v>
      </c>
      <c r="Q138">
        <v>0</v>
      </c>
      <c r="R138" s="22"/>
      <c r="S138" s="22"/>
    </row>
    <row r="139" spans="1:19" ht="12.75" customHeight="1">
      <c r="A139" s="34">
        <f t="shared" si="2"/>
        <v>129</v>
      </c>
      <c r="B139" s="1">
        <v>2020</v>
      </c>
      <c r="C139" s="32">
        <v>9</v>
      </c>
      <c r="D139" s="32">
        <v>711.63</v>
      </c>
      <c r="E139" s="2">
        <v>0.01</v>
      </c>
      <c r="F139" s="2">
        <v>15.41</v>
      </c>
      <c r="G139" s="2">
        <v>367.13999999999999</v>
      </c>
      <c r="H139" s="29">
        <v>0</v>
      </c>
      <c r="I139" s="29">
        <v>0</v>
      </c>
      <c r="J139" s="29">
        <v>0</v>
      </c>
      <c r="K139" s="29">
        <v>0</v>
      </c>
      <c r="L139" s="29">
        <v>0</v>
      </c>
      <c r="M139" s="29">
        <v>0</v>
      </c>
      <c r="N139" s="29">
        <v>0</v>
      </c>
      <c r="O139">
        <v>0</v>
      </c>
      <c r="P139">
        <v>0</v>
      </c>
      <c r="Q139">
        <v>0</v>
      </c>
      <c r="R139" s="22"/>
      <c r="S139" s="22"/>
    </row>
    <row r="140" spans="1:19" ht="12.75" customHeight="1">
      <c r="A140" s="34">
        <f t="shared" si="2"/>
        <v>130</v>
      </c>
      <c r="B140" s="1">
        <v>2020</v>
      </c>
      <c r="C140" s="32">
        <v>10</v>
      </c>
      <c r="D140" s="32">
        <v>612.20000000000005</v>
      </c>
      <c r="E140" s="2">
        <v>0.01</v>
      </c>
      <c r="F140" s="2">
        <v>6.5499999999999998</v>
      </c>
      <c r="G140" s="2">
        <v>366.89999999999998</v>
      </c>
      <c r="H140" s="29">
        <v>0</v>
      </c>
      <c r="I140" s="29">
        <v>0</v>
      </c>
      <c r="J140" s="29">
        <v>0</v>
      </c>
      <c r="K140" s="29">
        <v>0</v>
      </c>
      <c r="L140" s="29">
        <v>0</v>
      </c>
      <c r="M140" s="29">
        <v>0</v>
      </c>
      <c r="N140" s="29">
        <v>0</v>
      </c>
      <c r="O140">
        <v>0</v>
      </c>
      <c r="P140">
        <v>0</v>
      </c>
      <c r="Q140">
        <v>0</v>
      </c>
      <c r="R140" s="22"/>
      <c r="S140" s="22"/>
    </row>
    <row r="141" spans="1:19" ht="12.75" customHeight="1">
      <c r="A141" s="34">
        <f t="shared" si="2"/>
        <v>131</v>
      </c>
      <c r="B141" s="1">
        <v>2020</v>
      </c>
      <c r="C141" s="32">
        <v>11</v>
      </c>
      <c r="D141" s="32">
        <v>567.33000000000004</v>
      </c>
      <c r="E141" s="2">
        <v>0.81999999999999995</v>
      </c>
      <c r="F141" s="2">
        <v>2.79</v>
      </c>
      <c r="G141" s="2">
        <v>366.69</v>
      </c>
      <c r="H141" s="29">
        <v>0</v>
      </c>
      <c r="I141" s="29">
        <v>0</v>
      </c>
      <c r="J141" s="29">
        <v>0</v>
      </c>
      <c r="K141" s="29">
        <v>0</v>
      </c>
      <c r="L141" s="29">
        <v>0</v>
      </c>
      <c r="M141" s="29">
        <v>0</v>
      </c>
      <c r="N141" s="29">
        <v>0</v>
      </c>
      <c r="O141">
        <v>0</v>
      </c>
      <c r="P141">
        <v>1</v>
      </c>
      <c r="Q141">
        <v>0</v>
      </c>
      <c r="R141" s="22"/>
      <c r="S141" s="22"/>
    </row>
    <row r="142" spans="1:19" ht="12.75" customHeight="1">
      <c r="A142" s="34">
        <f t="shared" si="2"/>
        <v>132</v>
      </c>
      <c r="B142" s="1">
        <v>2020</v>
      </c>
      <c r="C142" s="32">
        <v>12</v>
      </c>
      <c r="D142" s="32">
        <v>537.46000000000004</v>
      </c>
      <c r="E142" s="2">
        <v>1.8100000000000001</v>
      </c>
      <c r="F142" s="2">
        <v>0.58999999999999997</v>
      </c>
      <c r="G142" s="2">
        <v>366.5</v>
      </c>
      <c r="H142" s="29">
        <v>0</v>
      </c>
      <c r="I142" s="29">
        <v>0</v>
      </c>
      <c r="J142" s="29">
        <v>0</v>
      </c>
      <c r="K142" s="29">
        <v>0</v>
      </c>
      <c r="L142" s="29">
        <v>0</v>
      </c>
      <c r="M142" s="29">
        <v>0</v>
      </c>
      <c r="N142" s="29">
        <v>0</v>
      </c>
      <c r="O142">
        <v>0</v>
      </c>
      <c r="P142">
        <v>0</v>
      </c>
      <c r="Q142">
        <v>1</v>
      </c>
      <c r="R142" s="22"/>
      <c r="S142" s="22"/>
    </row>
    <row r="143" spans="1:22" ht="12.75" customHeight="1">
      <c r="A143" s="34">
        <f t="shared" si="2"/>
        <v>133</v>
      </c>
      <c r="B143" s="1">
        <v>2021</v>
      </c>
      <c r="C143" s="32">
        <v>1</v>
      </c>
      <c r="D143" s="32">
        <v>538.67999999999995</v>
      </c>
      <c r="E143" s="2">
        <v>4.3300000000000001</v>
      </c>
      <c r="F143" s="2">
        <v>0.02</v>
      </c>
      <c r="G143" s="2">
        <v>366.31999999999999</v>
      </c>
      <c r="H143" s="29">
        <v>1</v>
      </c>
      <c r="I143" s="29">
        <v>0</v>
      </c>
      <c r="J143" s="29">
        <v>0</v>
      </c>
      <c r="K143" s="29">
        <v>0</v>
      </c>
      <c r="L143" s="29">
        <v>0</v>
      </c>
      <c r="M143" s="29">
        <v>0</v>
      </c>
      <c r="N143" s="29">
        <v>0</v>
      </c>
      <c r="O143">
        <v>0</v>
      </c>
      <c r="P143">
        <v>0</v>
      </c>
      <c r="Q143">
        <v>0</v>
      </c>
      <c r="S143" s="22"/>
      <c r="T143" s="22"/>
      <c r="U143" s="22"/>
      <c r="V143" s="22"/>
    </row>
    <row r="144" spans="1:22" ht="12.75" customHeight="1">
      <c r="A144" s="34">
        <f t="shared" si="2"/>
        <v>134</v>
      </c>
      <c r="B144" s="1">
        <v>2021</v>
      </c>
      <c r="C144" s="32">
        <v>2</v>
      </c>
      <c r="D144" s="32">
        <v>559.63999999999999</v>
      </c>
      <c r="E144" s="2">
        <v>5.8399999999999999</v>
      </c>
      <c r="F144" s="2">
        <v>0.029999999999999999</v>
      </c>
      <c r="G144" s="2">
        <v>366.18000000000001</v>
      </c>
      <c r="H144" s="29">
        <v>0</v>
      </c>
      <c r="I144" s="29">
        <v>1</v>
      </c>
      <c r="J144" s="29">
        <v>0</v>
      </c>
      <c r="K144" s="29">
        <v>0</v>
      </c>
      <c r="L144" s="29">
        <v>0</v>
      </c>
      <c r="M144" s="29">
        <v>0</v>
      </c>
      <c r="N144" s="29">
        <v>0</v>
      </c>
      <c r="O144">
        <v>0</v>
      </c>
      <c r="P144">
        <v>0</v>
      </c>
      <c r="Q144">
        <v>0</v>
      </c>
      <c r="S144" s="22"/>
      <c r="T144" s="22"/>
      <c r="U144" s="22"/>
      <c r="V144" s="22"/>
    </row>
    <row r="145" spans="1:22" ht="12.75" customHeight="1">
      <c r="A145" s="34">
        <f t="shared" si="2"/>
        <v>135</v>
      </c>
      <c r="B145" s="1">
        <v>2021</v>
      </c>
      <c r="C145" s="32">
        <v>3</v>
      </c>
      <c r="D145" s="32">
        <v>575.35000000000002</v>
      </c>
      <c r="E145" s="2">
        <v>8.6799999999999997</v>
      </c>
      <c r="F145" s="2">
        <v>0.33000000000000002</v>
      </c>
      <c r="G145" s="2">
        <v>366.05000000000001</v>
      </c>
      <c r="H145" s="29">
        <v>0</v>
      </c>
      <c r="I145" s="29">
        <v>0</v>
      </c>
      <c r="J145" s="29">
        <v>1</v>
      </c>
      <c r="K145" s="29">
        <v>0</v>
      </c>
      <c r="L145" s="29">
        <v>0</v>
      </c>
      <c r="M145" s="29">
        <v>0</v>
      </c>
      <c r="N145" s="29">
        <v>0</v>
      </c>
      <c r="O145">
        <v>0</v>
      </c>
      <c r="P145">
        <v>0</v>
      </c>
      <c r="Q145">
        <v>0</v>
      </c>
      <c r="S145" s="22"/>
      <c r="T145" s="22"/>
      <c r="U145" s="22"/>
      <c r="V145" s="22"/>
    </row>
    <row r="146" spans="1:22" ht="12.75" customHeight="1">
      <c r="A146" s="34">
        <f t="shared" si="2"/>
        <v>136</v>
      </c>
      <c r="B146" s="1">
        <v>2021</v>
      </c>
      <c r="C146" s="32">
        <v>4</v>
      </c>
      <c r="D146" s="32">
        <v>513.82000000000005</v>
      </c>
      <c r="E146" s="2">
        <v>0.23000000000000001</v>
      </c>
      <c r="F146" s="2">
        <v>1.3799999999999999</v>
      </c>
      <c r="G146" s="2">
        <v>365.94999999999999</v>
      </c>
      <c r="H146" s="29">
        <v>0</v>
      </c>
      <c r="I146" s="29">
        <v>0</v>
      </c>
      <c r="J146" s="29">
        <v>0</v>
      </c>
      <c r="K146" s="29">
        <v>1</v>
      </c>
      <c r="L146" s="29">
        <v>0</v>
      </c>
      <c r="M146" s="29">
        <v>0</v>
      </c>
      <c r="N146" s="29">
        <v>0</v>
      </c>
      <c r="O146">
        <v>0</v>
      </c>
      <c r="P146">
        <v>0</v>
      </c>
      <c r="Q146">
        <v>0</v>
      </c>
      <c r="S146" s="22"/>
      <c r="T146" s="22"/>
      <c r="U146" s="22"/>
      <c r="V146" s="22"/>
    </row>
    <row r="147" spans="1:22" ht="12.75" customHeight="1">
      <c r="A147" s="34">
        <f t="shared" si="2"/>
        <v>137</v>
      </c>
      <c r="B147" s="1">
        <v>2021</v>
      </c>
      <c r="C147" s="32">
        <v>5</v>
      </c>
      <c r="D147" s="32">
        <v>548.61000000000001</v>
      </c>
      <c r="E147" s="2">
        <v>0.11</v>
      </c>
      <c r="F147" s="2">
        <v>2.71</v>
      </c>
      <c r="G147" s="2">
        <v>365.87</v>
      </c>
      <c r="H147" s="29">
        <v>0</v>
      </c>
      <c r="I147" s="29">
        <v>0</v>
      </c>
      <c r="J147" s="29">
        <v>0</v>
      </c>
      <c r="K147" s="29">
        <v>0</v>
      </c>
      <c r="L147" s="29">
        <v>1</v>
      </c>
      <c r="M147" s="29">
        <v>0</v>
      </c>
      <c r="N147" s="29">
        <v>0</v>
      </c>
      <c r="O147">
        <v>0</v>
      </c>
      <c r="P147">
        <v>0</v>
      </c>
      <c r="Q147">
        <v>0</v>
      </c>
      <c r="S147" s="22"/>
      <c r="T147" s="22"/>
      <c r="U147" s="22"/>
      <c r="V147" s="22"/>
    </row>
    <row r="148" spans="1:22" ht="12.75" customHeight="1">
      <c r="A148" s="34">
        <f t="shared" si="2"/>
        <v>138</v>
      </c>
      <c r="B148" s="1">
        <v>2021</v>
      </c>
      <c r="C148" s="32">
        <v>6</v>
      </c>
      <c r="D148" s="32">
        <v>599.57000000000005</v>
      </c>
      <c r="E148" s="2">
        <v>0</v>
      </c>
      <c r="F148" s="2">
        <v>6.9900000000000002</v>
      </c>
      <c r="G148" s="2">
        <v>365.81</v>
      </c>
      <c r="H148" s="29">
        <v>0</v>
      </c>
      <c r="I148" s="29">
        <v>0</v>
      </c>
      <c r="J148" s="29">
        <v>0</v>
      </c>
      <c r="K148" s="29">
        <v>0</v>
      </c>
      <c r="L148" s="29">
        <v>0</v>
      </c>
      <c r="M148" s="29">
        <v>1</v>
      </c>
      <c r="N148" s="29">
        <v>0</v>
      </c>
      <c r="O148">
        <v>0</v>
      </c>
      <c r="P148">
        <v>0</v>
      </c>
      <c r="Q148">
        <v>0</v>
      </c>
      <c r="S148" s="22"/>
      <c r="T148" s="22"/>
      <c r="U148" s="22"/>
      <c r="V148" s="22"/>
    </row>
    <row r="149" spans="1:22" ht="12.75" customHeight="1">
      <c r="A149" s="34">
        <f t="shared" si="2"/>
        <v>139</v>
      </c>
      <c r="B149" s="1">
        <v>2021</v>
      </c>
      <c r="C149" s="32">
        <v>7</v>
      </c>
      <c r="D149" s="32">
        <v>695.00999999999999</v>
      </c>
      <c r="E149" s="2">
        <v>0</v>
      </c>
      <c r="F149" s="2">
        <v>14.32</v>
      </c>
      <c r="G149" s="2">
        <v>365.77999999999997</v>
      </c>
      <c r="H149" s="29">
        <v>0</v>
      </c>
      <c r="I149" s="29">
        <v>0</v>
      </c>
      <c r="J149" s="29">
        <v>0</v>
      </c>
      <c r="K149" s="29">
        <v>0</v>
      </c>
      <c r="L149" s="29">
        <v>0</v>
      </c>
      <c r="M149" s="29">
        <v>0</v>
      </c>
      <c r="N149" s="29">
        <v>1</v>
      </c>
      <c r="O149">
        <v>0</v>
      </c>
      <c r="P149">
        <v>0</v>
      </c>
      <c r="Q149">
        <v>0</v>
      </c>
      <c r="S149" s="22"/>
      <c r="T149" s="22"/>
      <c r="U149" s="22"/>
      <c r="V149" s="22"/>
    </row>
    <row r="150" spans="19:22" ht="12.75" customHeight="1">
      <c r="S150" s="22"/>
      <c r="T150" s="22"/>
      <c r="U150" s="22"/>
      <c r="V150" s="22"/>
    </row>
    <row r="151" spans="19:22" ht="12.75" customHeight="1">
      <c r="S151" s="22"/>
      <c r="T151" s="22"/>
      <c r="U151" s="22"/>
      <c r="V151" s="22"/>
    </row>
    <row r="152" spans="19:22" ht="12.75" customHeight="1">
      <c r="S152" s="22"/>
      <c r="T152" s="22"/>
      <c r="U152" s="22"/>
      <c r="V152" s="22"/>
    </row>
    <row r="153" spans="19:22" ht="12.75" customHeight="1">
      <c r="S153" s="22"/>
      <c r="T153" s="22"/>
      <c r="U153" s="22"/>
      <c r="V153" s="22"/>
    </row>
    <row r="154" spans="19:22" ht="12.75" customHeight="1">
      <c r="S154" s="22"/>
      <c r="T154" s="22"/>
      <c r="U154" s="22"/>
      <c r="V154" s="22"/>
    </row>
  </sheetData>
  <mergeCells count="6">
    <mergeCell ref="B9:Q9"/>
    <mergeCell ref="B1:Q1"/>
    <mergeCell ref="B2:Q2"/>
    <mergeCell ref="B3:Q3"/>
    <mergeCell ref="B4:Q4"/>
    <mergeCell ref="B6:Q6"/>
  </mergeCells>
  <pageMargins left="1.5" right="0.75" top="1" bottom="1" header="0.5" footer="0.5"/>
  <pageSetup orientation="portrait" scale="61" r:id="rId1"/>
  <headerFooter alignWithMargins="0">
    <oddHeader>&amp;RSchedule II-H-2.2
Page &amp;P of &amp;N</oddHeader>
  </headerFooter>
  <rowBreaks count="2" manualBreakCount="2">
    <brk id="58" max="16" man="1"/>
    <brk id="106" max="1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L154"/>
  <sheetViews>
    <sheetView showOutlineSymbols="0" view="pageBreakPreview" zoomScaleNormal="100" zoomScaleSheetLayoutView="100" workbookViewId="0" topLeftCell="A1">
      <pane xSplit="3" ySplit="10" topLeftCell="D11" activePane="bottomRight" state="frozen"/>
      <selection pane="topLeft" activeCell="A1" sqref="A1"/>
      <selection pane="bottomLeft" activeCell="A1" sqref="A1"/>
      <selection pane="topRight" activeCell="A1" sqref="A1"/>
      <selection pane="bottomRight" activeCell="A1" sqref="A1"/>
    </sheetView>
  </sheetViews>
  <sheetFormatPr defaultRowHeight="12.75" customHeight="1"/>
  <cols>
    <col min="1" max="1" width="4.42857142857143" style="4" bestFit="1" customWidth="1"/>
    <col min="2" max="2" width="5" style="1" bestFit="1" customWidth="1"/>
    <col min="3" max="3" width="5.85714285714286" style="1" bestFit="1" customWidth="1"/>
    <col min="4" max="4" width="9.14285714285714" style="1" customWidth="1"/>
    <col min="5" max="5" width="12.5714285714286" style="2" bestFit="1" customWidth="1"/>
    <col min="6" max="6" width="10.1428571428571" style="2" bestFit="1" customWidth="1"/>
    <col min="7" max="9" width="4.57142857142857" style="2" bestFit="1" customWidth="1"/>
    <col min="12" max="12" width="4.57142857142857" bestFit="1" customWidth="1"/>
  </cols>
  <sheetData>
    <row r="1" spans="2:9" ht="15.6">
      <c r="B1" s="47" t="str">
        <f>+Introduction!B1</f>
        <v xml:space="preserve">PUC DOCKET NO. </v>
      </c>
      <c r="C1" s="47"/>
      <c r="D1" s="47"/>
      <c r="E1" s="47"/>
      <c r="F1" s="47"/>
      <c r="G1" s="48"/>
      <c r="H1" s="48"/>
      <c r="I1" s="48"/>
    </row>
    <row r="2" spans="2:9" ht="15.6">
      <c r="B2" s="47" t="str">
        <f>+Introduction!B2</f>
        <v>ONCOR ELECTRIC DELIVERY COMPANY LLC</v>
      </c>
      <c r="C2" s="47"/>
      <c r="D2" s="47"/>
      <c r="E2" s="47"/>
      <c r="F2" s="47"/>
      <c r="G2" s="48"/>
      <c r="H2" s="48"/>
      <c r="I2" s="48"/>
    </row>
    <row r="3" spans="2:9" ht="12.75" customHeight="1">
      <c r="B3" s="47" t="str">
        <f>+Introduction!B3</f>
        <v>MODEL DATA</v>
      </c>
      <c r="C3" s="47"/>
      <c r="D3" s="47"/>
      <c r="E3" s="47"/>
      <c r="F3" s="47"/>
      <c r="G3" s="48"/>
      <c r="H3" s="48"/>
      <c r="I3" s="48"/>
    </row>
    <row r="4" spans="2:9" ht="15.6">
      <c r="B4" s="47" t="str">
        <f>+Introduction!B4</f>
        <v>FOR THE TEST YEAR ENDING DECEMBER 31, 2021</v>
      </c>
      <c r="C4" s="47"/>
      <c r="D4" s="47"/>
      <c r="E4" s="47"/>
      <c r="F4" s="47"/>
      <c r="G4" s="47"/>
      <c r="H4" s="47"/>
      <c r="I4" s="47"/>
    </row>
    <row r="5" spans="2:9" ht="12.75" customHeight="1">
      <c r="B5" s="14"/>
      <c r="C5" s="14"/>
      <c r="D5" s="14"/>
      <c r="E5" s="14"/>
      <c r="F5" s="14"/>
      <c r="G5" s="17"/>
      <c r="H5" s="17"/>
      <c r="I5" s="17"/>
    </row>
    <row r="6" spans="2:9" ht="12.75" customHeight="1">
      <c r="B6" s="47" t="str">
        <f>+Introduction!B6</f>
        <v>SPONSOR: D. E. NELSON</v>
      </c>
      <c r="C6" s="47"/>
      <c r="D6" s="47"/>
      <c r="E6" s="47"/>
      <c r="F6" s="47"/>
      <c r="G6" s="48"/>
      <c r="H6" s="48"/>
      <c r="I6" s="48"/>
    </row>
    <row r="8" spans="2:9" ht="12.75" customHeight="1">
      <c r="B8" s="9" t="s">
        <v>4</v>
      </c>
      <c r="C8" s="9" t="s">
        <v>5</v>
      </c>
      <c r="D8" s="9" t="s">
        <v>7</v>
      </c>
      <c r="E8" s="10" t="s">
        <v>6</v>
      </c>
      <c r="F8" s="10" t="s">
        <v>8</v>
      </c>
      <c r="G8" s="10" t="s">
        <v>9</v>
      </c>
      <c r="H8" s="10" t="s">
        <v>10</v>
      </c>
      <c r="I8" s="10" t="s">
        <v>11</v>
      </c>
    </row>
    <row r="9" spans="1:9" ht="15.6">
      <c r="A9" s="4" t="s">
        <v>2</v>
      </c>
      <c r="B9" s="47" t="s">
        <v>38</v>
      </c>
      <c r="C9" s="47"/>
      <c r="D9" s="47"/>
      <c r="E9" s="47"/>
      <c r="F9" s="47"/>
      <c r="G9" s="48"/>
      <c r="H9" s="48"/>
      <c r="I9" s="48"/>
    </row>
    <row r="10" spans="1:9" s="21" customFormat="1" ht="12.75" customHeight="1">
      <c r="A10" s="20" t="s">
        <v>3</v>
      </c>
      <c r="B10" s="41" t="s">
        <v>53</v>
      </c>
      <c r="C10" s="41" t="s">
        <v>0</v>
      </c>
      <c r="D10" s="38" t="s">
        <v>50</v>
      </c>
      <c r="E10" s="38" t="s">
        <v>69</v>
      </c>
      <c r="F10" s="38" t="s">
        <v>51</v>
      </c>
      <c r="G10" s="38" t="s">
        <v>20</v>
      </c>
      <c r="H10" s="38" t="s">
        <v>22</v>
      </c>
      <c r="I10" s="38" t="s">
        <v>28</v>
      </c>
    </row>
    <row r="11" spans="1:9" ht="12.75" customHeight="1">
      <c r="A11" s="4">
        <v>1</v>
      </c>
      <c r="B11">
        <v>2010</v>
      </c>
      <c r="C11">
        <v>1</v>
      </c>
      <c r="D11" s="19">
        <v>24981.860000000001</v>
      </c>
      <c r="E11" s="19">
        <v>0.13</v>
      </c>
      <c r="F11" s="23">
        <v>352414.28999999998</v>
      </c>
      <c r="G11" s="23">
        <v>0</v>
      </c>
      <c r="H11" s="23">
        <v>0</v>
      </c>
      <c r="I11" s="23">
        <v>0</v>
      </c>
    </row>
    <row r="12" spans="1:9" ht="12.75" customHeight="1">
      <c r="A12" s="4">
        <f t="shared" si="0" ref="A12:A43">+A11+1</f>
        <v>2</v>
      </c>
      <c r="B12">
        <v>2010</v>
      </c>
      <c r="C12">
        <v>2</v>
      </c>
      <c r="D12" s="19">
        <v>26601.470000000001</v>
      </c>
      <c r="E12" s="19">
        <v>0.16</v>
      </c>
      <c r="F12" s="23">
        <v>352965.22999999998</v>
      </c>
      <c r="G12" s="23">
        <v>1</v>
      </c>
      <c r="H12" s="23">
        <v>0</v>
      </c>
      <c r="I12" s="23">
        <v>0</v>
      </c>
    </row>
    <row r="13" spans="1:9" ht="12.75" customHeight="1">
      <c r="A13" s="4">
        <f t="shared" si="0"/>
        <v>3</v>
      </c>
      <c r="B13">
        <v>2010</v>
      </c>
      <c r="C13">
        <v>3</v>
      </c>
      <c r="D13" s="19">
        <v>27419.110000000001</v>
      </c>
      <c r="E13" s="19">
        <v>0.33000000000000002</v>
      </c>
      <c r="F13" s="23">
        <v>352853.34999999998</v>
      </c>
      <c r="G13" s="23">
        <v>0</v>
      </c>
      <c r="H13" s="23">
        <v>0</v>
      </c>
      <c r="I13" s="23">
        <v>0</v>
      </c>
    </row>
    <row r="14" spans="1:9" ht="12.75" customHeight="1">
      <c r="A14" s="4">
        <f t="shared" si="0"/>
        <v>4</v>
      </c>
      <c r="B14">
        <v>2010</v>
      </c>
      <c r="C14">
        <v>4</v>
      </c>
      <c r="D14" s="19">
        <v>27698.189999999999</v>
      </c>
      <c r="E14" s="19">
        <v>2.9300000000000002</v>
      </c>
      <c r="F14" s="23">
        <v>352446.70000000001</v>
      </c>
      <c r="G14" s="23">
        <v>0</v>
      </c>
      <c r="H14" s="23">
        <v>1</v>
      </c>
      <c r="I14" s="23">
        <v>0</v>
      </c>
    </row>
    <row r="15" spans="1:9" ht="12.75" customHeight="1">
      <c r="A15" s="4">
        <f t="shared" si="0"/>
        <v>5</v>
      </c>
      <c r="B15">
        <v>2010</v>
      </c>
      <c r="C15">
        <v>5</v>
      </c>
      <c r="D15" s="19">
        <v>24508</v>
      </c>
      <c r="E15" s="19">
        <v>6.4400000000000004</v>
      </c>
      <c r="F15" s="23">
        <v>352305.21999999997</v>
      </c>
      <c r="G15" s="23">
        <v>0</v>
      </c>
      <c r="H15" s="23">
        <v>0</v>
      </c>
      <c r="I15" s="23">
        <v>0</v>
      </c>
    </row>
    <row r="16" spans="1:9" ht="12.75" customHeight="1">
      <c r="A16" s="4">
        <f t="shared" si="0"/>
        <v>6</v>
      </c>
      <c r="B16">
        <v>2010</v>
      </c>
      <c r="C16">
        <v>6</v>
      </c>
      <c r="D16" s="19">
        <v>28722.439999999999</v>
      </c>
      <c r="E16" s="19">
        <v>16.210000000000001</v>
      </c>
      <c r="F16" s="23">
        <v>352836.46999999997</v>
      </c>
      <c r="G16" s="23">
        <v>0</v>
      </c>
      <c r="H16" s="23">
        <v>0</v>
      </c>
      <c r="I16" s="23">
        <v>0</v>
      </c>
    </row>
    <row r="17" spans="1:9" ht="12.75" customHeight="1">
      <c r="A17" s="4">
        <f t="shared" si="0"/>
        <v>7</v>
      </c>
      <c r="B17">
        <v>2010</v>
      </c>
      <c r="C17">
        <v>7</v>
      </c>
      <c r="D17" s="19">
        <v>29662.68</v>
      </c>
      <c r="E17" s="19">
        <v>18.850000000000001</v>
      </c>
      <c r="F17" s="23">
        <v>353968.57000000001</v>
      </c>
      <c r="G17" s="23">
        <v>0</v>
      </c>
      <c r="H17" s="23">
        <v>0</v>
      </c>
      <c r="I17" s="23">
        <v>0</v>
      </c>
    </row>
    <row r="18" spans="1:9" ht="12.75" customHeight="1">
      <c r="A18" s="4">
        <f t="shared" si="0"/>
        <v>8</v>
      </c>
      <c r="B18">
        <v>2010</v>
      </c>
      <c r="C18">
        <v>8</v>
      </c>
      <c r="D18" s="19">
        <v>30286.299999999999</v>
      </c>
      <c r="E18" s="19">
        <v>20.899999999999999</v>
      </c>
      <c r="F18" s="23">
        <v>355481.63</v>
      </c>
      <c r="G18" s="23">
        <v>0</v>
      </c>
      <c r="H18" s="23">
        <v>0</v>
      </c>
      <c r="I18" s="23">
        <v>0</v>
      </c>
    </row>
    <row r="19" spans="1:9" ht="12.75" customHeight="1">
      <c r="A19" s="4">
        <f t="shared" si="0"/>
        <v>9</v>
      </c>
      <c r="B19">
        <v>2010</v>
      </c>
      <c r="C19">
        <v>9</v>
      </c>
      <c r="D19" s="19">
        <v>29923.990000000002</v>
      </c>
      <c r="E19" s="19">
        <v>19.530000000000001</v>
      </c>
      <c r="F19" s="23">
        <v>357036.85999999999</v>
      </c>
      <c r="G19" s="23">
        <v>0</v>
      </c>
      <c r="H19" s="23">
        <v>0</v>
      </c>
      <c r="I19" s="23">
        <v>0</v>
      </c>
    </row>
    <row r="20" spans="1:9" ht="12.75" customHeight="1">
      <c r="A20" s="4">
        <f t="shared" si="0"/>
        <v>10</v>
      </c>
      <c r="B20">
        <v>2010</v>
      </c>
      <c r="C20">
        <v>10</v>
      </c>
      <c r="D20" s="19">
        <v>30650.209999999999</v>
      </c>
      <c r="E20" s="19">
        <v>10.380000000000001</v>
      </c>
      <c r="F20" s="23">
        <v>358231.22999999998</v>
      </c>
      <c r="G20" s="23">
        <v>0</v>
      </c>
      <c r="H20" s="23">
        <v>0</v>
      </c>
      <c r="I20" s="23">
        <v>1</v>
      </c>
    </row>
    <row r="21" spans="1:9" ht="12.75" customHeight="1">
      <c r="A21" s="4">
        <f t="shared" si="0"/>
        <v>11</v>
      </c>
      <c r="B21">
        <v>2010</v>
      </c>
      <c r="C21">
        <v>11</v>
      </c>
      <c r="D21" s="19">
        <v>27691.950000000001</v>
      </c>
      <c r="E21" s="19">
        <v>4.4000000000000004</v>
      </c>
      <c r="F21" s="23">
        <v>358610.72999999998</v>
      </c>
      <c r="G21" s="23">
        <v>0</v>
      </c>
      <c r="H21" s="23">
        <v>0</v>
      </c>
      <c r="I21" s="23">
        <v>0</v>
      </c>
    </row>
    <row r="22" spans="1:9" ht="12.75" customHeight="1">
      <c r="A22" s="4">
        <f t="shared" si="0"/>
        <v>12</v>
      </c>
      <c r="B22">
        <v>2010</v>
      </c>
      <c r="C22">
        <v>12</v>
      </c>
      <c r="D22" s="19">
        <v>26096.02</v>
      </c>
      <c r="E22" s="19">
        <v>1.24</v>
      </c>
      <c r="F22" s="23">
        <v>358064.01000000001</v>
      </c>
      <c r="G22" s="23">
        <v>0</v>
      </c>
      <c r="H22" s="23">
        <v>0</v>
      </c>
      <c r="I22" s="23">
        <v>0</v>
      </c>
    </row>
    <row r="23" spans="1:9" ht="12.75" customHeight="1">
      <c r="A23" s="4">
        <f t="shared" si="0"/>
        <v>13</v>
      </c>
      <c r="B23">
        <v>2011</v>
      </c>
      <c r="C23">
        <v>1</v>
      </c>
      <c r="D23" s="19">
        <v>25758.240000000002</v>
      </c>
      <c r="E23" s="19">
        <v>0.34000000000000002</v>
      </c>
      <c r="F23" s="23">
        <v>357578.20000000001</v>
      </c>
      <c r="G23" s="23">
        <v>0</v>
      </c>
      <c r="H23" s="23">
        <v>0</v>
      </c>
      <c r="I23" s="23">
        <v>0</v>
      </c>
    </row>
    <row r="24" spans="1:9" ht="12.75" customHeight="1">
      <c r="A24" s="4">
        <f t="shared" si="0"/>
        <v>14</v>
      </c>
      <c r="B24">
        <v>2011</v>
      </c>
      <c r="C24">
        <v>2</v>
      </c>
      <c r="D24" s="19">
        <v>26637.060000000001</v>
      </c>
      <c r="E24" s="19">
        <v>0.46000000000000002</v>
      </c>
      <c r="F24" s="23">
        <v>358426.15000000002</v>
      </c>
      <c r="G24" s="23">
        <v>1</v>
      </c>
      <c r="H24" s="23">
        <v>0</v>
      </c>
      <c r="I24" s="23">
        <v>0</v>
      </c>
    </row>
    <row r="25" spans="1:9" ht="12.75" customHeight="1">
      <c r="A25" s="4">
        <f t="shared" si="0"/>
        <v>15</v>
      </c>
      <c r="B25">
        <v>2011</v>
      </c>
      <c r="C25">
        <v>3</v>
      </c>
      <c r="D25" s="19">
        <v>29409.48</v>
      </c>
      <c r="E25" s="19">
        <v>2.6800000000000002</v>
      </c>
      <c r="F25" s="23">
        <v>361244.29999999999</v>
      </c>
      <c r="G25" s="23">
        <v>0</v>
      </c>
      <c r="H25" s="23">
        <v>0</v>
      </c>
      <c r="I25" s="23">
        <v>0</v>
      </c>
    </row>
    <row r="26" spans="1:9" ht="12.75" customHeight="1">
      <c r="A26" s="4">
        <f t="shared" si="0"/>
        <v>16</v>
      </c>
      <c r="B26">
        <v>2011</v>
      </c>
      <c r="C26">
        <v>4</v>
      </c>
      <c r="D26" s="19">
        <v>25166.110000000001</v>
      </c>
      <c r="E26" s="19">
        <v>6.4699999999999998</v>
      </c>
      <c r="F26" s="23">
        <v>364963.40000000002</v>
      </c>
      <c r="G26" s="23">
        <v>0</v>
      </c>
      <c r="H26" s="23">
        <v>1</v>
      </c>
      <c r="I26" s="23">
        <v>0</v>
      </c>
    </row>
    <row r="27" spans="1:9" ht="12.75" customHeight="1">
      <c r="A27" s="4">
        <f t="shared" si="0"/>
        <v>17</v>
      </c>
      <c r="B27">
        <v>2011</v>
      </c>
      <c r="C27">
        <v>5</v>
      </c>
      <c r="D27" s="19">
        <v>28559.27</v>
      </c>
      <c r="E27" s="19">
        <v>9.4199999999999999</v>
      </c>
      <c r="F27" s="23">
        <v>367641.08000000002</v>
      </c>
      <c r="G27" s="23">
        <v>0</v>
      </c>
      <c r="H27" s="23">
        <v>0</v>
      </c>
      <c r="I27" s="23">
        <v>0</v>
      </c>
    </row>
    <row r="28" spans="1:9" ht="12.75" customHeight="1">
      <c r="A28" s="4">
        <f t="shared" si="0"/>
        <v>18</v>
      </c>
      <c r="B28">
        <v>2011</v>
      </c>
      <c r="C28">
        <v>6</v>
      </c>
      <c r="D28" s="19">
        <v>30054.209999999999</v>
      </c>
      <c r="E28" s="19">
        <v>18.710000000000001</v>
      </c>
      <c r="F28" s="23">
        <v>368086.27000000002</v>
      </c>
      <c r="G28" s="23">
        <v>0</v>
      </c>
      <c r="H28" s="23">
        <v>0</v>
      </c>
      <c r="I28" s="23">
        <v>0</v>
      </c>
    </row>
    <row r="29" spans="1:9" ht="12.75" customHeight="1">
      <c r="A29" s="4">
        <f t="shared" si="0"/>
        <v>19</v>
      </c>
      <c r="B29">
        <v>2011</v>
      </c>
      <c r="C29">
        <v>7</v>
      </c>
      <c r="D29" s="19">
        <v>31256.02</v>
      </c>
      <c r="E29" s="19">
        <v>24.920000000000002</v>
      </c>
      <c r="F29" s="23">
        <v>367180.25</v>
      </c>
      <c r="G29" s="23">
        <v>0</v>
      </c>
      <c r="H29" s="23">
        <v>0</v>
      </c>
      <c r="I29" s="23">
        <v>0</v>
      </c>
    </row>
    <row r="30" spans="1:9" ht="12.75" customHeight="1">
      <c r="A30" s="4">
        <f t="shared" si="0"/>
        <v>20</v>
      </c>
      <c r="B30">
        <v>2011</v>
      </c>
      <c r="C30">
        <v>8</v>
      </c>
      <c r="D30" s="19">
        <v>32879.949999999997</v>
      </c>
      <c r="E30" s="19">
        <v>26.579999999999998</v>
      </c>
      <c r="F30" s="23">
        <v>366521.31</v>
      </c>
      <c r="G30" s="23">
        <v>0</v>
      </c>
      <c r="H30" s="23">
        <v>0</v>
      </c>
      <c r="I30" s="23">
        <v>0</v>
      </c>
    </row>
    <row r="31" spans="1:9" ht="12.75" customHeight="1">
      <c r="A31" s="4">
        <f t="shared" si="0"/>
        <v>21</v>
      </c>
      <c r="B31">
        <v>2011</v>
      </c>
      <c r="C31">
        <v>9</v>
      </c>
      <c r="D31" s="19">
        <v>31307</v>
      </c>
      <c r="E31" s="19">
        <v>21.969999999999999</v>
      </c>
      <c r="F31" s="23">
        <v>367268.76000000001</v>
      </c>
      <c r="G31" s="23">
        <v>0</v>
      </c>
      <c r="H31" s="23">
        <v>0</v>
      </c>
      <c r="I31" s="23">
        <v>0</v>
      </c>
    </row>
    <row r="32" spans="1:9" ht="12.75" customHeight="1">
      <c r="A32" s="4">
        <f t="shared" si="0"/>
        <v>22</v>
      </c>
      <c r="B32">
        <v>2011</v>
      </c>
      <c r="C32">
        <v>10</v>
      </c>
      <c r="D32" s="19">
        <v>29920.919999999998</v>
      </c>
      <c r="E32" s="19">
        <v>11.69</v>
      </c>
      <c r="F32" s="23">
        <v>369169.09000000003</v>
      </c>
      <c r="G32" s="23">
        <v>0</v>
      </c>
      <c r="H32" s="23">
        <v>0</v>
      </c>
      <c r="I32" s="23">
        <v>1</v>
      </c>
    </row>
    <row r="33" spans="1:9" ht="12.75" customHeight="1">
      <c r="A33" s="4">
        <f t="shared" si="0"/>
        <v>23</v>
      </c>
      <c r="B33">
        <v>2011</v>
      </c>
      <c r="C33">
        <v>11</v>
      </c>
      <c r="D33" s="19">
        <v>28671.939999999999</v>
      </c>
      <c r="E33" s="19">
        <v>4.25</v>
      </c>
      <c r="F33" s="23">
        <v>371529.97999999998</v>
      </c>
      <c r="G33" s="23">
        <v>0</v>
      </c>
      <c r="H33" s="23">
        <v>0</v>
      </c>
      <c r="I33" s="23">
        <v>0</v>
      </c>
    </row>
    <row r="34" spans="1:9" ht="12.75" customHeight="1">
      <c r="A34" s="4">
        <f t="shared" si="0"/>
        <v>24</v>
      </c>
      <c r="B34">
        <v>2011</v>
      </c>
      <c r="C34">
        <v>12</v>
      </c>
      <c r="D34" s="19">
        <v>27535.18</v>
      </c>
      <c r="E34" s="19">
        <v>0.90000000000000002</v>
      </c>
      <c r="F34" s="23">
        <v>373768.34000000003</v>
      </c>
      <c r="G34" s="23">
        <v>0</v>
      </c>
      <c r="H34" s="23">
        <v>0</v>
      </c>
      <c r="I34" s="23">
        <v>0</v>
      </c>
    </row>
    <row r="35" spans="1:9" ht="12.75" customHeight="1">
      <c r="A35" s="4">
        <f t="shared" si="0"/>
        <v>25</v>
      </c>
      <c r="B35">
        <v>2012</v>
      </c>
      <c r="C35">
        <v>1</v>
      </c>
      <c r="D35" s="19">
        <v>27409.34</v>
      </c>
      <c r="E35" s="19">
        <v>0.17000000000000001</v>
      </c>
      <c r="F35" s="23">
        <v>375639.65000000002</v>
      </c>
      <c r="G35" s="23">
        <v>0</v>
      </c>
      <c r="H35" s="23">
        <v>0</v>
      </c>
      <c r="I35" s="23">
        <v>0</v>
      </c>
    </row>
    <row r="36" spans="1:9" ht="12.75" customHeight="1">
      <c r="A36" s="4">
        <f t="shared" si="0"/>
        <v>26</v>
      </c>
      <c r="B36">
        <v>2012</v>
      </c>
      <c r="C36">
        <v>2</v>
      </c>
      <c r="D36" s="19">
        <v>28729.310000000001</v>
      </c>
      <c r="E36" s="19">
        <v>0.48999999999999999</v>
      </c>
      <c r="F36" s="23">
        <v>376901.95000000001</v>
      </c>
      <c r="G36" s="23">
        <v>1</v>
      </c>
      <c r="H36" s="23">
        <v>0</v>
      </c>
      <c r="I36" s="23">
        <v>0</v>
      </c>
    </row>
    <row r="37" spans="1:9" ht="12.75" customHeight="1">
      <c r="A37" s="4">
        <f t="shared" si="0"/>
        <v>27</v>
      </c>
      <c r="B37">
        <v>2012</v>
      </c>
      <c r="C37">
        <v>3</v>
      </c>
      <c r="D37" s="19">
        <v>28258.27</v>
      </c>
      <c r="E37" s="19">
        <v>1.97</v>
      </c>
      <c r="F37" s="23">
        <v>377503.19</v>
      </c>
      <c r="G37" s="23">
        <v>0</v>
      </c>
      <c r="H37" s="23">
        <v>0</v>
      </c>
      <c r="I37" s="23">
        <v>0</v>
      </c>
    </row>
    <row r="38" spans="1:9" ht="12.75" customHeight="1">
      <c r="A38" s="4">
        <f t="shared" si="0"/>
        <v>28</v>
      </c>
      <c r="B38">
        <v>2012</v>
      </c>
      <c r="C38">
        <v>4</v>
      </c>
      <c r="D38" s="19">
        <v>29122.459999999999</v>
      </c>
      <c r="E38" s="19">
        <v>6.1500000000000004</v>
      </c>
      <c r="F38" s="23">
        <v>377489.90000000002</v>
      </c>
      <c r="G38" s="23">
        <v>0</v>
      </c>
      <c r="H38" s="23">
        <v>1</v>
      </c>
      <c r="I38" s="23">
        <v>0</v>
      </c>
    </row>
    <row r="39" spans="1:9" ht="12.75" customHeight="1">
      <c r="A39" s="4">
        <f t="shared" si="0"/>
        <v>29</v>
      </c>
      <c r="B39">
        <v>2012</v>
      </c>
      <c r="C39">
        <v>5</v>
      </c>
      <c r="D39" s="19">
        <v>30717.240000000002</v>
      </c>
      <c r="E39" s="19">
        <v>10.890000000000001</v>
      </c>
      <c r="F39" s="23">
        <v>376932.53999999998</v>
      </c>
      <c r="G39" s="23">
        <v>0</v>
      </c>
      <c r="H39" s="23">
        <v>0</v>
      </c>
      <c r="I39" s="23">
        <v>0</v>
      </c>
    </row>
    <row r="40" spans="1:9" ht="12.75" customHeight="1">
      <c r="A40" s="4">
        <f t="shared" si="0"/>
        <v>30</v>
      </c>
      <c r="B40">
        <v>2012</v>
      </c>
      <c r="C40">
        <v>6</v>
      </c>
      <c r="D40" s="19">
        <v>31065.459999999999</v>
      </c>
      <c r="E40" s="19">
        <v>16.41</v>
      </c>
      <c r="F40" s="23">
        <v>376081.90999999997</v>
      </c>
      <c r="G40" s="23">
        <v>0</v>
      </c>
      <c r="H40" s="23">
        <v>0</v>
      </c>
      <c r="I40" s="23">
        <v>0</v>
      </c>
    </row>
    <row r="41" spans="1:9" ht="12.75" customHeight="1">
      <c r="A41" s="4">
        <f t="shared" si="0"/>
        <v>31</v>
      </c>
      <c r="B41">
        <v>2012</v>
      </c>
      <c r="C41">
        <v>7</v>
      </c>
      <c r="D41" s="19">
        <v>31856.869999999999</v>
      </c>
      <c r="E41" s="19">
        <v>20.84</v>
      </c>
      <c r="F41" s="23">
        <v>375644.59999999998</v>
      </c>
      <c r="G41" s="23">
        <v>0</v>
      </c>
      <c r="H41" s="23">
        <v>0</v>
      </c>
      <c r="I41" s="23">
        <v>0</v>
      </c>
    </row>
    <row r="42" spans="1:9" ht="12.75" customHeight="1">
      <c r="A42" s="4">
        <f t="shared" si="0"/>
        <v>32</v>
      </c>
      <c r="B42">
        <v>2012</v>
      </c>
      <c r="C42">
        <v>8</v>
      </c>
      <c r="D42" s="19">
        <v>33394.610000000001</v>
      </c>
      <c r="E42" s="19">
        <v>22.82</v>
      </c>
      <c r="F42" s="23">
        <v>376495.46999999997</v>
      </c>
      <c r="G42" s="23">
        <v>0</v>
      </c>
      <c r="H42" s="23">
        <v>0</v>
      </c>
      <c r="I42" s="23">
        <v>0</v>
      </c>
    </row>
    <row r="43" spans="1:9" ht="12.75" customHeight="1">
      <c r="A43" s="4">
        <f t="shared" si="0"/>
        <v>33</v>
      </c>
      <c r="B43">
        <v>2012</v>
      </c>
      <c r="C43">
        <v>9</v>
      </c>
      <c r="D43" s="19">
        <v>32225.27</v>
      </c>
      <c r="E43" s="19">
        <v>18.449999999999999</v>
      </c>
      <c r="F43" s="23">
        <v>378958.13</v>
      </c>
      <c r="G43" s="23">
        <v>0</v>
      </c>
      <c r="H43" s="23">
        <v>0</v>
      </c>
      <c r="I43" s="23">
        <v>0</v>
      </c>
    </row>
    <row r="44" spans="1:9" ht="12.75" customHeight="1">
      <c r="A44" s="4">
        <f t="shared" si="1" ref="A44:A75">+A43+1</f>
        <v>34</v>
      </c>
      <c r="B44">
        <v>2012</v>
      </c>
      <c r="C44">
        <v>10</v>
      </c>
      <c r="D44" s="19">
        <v>31127.900000000001</v>
      </c>
      <c r="E44" s="19">
        <v>9.9399999999999995</v>
      </c>
      <c r="F44" s="23">
        <v>381897.34999999998</v>
      </c>
      <c r="G44" s="23">
        <v>0</v>
      </c>
      <c r="H44" s="23">
        <v>0</v>
      </c>
      <c r="I44" s="23">
        <v>1</v>
      </c>
    </row>
    <row r="45" spans="1:9" ht="12.75" customHeight="1">
      <c r="A45" s="4">
        <f t="shared" si="1"/>
        <v>35</v>
      </c>
      <c r="B45">
        <v>2012</v>
      </c>
      <c r="C45">
        <v>11</v>
      </c>
      <c r="D45" s="19">
        <v>30256.029999999999</v>
      </c>
      <c r="E45" s="19">
        <v>4.6699999999999999</v>
      </c>
      <c r="F45" s="23">
        <v>383710.13</v>
      </c>
      <c r="G45" s="23">
        <v>0</v>
      </c>
      <c r="H45" s="23">
        <v>0</v>
      </c>
      <c r="I45" s="23">
        <v>0</v>
      </c>
    </row>
    <row r="46" spans="1:9" ht="12.75" customHeight="1">
      <c r="A46" s="4">
        <f t="shared" si="1"/>
        <v>36</v>
      </c>
      <c r="B46">
        <v>2012</v>
      </c>
      <c r="C46">
        <v>12</v>
      </c>
      <c r="D46" s="19">
        <v>28836.610000000001</v>
      </c>
      <c r="E46" s="19">
        <v>1.8799999999999999</v>
      </c>
      <c r="F46" s="23">
        <v>383412.92999999999</v>
      </c>
      <c r="G46" s="23">
        <v>0</v>
      </c>
      <c r="H46" s="23">
        <v>0</v>
      </c>
      <c r="I46" s="23">
        <v>0</v>
      </c>
    </row>
    <row r="47" spans="1:9" ht="12.75" customHeight="1">
      <c r="A47" s="4">
        <f t="shared" si="1"/>
        <v>37</v>
      </c>
      <c r="B47">
        <v>2013</v>
      </c>
      <c r="C47">
        <v>1</v>
      </c>
      <c r="D47" s="19">
        <v>28071.18</v>
      </c>
      <c r="E47" s="19">
        <v>0.35999999999999999</v>
      </c>
      <c r="F47" s="23">
        <v>381981.04999999999</v>
      </c>
      <c r="G47" s="23">
        <v>0</v>
      </c>
      <c r="H47" s="23">
        <v>0</v>
      </c>
      <c r="I47" s="23">
        <v>0</v>
      </c>
    </row>
    <row r="48" spans="1:9" ht="12.75" customHeight="1">
      <c r="A48" s="4">
        <f t="shared" si="1"/>
        <v>38</v>
      </c>
      <c r="B48">
        <v>2013</v>
      </c>
      <c r="C48">
        <v>2</v>
      </c>
      <c r="D48" s="19">
        <v>29496.919999999998</v>
      </c>
      <c r="E48" s="19">
        <v>0.69999999999999996</v>
      </c>
      <c r="F48" s="23">
        <v>381083.71999999997</v>
      </c>
      <c r="G48" s="23">
        <v>1</v>
      </c>
      <c r="H48" s="23">
        <v>0</v>
      </c>
      <c r="I48" s="23">
        <v>0</v>
      </c>
    </row>
    <row r="49" spans="1:9" ht="12.75" customHeight="1">
      <c r="A49" s="4">
        <f t="shared" si="1"/>
        <v>39</v>
      </c>
      <c r="B49">
        <v>2013</v>
      </c>
      <c r="C49">
        <v>3</v>
      </c>
      <c r="D49" s="19">
        <v>29742.07</v>
      </c>
      <c r="E49" s="19">
        <v>0.94999999999999996</v>
      </c>
      <c r="F49" s="23">
        <v>381755.01000000001</v>
      </c>
      <c r="G49" s="23">
        <v>0</v>
      </c>
      <c r="H49" s="23">
        <v>0</v>
      </c>
      <c r="I49" s="23">
        <v>0</v>
      </c>
    </row>
    <row r="50" spans="1:9" ht="12.75" customHeight="1">
      <c r="A50" s="4">
        <f t="shared" si="1"/>
        <v>40</v>
      </c>
      <c r="B50">
        <v>2013</v>
      </c>
      <c r="C50">
        <v>4</v>
      </c>
      <c r="D50" s="19">
        <v>30336.959999999999</v>
      </c>
      <c r="E50" s="19">
        <v>3.48</v>
      </c>
      <c r="F50" s="23">
        <v>383812.73999999999</v>
      </c>
      <c r="G50" s="23">
        <v>0</v>
      </c>
      <c r="H50" s="23">
        <v>1</v>
      </c>
      <c r="I50" s="23">
        <v>0</v>
      </c>
    </row>
    <row r="51" spans="1:9" ht="12.75" customHeight="1">
      <c r="A51" s="4">
        <f t="shared" si="1"/>
        <v>41</v>
      </c>
      <c r="B51">
        <v>2013</v>
      </c>
      <c r="C51">
        <v>5</v>
      </c>
      <c r="D51" s="19">
        <v>30334.619999999999</v>
      </c>
      <c r="E51" s="19">
        <v>6.6399999999999997</v>
      </c>
      <c r="F51" s="23">
        <v>386574.97999999998</v>
      </c>
      <c r="G51" s="23">
        <v>0</v>
      </c>
      <c r="H51" s="23">
        <v>0</v>
      </c>
      <c r="I51" s="23">
        <v>0</v>
      </c>
    </row>
    <row r="52" spans="1:9" ht="12.75" customHeight="1">
      <c r="A52" s="4">
        <f t="shared" si="1"/>
        <v>42</v>
      </c>
      <c r="B52">
        <v>2013</v>
      </c>
      <c r="C52">
        <v>6</v>
      </c>
      <c r="D52" s="19">
        <v>31713.709999999999</v>
      </c>
      <c r="E52" s="19">
        <v>15.02</v>
      </c>
      <c r="F52" s="23">
        <v>389437.03000000003</v>
      </c>
      <c r="G52" s="23">
        <v>0</v>
      </c>
      <c r="H52" s="23">
        <v>0</v>
      </c>
      <c r="I52" s="23">
        <v>0</v>
      </c>
    </row>
    <row r="53" spans="1:9" ht="12.75" customHeight="1">
      <c r="A53" s="4">
        <f t="shared" si="1"/>
        <v>43</v>
      </c>
      <c r="B53">
        <v>2013</v>
      </c>
      <c r="C53">
        <v>7</v>
      </c>
      <c r="D53" s="19">
        <v>32598.759999999998</v>
      </c>
      <c r="E53" s="19">
        <v>19.530000000000001</v>
      </c>
      <c r="F53" s="23">
        <v>392157.15000000002</v>
      </c>
      <c r="G53" s="23">
        <v>0</v>
      </c>
      <c r="H53" s="23">
        <v>0</v>
      </c>
      <c r="I53" s="23">
        <v>0</v>
      </c>
    </row>
    <row r="54" spans="1:9" ht="12.75" customHeight="1">
      <c r="A54" s="4">
        <f t="shared" si="1"/>
        <v>44</v>
      </c>
      <c r="B54">
        <v>2013</v>
      </c>
      <c r="C54">
        <v>8</v>
      </c>
      <c r="D54" s="19">
        <v>33664.470000000001</v>
      </c>
      <c r="E54" s="19">
        <v>20.800000000000001</v>
      </c>
      <c r="F54" s="23">
        <v>394648.98999999999</v>
      </c>
      <c r="G54" s="23">
        <v>0</v>
      </c>
      <c r="H54" s="23">
        <v>0</v>
      </c>
      <c r="I54" s="23">
        <v>0</v>
      </c>
    </row>
    <row r="55" spans="1:9" ht="12.75" customHeight="1">
      <c r="A55" s="4">
        <f t="shared" si="1"/>
        <v>45</v>
      </c>
      <c r="B55">
        <v>2013</v>
      </c>
      <c r="C55">
        <v>9</v>
      </c>
      <c r="D55" s="19">
        <v>33206.57</v>
      </c>
      <c r="E55" s="19">
        <v>20</v>
      </c>
      <c r="F55" s="23">
        <v>396629.83000000002</v>
      </c>
      <c r="G55" s="23">
        <v>0</v>
      </c>
      <c r="H55" s="23">
        <v>0</v>
      </c>
      <c r="I55" s="23">
        <v>0</v>
      </c>
    </row>
    <row r="56" spans="1:9" ht="12.75" customHeight="1">
      <c r="A56" s="4">
        <f t="shared" si="1"/>
        <v>46</v>
      </c>
      <c r="B56">
        <v>2013</v>
      </c>
      <c r="C56">
        <v>10</v>
      </c>
      <c r="D56" s="19">
        <v>32308.57</v>
      </c>
      <c r="E56" s="19">
        <v>12.17</v>
      </c>
      <c r="F56" s="23">
        <v>397702.28000000003</v>
      </c>
      <c r="G56" s="23">
        <v>0</v>
      </c>
      <c r="H56" s="23">
        <v>0</v>
      </c>
      <c r="I56" s="23">
        <v>1</v>
      </c>
    </row>
    <row r="57" spans="1:9" ht="12.75" customHeight="1">
      <c r="A57" s="4">
        <f t="shared" si="1"/>
        <v>47</v>
      </c>
      <c r="B57">
        <v>2013</v>
      </c>
      <c r="C57">
        <v>11</v>
      </c>
      <c r="D57" s="19">
        <v>30375.380000000001</v>
      </c>
      <c r="E57" s="19">
        <v>3.8700000000000001</v>
      </c>
      <c r="F57" s="23">
        <v>397378.46000000002</v>
      </c>
      <c r="G57" s="23">
        <v>0</v>
      </c>
      <c r="H57" s="23">
        <v>0</v>
      </c>
      <c r="I57" s="23">
        <v>0</v>
      </c>
    </row>
    <row r="58" spans="1:9" ht="12.75" customHeight="1">
      <c r="A58" s="4">
        <f t="shared" si="1"/>
        <v>48</v>
      </c>
      <c r="B58">
        <v>2013</v>
      </c>
      <c r="C58">
        <v>12</v>
      </c>
      <c r="D58" s="19">
        <v>29249.560000000001</v>
      </c>
      <c r="E58" s="19">
        <v>1.1000000000000001</v>
      </c>
      <c r="F58" s="23">
        <v>395615.45000000001</v>
      </c>
      <c r="G58" s="23">
        <v>0</v>
      </c>
      <c r="H58" s="23">
        <v>0</v>
      </c>
      <c r="I58" s="23">
        <v>0</v>
      </c>
    </row>
    <row r="59" spans="1:9" ht="12.75" customHeight="1">
      <c r="A59" s="4">
        <f t="shared" si="1"/>
        <v>49</v>
      </c>
      <c r="B59">
        <v>2014</v>
      </c>
      <c r="C59">
        <v>1</v>
      </c>
      <c r="D59" s="19">
        <v>28619.610000000001</v>
      </c>
      <c r="E59" s="19">
        <v>0.14999999999999999</v>
      </c>
      <c r="F59" s="23">
        <v>393805.66999999998</v>
      </c>
      <c r="G59" s="23">
        <v>0</v>
      </c>
      <c r="H59" s="23">
        <v>0</v>
      </c>
      <c r="I59" s="23">
        <v>0</v>
      </c>
    </row>
    <row r="60" spans="1:9" ht="12.75" customHeight="1">
      <c r="A60" s="4">
        <f t="shared" si="1"/>
        <v>50</v>
      </c>
      <c r="B60">
        <v>2014</v>
      </c>
      <c r="C60">
        <v>2</v>
      </c>
      <c r="D60" s="19">
        <v>29509.080000000002</v>
      </c>
      <c r="E60" s="19">
        <v>0.31</v>
      </c>
      <c r="F60" s="23">
        <v>393811.88</v>
      </c>
      <c r="G60" s="23">
        <v>1</v>
      </c>
      <c r="H60" s="23">
        <v>0</v>
      </c>
      <c r="I60" s="23">
        <v>0</v>
      </c>
    </row>
    <row r="61" spans="1:9" ht="12.75" customHeight="1">
      <c r="A61" s="4">
        <f t="shared" si="1"/>
        <v>51</v>
      </c>
      <c r="B61">
        <v>2014</v>
      </c>
      <c r="C61">
        <v>3</v>
      </c>
      <c r="D61" s="19">
        <v>29367.310000000001</v>
      </c>
      <c r="E61" s="19">
        <v>1.1499999999999999</v>
      </c>
      <c r="F61" s="23">
        <v>396655.54999999999</v>
      </c>
      <c r="G61" s="23">
        <v>0</v>
      </c>
      <c r="H61" s="23">
        <v>0</v>
      </c>
      <c r="I61" s="23">
        <v>0</v>
      </c>
    </row>
    <row r="62" spans="1:9" ht="12.75" customHeight="1">
      <c r="A62" s="4">
        <f t="shared" si="1"/>
        <v>52</v>
      </c>
      <c r="B62">
        <v>2014</v>
      </c>
      <c r="C62">
        <v>4</v>
      </c>
      <c r="D62" s="19">
        <v>29900.41</v>
      </c>
      <c r="E62" s="19">
        <v>3.48</v>
      </c>
      <c r="F62" s="23">
        <v>401566.83000000002</v>
      </c>
      <c r="G62" s="23">
        <v>0</v>
      </c>
      <c r="H62" s="23">
        <v>1</v>
      </c>
      <c r="I62" s="23">
        <v>0</v>
      </c>
    </row>
    <row r="63" spans="1:9" ht="12.75" customHeight="1">
      <c r="A63" s="4">
        <f t="shared" si="1"/>
        <v>53</v>
      </c>
      <c r="B63">
        <v>2014</v>
      </c>
      <c r="C63">
        <v>5</v>
      </c>
      <c r="D63" s="19">
        <v>30826.029999999999</v>
      </c>
      <c r="E63" s="19">
        <v>8.3000000000000007</v>
      </c>
      <c r="F63" s="23">
        <v>406865.27000000002</v>
      </c>
      <c r="G63" s="23">
        <v>0</v>
      </c>
      <c r="H63" s="23">
        <v>0</v>
      </c>
      <c r="I63" s="23">
        <v>0</v>
      </c>
    </row>
    <row r="64" spans="1:9" ht="12.75" customHeight="1">
      <c r="A64" s="4">
        <f t="shared" si="1"/>
        <v>54</v>
      </c>
      <c r="B64">
        <v>2014</v>
      </c>
      <c r="C64">
        <v>6</v>
      </c>
      <c r="D64" s="19">
        <v>31978.619999999999</v>
      </c>
      <c r="E64" s="19">
        <v>14.289999999999999</v>
      </c>
      <c r="F64" s="23">
        <v>411172.98999999999</v>
      </c>
      <c r="G64" s="23">
        <v>0</v>
      </c>
      <c r="H64" s="23">
        <v>0</v>
      </c>
      <c r="I64" s="23">
        <v>0</v>
      </c>
    </row>
    <row r="65" spans="1:9" ht="12.75" customHeight="1">
      <c r="A65" s="4">
        <f t="shared" si="1"/>
        <v>55</v>
      </c>
      <c r="B65">
        <v>2014</v>
      </c>
      <c r="C65">
        <v>7</v>
      </c>
      <c r="D65" s="19">
        <v>32105.700000000001</v>
      </c>
      <c r="E65" s="19">
        <v>18.600000000000001</v>
      </c>
      <c r="F65" s="23">
        <v>413994.65000000002</v>
      </c>
      <c r="G65" s="23">
        <v>0</v>
      </c>
      <c r="H65" s="23">
        <v>0</v>
      </c>
      <c r="I65" s="23">
        <v>0</v>
      </c>
    </row>
    <row r="66" spans="1:9" ht="12.75" customHeight="1">
      <c r="A66" s="4">
        <f t="shared" si="1"/>
        <v>56</v>
      </c>
      <c r="B66">
        <v>2014</v>
      </c>
      <c r="C66">
        <v>8</v>
      </c>
      <c r="D66" s="19">
        <v>34062.459999999999</v>
      </c>
      <c r="E66" s="19">
        <v>19.800000000000001</v>
      </c>
      <c r="F66" s="23">
        <v>415165.78000000003</v>
      </c>
      <c r="G66" s="23">
        <v>0</v>
      </c>
      <c r="H66" s="23">
        <v>0</v>
      </c>
      <c r="I66" s="23">
        <v>0</v>
      </c>
    </row>
    <row r="67" spans="1:9" ht="12.75" customHeight="1">
      <c r="A67" s="4">
        <f t="shared" si="1"/>
        <v>57</v>
      </c>
      <c r="B67">
        <v>2014</v>
      </c>
      <c r="C67">
        <v>9</v>
      </c>
      <c r="D67" s="19">
        <v>33770.089999999997</v>
      </c>
      <c r="E67" s="19">
        <v>18.940000000000001</v>
      </c>
      <c r="F67" s="23">
        <v>414838.64000000001</v>
      </c>
      <c r="G67" s="23">
        <v>0</v>
      </c>
      <c r="H67" s="23">
        <v>0</v>
      </c>
      <c r="I67" s="23">
        <v>0</v>
      </c>
    </row>
    <row r="68" spans="1:9" ht="12.75" customHeight="1">
      <c r="A68" s="4">
        <f t="shared" si="1"/>
        <v>58</v>
      </c>
      <c r="B68">
        <v>2014</v>
      </c>
      <c r="C68">
        <v>10</v>
      </c>
      <c r="D68" s="19">
        <v>33359.970000000001</v>
      </c>
      <c r="E68" s="19">
        <v>10.98</v>
      </c>
      <c r="F68" s="23">
        <v>414318.07000000001</v>
      </c>
      <c r="G68" s="23">
        <v>0</v>
      </c>
      <c r="H68" s="23">
        <v>0</v>
      </c>
      <c r="I68" s="23">
        <v>1</v>
      </c>
    </row>
    <row r="69" spans="1:9" ht="12.75" customHeight="1">
      <c r="A69" s="4">
        <f t="shared" si="1"/>
        <v>59</v>
      </c>
      <c r="B69">
        <v>2014</v>
      </c>
      <c r="C69">
        <v>11</v>
      </c>
      <c r="D69" s="19">
        <v>32689.650000000001</v>
      </c>
      <c r="E69" s="19">
        <v>5.1399999999999997</v>
      </c>
      <c r="F69" s="23">
        <v>415207.31</v>
      </c>
      <c r="G69" s="23">
        <v>0</v>
      </c>
      <c r="H69" s="23">
        <v>0</v>
      </c>
      <c r="I69" s="23">
        <v>0</v>
      </c>
    </row>
    <row r="70" spans="1:9" ht="12.75" customHeight="1">
      <c r="A70" s="4">
        <f t="shared" si="1"/>
        <v>60</v>
      </c>
      <c r="B70">
        <v>2014</v>
      </c>
      <c r="C70">
        <v>12</v>
      </c>
      <c r="D70" s="19">
        <v>30998.650000000001</v>
      </c>
      <c r="E70" s="19">
        <v>0.80000000000000004</v>
      </c>
      <c r="F70" s="23">
        <v>418414.53999999998</v>
      </c>
      <c r="G70" s="23">
        <v>0</v>
      </c>
      <c r="H70" s="23">
        <v>0</v>
      </c>
      <c r="I70" s="23">
        <v>0</v>
      </c>
    </row>
    <row r="71" spans="1:9" ht="12.75" customHeight="1">
      <c r="A71" s="4">
        <f t="shared" si="1"/>
        <v>61</v>
      </c>
      <c r="B71">
        <v>2015</v>
      </c>
      <c r="C71">
        <v>1</v>
      </c>
      <c r="D71" s="19">
        <v>30019.490000000002</v>
      </c>
      <c r="E71" s="19">
        <v>0.28000000000000003</v>
      </c>
      <c r="F71" s="23">
        <v>422687.33000000002</v>
      </c>
      <c r="G71" s="23">
        <v>0</v>
      </c>
      <c r="H71" s="23">
        <v>0</v>
      </c>
      <c r="I71" s="23">
        <v>0</v>
      </c>
    </row>
    <row r="72" spans="1:9" ht="12.75" customHeight="1">
      <c r="A72" s="4">
        <f t="shared" si="1"/>
        <v>62</v>
      </c>
      <c r="B72">
        <v>2015</v>
      </c>
      <c r="C72">
        <v>2</v>
      </c>
      <c r="D72" s="19">
        <v>31064.5</v>
      </c>
      <c r="E72" s="19">
        <v>0.37</v>
      </c>
      <c r="F72" s="23">
        <v>425809.95000000001</v>
      </c>
      <c r="G72" s="23">
        <v>1</v>
      </c>
      <c r="H72" s="23">
        <v>0</v>
      </c>
      <c r="I72" s="23">
        <v>0</v>
      </c>
    </row>
    <row r="73" spans="1:9" ht="12.75" customHeight="1">
      <c r="A73" s="4">
        <f t="shared" si="1"/>
        <v>63</v>
      </c>
      <c r="B73">
        <v>2015</v>
      </c>
      <c r="C73">
        <v>3</v>
      </c>
      <c r="D73" s="19">
        <v>31317.009999999998</v>
      </c>
      <c r="E73" s="19">
        <v>0.56999999999999995</v>
      </c>
      <c r="F73" s="23">
        <v>426761.03000000003</v>
      </c>
      <c r="G73" s="23">
        <v>0</v>
      </c>
      <c r="H73" s="23">
        <v>0</v>
      </c>
      <c r="I73" s="23">
        <v>0</v>
      </c>
    </row>
    <row r="74" spans="1:9" ht="12.75" customHeight="1">
      <c r="A74" s="4">
        <f t="shared" si="1"/>
        <v>64</v>
      </c>
      <c r="B74">
        <v>2015</v>
      </c>
      <c r="C74">
        <v>4</v>
      </c>
      <c r="D74" s="19">
        <v>31874.470000000001</v>
      </c>
      <c r="E74" s="19">
        <v>3.9100000000000001</v>
      </c>
      <c r="F74" s="23">
        <v>426416.21000000002</v>
      </c>
      <c r="G74" s="23">
        <v>0</v>
      </c>
      <c r="H74" s="23">
        <v>1</v>
      </c>
      <c r="I74" s="23">
        <v>0</v>
      </c>
    </row>
    <row r="75" spans="1:9" ht="12.75" customHeight="1">
      <c r="A75" s="4">
        <f t="shared" si="1"/>
        <v>65</v>
      </c>
      <c r="B75">
        <v>2015</v>
      </c>
      <c r="C75">
        <v>5</v>
      </c>
      <c r="D75" s="19">
        <v>32793.339999999997</v>
      </c>
      <c r="E75" s="19">
        <v>6.3099999999999996</v>
      </c>
      <c r="F75" s="23">
        <v>426334.29999999999</v>
      </c>
      <c r="G75" s="23">
        <v>0</v>
      </c>
      <c r="H75" s="23">
        <v>0</v>
      </c>
      <c r="I75" s="23">
        <v>0</v>
      </c>
    </row>
    <row r="76" spans="1:9" ht="12.75" customHeight="1">
      <c r="A76" s="4">
        <f t="shared" si="2" ref="A76:A139">+A75+1</f>
        <v>66</v>
      </c>
      <c r="B76">
        <v>2015</v>
      </c>
      <c r="C76">
        <v>6</v>
      </c>
      <c r="D76" s="19">
        <v>31483.82</v>
      </c>
      <c r="E76" s="19">
        <v>10.9</v>
      </c>
      <c r="F76" s="23">
        <v>427607.71000000002</v>
      </c>
      <c r="G76" s="23">
        <v>0</v>
      </c>
      <c r="H76" s="23">
        <v>0</v>
      </c>
      <c r="I76" s="23">
        <v>0</v>
      </c>
    </row>
    <row r="77" spans="1:9" ht="12.75" customHeight="1">
      <c r="A77" s="4">
        <f t="shared" si="2"/>
        <v>67</v>
      </c>
      <c r="B77">
        <v>2015</v>
      </c>
      <c r="C77">
        <v>7</v>
      </c>
      <c r="D77" s="19">
        <v>34157.199999999997</v>
      </c>
      <c r="E77" s="19">
        <v>18.120000000000001</v>
      </c>
      <c r="F77" s="23">
        <v>429641.98999999999</v>
      </c>
      <c r="G77" s="23">
        <v>0</v>
      </c>
      <c r="H77" s="23">
        <v>0</v>
      </c>
      <c r="I77" s="23">
        <v>0</v>
      </c>
    </row>
    <row r="78" spans="1:9" ht="12.75" customHeight="1">
      <c r="A78" s="4">
        <f t="shared" si="2"/>
        <v>68</v>
      </c>
      <c r="B78">
        <v>2015</v>
      </c>
      <c r="C78">
        <v>8</v>
      </c>
      <c r="D78" s="19">
        <v>35220.18</v>
      </c>
      <c r="E78" s="19">
        <v>23.149999999999999</v>
      </c>
      <c r="F78" s="23">
        <v>431286.53999999998</v>
      </c>
      <c r="G78" s="23">
        <v>0</v>
      </c>
      <c r="H78" s="23">
        <v>0</v>
      </c>
      <c r="I78" s="23">
        <v>0</v>
      </c>
    </row>
    <row r="79" spans="1:9" ht="12.75" customHeight="1">
      <c r="A79" s="4">
        <f t="shared" si="2"/>
        <v>69</v>
      </c>
      <c r="B79">
        <v>2015</v>
      </c>
      <c r="C79">
        <v>9</v>
      </c>
      <c r="D79" s="19">
        <v>33752.809999999998</v>
      </c>
      <c r="E79" s="19">
        <v>20.18</v>
      </c>
      <c r="F79" s="23">
        <v>431702.47999999998</v>
      </c>
      <c r="G79" s="23">
        <v>0</v>
      </c>
      <c r="H79" s="23">
        <v>0</v>
      </c>
      <c r="I79" s="23">
        <v>0</v>
      </c>
    </row>
    <row r="80" spans="1:9" ht="12.75" customHeight="1">
      <c r="A80" s="4">
        <f t="shared" si="2"/>
        <v>70</v>
      </c>
      <c r="B80">
        <v>2015</v>
      </c>
      <c r="C80">
        <v>10</v>
      </c>
      <c r="D80" s="19">
        <v>33488.870000000003</v>
      </c>
      <c r="E80" s="19">
        <v>13.85</v>
      </c>
      <c r="F80" s="23">
        <v>431282.76000000001</v>
      </c>
      <c r="G80" s="23">
        <v>0</v>
      </c>
      <c r="H80" s="23">
        <v>0</v>
      </c>
      <c r="I80" s="23">
        <v>1</v>
      </c>
    </row>
    <row r="81" spans="1:9" ht="12.75" customHeight="1">
      <c r="A81" s="4">
        <f t="shared" si="2"/>
        <v>71</v>
      </c>
      <c r="B81">
        <v>2015</v>
      </c>
      <c r="C81">
        <v>11</v>
      </c>
      <c r="D81" s="19">
        <v>22478.299999999999</v>
      </c>
      <c r="E81" s="19">
        <v>5.5700000000000003</v>
      </c>
      <c r="F81" s="23">
        <v>430763.21000000002</v>
      </c>
      <c r="G81" s="23">
        <v>0</v>
      </c>
      <c r="H81" s="23">
        <v>0</v>
      </c>
      <c r="I81" s="23">
        <v>0</v>
      </c>
    </row>
    <row r="82" spans="1:9" ht="12.75" customHeight="1">
      <c r="A82" s="4">
        <f t="shared" si="2"/>
        <v>72</v>
      </c>
      <c r="B82">
        <v>2015</v>
      </c>
      <c r="C82">
        <v>12</v>
      </c>
      <c r="D82" s="19">
        <v>29078.400000000001</v>
      </c>
      <c r="E82" s="19">
        <v>1.29</v>
      </c>
      <c r="F82" s="23">
        <v>430739.14000000001</v>
      </c>
      <c r="G82" s="23">
        <v>0</v>
      </c>
      <c r="H82" s="23">
        <v>0</v>
      </c>
      <c r="I82" s="23">
        <v>0</v>
      </c>
    </row>
    <row r="83" spans="1:9" ht="12.75" customHeight="1">
      <c r="A83" s="4">
        <f t="shared" si="2"/>
        <v>73</v>
      </c>
      <c r="B83">
        <v>2016</v>
      </c>
      <c r="C83">
        <v>1</v>
      </c>
      <c r="D83" s="19">
        <v>29513.900000000001</v>
      </c>
      <c r="E83" s="19">
        <v>0.59999999999999998</v>
      </c>
      <c r="F83" s="23">
        <v>431387.64000000001</v>
      </c>
      <c r="G83" s="23">
        <v>0</v>
      </c>
      <c r="H83" s="23">
        <v>0</v>
      </c>
      <c r="I83" s="23">
        <v>0</v>
      </c>
    </row>
    <row r="84" spans="1:9" ht="12.75" customHeight="1">
      <c r="A84" s="4">
        <f t="shared" si="2"/>
        <v>74</v>
      </c>
      <c r="B84">
        <v>2016</v>
      </c>
      <c r="C84">
        <v>2</v>
      </c>
      <c r="D84" s="19">
        <v>30171.130000000001</v>
      </c>
      <c r="E84" s="19">
        <v>0.39000000000000001</v>
      </c>
      <c r="F84" s="23">
        <v>432681.03999999998</v>
      </c>
      <c r="G84" s="23">
        <v>1</v>
      </c>
      <c r="H84" s="23">
        <v>0</v>
      </c>
      <c r="I84" s="23">
        <v>0</v>
      </c>
    </row>
    <row r="85" spans="1:9" ht="12.75" customHeight="1">
      <c r="A85" s="4">
        <f t="shared" si="2"/>
        <v>75</v>
      </c>
      <c r="B85">
        <v>2016</v>
      </c>
      <c r="C85">
        <v>3</v>
      </c>
      <c r="D85" s="19">
        <v>29634.02</v>
      </c>
      <c r="E85" s="19">
        <v>1.9099999999999999</v>
      </c>
      <c r="F85" s="23">
        <v>434567.54999999999</v>
      </c>
      <c r="G85" s="23">
        <v>0</v>
      </c>
      <c r="H85" s="23">
        <v>0</v>
      </c>
      <c r="I85" s="23">
        <v>0</v>
      </c>
    </row>
    <row r="86" spans="1:9" ht="12.75" customHeight="1">
      <c r="A86" s="4">
        <f t="shared" si="2"/>
        <v>76</v>
      </c>
      <c r="B86">
        <v>2016</v>
      </c>
      <c r="C86">
        <v>4</v>
      </c>
      <c r="D86" s="19">
        <v>30312.939999999999</v>
      </c>
      <c r="E86" s="19">
        <v>3.25</v>
      </c>
      <c r="F86" s="23">
        <v>436726.03999999998</v>
      </c>
      <c r="G86" s="23">
        <v>0</v>
      </c>
      <c r="H86" s="23">
        <v>1</v>
      </c>
      <c r="I86" s="23">
        <v>0</v>
      </c>
    </row>
    <row r="87" spans="1:9" ht="12.75" customHeight="1">
      <c r="A87" s="4">
        <f t="shared" si="2"/>
        <v>77</v>
      </c>
      <c r="B87">
        <v>2016</v>
      </c>
      <c r="C87">
        <v>5</v>
      </c>
      <c r="D87" s="19">
        <v>30823.209999999999</v>
      </c>
      <c r="E87" s="19">
        <v>7</v>
      </c>
      <c r="F87" s="23">
        <v>438673.21999999997</v>
      </c>
      <c r="G87" s="23">
        <v>0</v>
      </c>
      <c r="H87" s="23">
        <v>0</v>
      </c>
      <c r="I87" s="23">
        <v>0</v>
      </c>
    </row>
    <row r="88" spans="1:9" ht="12.75" customHeight="1">
      <c r="A88" s="4">
        <f t="shared" si="2"/>
        <v>78</v>
      </c>
      <c r="B88">
        <v>2016</v>
      </c>
      <c r="C88">
        <v>6</v>
      </c>
      <c r="D88" s="19">
        <v>30859.68</v>
      </c>
      <c r="E88" s="19">
        <v>12.33</v>
      </c>
      <c r="F88" s="23">
        <v>440090.34000000003</v>
      </c>
      <c r="G88" s="23">
        <v>0</v>
      </c>
      <c r="H88" s="23">
        <v>0</v>
      </c>
      <c r="I88" s="23">
        <v>0</v>
      </c>
    </row>
    <row r="89" spans="1:9" ht="12.75" customHeight="1">
      <c r="A89" s="4">
        <f t="shared" si="2"/>
        <v>79</v>
      </c>
      <c r="B89">
        <v>2016</v>
      </c>
      <c r="C89">
        <v>7</v>
      </c>
      <c r="D89" s="19">
        <v>33166.889999999999</v>
      </c>
      <c r="E89" s="19">
        <v>20.579999999999998</v>
      </c>
      <c r="F89" s="23">
        <v>441065.65000000002</v>
      </c>
      <c r="G89" s="23">
        <v>0</v>
      </c>
      <c r="H89" s="23">
        <v>0</v>
      </c>
      <c r="I89" s="23">
        <v>0</v>
      </c>
    </row>
    <row r="90" spans="1:9" ht="12.75" customHeight="1">
      <c r="A90" s="28">
        <f t="shared" si="2"/>
        <v>80</v>
      </c>
      <c r="B90" s="1">
        <v>2016</v>
      </c>
      <c r="C90">
        <v>8</v>
      </c>
      <c r="D90" s="31">
        <v>34003.160000000003</v>
      </c>
      <c r="E90" s="2">
        <v>23.170000000000002</v>
      </c>
      <c r="F90" s="29">
        <v>441845.09999999998</v>
      </c>
      <c r="G90" s="29">
        <v>0</v>
      </c>
      <c r="H90" s="29">
        <v>0</v>
      </c>
      <c r="I90" s="29">
        <v>0</v>
      </c>
    </row>
    <row r="91" spans="1:9" ht="12.75" customHeight="1">
      <c r="A91" s="28">
        <f t="shared" si="2"/>
        <v>81</v>
      </c>
      <c r="B91" s="1">
        <v>2016</v>
      </c>
      <c r="C91">
        <v>9</v>
      </c>
      <c r="D91" s="31">
        <v>32903.099999999999</v>
      </c>
      <c r="E91" s="2">
        <v>17.440000000000001</v>
      </c>
      <c r="F91" s="29">
        <v>442630.46000000002</v>
      </c>
      <c r="G91" s="29">
        <v>0</v>
      </c>
      <c r="H91" s="29">
        <v>0</v>
      </c>
      <c r="I91" s="29">
        <v>0</v>
      </c>
    </row>
    <row r="92" spans="1:9" ht="12.75" customHeight="1">
      <c r="A92" s="28">
        <f t="shared" si="2"/>
        <v>82</v>
      </c>
      <c r="B92" s="1">
        <v>2016</v>
      </c>
      <c r="C92">
        <v>10</v>
      </c>
      <c r="D92" s="31">
        <v>33395.389999999999</v>
      </c>
      <c r="E92" s="2">
        <v>13.119999999999999</v>
      </c>
      <c r="F92" s="29">
        <v>443643.69</v>
      </c>
      <c r="G92" s="29">
        <v>0</v>
      </c>
      <c r="H92" s="29">
        <v>0</v>
      </c>
      <c r="I92" s="29">
        <v>1</v>
      </c>
    </row>
    <row r="93" spans="1:9" ht="12.75" customHeight="1">
      <c r="A93" s="28">
        <f t="shared" si="2"/>
        <v>83</v>
      </c>
      <c r="B93" s="1">
        <v>2016</v>
      </c>
      <c r="C93">
        <v>11</v>
      </c>
      <c r="D93" s="31">
        <v>31269.139999999999</v>
      </c>
      <c r="E93" s="2">
        <v>8.0399999999999991</v>
      </c>
      <c r="F93" s="29">
        <v>445079.60999999999</v>
      </c>
      <c r="G93" s="29">
        <v>0</v>
      </c>
      <c r="H93" s="29">
        <v>0</v>
      </c>
      <c r="I93" s="29">
        <v>0</v>
      </c>
    </row>
    <row r="94" spans="1:9" ht="12.75" customHeight="1">
      <c r="A94" s="28">
        <f t="shared" si="2"/>
        <v>84</v>
      </c>
      <c r="B94" s="1">
        <v>2016</v>
      </c>
      <c r="C94">
        <v>12</v>
      </c>
      <c r="D94" s="31">
        <v>29958.700000000001</v>
      </c>
      <c r="E94" s="2">
        <v>1.98</v>
      </c>
      <c r="F94" s="29">
        <v>446979.92999999999</v>
      </c>
      <c r="G94" s="29">
        <v>0</v>
      </c>
      <c r="H94" s="29">
        <v>0</v>
      </c>
      <c r="I94" s="29">
        <v>0</v>
      </c>
    </row>
    <row r="95" spans="1:9" ht="12.75" customHeight="1">
      <c r="A95" s="28">
        <f t="shared" si="2"/>
        <v>85</v>
      </c>
      <c r="B95" s="1">
        <v>2017</v>
      </c>
      <c r="C95">
        <v>1</v>
      </c>
      <c r="D95" s="31">
        <v>29888.93</v>
      </c>
      <c r="E95" s="2">
        <v>0.76000000000000001</v>
      </c>
      <c r="F95" s="29">
        <v>448919.65999999997</v>
      </c>
      <c r="G95" s="29">
        <v>0</v>
      </c>
      <c r="H95" s="29">
        <v>0</v>
      </c>
      <c r="I95" s="29">
        <v>0</v>
      </c>
    </row>
    <row r="96" spans="1:9" ht="12.75" customHeight="1">
      <c r="A96" s="28">
        <f t="shared" si="2"/>
        <v>86</v>
      </c>
      <c r="B96" s="1">
        <v>2017</v>
      </c>
      <c r="C96">
        <v>2</v>
      </c>
      <c r="D96" s="31">
        <v>30184.66</v>
      </c>
      <c r="E96" s="2">
        <v>1.0800000000000001</v>
      </c>
      <c r="F96" s="29">
        <v>450204.94</v>
      </c>
      <c r="G96" s="29">
        <v>1</v>
      </c>
      <c r="H96" s="29">
        <v>0</v>
      </c>
      <c r="I96" s="29">
        <v>0</v>
      </c>
    </row>
    <row r="97" spans="1:9" ht="12.75" customHeight="1">
      <c r="A97" s="28">
        <f t="shared" si="2"/>
        <v>87</v>
      </c>
      <c r="B97" s="1">
        <v>2017</v>
      </c>
      <c r="C97">
        <v>3</v>
      </c>
      <c r="D97" s="31">
        <v>30713.619999999999</v>
      </c>
      <c r="E97" s="2">
        <v>2.6800000000000002</v>
      </c>
      <c r="F97" s="29">
        <v>450603.14000000001</v>
      </c>
      <c r="G97" s="29">
        <v>0</v>
      </c>
      <c r="H97" s="29">
        <v>0</v>
      </c>
      <c r="I97" s="29">
        <v>0</v>
      </c>
    </row>
    <row r="98" spans="1:9" ht="12.75" customHeight="1">
      <c r="A98" s="28">
        <f t="shared" si="2"/>
        <v>88</v>
      </c>
      <c r="B98" s="1">
        <v>2017</v>
      </c>
      <c r="C98">
        <v>4</v>
      </c>
      <c r="D98" s="31">
        <v>31630.650000000001</v>
      </c>
      <c r="E98" s="2">
        <v>5.54</v>
      </c>
      <c r="F98" s="29">
        <v>450554.65999999997</v>
      </c>
      <c r="G98" s="29">
        <v>0</v>
      </c>
      <c r="H98" s="29">
        <v>1</v>
      </c>
      <c r="I98" s="29">
        <v>0</v>
      </c>
    </row>
    <row r="99" spans="1:9" ht="12.75" customHeight="1">
      <c r="A99" s="28">
        <f t="shared" si="2"/>
        <v>89</v>
      </c>
      <c r="B99" s="1">
        <v>2017</v>
      </c>
      <c r="C99">
        <v>5</v>
      </c>
      <c r="D99" s="31">
        <v>31924.799999999999</v>
      </c>
      <c r="E99" s="2">
        <v>7.7800000000000002</v>
      </c>
      <c r="F99" s="29">
        <v>450752.27000000002</v>
      </c>
      <c r="G99" s="29">
        <v>0</v>
      </c>
      <c r="H99" s="29">
        <v>0</v>
      </c>
      <c r="I99" s="29">
        <v>0</v>
      </c>
    </row>
    <row r="100" spans="1:9" ht="12.75" customHeight="1">
      <c r="A100" s="28">
        <f t="shared" si="2"/>
        <v>90</v>
      </c>
      <c r="B100" s="1">
        <v>2017</v>
      </c>
      <c r="C100">
        <v>6</v>
      </c>
      <c r="D100" s="31">
        <v>32322.360000000001</v>
      </c>
      <c r="E100" s="2">
        <v>13</v>
      </c>
      <c r="F100" s="29">
        <v>451733.90999999997</v>
      </c>
      <c r="G100" s="29">
        <v>0</v>
      </c>
      <c r="H100" s="29">
        <v>0</v>
      </c>
      <c r="I100" s="29">
        <v>0</v>
      </c>
    </row>
    <row r="101" spans="1:9" ht="12.75" customHeight="1">
      <c r="A101" s="28">
        <f t="shared" si="2"/>
        <v>91</v>
      </c>
      <c r="B101" s="1">
        <v>2017</v>
      </c>
      <c r="C101">
        <v>7</v>
      </c>
      <c r="D101" s="31">
        <v>34109.599999999999</v>
      </c>
      <c r="E101" s="2">
        <v>19.469999999999999</v>
      </c>
      <c r="F101" s="29">
        <v>453475.60999999999</v>
      </c>
      <c r="G101" s="29">
        <v>0</v>
      </c>
      <c r="H101" s="29">
        <v>0</v>
      </c>
      <c r="I101" s="29">
        <v>0</v>
      </c>
    </row>
    <row r="102" spans="1:9" ht="12.75" customHeight="1">
      <c r="A102" s="28">
        <f t="shared" si="2"/>
        <v>92</v>
      </c>
      <c r="B102" s="1">
        <v>2017</v>
      </c>
      <c r="C102">
        <v>8</v>
      </c>
      <c r="D102" s="31">
        <v>35109.040000000001</v>
      </c>
      <c r="E102" s="2">
        <v>20.59</v>
      </c>
      <c r="F102" s="29">
        <v>455788.5</v>
      </c>
      <c r="G102" s="29">
        <v>0</v>
      </c>
      <c r="H102" s="29">
        <v>0</v>
      </c>
      <c r="I102" s="29">
        <v>0</v>
      </c>
    </row>
    <row r="103" spans="1:9" ht="12.75" customHeight="1">
      <c r="A103" s="28">
        <f t="shared" si="2"/>
        <v>93</v>
      </c>
      <c r="B103" s="1">
        <v>2017</v>
      </c>
      <c r="C103">
        <v>9</v>
      </c>
      <c r="D103" s="31">
        <v>33538.639999999999</v>
      </c>
      <c r="E103" s="2">
        <v>16.969999999999999</v>
      </c>
      <c r="F103" s="29">
        <v>458273.59999999998</v>
      </c>
      <c r="G103" s="29">
        <v>0</v>
      </c>
      <c r="H103" s="29">
        <v>0</v>
      </c>
      <c r="I103" s="29">
        <v>0</v>
      </c>
    </row>
    <row r="104" spans="1:9" ht="12.75" customHeight="1">
      <c r="A104" s="28">
        <f t="shared" si="2"/>
        <v>94</v>
      </c>
      <c r="B104" s="1">
        <v>2017</v>
      </c>
      <c r="C104">
        <v>10</v>
      </c>
      <c r="D104" s="31">
        <v>33719.739999999998</v>
      </c>
      <c r="E104" s="2">
        <v>13.119999999999999</v>
      </c>
      <c r="F104" s="29">
        <v>460351.14000000001</v>
      </c>
      <c r="G104" s="29">
        <v>0</v>
      </c>
      <c r="H104" s="29">
        <v>0</v>
      </c>
      <c r="I104" s="29">
        <v>1</v>
      </c>
    </row>
    <row r="105" spans="1:9" ht="12.75" customHeight="1">
      <c r="A105" s="28">
        <f t="shared" si="2"/>
        <v>95</v>
      </c>
      <c r="B105" s="1">
        <v>2017</v>
      </c>
      <c r="C105">
        <v>11</v>
      </c>
      <c r="D105" s="31">
        <v>37084.720000000001</v>
      </c>
      <c r="E105" s="2">
        <v>5.4100000000000001</v>
      </c>
      <c r="F105" s="29">
        <v>461333.21999999997</v>
      </c>
      <c r="G105" s="29">
        <v>0</v>
      </c>
      <c r="H105" s="29">
        <v>0</v>
      </c>
      <c r="I105" s="29">
        <v>0</v>
      </c>
    </row>
    <row r="106" spans="1:9" ht="12.75" customHeight="1">
      <c r="A106" s="28">
        <f t="shared" si="2"/>
        <v>96</v>
      </c>
      <c r="B106" s="1">
        <v>2017</v>
      </c>
      <c r="C106">
        <v>12</v>
      </c>
      <c r="D106" s="31">
        <v>35522.790000000001</v>
      </c>
      <c r="E106" s="2">
        <v>2.1400000000000001</v>
      </c>
      <c r="F106" s="29">
        <v>460942.41999999998</v>
      </c>
      <c r="G106" s="29">
        <v>0</v>
      </c>
      <c r="H106" s="29">
        <v>0</v>
      </c>
      <c r="I106" s="29">
        <v>0</v>
      </c>
    </row>
    <row r="107" spans="1:9" ht="12.75" customHeight="1">
      <c r="A107" s="28">
        <f t="shared" si="2"/>
        <v>97</v>
      </c>
      <c r="B107" s="1">
        <v>2018</v>
      </c>
      <c r="C107">
        <v>1</v>
      </c>
      <c r="D107" s="31">
        <v>34310.029999999999</v>
      </c>
      <c r="E107" s="2">
        <v>0.29999999999999999</v>
      </c>
      <c r="F107" s="29">
        <v>460224.81</v>
      </c>
      <c r="G107" s="29">
        <v>0</v>
      </c>
      <c r="H107" s="29">
        <v>0</v>
      </c>
      <c r="I107" s="29">
        <v>0</v>
      </c>
    </row>
    <row r="108" spans="1:9" ht="12.75" customHeight="1">
      <c r="A108" s="28">
        <f t="shared" si="2"/>
        <v>98</v>
      </c>
      <c r="B108" s="1">
        <v>2018</v>
      </c>
      <c r="C108">
        <v>2</v>
      </c>
      <c r="D108" s="31">
        <v>37100.779999999999</v>
      </c>
      <c r="E108" s="2">
        <v>0.35999999999999999</v>
      </c>
      <c r="F108" s="29">
        <v>460616.59000000003</v>
      </c>
      <c r="G108" s="29">
        <v>1</v>
      </c>
      <c r="H108" s="29">
        <v>0</v>
      </c>
      <c r="I108" s="29">
        <v>0</v>
      </c>
    </row>
    <row r="109" spans="1:9" ht="12.75" customHeight="1">
      <c r="A109" s="28">
        <f t="shared" si="2"/>
        <v>99</v>
      </c>
      <c r="B109" s="1">
        <v>2018</v>
      </c>
      <c r="C109">
        <v>3</v>
      </c>
      <c r="D109" s="31">
        <v>37312.830000000002</v>
      </c>
      <c r="E109" s="2">
        <v>1.6000000000000001</v>
      </c>
      <c r="F109" s="29">
        <v>462960.33000000002</v>
      </c>
      <c r="G109" s="29">
        <v>0</v>
      </c>
      <c r="H109" s="29">
        <v>0</v>
      </c>
      <c r="I109" s="29">
        <v>0</v>
      </c>
    </row>
    <row r="110" spans="1:9" ht="12.75" customHeight="1">
      <c r="A110" s="28">
        <f t="shared" si="2"/>
        <v>100</v>
      </c>
      <c r="B110" s="1">
        <v>2018</v>
      </c>
      <c r="C110">
        <v>4</v>
      </c>
      <c r="D110" s="31">
        <v>38843.360000000001</v>
      </c>
      <c r="E110" s="2">
        <v>4.1100000000000003</v>
      </c>
      <c r="F110" s="29">
        <v>466665.14000000001</v>
      </c>
      <c r="G110" s="29">
        <v>0</v>
      </c>
      <c r="H110" s="29">
        <v>1</v>
      </c>
      <c r="I110" s="29">
        <v>0</v>
      </c>
    </row>
    <row r="111" spans="1:9" ht="12.75" customHeight="1">
      <c r="A111" s="28">
        <f t="shared" si="2"/>
        <v>101</v>
      </c>
      <c r="B111" s="1">
        <v>2018</v>
      </c>
      <c r="C111">
        <v>5</v>
      </c>
      <c r="D111" s="31">
        <v>38921.809999999998</v>
      </c>
      <c r="E111" s="2">
        <v>7.4800000000000004</v>
      </c>
      <c r="F111" s="29">
        <v>470419.98999999999</v>
      </c>
      <c r="G111" s="29">
        <v>0</v>
      </c>
      <c r="H111" s="29">
        <v>0</v>
      </c>
      <c r="I111" s="29">
        <v>0</v>
      </c>
    </row>
    <row r="112" spans="1:9" ht="12.75" customHeight="1">
      <c r="A112" s="28">
        <f t="shared" si="2"/>
        <v>102</v>
      </c>
      <c r="B112" s="1">
        <v>2018</v>
      </c>
      <c r="C112">
        <v>6</v>
      </c>
      <c r="D112" s="31">
        <v>40763.849999999999</v>
      </c>
      <c r="E112" s="2">
        <v>18.350000000000001</v>
      </c>
      <c r="F112" s="29">
        <v>473271.57000000001</v>
      </c>
      <c r="G112" s="29">
        <v>0</v>
      </c>
      <c r="H112" s="29">
        <v>0</v>
      </c>
      <c r="I112" s="29">
        <v>0</v>
      </c>
    </row>
    <row r="113" spans="1:9" ht="12.75" customHeight="1">
      <c r="A113" s="28">
        <f t="shared" si="2"/>
        <v>103</v>
      </c>
      <c r="B113" s="1">
        <v>2018</v>
      </c>
      <c r="C113">
        <v>7</v>
      </c>
      <c r="D113" s="31">
        <v>44333.160000000003</v>
      </c>
      <c r="E113" s="2">
        <v>21.829999999999998</v>
      </c>
      <c r="F113" s="29">
        <v>475278.26000000001</v>
      </c>
      <c r="G113" s="29">
        <v>0</v>
      </c>
      <c r="H113" s="29">
        <v>0</v>
      </c>
      <c r="I113" s="29">
        <v>0</v>
      </c>
    </row>
    <row r="114" spans="1:9" ht="12.75" customHeight="1">
      <c r="A114" s="28">
        <f t="shared" si="2"/>
        <v>104</v>
      </c>
      <c r="B114" s="1">
        <v>2018</v>
      </c>
      <c r="C114">
        <v>8</v>
      </c>
      <c r="D114" s="31">
        <v>43378.370000000003</v>
      </c>
      <c r="E114" s="2">
        <v>22.370000000000001</v>
      </c>
      <c r="F114" s="29">
        <v>476874.90000000002</v>
      </c>
      <c r="G114" s="29">
        <v>0</v>
      </c>
      <c r="H114" s="29">
        <v>0</v>
      </c>
      <c r="I114" s="29">
        <v>0</v>
      </c>
    </row>
    <row r="115" spans="1:9" ht="12.75" customHeight="1">
      <c r="A115" s="28">
        <f t="shared" si="2"/>
        <v>105</v>
      </c>
      <c r="B115" s="1">
        <v>2018</v>
      </c>
      <c r="C115">
        <v>9</v>
      </c>
      <c r="D115" s="31">
        <v>44029.889999999999</v>
      </c>
      <c r="E115" s="2">
        <v>18.620000000000001</v>
      </c>
      <c r="F115" s="29">
        <v>478317.46000000002</v>
      </c>
      <c r="G115" s="29">
        <v>0</v>
      </c>
      <c r="H115" s="29">
        <v>0</v>
      </c>
      <c r="I115" s="29">
        <v>0</v>
      </c>
    </row>
    <row r="116" spans="1:9" ht="12.75" customHeight="1">
      <c r="A116" s="28">
        <f t="shared" si="2"/>
        <v>106</v>
      </c>
      <c r="B116" s="1">
        <v>2018</v>
      </c>
      <c r="C116">
        <v>10</v>
      </c>
      <c r="D116" s="31">
        <v>44985.900000000001</v>
      </c>
      <c r="E116" s="2">
        <v>10.859999999999999</v>
      </c>
      <c r="F116" s="29">
        <v>479635.57000000001</v>
      </c>
      <c r="G116" s="29">
        <v>0</v>
      </c>
      <c r="H116" s="29">
        <v>0</v>
      </c>
      <c r="I116" s="29">
        <v>1</v>
      </c>
    </row>
    <row r="117" spans="1:9" ht="12.75" customHeight="1">
      <c r="A117" s="28">
        <f t="shared" si="2"/>
        <v>107</v>
      </c>
      <c r="B117" s="1">
        <v>2018</v>
      </c>
      <c r="C117">
        <v>11</v>
      </c>
      <c r="D117" s="31">
        <v>43854.269999999997</v>
      </c>
      <c r="E117" s="2">
        <v>3.2799999999999998</v>
      </c>
      <c r="F117" s="29">
        <v>480737.91999999998</v>
      </c>
      <c r="G117" s="29">
        <v>0</v>
      </c>
      <c r="H117" s="29">
        <v>0</v>
      </c>
      <c r="I117" s="29">
        <v>0</v>
      </c>
    </row>
    <row r="118" spans="1:9" ht="12.75" customHeight="1">
      <c r="A118" s="28">
        <f t="shared" si="2"/>
        <v>108</v>
      </c>
      <c r="B118" s="1">
        <v>2018</v>
      </c>
      <c r="C118">
        <v>12</v>
      </c>
      <c r="D118" s="31">
        <v>41775.440000000002</v>
      </c>
      <c r="E118" s="2">
        <v>0.67000000000000004</v>
      </c>
      <c r="F118" s="29">
        <v>481610.62</v>
      </c>
      <c r="G118" s="29">
        <v>0</v>
      </c>
      <c r="H118" s="29">
        <v>0</v>
      </c>
      <c r="I118" s="29">
        <v>0</v>
      </c>
    </row>
    <row r="119" spans="1:9" ht="12.75" customHeight="1">
      <c r="A119" s="28">
        <f t="shared" si="2"/>
        <v>109</v>
      </c>
      <c r="B119" s="1">
        <v>2019</v>
      </c>
      <c r="C119">
        <v>1</v>
      </c>
      <c r="D119" s="31">
        <v>40288.760000000002</v>
      </c>
      <c r="E119" s="2">
        <v>0.23999999999999999</v>
      </c>
      <c r="F119" s="29">
        <v>482510.06</v>
      </c>
      <c r="G119" s="29">
        <v>0</v>
      </c>
      <c r="H119" s="29">
        <v>0</v>
      </c>
      <c r="I119" s="29">
        <v>0</v>
      </c>
    </row>
    <row r="120" spans="1:9" ht="12.75" customHeight="1">
      <c r="A120" s="28">
        <f t="shared" si="2"/>
        <v>110</v>
      </c>
      <c r="B120" s="1">
        <v>2019</v>
      </c>
      <c r="C120">
        <v>2</v>
      </c>
      <c r="D120" s="31">
        <v>42976.120000000003</v>
      </c>
      <c r="E120" s="2">
        <v>0.54000000000000004</v>
      </c>
      <c r="F120" s="29">
        <v>483676.27000000002</v>
      </c>
      <c r="G120" s="29">
        <v>1</v>
      </c>
      <c r="H120" s="29">
        <v>0</v>
      </c>
      <c r="I120" s="29">
        <v>0</v>
      </c>
    </row>
    <row r="121" spans="1:9" ht="12.75" customHeight="1">
      <c r="A121" s="28">
        <f t="shared" si="2"/>
        <v>111</v>
      </c>
      <c r="B121" s="1">
        <v>2019</v>
      </c>
      <c r="C121">
        <v>3</v>
      </c>
      <c r="D121" s="31">
        <v>42870.360000000001</v>
      </c>
      <c r="E121" s="2">
        <v>0.80000000000000004</v>
      </c>
      <c r="F121" s="29">
        <v>485316.60999999999</v>
      </c>
      <c r="G121" s="29">
        <v>0</v>
      </c>
      <c r="H121" s="29">
        <v>0</v>
      </c>
      <c r="I121" s="29">
        <v>0</v>
      </c>
    </row>
    <row r="122" spans="1:9" ht="12.75" customHeight="1">
      <c r="A122" s="28">
        <f t="shared" si="2"/>
        <v>112</v>
      </c>
      <c r="B122" s="1">
        <v>2019</v>
      </c>
      <c r="C122">
        <v>4</v>
      </c>
      <c r="D122" s="31">
        <v>43834.870000000003</v>
      </c>
      <c r="E122" s="2">
        <v>2.8199999999999998</v>
      </c>
      <c r="F122" s="29">
        <v>487230.13</v>
      </c>
      <c r="G122" s="29">
        <v>0</v>
      </c>
      <c r="H122" s="29">
        <v>1</v>
      </c>
      <c r="I122" s="29">
        <v>0</v>
      </c>
    </row>
    <row r="123" spans="1:9" ht="12.75" customHeight="1">
      <c r="A123" s="28">
        <f t="shared" si="2"/>
        <v>113</v>
      </c>
      <c r="B123" s="1">
        <v>2019</v>
      </c>
      <c r="C123">
        <v>5</v>
      </c>
      <c r="D123" s="31">
        <v>43957.82</v>
      </c>
      <c r="E123" s="2">
        <v>6.2800000000000002</v>
      </c>
      <c r="F123" s="29">
        <v>488948.04999999999</v>
      </c>
      <c r="G123" s="29">
        <v>0</v>
      </c>
      <c r="H123" s="29">
        <v>0</v>
      </c>
      <c r="I123" s="29">
        <v>0</v>
      </c>
    </row>
    <row r="124" spans="1:9" ht="12.75" customHeight="1">
      <c r="A124" s="28">
        <f t="shared" si="2"/>
        <v>114</v>
      </c>
      <c r="B124" s="1">
        <v>2019</v>
      </c>
      <c r="C124">
        <v>6</v>
      </c>
      <c r="D124" s="31">
        <v>46817.260000000002</v>
      </c>
      <c r="E124" s="2">
        <v>11.65</v>
      </c>
      <c r="F124" s="29">
        <v>490181.96999999997</v>
      </c>
      <c r="G124" s="29">
        <v>0</v>
      </c>
      <c r="H124" s="29">
        <v>0</v>
      </c>
      <c r="I124" s="29">
        <v>0</v>
      </c>
    </row>
    <row r="125" spans="1:9" ht="12.75" customHeight="1">
      <c r="A125" s="28">
        <f t="shared" si="2"/>
        <v>115</v>
      </c>
      <c r="B125" s="1">
        <v>2019</v>
      </c>
      <c r="C125">
        <v>7</v>
      </c>
      <c r="D125" s="31">
        <v>46822.620000000003</v>
      </c>
      <c r="E125" s="2">
        <v>17.960000000000001</v>
      </c>
      <c r="F125" s="29">
        <v>491045.27000000002</v>
      </c>
      <c r="G125" s="29">
        <v>0</v>
      </c>
      <c r="H125" s="29">
        <v>0</v>
      </c>
      <c r="I125" s="29">
        <v>0</v>
      </c>
    </row>
    <row r="126" spans="1:9" ht="12.75" customHeight="1">
      <c r="A126" s="28">
        <f t="shared" si="2"/>
        <v>116</v>
      </c>
      <c r="B126" s="1">
        <v>2019</v>
      </c>
      <c r="C126">
        <v>8</v>
      </c>
      <c r="D126" s="31">
        <v>47634.010000000002</v>
      </c>
      <c r="E126" s="2">
        <v>21.350000000000001</v>
      </c>
      <c r="F126" s="29">
        <v>491808.71999999997</v>
      </c>
      <c r="G126" s="29">
        <v>0</v>
      </c>
      <c r="H126" s="29">
        <v>0</v>
      </c>
      <c r="I126" s="29">
        <v>0</v>
      </c>
    </row>
    <row r="127" spans="1:9" ht="12.75" customHeight="1">
      <c r="A127" s="28">
        <f t="shared" si="2"/>
        <v>117</v>
      </c>
      <c r="B127" s="1">
        <v>2019</v>
      </c>
      <c r="C127">
        <v>9</v>
      </c>
      <c r="D127" s="31">
        <v>48754.110000000001</v>
      </c>
      <c r="E127" s="2">
        <v>22.120000000000001</v>
      </c>
      <c r="F127" s="29">
        <v>492850.47999999998</v>
      </c>
      <c r="G127" s="29">
        <v>0</v>
      </c>
      <c r="H127" s="29">
        <v>0</v>
      </c>
      <c r="I127" s="29">
        <v>0</v>
      </c>
    </row>
    <row r="128" spans="1:9" ht="12.75" customHeight="1">
      <c r="A128" s="28">
        <f t="shared" si="2"/>
        <v>118</v>
      </c>
      <c r="B128" s="1">
        <v>2019</v>
      </c>
      <c r="C128">
        <v>10</v>
      </c>
      <c r="D128" s="31">
        <v>48375.970000000001</v>
      </c>
      <c r="E128" s="2">
        <v>16.52</v>
      </c>
      <c r="F128" s="29">
        <v>495019.03000000003</v>
      </c>
      <c r="G128" s="29">
        <v>0</v>
      </c>
      <c r="H128" s="29">
        <v>0</v>
      </c>
      <c r="I128" s="29">
        <v>1</v>
      </c>
    </row>
    <row r="129" spans="1:9" ht="12.75" customHeight="1">
      <c r="A129" s="28">
        <f t="shared" si="2"/>
        <v>119</v>
      </c>
      <c r="B129" s="1">
        <v>2019</v>
      </c>
      <c r="C129">
        <v>11</v>
      </c>
      <c r="D129" s="31">
        <v>46412.089999999997</v>
      </c>
      <c r="E129" s="2">
        <v>4.3399999999999999</v>
      </c>
      <c r="F129" s="29">
        <v>499241.48999999999</v>
      </c>
      <c r="G129" s="29">
        <v>0</v>
      </c>
      <c r="H129" s="29">
        <v>0</v>
      </c>
      <c r="I129" s="29">
        <v>0</v>
      </c>
    </row>
    <row r="130" spans="1:9" ht="12.75" customHeight="1">
      <c r="A130" s="28">
        <f t="shared" si="2"/>
        <v>120</v>
      </c>
      <c r="B130" s="1">
        <v>2019</v>
      </c>
      <c r="C130">
        <v>12</v>
      </c>
      <c r="D130" s="31">
        <v>46055.599999999999</v>
      </c>
      <c r="E130" s="2">
        <v>1</v>
      </c>
      <c r="F130" s="29">
        <v>505045.31</v>
      </c>
      <c r="G130" s="29">
        <v>0</v>
      </c>
      <c r="H130" s="29">
        <v>0</v>
      </c>
      <c r="I130" s="29">
        <v>0</v>
      </c>
    </row>
    <row r="131" spans="1:12" ht="12.75" customHeight="1">
      <c r="A131" s="28">
        <f t="shared" si="2"/>
        <v>121</v>
      </c>
      <c r="B131" s="1">
        <v>2020</v>
      </c>
      <c r="C131">
        <v>1</v>
      </c>
      <c r="D131" s="31">
        <v>44880.839999999997</v>
      </c>
      <c r="E131" s="2">
        <v>0.46000000000000002</v>
      </c>
      <c r="F131" s="29">
        <v>507572.35999999999</v>
      </c>
      <c r="G131" s="29">
        <v>0</v>
      </c>
      <c r="H131" s="29">
        <v>0</v>
      </c>
      <c r="I131" s="29">
        <v>0</v>
      </c>
      <c r="K131" s="22"/>
      <c r="L131" s="22"/>
    </row>
    <row r="132" spans="1:12" ht="12.75" customHeight="1">
      <c r="A132" s="28">
        <f t="shared" si="2"/>
        <v>122</v>
      </c>
      <c r="B132" s="1">
        <v>2020</v>
      </c>
      <c r="C132">
        <v>2</v>
      </c>
      <c r="D132" s="31">
        <v>48449.419999999998</v>
      </c>
      <c r="E132" s="2">
        <v>0.45000000000000001</v>
      </c>
      <c r="F132" s="29">
        <v>500755.03000000003</v>
      </c>
      <c r="G132" s="29">
        <v>1</v>
      </c>
      <c r="H132" s="29">
        <v>0</v>
      </c>
      <c r="I132" s="29">
        <v>0</v>
      </c>
      <c r="K132" s="22"/>
      <c r="L132" s="22"/>
    </row>
    <row r="133" spans="1:12" ht="12.75" customHeight="1">
      <c r="A133" s="28">
        <f t="shared" si="2"/>
        <v>123</v>
      </c>
      <c r="B133" s="1">
        <v>2020</v>
      </c>
      <c r="C133">
        <v>3</v>
      </c>
      <c r="D133" s="31">
        <v>43833.910000000003</v>
      </c>
      <c r="E133" s="2">
        <v>1.19</v>
      </c>
      <c r="F133" s="29">
        <v>481838.15999999997</v>
      </c>
      <c r="G133" s="29">
        <v>0</v>
      </c>
      <c r="H133" s="29">
        <v>0</v>
      </c>
      <c r="I133" s="29">
        <v>0</v>
      </c>
      <c r="K133" s="22"/>
      <c r="L133" s="22"/>
    </row>
    <row r="134" spans="1:12" ht="12.75" customHeight="1">
      <c r="A134" s="34">
        <f t="shared" si="2"/>
        <v>124</v>
      </c>
      <c r="B134" s="1">
        <v>2020</v>
      </c>
      <c r="C134" s="1">
        <v>4</v>
      </c>
      <c r="D134" s="31">
        <v>45390.910000000003</v>
      </c>
      <c r="E134" s="2">
        <v>3.9900000000000002</v>
      </c>
      <c r="F134" s="29">
        <v>457590.64000000001</v>
      </c>
      <c r="G134" s="29">
        <v>0</v>
      </c>
      <c r="H134" s="29">
        <v>1</v>
      </c>
      <c r="I134" s="29">
        <v>0</v>
      </c>
      <c r="K134" s="22"/>
      <c r="L134" s="22"/>
    </row>
    <row r="135" spans="1:12" ht="12.75" customHeight="1">
      <c r="A135" s="34">
        <f t="shared" si="2"/>
        <v>125</v>
      </c>
      <c r="B135" s="1">
        <v>2020</v>
      </c>
      <c r="C135" s="1">
        <v>5</v>
      </c>
      <c r="D135" s="31">
        <v>43485.300000000003</v>
      </c>
      <c r="E135" s="2">
        <v>8.2100000000000009</v>
      </c>
      <c r="F135" s="29">
        <v>438833.46999999997</v>
      </c>
      <c r="G135" s="29">
        <v>0</v>
      </c>
      <c r="H135" s="29">
        <v>0</v>
      </c>
      <c r="I135" s="29">
        <v>0</v>
      </c>
      <c r="K135" s="22"/>
      <c r="L135" s="22"/>
    </row>
    <row r="136" spans="1:12" ht="12.75" customHeight="1">
      <c r="A136" s="34">
        <f t="shared" si="2"/>
        <v>126</v>
      </c>
      <c r="B136" s="1">
        <v>2020</v>
      </c>
      <c r="C136" s="1">
        <v>6</v>
      </c>
      <c r="D136" s="31">
        <v>41365.449999999997</v>
      </c>
      <c r="E136" s="2">
        <v>13.789999999999999</v>
      </c>
      <c r="F136" s="29">
        <v>432641.90000000002</v>
      </c>
      <c r="G136" s="29">
        <v>0</v>
      </c>
      <c r="H136" s="29">
        <v>0</v>
      </c>
      <c r="I136" s="29">
        <v>0</v>
      </c>
      <c r="K136" s="22"/>
      <c r="L136" s="22"/>
    </row>
    <row r="137" spans="1:12" ht="12.75" customHeight="1">
      <c r="A137" s="34">
        <f t="shared" si="2"/>
        <v>127</v>
      </c>
      <c r="B137" s="1">
        <v>2020</v>
      </c>
      <c r="C137" s="1">
        <v>7</v>
      </c>
      <c r="D137" s="31">
        <v>43839.57</v>
      </c>
      <c r="E137" s="2">
        <v>19.690000000000001</v>
      </c>
      <c r="F137" s="29">
        <v>435616.23999999999</v>
      </c>
      <c r="G137" s="29">
        <v>0</v>
      </c>
      <c r="H137" s="29">
        <v>0</v>
      </c>
      <c r="I137" s="29">
        <v>0</v>
      </c>
      <c r="K137" s="22"/>
      <c r="L137" s="22"/>
    </row>
    <row r="138" spans="1:12" ht="12.75" customHeight="1">
      <c r="A138" s="34">
        <f t="shared" si="2"/>
        <v>128</v>
      </c>
      <c r="B138" s="1">
        <v>2020</v>
      </c>
      <c r="C138" s="1">
        <v>8</v>
      </c>
      <c r="D138" s="31">
        <v>47497.589999999997</v>
      </c>
      <c r="E138" s="2">
        <v>22.190000000000001</v>
      </c>
      <c r="F138" s="29">
        <v>440741.01000000001</v>
      </c>
      <c r="G138" s="29">
        <v>0</v>
      </c>
      <c r="H138" s="29">
        <v>0</v>
      </c>
      <c r="I138" s="29">
        <v>0</v>
      </c>
      <c r="K138" s="22"/>
      <c r="L138" s="22"/>
    </row>
    <row r="139" spans="1:12" ht="12.75" customHeight="1">
      <c r="A139" s="34">
        <f t="shared" si="2"/>
        <v>129</v>
      </c>
      <c r="B139" s="1">
        <v>2020</v>
      </c>
      <c r="C139" s="1">
        <v>9</v>
      </c>
      <c r="D139" s="31">
        <v>46870.160000000003</v>
      </c>
      <c r="E139" s="2">
        <v>19.350000000000001</v>
      </c>
      <c r="F139" s="29">
        <v>442757.16999999998</v>
      </c>
      <c r="G139" s="29">
        <v>0</v>
      </c>
      <c r="H139" s="29">
        <v>0</v>
      </c>
      <c r="I139" s="29">
        <v>0</v>
      </c>
      <c r="K139" s="22"/>
      <c r="L139" s="22"/>
    </row>
    <row r="140" spans="1:12" ht="12.75" customHeight="1">
      <c r="A140" s="34">
        <f t="shared" si="3" ref="A140:A149">+A139+1</f>
        <v>130</v>
      </c>
      <c r="B140" s="1">
        <v>2020</v>
      </c>
      <c r="C140" s="1">
        <v>10</v>
      </c>
      <c r="D140" s="31">
        <v>46265.580000000002</v>
      </c>
      <c r="E140" s="2">
        <v>9.9100000000000001</v>
      </c>
      <c r="F140" s="29">
        <v>442547.04999999999</v>
      </c>
      <c r="G140" s="29">
        <v>0</v>
      </c>
      <c r="H140" s="29">
        <v>0</v>
      </c>
      <c r="I140" s="29">
        <v>1</v>
      </c>
      <c r="K140" s="22"/>
      <c r="L140" s="22"/>
    </row>
    <row r="141" spans="1:12" ht="12.75" customHeight="1">
      <c r="A141" s="34">
        <f t="shared" si="3"/>
        <v>131</v>
      </c>
      <c r="B141" s="1">
        <v>2020</v>
      </c>
      <c r="C141" s="1">
        <v>11</v>
      </c>
      <c r="D141" s="31">
        <v>44298.720000000001</v>
      </c>
      <c r="E141" s="2">
        <v>4.9900000000000002</v>
      </c>
      <c r="F141" s="29">
        <v>442799.34000000003</v>
      </c>
      <c r="G141" s="29">
        <v>0</v>
      </c>
      <c r="H141" s="29">
        <v>0</v>
      </c>
      <c r="I141" s="29">
        <v>0</v>
      </c>
      <c r="K141" s="22"/>
      <c r="L141" s="22"/>
    </row>
    <row r="142" spans="1:12" ht="12.75" customHeight="1">
      <c r="A142" s="34">
        <f t="shared" si="3"/>
        <v>132</v>
      </c>
      <c r="B142" s="1">
        <v>2020</v>
      </c>
      <c r="C142" s="1">
        <v>12</v>
      </c>
      <c r="D142" s="31">
        <v>43075</v>
      </c>
      <c r="E142" s="2">
        <v>1.5</v>
      </c>
      <c r="F142" s="29">
        <v>445404.47999999998</v>
      </c>
      <c r="G142" s="29">
        <v>0</v>
      </c>
      <c r="H142" s="29">
        <v>0</v>
      </c>
      <c r="I142" s="29">
        <v>0</v>
      </c>
      <c r="K142" s="45"/>
      <c r="L142" s="22"/>
    </row>
    <row r="143" spans="1:12" ht="12.75" customHeight="1">
      <c r="A143" s="34">
        <f t="shared" si="3"/>
        <v>133</v>
      </c>
      <c r="B143" s="1">
        <v>2021</v>
      </c>
      <c r="C143" s="1">
        <v>1</v>
      </c>
      <c r="D143" s="31">
        <v>43110.93</v>
      </c>
      <c r="E143" s="2">
        <v>0.20999999999999999</v>
      </c>
      <c r="F143" s="29">
        <v>449803.87</v>
      </c>
      <c r="G143" s="29">
        <v>0</v>
      </c>
      <c r="H143" s="29">
        <v>0</v>
      </c>
      <c r="I143" s="29">
        <v>0</v>
      </c>
      <c r="K143" s="22"/>
      <c r="L143" s="22"/>
    </row>
    <row r="144" spans="1:12" ht="12.75" customHeight="1">
      <c r="A144" s="34">
        <f t="shared" si="3"/>
        <v>134</v>
      </c>
      <c r="B144" s="1">
        <v>2021</v>
      </c>
      <c r="C144" s="1">
        <v>2</v>
      </c>
      <c r="D144" s="31">
        <v>43801.400000000001</v>
      </c>
      <c r="E144" s="2">
        <v>0.23000000000000001</v>
      </c>
      <c r="F144" s="29">
        <v>454275.17999999999</v>
      </c>
      <c r="G144" s="29">
        <v>1</v>
      </c>
      <c r="H144" s="29">
        <v>0</v>
      </c>
      <c r="I144" s="29">
        <v>0</v>
      </c>
      <c r="K144" s="22"/>
      <c r="L144" s="22"/>
    </row>
    <row r="145" spans="1:12" ht="12.75" customHeight="1">
      <c r="A145" s="34">
        <f t="shared" si="3"/>
        <v>135</v>
      </c>
      <c r="B145" s="1">
        <v>2021</v>
      </c>
      <c r="C145" s="1">
        <v>3</v>
      </c>
      <c r="D145" s="31">
        <v>37394.559999999998</v>
      </c>
      <c r="E145" s="2">
        <v>0.83999999999999997</v>
      </c>
      <c r="F145" s="29">
        <v>457967.92999999999</v>
      </c>
      <c r="G145" s="29">
        <v>0</v>
      </c>
      <c r="H145" s="29">
        <v>0</v>
      </c>
      <c r="I145" s="29">
        <v>0</v>
      </c>
      <c r="K145" s="22"/>
      <c r="L145" s="22"/>
    </row>
    <row r="146" spans="1:12" ht="12.75" customHeight="1">
      <c r="A146" s="34">
        <f t="shared" si="3"/>
        <v>136</v>
      </c>
      <c r="B146" s="1">
        <v>2021</v>
      </c>
      <c r="C146" s="1">
        <v>4</v>
      </c>
      <c r="D146" s="31">
        <v>43768.029999999999</v>
      </c>
      <c r="E146" s="2">
        <v>2.8900000000000001</v>
      </c>
      <c r="F146" s="29">
        <v>460861.79999999999</v>
      </c>
      <c r="G146" s="29">
        <v>0</v>
      </c>
      <c r="H146" s="29">
        <v>1</v>
      </c>
      <c r="I146" s="29">
        <v>0</v>
      </c>
      <c r="K146" s="22"/>
      <c r="L146" s="22"/>
    </row>
    <row r="147" spans="1:12" ht="12.75" customHeight="1">
      <c r="A147" s="34">
        <f t="shared" si="3"/>
        <v>137</v>
      </c>
      <c r="B147" s="1">
        <v>2021</v>
      </c>
      <c r="C147" s="1">
        <v>5</v>
      </c>
      <c r="D147" s="31">
        <v>45719.660000000003</v>
      </c>
      <c r="E147" s="2">
        <v>4.9800000000000004</v>
      </c>
      <c r="F147" s="29">
        <v>462989.01000000001</v>
      </c>
      <c r="G147" s="29">
        <v>0</v>
      </c>
      <c r="H147" s="29">
        <v>0</v>
      </c>
      <c r="I147" s="29">
        <v>0</v>
      </c>
      <c r="K147" s="22"/>
      <c r="L147" s="22"/>
    </row>
    <row r="148" spans="1:12" ht="12.75" customHeight="1">
      <c r="A148" s="34">
        <f t="shared" si="3"/>
        <v>138</v>
      </c>
      <c r="B148" s="1">
        <v>2021</v>
      </c>
      <c r="C148" s="1">
        <v>6</v>
      </c>
      <c r="D148" s="31">
        <v>47401.82</v>
      </c>
      <c r="E148" s="2">
        <v>10.49</v>
      </c>
      <c r="F148" s="29">
        <v>464565.09000000003</v>
      </c>
      <c r="G148" s="29">
        <v>0</v>
      </c>
      <c r="H148" s="29">
        <v>0</v>
      </c>
      <c r="I148" s="29">
        <v>0</v>
      </c>
      <c r="K148" s="22"/>
      <c r="L148" s="22"/>
    </row>
    <row r="149" spans="1:12" ht="12.75" customHeight="1">
      <c r="A149" s="34">
        <f t="shared" si="3"/>
        <v>139</v>
      </c>
      <c r="B149" s="1">
        <v>2021</v>
      </c>
      <c r="C149" s="1">
        <v>7</v>
      </c>
      <c r="D149" s="31">
        <v>48162.790000000001</v>
      </c>
      <c r="E149" s="2">
        <v>17.039999999999999</v>
      </c>
      <c r="F149" s="29">
        <v>465836.71999999997</v>
      </c>
      <c r="G149" s="29">
        <v>0</v>
      </c>
      <c r="H149" s="29">
        <v>0</v>
      </c>
      <c r="I149" s="29">
        <v>0</v>
      </c>
      <c r="K149" s="22"/>
      <c r="L149" s="22"/>
    </row>
    <row r="150" spans="11:12" ht="12.75" customHeight="1">
      <c r="K150" s="22"/>
      <c r="L150" s="22"/>
    </row>
    <row r="151" spans="11:12" ht="12.75" customHeight="1">
      <c r="K151" s="22"/>
      <c r="L151" s="22"/>
    </row>
    <row r="152" spans="11:12" ht="12.75" customHeight="1">
      <c r="K152" s="22"/>
      <c r="L152" s="22"/>
    </row>
    <row r="153" spans="11:12" ht="12.75" customHeight="1">
      <c r="K153" s="22"/>
      <c r="L153" s="22"/>
    </row>
    <row r="154" spans="11:12" ht="12.75" customHeight="1">
      <c r="K154" s="22"/>
      <c r="L154" s="22"/>
    </row>
  </sheetData>
  <mergeCells count="6">
    <mergeCell ref="B6:I6"/>
    <mergeCell ref="B9:I9"/>
    <mergeCell ref="B1:I1"/>
    <mergeCell ref="B2:I2"/>
    <mergeCell ref="B3:I3"/>
    <mergeCell ref="B4:I4"/>
  </mergeCells>
  <pageMargins left="1.5" right="0.75" top="1" bottom="1" header="0.5" footer="0.5"/>
  <pageSetup orientation="portrait" scale="61" r:id="rId1"/>
  <headerFooter alignWithMargins="0">
    <oddHeader>&amp;RSchedule II-H-2.2
Page &amp;P of &amp;N</oddHeader>
  </headerFooter>
  <rowBreaks count="2" manualBreakCount="2">
    <brk id="58" max="8" man="1"/>
    <brk id="106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T125"/>
  <sheetViews>
    <sheetView showOutlineSymbols="0" view="pageBreakPreview" zoomScaleNormal="100" zoomScaleSheetLayoutView="100" workbookViewId="0" topLeftCell="A1"/>
  </sheetViews>
  <sheetFormatPr defaultRowHeight="12.75" customHeight="1"/>
  <cols>
    <col min="1" max="1" width="4.42857142857143" style="34" bestFit="1" customWidth="1"/>
    <col min="2" max="2" width="5" style="1" bestFit="1" customWidth="1"/>
    <col min="3" max="3" width="5.85714285714286" style="1" bestFit="1" customWidth="1"/>
    <col min="4" max="4" width="12.2857142857143" style="1" bestFit="1" customWidth="1"/>
    <col min="5" max="5" width="14.2857142857143" style="2" bestFit="1" customWidth="1"/>
    <col min="6" max="7" width="12.5714285714286" style="2" bestFit="1" customWidth="1"/>
    <col min="8" max="8" width="4.14285714285714" style="2" bestFit="1" customWidth="1"/>
    <col min="9" max="10" width="4.28571428571429" style="2" bestFit="1" customWidth="1"/>
    <col min="11" max="11" width="4.57142857142857" style="2" bestFit="1" customWidth="1"/>
    <col min="12" max="12" width="4.14285714285714" style="2" bestFit="1" customWidth="1"/>
    <col min="13" max="13" width="3.57142857142857" style="2" bestFit="1" customWidth="1"/>
    <col min="14" max="14" width="9.14285714285714" style="2" bestFit="1" customWidth="1"/>
  </cols>
  <sheetData>
    <row r="1" spans="2:14" ht="15.6">
      <c r="B1" s="47" t="str">
        <f>+Introduction!B1</f>
        <v xml:space="preserve">PUC DOCKET NO. </v>
      </c>
      <c r="C1" s="47"/>
      <c r="D1" s="47"/>
      <c r="E1" s="47"/>
      <c r="F1" s="47"/>
      <c r="G1" s="48"/>
      <c r="H1" s="48"/>
      <c r="I1" s="48"/>
      <c r="J1" s="48"/>
      <c r="K1" s="48"/>
      <c r="L1" s="48"/>
      <c r="M1" s="48"/>
      <c r="N1" s="48"/>
    </row>
    <row r="2" spans="2:14" ht="12.75" customHeight="1">
      <c r="B2" s="47" t="str">
        <f>+Introduction!B2</f>
        <v>ONCOR ELECTRIC DELIVERY COMPANY LLC</v>
      </c>
      <c r="C2" s="47"/>
      <c r="D2" s="47"/>
      <c r="E2" s="47"/>
      <c r="F2" s="47"/>
      <c r="G2" s="48"/>
      <c r="H2" s="48"/>
      <c r="I2" s="48"/>
      <c r="J2" s="48"/>
      <c r="K2" s="48"/>
      <c r="L2" s="48"/>
      <c r="M2" s="48"/>
      <c r="N2" s="48"/>
    </row>
    <row r="3" spans="2:14" ht="12.75" customHeight="1">
      <c r="B3" s="47" t="str">
        <f>+Introduction!B3</f>
        <v>MODEL DATA</v>
      </c>
      <c r="C3" s="47"/>
      <c r="D3" s="47"/>
      <c r="E3" s="47"/>
      <c r="F3" s="47"/>
      <c r="G3" s="48"/>
      <c r="H3" s="48"/>
      <c r="I3" s="48"/>
      <c r="J3" s="48"/>
      <c r="K3" s="48"/>
      <c r="L3" s="48"/>
      <c r="M3" s="48"/>
      <c r="N3" s="48"/>
    </row>
    <row r="4" spans="2:14" ht="15.6">
      <c r="B4" s="47" t="str">
        <f>+Introduction!B4</f>
        <v>FOR THE TEST YEAR ENDING DECEMBER 31, 2021</v>
      </c>
      <c r="C4" s="47"/>
      <c r="D4" s="47"/>
      <c r="E4" s="47"/>
      <c r="F4" s="47"/>
      <c r="G4" s="47"/>
      <c r="H4" s="47"/>
      <c r="I4" s="47"/>
      <c r="J4" s="47"/>
      <c r="K4" s="47"/>
      <c r="L4" s="48"/>
      <c r="M4" s="48"/>
      <c r="N4" s="48"/>
    </row>
    <row r="5" spans="2:11" ht="12.75" customHeight="1">
      <c r="B5" s="14"/>
      <c r="C5" s="14"/>
      <c r="D5" s="14"/>
      <c r="E5" s="14"/>
      <c r="F5" s="14"/>
      <c r="G5" s="17"/>
      <c r="H5" s="17"/>
      <c r="I5" s="17"/>
      <c r="J5" s="17"/>
      <c r="K5" s="17"/>
    </row>
    <row r="6" spans="2:14" ht="15.6">
      <c r="B6" s="47" t="str">
        <f>+Introduction!B6</f>
        <v>SPONSOR: D. E. NELSON</v>
      </c>
      <c r="C6" s="47"/>
      <c r="D6" s="47"/>
      <c r="E6" s="47"/>
      <c r="F6" s="47"/>
      <c r="G6" s="48"/>
      <c r="H6" s="48"/>
      <c r="I6" s="48"/>
      <c r="J6" s="48"/>
      <c r="K6" s="48"/>
      <c r="L6" s="48"/>
      <c r="M6" s="48"/>
      <c r="N6" s="48"/>
    </row>
    <row r="8" spans="2:14" ht="12.75" customHeight="1">
      <c r="B8" s="9" t="s">
        <v>4</v>
      </c>
      <c r="C8" s="9" t="s">
        <v>5</v>
      </c>
      <c r="D8" s="9" t="s">
        <v>7</v>
      </c>
      <c r="E8" s="10" t="s">
        <v>6</v>
      </c>
      <c r="F8" s="10" t="s">
        <v>8</v>
      </c>
      <c r="G8" s="10" t="s">
        <v>9</v>
      </c>
      <c r="H8" s="10" t="s">
        <v>10</v>
      </c>
      <c r="I8" s="10" t="s">
        <v>11</v>
      </c>
      <c r="J8" s="10" t="s">
        <v>12</v>
      </c>
      <c r="K8" s="10" t="s">
        <v>13</v>
      </c>
      <c r="L8" s="10" t="s">
        <v>14</v>
      </c>
      <c r="M8" s="11" t="s">
        <v>15</v>
      </c>
      <c r="N8" s="10" t="s">
        <v>16</v>
      </c>
    </row>
    <row r="9" spans="1:14" ht="15.6">
      <c r="A9" s="34" t="s">
        <v>2</v>
      </c>
      <c r="B9" s="47" t="s">
        <v>70</v>
      </c>
      <c r="C9" s="47"/>
      <c r="D9" s="47"/>
      <c r="E9" s="47"/>
      <c r="F9" s="47"/>
      <c r="G9" s="48"/>
      <c r="H9" s="48"/>
      <c r="I9" s="48"/>
      <c r="J9" s="48"/>
      <c r="K9" s="48"/>
      <c r="L9" s="48"/>
      <c r="M9" s="48"/>
      <c r="N9" s="48"/>
    </row>
    <row r="10" spans="1:20" s="21" customFormat="1" ht="12.75" customHeight="1">
      <c r="A10" s="20" t="s">
        <v>3</v>
      </c>
      <c r="B10" s="41" t="s">
        <v>53</v>
      </c>
      <c r="C10" s="41" t="s">
        <v>0</v>
      </c>
      <c r="D10" s="38" t="s">
        <v>71</v>
      </c>
      <c r="E10" s="38" t="s">
        <v>74</v>
      </c>
      <c r="F10" s="38" t="s">
        <v>51</v>
      </c>
      <c r="G10" s="38" t="s">
        <v>32</v>
      </c>
      <c r="H10" s="38" t="s">
        <v>21</v>
      </c>
      <c r="I10" s="38" t="s">
        <v>22</v>
      </c>
      <c r="J10" s="38" t="s">
        <v>23</v>
      </c>
      <c r="K10" s="38" t="s">
        <v>24</v>
      </c>
      <c r="L10" s="38" t="s">
        <v>25</v>
      </c>
      <c r="M10" s="38" t="s">
        <v>26</v>
      </c>
      <c r="N10" s="46" t="s">
        <v>52</v>
      </c>
      <c r="T10" s="46"/>
    </row>
    <row r="11" spans="1:14" ht="12.75" customHeight="1">
      <c r="A11" s="34">
        <v>1</v>
      </c>
      <c r="B11">
        <v>2012</v>
      </c>
      <c r="C11">
        <v>1</v>
      </c>
      <c r="D11" s="19">
        <v>5136.1099999999997</v>
      </c>
      <c r="E11" s="19">
        <v>2.6499999999999999</v>
      </c>
      <c r="F11" s="19">
        <v>375639.65000000002</v>
      </c>
      <c r="G11" s="29">
        <v>1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</row>
    <row r="12" spans="1:14" ht="12.75" customHeight="1">
      <c r="A12" s="34">
        <f t="shared" si="0" ref="A12:A75">+A11+1</f>
        <v>2</v>
      </c>
      <c r="B12">
        <v>2012</v>
      </c>
      <c r="C12">
        <v>2</v>
      </c>
      <c r="D12" s="19">
        <v>5365.5200000000004</v>
      </c>
      <c r="E12" s="19">
        <v>6.0099999999999998</v>
      </c>
      <c r="F12" s="19">
        <v>376901.95000000001</v>
      </c>
      <c r="G12" s="29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</row>
    <row r="13" spans="1:14" ht="12.75" customHeight="1">
      <c r="A13" s="34">
        <f t="shared" si="0"/>
        <v>3</v>
      </c>
      <c r="B13">
        <v>2012</v>
      </c>
      <c r="C13">
        <v>3</v>
      </c>
      <c r="D13" s="19">
        <v>5514.6999999999998</v>
      </c>
      <c r="E13" s="19">
        <v>16.079999999999998</v>
      </c>
      <c r="F13" s="19">
        <v>377503.19</v>
      </c>
      <c r="G13" s="29">
        <v>0</v>
      </c>
      <c r="H13" s="23">
        <v>1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</row>
    <row r="14" spans="1:14" ht="12.75" customHeight="1">
      <c r="A14" s="34">
        <f t="shared" si="0"/>
        <v>4</v>
      </c>
      <c r="B14">
        <v>2012</v>
      </c>
      <c r="C14">
        <v>4</v>
      </c>
      <c r="D14" s="19">
        <v>5733.5200000000004</v>
      </c>
      <c r="E14" s="19">
        <v>41.060000000000002</v>
      </c>
      <c r="F14" s="19">
        <v>377489.90000000002</v>
      </c>
      <c r="G14" s="29">
        <v>0</v>
      </c>
      <c r="H14" s="23">
        <v>0</v>
      </c>
      <c r="I14" s="23">
        <v>1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</row>
    <row r="15" spans="1:14" ht="12.75" customHeight="1">
      <c r="A15" s="34">
        <f t="shared" si="0"/>
        <v>5</v>
      </c>
      <c r="B15">
        <v>2012</v>
      </c>
      <c r="C15">
        <v>5</v>
      </c>
      <c r="D15" s="19">
        <v>5755.7399999999998</v>
      </c>
      <c r="E15" s="19">
        <v>66.790000000000006</v>
      </c>
      <c r="F15" s="19">
        <v>376932.53999999998</v>
      </c>
      <c r="G15" s="29">
        <v>0</v>
      </c>
      <c r="H15" s="23">
        <v>0</v>
      </c>
      <c r="I15" s="23">
        <v>0</v>
      </c>
      <c r="J15" s="23">
        <v>1</v>
      </c>
      <c r="K15" s="23">
        <v>0</v>
      </c>
      <c r="L15" s="23">
        <v>0</v>
      </c>
      <c r="M15" s="23">
        <v>0</v>
      </c>
      <c r="N15" s="23">
        <v>0</v>
      </c>
    </row>
    <row r="16" spans="1:14" ht="12.75" customHeight="1">
      <c r="A16" s="34">
        <f t="shared" si="0"/>
        <v>6</v>
      </c>
      <c r="B16">
        <v>2012</v>
      </c>
      <c r="C16">
        <v>6</v>
      </c>
      <c r="D16" s="19">
        <v>6198.8000000000002</v>
      </c>
      <c r="E16" s="19">
        <v>94.650000000000006</v>
      </c>
      <c r="F16" s="19">
        <v>376081.90999999997</v>
      </c>
      <c r="G16" s="29">
        <v>0</v>
      </c>
      <c r="H16" s="23">
        <v>0</v>
      </c>
      <c r="I16" s="23">
        <v>0</v>
      </c>
      <c r="J16" s="23">
        <v>0</v>
      </c>
      <c r="K16" s="23">
        <v>1</v>
      </c>
      <c r="L16" s="23">
        <v>0</v>
      </c>
      <c r="M16" s="23">
        <v>0</v>
      </c>
      <c r="N16" s="23">
        <v>0</v>
      </c>
    </row>
    <row r="17" spans="1:14" ht="12.75" customHeight="1">
      <c r="A17" s="34">
        <f t="shared" si="0"/>
        <v>7</v>
      </c>
      <c r="B17">
        <v>2012</v>
      </c>
      <c r="C17">
        <v>7</v>
      </c>
      <c r="D17" s="19">
        <v>6263.8999999999996</v>
      </c>
      <c r="E17" s="19">
        <v>113.81999999999999</v>
      </c>
      <c r="F17" s="19">
        <v>375644.59999999998</v>
      </c>
      <c r="G17" s="29">
        <v>0</v>
      </c>
      <c r="H17" s="23">
        <v>0</v>
      </c>
      <c r="I17" s="23">
        <v>0</v>
      </c>
      <c r="J17" s="23">
        <v>0</v>
      </c>
      <c r="K17" s="23">
        <v>0</v>
      </c>
      <c r="L17" s="23">
        <v>1</v>
      </c>
      <c r="M17" s="23">
        <v>0</v>
      </c>
      <c r="N17" s="23">
        <v>0</v>
      </c>
    </row>
    <row r="18" spans="1:14" ht="12.75" customHeight="1">
      <c r="A18" s="34">
        <f t="shared" si="0"/>
        <v>8</v>
      </c>
      <c r="B18">
        <v>2012</v>
      </c>
      <c r="C18">
        <v>8</v>
      </c>
      <c r="D18" s="19">
        <v>6867.5100000000002</v>
      </c>
      <c r="E18" s="19">
        <v>118.3</v>
      </c>
      <c r="F18" s="19">
        <v>376495.46999999997</v>
      </c>
      <c r="G18" s="29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1</v>
      </c>
      <c r="N18" s="23">
        <v>0</v>
      </c>
    </row>
    <row r="19" spans="1:14" ht="12.75" customHeight="1">
      <c r="A19" s="34">
        <f t="shared" si="0"/>
        <v>9</v>
      </c>
      <c r="B19">
        <v>2012</v>
      </c>
      <c r="C19">
        <v>9</v>
      </c>
      <c r="D19" s="19">
        <v>6987.75</v>
      </c>
      <c r="E19" s="19">
        <v>101.06</v>
      </c>
      <c r="F19" s="19">
        <v>378958.13</v>
      </c>
      <c r="G19" s="29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</row>
    <row r="20" spans="1:14" ht="12.75" customHeight="1">
      <c r="A20" s="34">
        <f t="shared" si="0"/>
        <v>10</v>
      </c>
      <c r="B20">
        <v>2012</v>
      </c>
      <c r="C20">
        <v>10</v>
      </c>
      <c r="D20" s="19">
        <v>6861.9799999999996</v>
      </c>
      <c r="E20" s="19">
        <v>58.770000000000003</v>
      </c>
      <c r="F20" s="19">
        <v>381897.34999999998</v>
      </c>
      <c r="G20" s="29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</row>
    <row r="21" spans="1:14" ht="12.75" customHeight="1">
      <c r="A21" s="34">
        <f t="shared" si="0"/>
        <v>11</v>
      </c>
      <c r="B21">
        <v>2012</v>
      </c>
      <c r="C21">
        <v>11</v>
      </c>
      <c r="D21" s="19">
        <v>6282.5</v>
      </c>
      <c r="E21" s="19">
        <v>31.629999999999999</v>
      </c>
      <c r="F21" s="19">
        <v>383710.13</v>
      </c>
      <c r="G21" s="29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</row>
    <row r="22" spans="1:14" ht="12.75" customHeight="1">
      <c r="A22" s="34">
        <f t="shared" si="0"/>
        <v>12</v>
      </c>
      <c r="B22">
        <v>2012</v>
      </c>
      <c r="C22">
        <v>12</v>
      </c>
      <c r="D22" s="19">
        <v>6438.5900000000001</v>
      </c>
      <c r="E22" s="19">
        <v>15.92</v>
      </c>
      <c r="F22" s="19">
        <v>383412.92999999999</v>
      </c>
      <c r="G22" s="29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</row>
    <row r="23" spans="1:14" ht="12.75" customHeight="1">
      <c r="A23" s="34">
        <f t="shared" si="0"/>
        <v>13</v>
      </c>
      <c r="B23">
        <v>2013</v>
      </c>
      <c r="C23">
        <v>1</v>
      </c>
      <c r="D23" s="19">
        <v>5168.4300000000003</v>
      </c>
      <c r="E23" s="19">
        <v>3.9399999999999999</v>
      </c>
      <c r="F23" s="19">
        <v>381981.04999999999</v>
      </c>
      <c r="G23" s="29">
        <v>1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</row>
    <row r="24" spans="1:14" ht="12.75" customHeight="1">
      <c r="A24" s="34">
        <f t="shared" si="0"/>
        <v>14</v>
      </c>
      <c r="B24">
        <v>2013</v>
      </c>
      <c r="C24">
        <v>2</v>
      </c>
      <c r="D24" s="19">
        <v>5709.3199999999997</v>
      </c>
      <c r="E24" s="19">
        <v>7.2699999999999996</v>
      </c>
      <c r="F24" s="19">
        <v>381083.71999999997</v>
      </c>
      <c r="G24" s="29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</row>
    <row r="25" spans="1:14" ht="12.75" customHeight="1">
      <c r="A25" s="34">
        <f t="shared" si="0"/>
        <v>15</v>
      </c>
      <c r="B25">
        <v>2013</v>
      </c>
      <c r="C25">
        <v>3</v>
      </c>
      <c r="D25" s="19">
        <v>5738.1300000000001</v>
      </c>
      <c r="E25" s="19">
        <v>9.3699999999999992</v>
      </c>
      <c r="F25" s="19">
        <v>381755.01000000001</v>
      </c>
      <c r="G25" s="29">
        <v>0</v>
      </c>
      <c r="H25" s="23">
        <v>1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</row>
    <row r="26" spans="1:14" ht="12.75" customHeight="1">
      <c r="A26" s="34">
        <f t="shared" si="0"/>
        <v>16</v>
      </c>
      <c r="B26">
        <v>2013</v>
      </c>
      <c r="C26">
        <v>4</v>
      </c>
      <c r="D26" s="19">
        <v>6205.4899999999998</v>
      </c>
      <c r="E26" s="19">
        <v>25.789999999999999</v>
      </c>
      <c r="F26" s="19">
        <v>383812.73999999999</v>
      </c>
      <c r="G26" s="29">
        <v>0</v>
      </c>
      <c r="H26" s="23">
        <v>0</v>
      </c>
      <c r="I26" s="23">
        <v>1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</row>
    <row r="27" spans="1:14" ht="12.75" customHeight="1">
      <c r="A27" s="34">
        <f t="shared" si="0"/>
        <v>17</v>
      </c>
      <c r="B27">
        <v>2013</v>
      </c>
      <c r="C27">
        <v>5</v>
      </c>
      <c r="D27" s="19">
        <v>6807.6499999999996</v>
      </c>
      <c r="E27" s="19">
        <v>43.689999999999998</v>
      </c>
      <c r="F27" s="19">
        <v>386574.97999999998</v>
      </c>
      <c r="G27" s="29">
        <v>0</v>
      </c>
      <c r="H27" s="23">
        <v>0</v>
      </c>
      <c r="I27" s="23">
        <v>0</v>
      </c>
      <c r="J27" s="23">
        <v>1</v>
      </c>
      <c r="K27" s="23">
        <v>0</v>
      </c>
      <c r="L27" s="23">
        <v>0</v>
      </c>
      <c r="M27" s="23">
        <v>0</v>
      </c>
      <c r="N27" s="23">
        <v>0</v>
      </c>
    </row>
    <row r="28" spans="1:14" ht="12.75" customHeight="1">
      <c r="A28" s="34">
        <f t="shared" si="0"/>
        <v>18</v>
      </c>
      <c r="B28">
        <v>2013</v>
      </c>
      <c r="C28">
        <v>6</v>
      </c>
      <c r="D28" s="19">
        <v>6937.6199999999999</v>
      </c>
      <c r="E28" s="19">
        <v>88.629999999999995</v>
      </c>
      <c r="F28" s="19">
        <v>389437.03000000003</v>
      </c>
      <c r="G28" s="29">
        <v>0</v>
      </c>
      <c r="H28" s="23">
        <v>0</v>
      </c>
      <c r="I28" s="23">
        <v>0</v>
      </c>
      <c r="J28" s="23">
        <v>0</v>
      </c>
      <c r="K28" s="23">
        <v>1</v>
      </c>
      <c r="L28" s="23">
        <v>0</v>
      </c>
      <c r="M28" s="23">
        <v>0</v>
      </c>
      <c r="N28" s="23">
        <v>0</v>
      </c>
    </row>
    <row r="29" spans="1:14" ht="12.75" customHeight="1">
      <c r="A29" s="34">
        <f t="shared" si="0"/>
        <v>19</v>
      </c>
      <c r="B29">
        <v>2013</v>
      </c>
      <c r="C29">
        <v>7</v>
      </c>
      <c r="D29" s="19">
        <v>7050.8599999999997</v>
      </c>
      <c r="E29" s="19">
        <v>107.56999999999999</v>
      </c>
      <c r="F29" s="19">
        <v>392157.15000000002</v>
      </c>
      <c r="G29" s="29">
        <v>0</v>
      </c>
      <c r="H29" s="23">
        <v>0</v>
      </c>
      <c r="I29" s="23">
        <v>0</v>
      </c>
      <c r="J29" s="23">
        <v>0</v>
      </c>
      <c r="K29" s="23">
        <v>0</v>
      </c>
      <c r="L29" s="23">
        <v>1</v>
      </c>
      <c r="M29" s="23">
        <v>0</v>
      </c>
      <c r="N29" s="23">
        <v>0</v>
      </c>
    </row>
    <row r="30" spans="1:14" ht="12.75" customHeight="1">
      <c r="A30" s="34">
        <f t="shared" si="0"/>
        <v>20</v>
      </c>
      <c r="B30">
        <v>2013</v>
      </c>
      <c r="C30">
        <v>8</v>
      </c>
      <c r="D30" s="19">
        <v>7675.4499999999998</v>
      </c>
      <c r="E30" s="19">
        <v>111.98</v>
      </c>
      <c r="F30" s="19">
        <v>394648.98999999999</v>
      </c>
      <c r="G30" s="29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1</v>
      </c>
      <c r="N30" s="23">
        <v>0</v>
      </c>
    </row>
    <row r="31" spans="1:14" ht="12.75" customHeight="1">
      <c r="A31" s="34">
        <f t="shared" si="0"/>
        <v>21</v>
      </c>
      <c r="B31">
        <v>2013</v>
      </c>
      <c r="C31">
        <v>9</v>
      </c>
      <c r="D31" s="19">
        <v>7790.0699999999997</v>
      </c>
      <c r="E31" s="19">
        <v>109.34999999999999</v>
      </c>
      <c r="F31" s="19">
        <v>396629.83000000002</v>
      </c>
      <c r="G31" s="29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</row>
    <row r="32" spans="1:14" ht="12.75" customHeight="1">
      <c r="A32" s="34">
        <f t="shared" si="0"/>
        <v>22</v>
      </c>
      <c r="B32">
        <v>2013</v>
      </c>
      <c r="C32">
        <v>10</v>
      </c>
      <c r="D32" s="19">
        <v>7421.2299999999996</v>
      </c>
      <c r="E32" s="19">
        <v>70.959999999999994</v>
      </c>
      <c r="F32" s="19">
        <v>397702.28000000003</v>
      </c>
      <c r="G32" s="29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</row>
    <row r="33" spans="1:14" ht="12.75" customHeight="1">
      <c r="A33" s="34">
        <f t="shared" si="0"/>
        <v>23</v>
      </c>
      <c r="B33">
        <v>2013</v>
      </c>
      <c r="C33">
        <v>11</v>
      </c>
      <c r="D33" s="19">
        <v>7258.8900000000003</v>
      </c>
      <c r="E33" s="19">
        <v>28.449999999999999</v>
      </c>
      <c r="F33" s="19">
        <v>397378.46000000002</v>
      </c>
      <c r="G33" s="29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</row>
    <row r="34" spans="1:14" ht="12.75" customHeight="1">
      <c r="A34" s="34">
        <f t="shared" si="0"/>
        <v>24</v>
      </c>
      <c r="B34">
        <v>2013</v>
      </c>
      <c r="C34">
        <v>12</v>
      </c>
      <c r="D34" s="19">
        <v>6380.9099999999999</v>
      </c>
      <c r="E34" s="19">
        <v>9.7100000000000009</v>
      </c>
      <c r="F34" s="19">
        <v>395615.45000000001</v>
      </c>
      <c r="G34" s="29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</row>
    <row r="35" spans="1:14" ht="12.75" customHeight="1">
      <c r="A35" s="34">
        <f t="shared" si="0"/>
        <v>25</v>
      </c>
      <c r="B35">
        <v>2014</v>
      </c>
      <c r="C35">
        <v>1</v>
      </c>
      <c r="D35" s="19">
        <v>6180.5900000000001</v>
      </c>
      <c r="E35" s="19">
        <v>2.27</v>
      </c>
      <c r="F35" s="19">
        <v>393805.66999999998</v>
      </c>
      <c r="G35" s="29">
        <v>1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</row>
    <row r="36" spans="1:14" ht="12.75" customHeight="1">
      <c r="A36" s="34">
        <f t="shared" si="0"/>
        <v>26</v>
      </c>
      <c r="B36">
        <v>2014</v>
      </c>
      <c r="C36">
        <v>2</v>
      </c>
      <c r="D36" s="19">
        <v>6849.5699999999997</v>
      </c>
      <c r="E36" s="19">
        <v>4.1200000000000001</v>
      </c>
      <c r="F36" s="19">
        <v>393811.88</v>
      </c>
      <c r="G36" s="29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</row>
    <row r="37" spans="1:14" ht="12.75" customHeight="1">
      <c r="A37" s="34">
        <f t="shared" si="0"/>
        <v>27</v>
      </c>
      <c r="B37">
        <v>2014</v>
      </c>
      <c r="C37">
        <v>3</v>
      </c>
      <c r="D37" s="19">
        <v>6472.3599999999997</v>
      </c>
      <c r="E37" s="19">
        <v>10.94</v>
      </c>
      <c r="F37" s="19">
        <v>396655.54999999999</v>
      </c>
      <c r="G37" s="29">
        <v>0</v>
      </c>
      <c r="H37" s="23">
        <v>1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</row>
    <row r="38" spans="1:14" ht="12.75" customHeight="1">
      <c r="A38" s="34">
        <f t="shared" si="0"/>
        <v>28</v>
      </c>
      <c r="B38">
        <v>2014</v>
      </c>
      <c r="C38">
        <v>4</v>
      </c>
      <c r="D38" s="19">
        <v>6741.3000000000002</v>
      </c>
      <c r="E38" s="19">
        <v>26.199999999999999</v>
      </c>
      <c r="F38" s="19">
        <v>401566.83000000002</v>
      </c>
      <c r="G38" s="29">
        <v>0</v>
      </c>
      <c r="H38" s="23">
        <v>0</v>
      </c>
      <c r="I38" s="23">
        <v>1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</row>
    <row r="39" spans="1:14" ht="12.75" customHeight="1">
      <c r="A39" s="34">
        <f t="shared" si="0"/>
        <v>29</v>
      </c>
      <c r="B39">
        <v>2014</v>
      </c>
      <c r="C39">
        <v>5</v>
      </c>
      <c r="D39" s="19">
        <v>6707.8400000000001</v>
      </c>
      <c r="E39" s="19">
        <v>53.159999999999997</v>
      </c>
      <c r="F39" s="19">
        <v>406865.27000000002</v>
      </c>
      <c r="G39" s="29">
        <v>0</v>
      </c>
      <c r="H39" s="23">
        <v>0</v>
      </c>
      <c r="I39" s="23">
        <v>0</v>
      </c>
      <c r="J39" s="23">
        <v>1</v>
      </c>
      <c r="K39" s="23">
        <v>0</v>
      </c>
      <c r="L39" s="23">
        <v>0</v>
      </c>
      <c r="M39" s="23">
        <v>0</v>
      </c>
      <c r="N39" s="23">
        <v>0</v>
      </c>
    </row>
    <row r="40" spans="1:14" ht="12.75" customHeight="1">
      <c r="A40" s="34">
        <f t="shared" si="0"/>
        <v>30</v>
      </c>
      <c r="B40">
        <v>2014</v>
      </c>
      <c r="C40">
        <v>6</v>
      </c>
      <c r="D40" s="19">
        <v>6884.3599999999997</v>
      </c>
      <c r="E40" s="19">
        <v>83.950000000000003</v>
      </c>
      <c r="F40" s="19">
        <v>411172.98999999999</v>
      </c>
      <c r="G40" s="29">
        <v>0</v>
      </c>
      <c r="H40" s="23">
        <v>0</v>
      </c>
      <c r="I40" s="23">
        <v>0</v>
      </c>
      <c r="J40" s="23">
        <v>0</v>
      </c>
      <c r="K40" s="23">
        <v>1</v>
      </c>
      <c r="L40" s="23">
        <v>0</v>
      </c>
      <c r="M40" s="23">
        <v>0</v>
      </c>
      <c r="N40" s="23">
        <v>0</v>
      </c>
    </row>
    <row r="41" spans="1:14" ht="12.75" customHeight="1">
      <c r="A41" s="34">
        <f t="shared" si="0"/>
        <v>31</v>
      </c>
      <c r="B41">
        <v>2014</v>
      </c>
      <c r="C41">
        <v>7</v>
      </c>
      <c r="D41" s="19">
        <v>7850.0799999999999</v>
      </c>
      <c r="E41" s="19">
        <v>105.29000000000001</v>
      </c>
      <c r="F41" s="19">
        <v>413994.65000000002</v>
      </c>
      <c r="G41" s="29">
        <v>0</v>
      </c>
      <c r="H41" s="23">
        <v>0</v>
      </c>
      <c r="I41" s="23">
        <v>0</v>
      </c>
      <c r="J41" s="23">
        <v>0</v>
      </c>
      <c r="K41" s="23">
        <v>0</v>
      </c>
      <c r="L41" s="23">
        <v>1</v>
      </c>
      <c r="M41" s="23">
        <v>0</v>
      </c>
      <c r="N41" s="23">
        <v>0</v>
      </c>
    </row>
    <row r="42" spans="1:14" ht="12.75" customHeight="1">
      <c r="A42" s="34">
        <f t="shared" si="0"/>
        <v>32</v>
      </c>
      <c r="B42">
        <v>2014</v>
      </c>
      <c r="C42">
        <v>8</v>
      </c>
      <c r="D42" s="19">
        <v>7741.8000000000002</v>
      </c>
      <c r="E42" s="19">
        <v>109.43000000000001</v>
      </c>
      <c r="F42" s="19">
        <v>415165.78000000003</v>
      </c>
      <c r="G42" s="29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1</v>
      </c>
      <c r="N42" s="23">
        <v>0</v>
      </c>
    </row>
    <row r="43" spans="1:14" ht="12.75" customHeight="1">
      <c r="A43" s="34">
        <f t="shared" si="0"/>
        <v>33</v>
      </c>
      <c r="B43">
        <v>2014</v>
      </c>
      <c r="C43">
        <v>9</v>
      </c>
      <c r="D43" s="19">
        <v>7947.4300000000003</v>
      </c>
      <c r="E43" s="19">
        <v>104.36</v>
      </c>
      <c r="F43" s="19">
        <v>414838.64000000001</v>
      </c>
      <c r="G43" s="29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</row>
    <row r="44" spans="1:14" ht="12.75" customHeight="1">
      <c r="A44" s="34">
        <f t="shared" si="0"/>
        <v>34</v>
      </c>
      <c r="B44">
        <v>2014</v>
      </c>
      <c r="C44">
        <v>10</v>
      </c>
      <c r="D44" s="19">
        <v>7668.1599999999999</v>
      </c>
      <c r="E44" s="19">
        <v>64.709999999999994</v>
      </c>
      <c r="F44" s="19">
        <v>414318.07000000001</v>
      </c>
      <c r="G44" s="29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</row>
    <row r="45" spans="1:14" ht="12.75" customHeight="1">
      <c r="A45" s="34">
        <f t="shared" si="0"/>
        <v>35</v>
      </c>
      <c r="B45">
        <v>2014</v>
      </c>
      <c r="C45">
        <v>11</v>
      </c>
      <c r="D45" s="19">
        <v>7321.0100000000002</v>
      </c>
      <c r="E45" s="19">
        <v>34.960000000000001</v>
      </c>
      <c r="F45" s="19">
        <v>415207.31</v>
      </c>
      <c r="G45" s="29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</row>
    <row r="46" spans="1:14" ht="12.75" customHeight="1">
      <c r="A46" s="34">
        <f t="shared" si="0"/>
        <v>36</v>
      </c>
      <c r="B46">
        <v>2014</v>
      </c>
      <c r="C46">
        <v>12</v>
      </c>
      <c r="D46" s="19">
        <v>6344.6199999999999</v>
      </c>
      <c r="E46" s="19">
        <v>9</v>
      </c>
      <c r="F46" s="19">
        <v>418414.53999999998</v>
      </c>
      <c r="G46" s="29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</row>
    <row r="47" spans="1:14" ht="12.75" customHeight="1">
      <c r="A47" s="34">
        <f t="shared" si="0"/>
        <v>37</v>
      </c>
      <c r="B47">
        <v>2015</v>
      </c>
      <c r="C47">
        <v>1</v>
      </c>
      <c r="D47" s="19">
        <v>6748.29</v>
      </c>
      <c r="E47" s="19">
        <v>3.71</v>
      </c>
      <c r="F47" s="19">
        <v>422687.33000000002</v>
      </c>
      <c r="G47" s="29">
        <v>1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</row>
    <row r="48" spans="1:14" ht="12.75" customHeight="1">
      <c r="A48" s="34">
        <f t="shared" si="0"/>
        <v>38</v>
      </c>
      <c r="B48">
        <v>2015</v>
      </c>
      <c r="C48">
        <v>2</v>
      </c>
      <c r="D48" s="19">
        <v>6667.6300000000001</v>
      </c>
      <c r="E48" s="19">
        <v>4.79</v>
      </c>
      <c r="F48" s="19">
        <v>425809.95000000001</v>
      </c>
      <c r="G48" s="29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</row>
    <row r="49" spans="1:14" ht="12.75" customHeight="1">
      <c r="A49" s="34">
        <f t="shared" si="0"/>
        <v>39</v>
      </c>
      <c r="B49">
        <v>2015</v>
      </c>
      <c r="C49">
        <v>3</v>
      </c>
      <c r="D49" s="19">
        <v>6536.6400000000003</v>
      </c>
      <c r="E49" s="19">
        <v>6.6200000000000001</v>
      </c>
      <c r="F49" s="19">
        <v>426761.03000000003</v>
      </c>
      <c r="G49" s="29">
        <v>0</v>
      </c>
      <c r="H49" s="23">
        <v>1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</row>
    <row r="50" spans="1:14" ht="12.75" customHeight="1">
      <c r="A50" s="34">
        <f t="shared" si="0"/>
        <v>40</v>
      </c>
      <c r="B50">
        <v>2015</v>
      </c>
      <c r="C50">
        <v>4</v>
      </c>
      <c r="D50" s="19">
        <v>6933.6899999999996</v>
      </c>
      <c r="E50" s="19">
        <v>28.879999999999999</v>
      </c>
      <c r="F50" s="19">
        <v>426416.21000000002</v>
      </c>
      <c r="G50" s="29">
        <v>0</v>
      </c>
      <c r="H50" s="23">
        <v>0</v>
      </c>
      <c r="I50" s="23">
        <v>1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</row>
    <row r="51" spans="1:14" ht="12.75" customHeight="1">
      <c r="A51" s="34">
        <f t="shared" si="0"/>
        <v>41</v>
      </c>
      <c r="B51">
        <v>2015</v>
      </c>
      <c r="C51">
        <v>5</v>
      </c>
      <c r="D51" s="19">
        <v>6728.1599999999999</v>
      </c>
      <c r="E51" s="19">
        <v>42.560000000000002</v>
      </c>
      <c r="F51" s="19">
        <v>426334.29999999999</v>
      </c>
      <c r="G51" s="29">
        <v>0</v>
      </c>
      <c r="H51" s="23">
        <v>0</v>
      </c>
      <c r="I51" s="23">
        <v>0</v>
      </c>
      <c r="J51" s="23">
        <v>1</v>
      </c>
      <c r="K51" s="23">
        <v>0</v>
      </c>
      <c r="L51" s="23">
        <v>0</v>
      </c>
      <c r="M51" s="23">
        <v>0</v>
      </c>
      <c r="N51" s="23">
        <v>0</v>
      </c>
    </row>
    <row r="52" spans="1:14" ht="12.75" customHeight="1">
      <c r="A52" s="34">
        <f t="shared" si="0"/>
        <v>42</v>
      </c>
      <c r="B52">
        <v>2015</v>
      </c>
      <c r="C52">
        <v>6</v>
      </c>
      <c r="D52" s="19">
        <v>8360.7800000000007</v>
      </c>
      <c r="E52" s="19">
        <v>66.549999999999997</v>
      </c>
      <c r="F52" s="19">
        <v>427607.71000000002</v>
      </c>
      <c r="G52" s="29">
        <v>0</v>
      </c>
      <c r="H52" s="23">
        <v>0</v>
      </c>
      <c r="I52" s="23">
        <v>0</v>
      </c>
      <c r="J52" s="23">
        <v>0</v>
      </c>
      <c r="K52" s="23">
        <v>1</v>
      </c>
      <c r="L52" s="23">
        <v>0</v>
      </c>
      <c r="M52" s="23">
        <v>0</v>
      </c>
      <c r="N52" s="23">
        <v>0</v>
      </c>
    </row>
    <row r="53" spans="1:14" ht="12.75" customHeight="1">
      <c r="A53" s="34">
        <f t="shared" si="0"/>
        <v>43</v>
      </c>
      <c r="B53">
        <v>2015</v>
      </c>
      <c r="C53">
        <v>7</v>
      </c>
      <c r="D53" s="19">
        <v>7511.5600000000004</v>
      </c>
      <c r="E53" s="19">
        <v>102.14</v>
      </c>
      <c r="F53" s="19">
        <v>429641.98999999999</v>
      </c>
      <c r="G53" s="29">
        <v>0</v>
      </c>
      <c r="H53" s="23">
        <v>0</v>
      </c>
      <c r="I53" s="23">
        <v>0</v>
      </c>
      <c r="J53" s="23">
        <v>0</v>
      </c>
      <c r="K53" s="23">
        <v>0</v>
      </c>
      <c r="L53" s="23">
        <v>1</v>
      </c>
      <c r="M53" s="23">
        <v>0</v>
      </c>
      <c r="N53" s="23">
        <v>0</v>
      </c>
    </row>
    <row r="54" spans="1:14" ht="12.75" customHeight="1">
      <c r="A54" s="34">
        <f t="shared" si="0"/>
        <v>44</v>
      </c>
      <c r="B54">
        <v>2015</v>
      </c>
      <c r="C54">
        <v>8</v>
      </c>
      <c r="D54" s="19">
        <v>7699.9799999999996</v>
      </c>
      <c r="E54" s="19">
        <v>120.67</v>
      </c>
      <c r="F54" s="19">
        <v>431286.53999999998</v>
      </c>
      <c r="G54" s="29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1</v>
      </c>
      <c r="N54" s="23">
        <v>0</v>
      </c>
    </row>
    <row r="55" spans="1:14" ht="12.75" customHeight="1">
      <c r="A55" s="34">
        <f t="shared" si="0"/>
        <v>45</v>
      </c>
      <c r="B55">
        <v>2015</v>
      </c>
      <c r="C55">
        <v>9</v>
      </c>
      <c r="D55" s="19">
        <v>8767.1000000000004</v>
      </c>
      <c r="E55" s="19">
        <v>110.11</v>
      </c>
      <c r="F55" s="19">
        <v>431702.47999999998</v>
      </c>
      <c r="G55" s="29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</row>
    <row r="56" spans="1:14" ht="12.75" customHeight="1">
      <c r="A56" s="34">
        <f t="shared" si="0"/>
        <v>46</v>
      </c>
      <c r="B56">
        <v>2015</v>
      </c>
      <c r="C56">
        <v>10</v>
      </c>
      <c r="D56" s="19">
        <v>7506.4399999999996</v>
      </c>
      <c r="E56" s="19">
        <v>80.390000000000001</v>
      </c>
      <c r="F56" s="19">
        <v>431282.76000000001</v>
      </c>
      <c r="G56" s="29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</row>
    <row r="57" spans="1:14" ht="12.75" customHeight="1">
      <c r="A57" s="34">
        <f t="shared" si="0"/>
        <v>47</v>
      </c>
      <c r="B57">
        <v>2015</v>
      </c>
      <c r="C57">
        <v>11</v>
      </c>
      <c r="D57" s="19">
        <v>17203.900000000001</v>
      </c>
      <c r="E57" s="19">
        <v>37.210000000000001</v>
      </c>
      <c r="F57" s="19">
        <v>430763.21000000002</v>
      </c>
      <c r="G57" s="29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1</v>
      </c>
    </row>
    <row r="58" spans="1:14" ht="12.75" customHeight="1">
      <c r="A58" s="34">
        <f t="shared" si="0"/>
        <v>48</v>
      </c>
      <c r="B58">
        <v>2015</v>
      </c>
      <c r="C58">
        <v>12</v>
      </c>
      <c r="D58" s="19">
        <v>7199.5799999999999</v>
      </c>
      <c r="E58" s="19">
        <v>11.630000000000001</v>
      </c>
      <c r="F58" s="19">
        <v>430739.14000000001</v>
      </c>
      <c r="G58" s="29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</row>
    <row r="59" spans="1:14" ht="12.75" customHeight="1">
      <c r="A59" s="34">
        <f t="shared" si="0"/>
        <v>49</v>
      </c>
      <c r="B59">
        <v>2016</v>
      </c>
      <c r="C59">
        <v>1</v>
      </c>
      <c r="D59" s="19">
        <v>7243.8699999999999</v>
      </c>
      <c r="E59" s="19">
        <v>5.71</v>
      </c>
      <c r="F59" s="19">
        <v>431387.64000000001</v>
      </c>
      <c r="G59" s="29">
        <v>1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</row>
    <row r="60" spans="1:14" ht="12.75" customHeight="1">
      <c r="A60" s="34">
        <f t="shared" si="0"/>
        <v>50</v>
      </c>
      <c r="B60">
        <v>2016</v>
      </c>
      <c r="C60">
        <v>2</v>
      </c>
      <c r="D60" s="19">
        <v>7486.0200000000004</v>
      </c>
      <c r="E60" s="19">
        <v>4.8099999999999996</v>
      </c>
      <c r="F60" s="19">
        <v>432681.03999999998</v>
      </c>
      <c r="G60" s="29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</row>
    <row r="61" spans="1:14" ht="12.75" customHeight="1">
      <c r="A61" s="34">
        <f t="shared" si="0"/>
        <v>51</v>
      </c>
      <c r="B61">
        <v>2016</v>
      </c>
      <c r="C61">
        <v>3</v>
      </c>
      <c r="D61" s="19">
        <v>7541.4899999999998</v>
      </c>
      <c r="E61" s="19">
        <v>16.989999999999998</v>
      </c>
      <c r="F61" s="19">
        <v>434567.54999999999</v>
      </c>
      <c r="G61" s="29">
        <v>0</v>
      </c>
      <c r="H61" s="23">
        <v>1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</row>
    <row r="62" spans="1:14" ht="12.75" customHeight="1">
      <c r="A62" s="34">
        <f t="shared" si="0"/>
        <v>52</v>
      </c>
      <c r="B62">
        <v>2016</v>
      </c>
      <c r="C62">
        <v>4</v>
      </c>
      <c r="D62" s="19">
        <v>7314.8500000000004</v>
      </c>
      <c r="E62" s="19">
        <v>25.359999999999999</v>
      </c>
      <c r="F62" s="19">
        <v>436726.03999999998</v>
      </c>
      <c r="G62" s="29">
        <v>0</v>
      </c>
      <c r="H62" s="23">
        <v>0</v>
      </c>
      <c r="I62" s="23">
        <v>1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</row>
    <row r="63" spans="1:14" ht="12.75" customHeight="1">
      <c r="A63" s="34">
        <f t="shared" si="0"/>
        <v>53</v>
      </c>
      <c r="B63">
        <v>2016</v>
      </c>
      <c r="C63">
        <v>5</v>
      </c>
      <c r="D63" s="19">
        <v>7645.6400000000003</v>
      </c>
      <c r="E63" s="19">
        <v>45.460000000000001</v>
      </c>
      <c r="F63" s="19">
        <v>438673.21999999997</v>
      </c>
      <c r="G63" s="29">
        <v>0</v>
      </c>
      <c r="H63" s="23">
        <v>0</v>
      </c>
      <c r="I63" s="23">
        <v>0</v>
      </c>
      <c r="J63" s="23">
        <v>1</v>
      </c>
      <c r="K63" s="23">
        <v>0</v>
      </c>
      <c r="L63" s="23">
        <v>0</v>
      </c>
      <c r="M63" s="23">
        <v>0</v>
      </c>
      <c r="N63" s="23">
        <v>0</v>
      </c>
    </row>
    <row r="64" spans="1:14" ht="12.75" customHeight="1">
      <c r="A64" s="34">
        <f t="shared" si="0"/>
        <v>54</v>
      </c>
      <c r="B64">
        <v>2016</v>
      </c>
      <c r="C64">
        <v>6</v>
      </c>
      <c r="D64" s="19">
        <v>7808.9700000000003</v>
      </c>
      <c r="E64" s="19">
        <v>73.75</v>
      </c>
      <c r="F64" s="19">
        <v>440090.34000000003</v>
      </c>
      <c r="G64" s="29">
        <v>0</v>
      </c>
      <c r="H64" s="23">
        <v>0</v>
      </c>
      <c r="I64" s="23">
        <v>0</v>
      </c>
      <c r="J64" s="23">
        <v>0</v>
      </c>
      <c r="K64" s="23">
        <v>1</v>
      </c>
      <c r="L64" s="23">
        <v>0</v>
      </c>
      <c r="M64" s="23">
        <v>0</v>
      </c>
      <c r="N64" s="23">
        <v>0</v>
      </c>
    </row>
    <row r="65" spans="1:14" ht="12.75" customHeight="1">
      <c r="A65" s="34">
        <f t="shared" si="0"/>
        <v>55</v>
      </c>
      <c r="B65">
        <v>2016</v>
      </c>
      <c r="C65">
        <v>7</v>
      </c>
      <c r="D65" s="19">
        <v>7913.5600000000004</v>
      </c>
      <c r="E65" s="19">
        <v>111.08</v>
      </c>
      <c r="F65" s="19">
        <v>441065.65000000002</v>
      </c>
      <c r="G65" s="29">
        <v>0</v>
      </c>
      <c r="H65" s="23">
        <v>0</v>
      </c>
      <c r="I65" s="23">
        <v>0</v>
      </c>
      <c r="J65" s="23">
        <v>0</v>
      </c>
      <c r="K65" s="23">
        <v>0</v>
      </c>
      <c r="L65" s="23">
        <v>1</v>
      </c>
      <c r="M65" s="23">
        <v>0</v>
      </c>
      <c r="N65" s="23">
        <v>0</v>
      </c>
    </row>
    <row r="66" spans="1:14" ht="12.75" customHeight="1">
      <c r="A66" s="34">
        <f t="shared" si="0"/>
        <v>56</v>
      </c>
      <c r="B66">
        <v>2016</v>
      </c>
      <c r="C66">
        <v>8</v>
      </c>
      <c r="D66" s="19">
        <v>8881.7700000000004</v>
      </c>
      <c r="E66" s="19">
        <v>120.42</v>
      </c>
      <c r="F66" s="19">
        <v>441845.09999999998</v>
      </c>
      <c r="G66" s="29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1</v>
      </c>
      <c r="N66" s="23">
        <v>0</v>
      </c>
    </row>
    <row r="67" spans="1:14" ht="12.75" customHeight="1">
      <c r="A67" s="34">
        <f t="shared" si="0"/>
        <v>57</v>
      </c>
      <c r="B67">
        <v>2016</v>
      </c>
      <c r="C67">
        <v>9</v>
      </c>
      <c r="D67" s="19">
        <v>8605.0900000000001</v>
      </c>
      <c r="E67" s="19">
        <v>95.989999999999995</v>
      </c>
      <c r="F67" s="19">
        <v>442630.46000000002</v>
      </c>
      <c r="G67" s="29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</row>
    <row r="68" spans="1:14" ht="12.75" customHeight="1">
      <c r="A68" s="34">
        <f t="shared" si="0"/>
        <v>58</v>
      </c>
      <c r="B68">
        <v>2016</v>
      </c>
      <c r="C68">
        <v>10</v>
      </c>
      <c r="D68" s="19">
        <v>8718.5200000000004</v>
      </c>
      <c r="E68" s="19">
        <v>75.549999999999997</v>
      </c>
      <c r="F68" s="19">
        <v>443643.69</v>
      </c>
      <c r="G68" s="29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</row>
    <row r="69" spans="1:14" ht="12.75" customHeight="1">
      <c r="A69" s="34">
        <f t="shared" si="0"/>
        <v>59</v>
      </c>
      <c r="B69">
        <v>2016</v>
      </c>
      <c r="C69">
        <v>11</v>
      </c>
      <c r="D69" s="19">
        <v>8017.7200000000003</v>
      </c>
      <c r="E69" s="19">
        <v>50</v>
      </c>
      <c r="F69" s="19">
        <v>445079.60999999999</v>
      </c>
      <c r="G69" s="29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</row>
    <row r="70" spans="1:14" ht="12.75" customHeight="1">
      <c r="A70" s="34">
        <f t="shared" si="0"/>
        <v>60</v>
      </c>
      <c r="B70">
        <v>2016</v>
      </c>
      <c r="C70">
        <v>12</v>
      </c>
      <c r="D70" s="19">
        <v>7855.79</v>
      </c>
      <c r="E70" s="19">
        <v>15.83</v>
      </c>
      <c r="F70" s="19">
        <v>446979.92999999999</v>
      </c>
      <c r="G70" s="29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</row>
    <row r="71" spans="1:14" ht="12.75" customHeight="1">
      <c r="A71" s="34">
        <f t="shared" si="0"/>
        <v>61</v>
      </c>
      <c r="B71">
        <v>2017</v>
      </c>
      <c r="C71">
        <v>1</v>
      </c>
      <c r="D71" s="19">
        <v>7297.2600000000002</v>
      </c>
      <c r="E71" s="19">
        <v>7.3300000000000001</v>
      </c>
      <c r="F71" s="19">
        <v>448919.65999999997</v>
      </c>
      <c r="G71" s="29">
        <v>1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</row>
    <row r="72" spans="1:14" ht="12.75" customHeight="1">
      <c r="A72" s="34">
        <f t="shared" si="0"/>
        <v>62</v>
      </c>
      <c r="B72">
        <v>2017</v>
      </c>
      <c r="C72">
        <v>2</v>
      </c>
      <c r="D72" s="19">
        <v>7785.8400000000001</v>
      </c>
      <c r="E72" s="19">
        <v>10.060000000000001</v>
      </c>
      <c r="F72" s="19">
        <v>450204.94</v>
      </c>
      <c r="G72" s="29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</row>
    <row r="73" spans="1:14" ht="12.75" customHeight="1">
      <c r="A73" s="34">
        <f t="shared" si="0"/>
        <v>63</v>
      </c>
      <c r="B73">
        <v>2017</v>
      </c>
      <c r="C73">
        <v>3</v>
      </c>
      <c r="D73" s="19">
        <v>7951.0900000000001</v>
      </c>
      <c r="E73" s="19">
        <v>20.48</v>
      </c>
      <c r="F73" s="19">
        <v>450603.14000000001</v>
      </c>
      <c r="G73" s="29">
        <v>0</v>
      </c>
      <c r="H73" s="23">
        <v>1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</row>
    <row r="74" spans="1:14" ht="12.75" customHeight="1">
      <c r="A74" s="34">
        <f t="shared" si="0"/>
        <v>64</v>
      </c>
      <c r="B74">
        <v>2017</v>
      </c>
      <c r="C74">
        <v>4</v>
      </c>
      <c r="D74" s="19">
        <v>8318.9899999999998</v>
      </c>
      <c r="E74" s="19">
        <v>36.979999999999997</v>
      </c>
      <c r="F74" s="19">
        <v>450554.65999999997</v>
      </c>
      <c r="G74" s="29">
        <v>0</v>
      </c>
      <c r="H74" s="23">
        <v>0</v>
      </c>
      <c r="I74" s="23">
        <v>1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</row>
    <row r="75" spans="1:14" ht="12.75" customHeight="1">
      <c r="A75" s="34">
        <f t="shared" si="0"/>
        <v>65</v>
      </c>
      <c r="B75">
        <v>2017</v>
      </c>
      <c r="C75">
        <v>5</v>
      </c>
      <c r="D75" s="19">
        <v>7846.1400000000003</v>
      </c>
      <c r="E75" s="19">
        <v>49.43</v>
      </c>
      <c r="F75" s="19">
        <v>450752.27000000002</v>
      </c>
      <c r="G75" s="29">
        <v>0</v>
      </c>
      <c r="H75" s="23">
        <v>0</v>
      </c>
      <c r="I75" s="23">
        <v>0</v>
      </c>
      <c r="J75" s="23">
        <v>1</v>
      </c>
      <c r="K75" s="23">
        <v>0</v>
      </c>
      <c r="L75" s="23">
        <v>0</v>
      </c>
      <c r="M75" s="23">
        <v>0</v>
      </c>
      <c r="N75" s="23">
        <v>0</v>
      </c>
    </row>
    <row r="76" spans="1:14" ht="12.75" customHeight="1">
      <c r="A76" s="34">
        <f t="shared" si="1" ref="A76:A125">+A75+1</f>
        <v>66</v>
      </c>
      <c r="B76">
        <v>2017</v>
      </c>
      <c r="C76">
        <v>6</v>
      </c>
      <c r="D76" s="19">
        <v>8716.6299999999992</v>
      </c>
      <c r="E76" s="19">
        <v>75.819999999999993</v>
      </c>
      <c r="F76" s="19">
        <v>451733.90999999997</v>
      </c>
      <c r="G76" s="29">
        <v>0</v>
      </c>
      <c r="H76" s="23">
        <v>0</v>
      </c>
      <c r="I76" s="23">
        <v>0</v>
      </c>
      <c r="J76" s="23">
        <v>0</v>
      </c>
      <c r="K76" s="23">
        <v>1</v>
      </c>
      <c r="L76" s="23">
        <v>0</v>
      </c>
      <c r="M76" s="23">
        <v>0</v>
      </c>
      <c r="N76" s="23">
        <v>0</v>
      </c>
    </row>
    <row r="77" spans="1:14" ht="12.75" customHeight="1">
      <c r="A77" s="34">
        <f t="shared" si="1"/>
        <v>67</v>
      </c>
      <c r="B77">
        <v>2017</v>
      </c>
      <c r="C77">
        <v>7</v>
      </c>
      <c r="D77" s="19">
        <v>8531.2600000000002</v>
      </c>
      <c r="E77" s="19">
        <v>108.17</v>
      </c>
      <c r="F77" s="19">
        <v>453475.60999999999</v>
      </c>
      <c r="G77" s="29">
        <v>0</v>
      </c>
      <c r="H77" s="23">
        <v>0</v>
      </c>
      <c r="I77" s="23">
        <v>0</v>
      </c>
      <c r="J77" s="23">
        <v>0</v>
      </c>
      <c r="K77" s="23">
        <v>0</v>
      </c>
      <c r="L77" s="23">
        <v>1</v>
      </c>
      <c r="M77" s="23">
        <v>0</v>
      </c>
      <c r="N77" s="23">
        <v>0</v>
      </c>
    </row>
    <row r="78" spans="1:14" ht="12.75" customHeight="1">
      <c r="A78" s="34">
        <f t="shared" si="1"/>
        <v>68</v>
      </c>
      <c r="B78">
        <v>2017</v>
      </c>
      <c r="C78">
        <v>8</v>
      </c>
      <c r="D78" s="19">
        <v>9087.1800000000003</v>
      </c>
      <c r="E78" s="19">
        <v>112.67</v>
      </c>
      <c r="F78" s="19">
        <v>455788.5</v>
      </c>
      <c r="G78" s="29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1</v>
      </c>
      <c r="N78" s="23">
        <v>0</v>
      </c>
    </row>
    <row r="79" spans="1:14" ht="12.75" customHeight="1">
      <c r="A79" s="34">
        <f t="shared" si="1"/>
        <v>69</v>
      </c>
      <c r="B79">
        <v>2017</v>
      </c>
      <c r="C79">
        <v>9</v>
      </c>
      <c r="D79" s="19">
        <v>8848.0499999999993</v>
      </c>
      <c r="E79" s="19">
        <v>95.719999999999999</v>
      </c>
      <c r="F79" s="19">
        <v>458273.59999999998</v>
      </c>
      <c r="G79" s="29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</row>
    <row r="80" spans="1:14" ht="12.75" customHeight="1">
      <c r="A80" s="34">
        <f t="shared" si="1"/>
        <v>70</v>
      </c>
      <c r="B80">
        <v>2017</v>
      </c>
      <c r="C80">
        <v>10</v>
      </c>
      <c r="D80" s="19">
        <v>8591.5900000000001</v>
      </c>
      <c r="E80" s="19">
        <v>75.230000000000004</v>
      </c>
      <c r="F80" s="19">
        <v>460351.14000000001</v>
      </c>
      <c r="G80" s="29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</row>
    <row r="81" spans="1:14" ht="12.75" customHeight="1">
      <c r="A81" s="34">
        <f t="shared" si="1"/>
        <v>71</v>
      </c>
      <c r="B81">
        <v>2017</v>
      </c>
      <c r="C81">
        <v>11</v>
      </c>
      <c r="D81" s="19">
        <v>8898.5200000000004</v>
      </c>
      <c r="E81" s="19">
        <v>35.420000000000002</v>
      </c>
      <c r="F81" s="19">
        <v>461333.21999999997</v>
      </c>
      <c r="G81" s="29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</row>
    <row r="82" spans="1:14" ht="12.75" customHeight="1">
      <c r="A82" s="34">
        <f t="shared" si="1"/>
        <v>72</v>
      </c>
      <c r="B82">
        <v>2017</v>
      </c>
      <c r="C82">
        <v>12</v>
      </c>
      <c r="D82" s="19">
        <v>10942.58</v>
      </c>
      <c r="E82" s="19">
        <v>16.989999999999998</v>
      </c>
      <c r="F82" s="19">
        <v>460942.41999999998</v>
      </c>
      <c r="G82" s="29">
        <v>0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</row>
    <row r="83" spans="1:14" ht="12.75" customHeight="1">
      <c r="A83" s="34">
        <f t="shared" si="1"/>
        <v>73</v>
      </c>
      <c r="B83">
        <v>2018</v>
      </c>
      <c r="C83">
        <v>1</v>
      </c>
      <c r="D83" s="19">
        <v>7432.6499999999996</v>
      </c>
      <c r="E83" s="19">
        <v>3.3300000000000001</v>
      </c>
      <c r="F83" s="19">
        <v>460224.81</v>
      </c>
      <c r="G83" s="29">
        <v>1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</row>
    <row r="84" spans="1:14" ht="12.75" customHeight="1">
      <c r="A84" s="34">
        <f t="shared" si="1"/>
        <v>74</v>
      </c>
      <c r="B84">
        <v>2018</v>
      </c>
      <c r="C84">
        <v>2</v>
      </c>
      <c r="D84" s="19">
        <v>9184.3400000000001</v>
      </c>
      <c r="E84" s="19">
        <v>4.2400000000000002</v>
      </c>
      <c r="F84" s="19">
        <v>460616.59000000003</v>
      </c>
      <c r="G84" s="29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</row>
    <row r="85" spans="1:14" ht="12.75" customHeight="1">
      <c r="A85" s="34">
        <f t="shared" si="1"/>
        <v>75</v>
      </c>
      <c r="B85">
        <v>2018</v>
      </c>
      <c r="C85">
        <v>3</v>
      </c>
      <c r="D85" s="19">
        <v>8357</v>
      </c>
      <c r="E85" s="19">
        <v>13.960000000000001</v>
      </c>
      <c r="F85" s="19">
        <v>462960.33000000002</v>
      </c>
      <c r="G85" s="29">
        <v>0</v>
      </c>
      <c r="H85" s="23">
        <v>1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</row>
    <row r="86" spans="1:14" ht="12.75" customHeight="1">
      <c r="A86" s="34">
        <f t="shared" si="1"/>
        <v>76</v>
      </c>
      <c r="B86">
        <v>2018</v>
      </c>
      <c r="C86">
        <v>4</v>
      </c>
      <c r="D86" s="19">
        <v>8770.8199999999997</v>
      </c>
      <c r="E86" s="19">
        <v>29.960000000000001</v>
      </c>
      <c r="F86" s="19">
        <v>466665.14000000001</v>
      </c>
      <c r="G86" s="29">
        <v>0</v>
      </c>
      <c r="H86" s="23">
        <v>0</v>
      </c>
      <c r="I86" s="23">
        <v>1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</row>
    <row r="87" spans="1:14" ht="12.75" customHeight="1">
      <c r="A87" s="34">
        <f t="shared" si="1"/>
        <v>77</v>
      </c>
      <c r="B87">
        <v>2018</v>
      </c>
      <c r="C87">
        <v>5</v>
      </c>
      <c r="D87" s="19">
        <v>9064.7199999999993</v>
      </c>
      <c r="E87" s="19">
        <v>49.030000000000001</v>
      </c>
      <c r="F87" s="19">
        <v>470419.98999999999</v>
      </c>
      <c r="G87" s="29">
        <v>0</v>
      </c>
      <c r="H87" s="23">
        <v>0</v>
      </c>
      <c r="I87" s="23">
        <v>0</v>
      </c>
      <c r="J87" s="23">
        <v>1</v>
      </c>
      <c r="K87" s="23">
        <v>0</v>
      </c>
      <c r="L87" s="23">
        <v>0</v>
      </c>
      <c r="M87" s="23">
        <v>0</v>
      </c>
      <c r="N87" s="23">
        <v>0</v>
      </c>
    </row>
    <row r="88" spans="1:14" ht="12.75" customHeight="1">
      <c r="A88" s="34">
        <f t="shared" si="1"/>
        <v>78</v>
      </c>
      <c r="B88">
        <v>2018</v>
      </c>
      <c r="C88">
        <v>6</v>
      </c>
      <c r="D88" s="19">
        <v>10527.360000000001</v>
      </c>
      <c r="E88" s="19">
        <v>102.24</v>
      </c>
      <c r="F88" s="19">
        <v>473271.57000000001</v>
      </c>
      <c r="G88" s="29">
        <v>0</v>
      </c>
      <c r="H88" s="23">
        <v>0</v>
      </c>
      <c r="I88" s="23">
        <v>0</v>
      </c>
      <c r="J88" s="23">
        <v>0</v>
      </c>
      <c r="K88" s="23">
        <v>1</v>
      </c>
      <c r="L88" s="23">
        <v>0</v>
      </c>
      <c r="M88" s="23">
        <v>0</v>
      </c>
      <c r="N88" s="23">
        <v>0</v>
      </c>
    </row>
    <row r="89" spans="1:14" ht="12.75" customHeight="1">
      <c r="A89" s="34">
        <f t="shared" si="1"/>
        <v>79</v>
      </c>
      <c r="B89">
        <v>2018</v>
      </c>
      <c r="C89">
        <v>7</v>
      </c>
      <c r="D89" s="19">
        <v>10117.940000000001</v>
      </c>
      <c r="E89" s="19">
        <v>116.48</v>
      </c>
      <c r="F89" s="19">
        <v>475278.26000000001</v>
      </c>
      <c r="G89" s="29">
        <v>0</v>
      </c>
      <c r="H89" s="23">
        <v>0</v>
      </c>
      <c r="I89" s="23">
        <v>0</v>
      </c>
      <c r="J89" s="23">
        <v>0</v>
      </c>
      <c r="K89" s="23">
        <v>0</v>
      </c>
      <c r="L89" s="23">
        <v>1</v>
      </c>
      <c r="M89" s="23">
        <v>0</v>
      </c>
      <c r="N89" s="23">
        <v>0</v>
      </c>
    </row>
    <row r="90" spans="1:14" ht="12.75" customHeight="1">
      <c r="A90" s="34">
        <f t="shared" si="1"/>
        <v>80</v>
      </c>
      <c r="B90">
        <v>2018</v>
      </c>
      <c r="C90">
        <v>8</v>
      </c>
      <c r="D90" s="19">
        <v>10630.450000000001</v>
      </c>
      <c r="E90" s="19">
        <v>116.73</v>
      </c>
      <c r="F90" s="19">
        <v>476874.90000000002</v>
      </c>
      <c r="G90" s="29">
        <v>0</v>
      </c>
      <c r="H90" s="23">
        <v>0</v>
      </c>
      <c r="I90" s="23">
        <v>0</v>
      </c>
      <c r="J90" s="23">
        <v>0</v>
      </c>
      <c r="K90" s="23">
        <v>0</v>
      </c>
      <c r="L90" s="23">
        <v>0</v>
      </c>
      <c r="M90" s="23">
        <v>1</v>
      </c>
      <c r="N90" s="23">
        <v>0</v>
      </c>
    </row>
    <row r="91" spans="1:14" ht="12.75" customHeight="1">
      <c r="A91" s="34">
        <f t="shared" si="1"/>
        <v>81</v>
      </c>
      <c r="B91">
        <v>2018</v>
      </c>
      <c r="C91">
        <v>9</v>
      </c>
      <c r="D91" s="19">
        <v>10705.01</v>
      </c>
      <c r="E91" s="19">
        <v>103.2</v>
      </c>
      <c r="F91" s="19">
        <v>478317.46000000002</v>
      </c>
      <c r="G91" s="29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</row>
    <row r="92" spans="1:14" ht="12.75" customHeight="1">
      <c r="A92" s="34">
        <f t="shared" si="1"/>
        <v>82</v>
      </c>
      <c r="B92">
        <v>2018</v>
      </c>
      <c r="C92">
        <v>10</v>
      </c>
      <c r="D92" s="19">
        <v>10167.1</v>
      </c>
      <c r="E92" s="19">
        <v>64.510000000000005</v>
      </c>
      <c r="F92" s="19">
        <v>479635.57000000001</v>
      </c>
      <c r="G92" s="29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</row>
    <row r="93" spans="1:14" ht="12.75" customHeight="1">
      <c r="A93" s="34">
        <f t="shared" si="1"/>
        <v>83</v>
      </c>
      <c r="B93">
        <v>2018</v>
      </c>
      <c r="C93">
        <v>11</v>
      </c>
      <c r="D93" s="19">
        <v>10068.33</v>
      </c>
      <c r="E93" s="19">
        <v>24.23</v>
      </c>
      <c r="F93" s="19">
        <v>480737.91999999998</v>
      </c>
      <c r="G93" s="29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</row>
    <row r="94" spans="1:14" ht="12.75" customHeight="1">
      <c r="A94" s="34">
        <f t="shared" si="1"/>
        <v>84</v>
      </c>
      <c r="B94">
        <v>2018</v>
      </c>
      <c r="C94">
        <v>12</v>
      </c>
      <c r="D94" s="19">
        <v>10387.200000000001</v>
      </c>
      <c r="E94" s="19">
        <v>6.7599999999999998</v>
      </c>
      <c r="F94" s="19">
        <v>481610.62</v>
      </c>
      <c r="G94" s="29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</row>
    <row r="95" spans="1:14" ht="12.75" customHeight="1">
      <c r="A95" s="34">
        <f t="shared" si="1"/>
        <v>85</v>
      </c>
      <c r="B95">
        <v>2019</v>
      </c>
      <c r="C95">
        <v>1</v>
      </c>
      <c r="D95" s="19">
        <v>9645.6000000000004</v>
      </c>
      <c r="E95" s="19">
        <v>3.3199999999999998</v>
      </c>
      <c r="F95" s="19">
        <v>482510.06</v>
      </c>
      <c r="G95" s="29">
        <v>1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</row>
    <row r="96" spans="1:14" ht="12.75" customHeight="1">
      <c r="A96" s="34">
        <f t="shared" si="1"/>
        <v>86</v>
      </c>
      <c r="B96">
        <v>2019</v>
      </c>
      <c r="C96">
        <v>2</v>
      </c>
      <c r="D96" s="19">
        <v>9840.4099999999999</v>
      </c>
      <c r="E96" s="19">
        <v>5.7199999999999998</v>
      </c>
      <c r="F96" s="19">
        <v>483676.27000000002</v>
      </c>
      <c r="G96" s="29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</row>
    <row r="97" spans="1:14" ht="12.75" customHeight="1">
      <c r="A97" s="34">
        <f t="shared" si="1"/>
        <v>87</v>
      </c>
      <c r="B97">
        <v>2019</v>
      </c>
      <c r="C97">
        <v>3</v>
      </c>
      <c r="D97" s="19">
        <v>9636.7399999999998</v>
      </c>
      <c r="E97" s="19">
        <v>8.0800000000000001</v>
      </c>
      <c r="F97" s="19">
        <v>485316.60999999999</v>
      </c>
      <c r="G97" s="29">
        <v>0</v>
      </c>
      <c r="H97" s="23">
        <v>1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</row>
    <row r="98" spans="1:14" ht="12.75" customHeight="1">
      <c r="A98" s="34">
        <f t="shared" si="1"/>
        <v>88</v>
      </c>
      <c r="B98">
        <v>2019</v>
      </c>
      <c r="C98">
        <v>4</v>
      </c>
      <c r="D98" s="19">
        <v>10421.280000000001</v>
      </c>
      <c r="E98" s="19">
        <v>22.18</v>
      </c>
      <c r="F98" s="19">
        <v>487230.13</v>
      </c>
      <c r="G98" s="29">
        <v>0</v>
      </c>
      <c r="H98" s="23">
        <v>0</v>
      </c>
      <c r="I98" s="23">
        <v>1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</row>
    <row r="99" spans="1:14" ht="12.75" customHeight="1">
      <c r="A99" s="34">
        <f t="shared" si="1"/>
        <v>89</v>
      </c>
      <c r="B99">
        <v>2019</v>
      </c>
      <c r="C99">
        <v>5</v>
      </c>
      <c r="D99" s="19">
        <v>10054.1</v>
      </c>
      <c r="E99" s="19">
        <v>41.869999999999997</v>
      </c>
      <c r="F99" s="19">
        <v>488948.04999999999</v>
      </c>
      <c r="G99" s="29">
        <v>0</v>
      </c>
      <c r="H99" s="23">
        <v>0</v>
      </c>
      <c r="I99" s="23">
        <v>0</v>
      </c>
      <c r="J99" s="23">
        <v>1</v>
      </c>
      <c r="K99" s="23">
        <v>0</v>
      </c>
      <c r="L99" s="23">
        <v>0</v>
      </c>
      <c r="M99" s="23">
        <v>0</v>
      </c>
      <c r="N99" s="23">
        <v>0</v>
      </c>
    </row>
    <row r="100" spans="1:14" ht="12.75" customHeight="1">
      <c r="A100" s="34">
        <f t="shared" si="1"/>
        <v>90</v>
      </c>
      <c r="B100">
        <v>2019</v>
      </c>
      <c r="C100">
        <v>6</v>
      </c>
      <c r="D100" s="19">
        <v>10305.75</v>
      </c>
      <c r="E100" s="19">
        <v>69.370000000000005</v>
      </c>
      <c r="F100" s="19">
        <v>490181.96999999997</v>
      </c>
      <c r="G100" s="29">
        <v>0</v>
      </c>
      <c r="H100" s="23">
        <v>0</v>
      </c>
      <c r="I100" s="23">
        <v>0</v>
      </c>
      <c r="J100" s="23">
        <v>0</v>
      </c>
      <c r="K100" s="23">
        <v>1</v>
      </c>
      <c r="L100" s="23">
        <v>0</v>
      </c>
      <c r="M100" s="23">
        <v>0</v>
      </c>
      <c r="N100" s="23">
        <v>0</v>
      </c>
    </row>
    <row r="101" spans="1:14" ht="12.75" customHeight="1">
      <c r="A101" s="34">
        <f t="shared" si="1"/>
        <v>91</v>
      </c>
      <c r="B101">
        <v>2019</v>
      </c>
      <c r="C101">
        <v>7</v>
      </c>
      <c r="D101" s="19">
        <v>10368.799999999999</v>
      </c>
      <c r="E101" s="19">
        <v>102.31999999999999</v>
      </c>
      <c r="F101" s="19">
        <v>491045.27000000002</v>
      </c>
      <c r="G101" s="29">
        <v>0</v>
      </c>
      <c r="H101" s="23">
        <v>0</v>
      </c>
      <c r="I101" s="23">
        <v>0</v>
      </c>
      <c r="J101" s="23">
        <v>0</v>
      </c>
      <c r="K101" s="23">
        <v>0</v>
      </c>
      <c r="L101" s="23">
        <v>1</v>
      </c>
      <c r="M101" s="23">
        <v>0</v>
      </c>
      <c r="N101" s="23">
        <v>0</v>
      </c>
    </row>
    <row r="102" spans="1:14" s="18" customFormat="1" ht="12.75" customHeight="1">
      <c r="A102" s="34">
        <f t="shared" si="1"/>
        <v>92</v>
      </c>
      <c r="B102">
        <v>2019</v>
      </c>
      <c r="C102">
        <v>8</v>
      </c>
      <c r="D102" s="19">
        <v>12144.76</v>
      </c>
      <c r="E102" s="19">
        <v>115.14</v>
      </c>
      <c r="F102" s="19">
        <v>491808.71999999997</v>
      </c>
      <c r="G102" s="29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1</v>
      </c>
      <c r="N102" s="23">
        <v>0</v>
      </c>
    </row>
    <row r="103" spans="1:14" s="18" customFormat="1" ht="12.75" customHeight="1">
      <c r="A103" s="34">
        <f t="shared" si="1"/>
        <v>93</v>
      </c>
      <c r="B103">
        <v>2019</v>
      </c>
      <c r="C103">
        <v>9</v>
      </c>
      <c r="D103" s="19">
        <v>12194.6</v>
      </c>
      <c r="E103" s="19">
        <v>117.20999999999999</v>
      </c>
      <c r="F103" s="19">
        <v>492850.47999999998</v>
      </c>
      <c r="G103" s="29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</row>
    <row r="104" spans="1:14" ht="12.75" customHeight="1">
      <c r="A104" s="34">
        <f t="shared" si="1"/>
        <v>94</v>
      </c>
      <c r="B104">
        <v>2019</v>
      </c>
      <c r="C104">
        <v>10</v>
      </c>
      <c r="D104" s="19">
        <v>12193.91</v>
      </c>
      <c r="E104" s="19">
        <v>94.530000000000001</v>
      </c>
      <c r="F104" s="19">
        <v>495019.03000000003</v>
      </c>
      <c r="G104" s="29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</row>
    <row r="105" spans="1:14" ht="12.75" customHeight="1">
      <c r="A105" s="34">
        <f t="shared" si="1"/>
        <v>95</v>
      </c>
      <c r="B105">
        <v>2019</v>
      </c>
      <c r="C105">
        <v>11</v>
      </c>
      <c r="D105" s="19">
        <v>12302.59</v>
      </c>
      <c r="E105" s="19">
        <v>29.43</v>
      </c>
      <c r="F105" s="19">
        <v>499241.48999999999</v>
      </c>
      <c r="G105" s="29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</row>
    <row r="106" spans="1:14" ht="12.75" customHeight="1">
      <c r="A106" s="34">
        <f t="shared" si="1"/>
        <v>96</v>
      </c>
      <c r="B106">
        <v>2019</v>
      </c>
      <c r="C106">
        <v>12</v>
      </c>
      <c r="D106" s="19">
        <v>11860.639999999999</v>
      </c>
      <c r="E106" s="19">
        <v>10.119999999999999</v>
      </c>
      <c r="F106" s="19">
        <v>505045.31</v>
      </c>
      <c r="G106" s="29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</row>
    <row r="107" spans="1:14" ht="12.75" customHeight="1">
      <c r="A107" s="34">
        <f t="shared" si="1"/>
        <v>97</v>
      </c>
      <c r="B107">
        <v>2020</v>
      </c>
      <c r="C107">
        <v>1</v>
      </c>
      <c r="D107" s="19">
        <v>12322.969999999999</v>
      </c>
      <c r="E107" s="19">
        <v>5.9299999999999997</v>
      </c>
      <c r="F107" s="19">
        <v>507572.35999999999</v>
      </c>
      <c r="G107" s="29">
        <v>1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</row>
    <row r="108" spans="1:14" ht="12.75" customHeight="1">
      <c r="A108" s="34">
        <f t="shared" si="1"/>
        <v>98</v>
      </c>
      <c r="B108">
        <v>2020</v>
      </c>
      <c r="C108">
        <v>2</v>
      </c>
      <c r="D108" s="19">
        <v>14231.610000000001</v>
      </c>
      <c r="E108" s="19">
        <v>5.3499999999999996</v>
      </c>
      <c r="F108" s="19">
        <v>500755.03000000003</v>
      </c>
      <c r="G108" s="29">
        <v>0</v>
      </c>
      <c r="H108" s="23">
        <v>0</v>
      </c>
      <c r="I108" s="23">
        <v>0</v>
      </c>
      <c r="J108" s="23">
        <v>0</v>
      </c>
      <c r="K108" s="23">
        <v>0</v>
      </c>
      <c r="L108" s="23">
        <v>0</v>
      </c>
      <c r="M108" s="23">
        <v>0</v>
      </c>
      <c r="N108" s="23">
        <v>0</v>
      </c>
    </row>
    <row r="109" spans="1:14" ht="12.75" customHeight="1">
      <c r="A109" s="34">
        <f t="shared" si="1"/>
        <v>99</v>
      </c>
      <c r="B109">
        <v>2020</v>
      </c>
      <c r="C109">
        <v>3</v>
      </c>
      <c r="D109" s="19">
        <v>11125.51</v>
      </c>
      <c r="E109" s="19">
        <v>11.08</v>
      </c>
      <c r="F109" s="19">
        <v>481838.15999999997</v>
      </c>
      <c r="G109" s="29">
        <v>0</v>
      </c>
      <c r="H109" s="23">
        <v>1</v>
      </c>
      <c r="I109" s="23">
        <v>0</v>
      </c>
      <c r="J109" s="23">
        <v>0</v>
      </c>
      <c r="K109" s="23">
        <v>0</v>
      </c>
      <c r="L109" s="23">
        <v>0</v>
      </c>
      <c r="M109" s="23">
        <v>0</v>
      </c>
      <c r="N109" s="23">
        <v>0</v>
      </c>
    </row>
    <row r="110" spans="1:14" ht="12.75" customHeight="1">
      <c r="A110" s="34">
        <f t="shared" si="1"/>
        <v>100</v>
      </c>
      <c r="B110">
        <v>2020</v>
      </c>
      <c r="C110">
        <v>4</v>
      </c>
      <c r="D110" s="19">
        <v>11858.17</v>
      </c>
      <c r="E110" s="19">
        <v>28.870000000000001</v>
      </c>
      <c r="F110" s="19">
        <v>457590.64000000001</v>
      </c>
      <c r="G110" s="29">
        <v>0</v>
      </c>
      <c r="H110" s="23">
        <v>0</v>
      </c>
      <c r="I110" s="23">
        <v>1</v>
      </c>
      <c r="J110" s="23">
        <v>0</v>
      </c>
      <c r="K110" s="23">
        <v>0</v>
      </c>
      <c r="L110" s="23">
        <v>0</v>
      </c>
      <c r="M110" s="23">
        <v>0</v>
      </c>
      <c r="N110" s="23">
        <v>0</v>
      </c>
    </row>
    <row r="111" spans="1:14" ht="12.75" customHeight="1">
      <c r="A111" s="34">
        <f t="shared" si="1"/>
        <v>101</v>
      </c>
      <c r="B111">
        <v>2020</v>
      </c>
      <c r="C111">
        <v>5</v>
      </c>
      <c r="D111" s="19">
        <v>11734.75</v>
      </c>
      <c r="E111" s="19">
        <v>52.390000000000001</v>
      </c>
      <c r="F111" s="19">
        <v>438833.46999999997</v>
      </c>
      <c r="G111" s="29">
        <v>0</v>
      </c>
      <c r="H111" s="23">
        <v>0</v>
      </c>
      <c r="I111" s="23">
        <v>0</v>
      </c>
      <c r="J111" s="23">
        <v>1</v>
      </c>
      <c r="K111" s="23">
        <v>0</v>
      </c>
      <c r="L111" s="23">
        <v>0</v>
      </c>
      <c r="M111" s="23">
        <v>0</v>
      </c>
      <c r="N111" s="23">
        <v>0</v>
      </c>
    </row>
    <row r="112" spans="1:14" ht="12.75" customHeight="1">
      <c r="A112" s="34">
        <f t="shared" si="1"/>
        <v>102</v>
      </c>
      <c r="B112">
        <v>2020</v>
      </c>
      <c r="C112">
        <v>6</v>
      </c>
      <c r="D112" s="19">
        <v>11940.950000000001</v>
      </c>
      <c r="E112" s="19">
        <v>81.840000000000003</v>
      </c>
      <c r="F112" s="19">
        <v>432641.90000000002</v>
      </c>
      <c r="G112" s="29">
        <v>0</v>
      </c>
      <c r="H112" s="23">
        <v>0</v>
      </c>
      <c r="I112" s="23">
        <v>0</v>
      </c>
      <c r="J112" s="23">
        <v>0</v>
      </c>
      <c r="K112" s="23">
        <v>1</v>
      </c>
      <c r="L112" s="23">
        <v>0</v>
      </c>
      <c r="M112" s="23">
        <v>0</v>
      </c>
      <c r="N112" s="23">
        <v>0</v>
      </c>
    </row>
    <row r="113" spans="1:14" ht="12.75" customHeight="1">
      <c r="A113" s="34">
        <f t="shared" si="1"/>
        <v>103</v>
      </c>
      <c r="B113">
        <v>2020</v>
      </c>
      <c r="C113">
        <v>7</v>
      </c>
      <c r="D113" s="19">
        <v>12650.06</v>
      </c>
      <c r="E113" s="19">
        <v>109.31</v>
      </c>
      <c r="F113" s="19">
        <v>435616.23999999999</v>
      </c>
      <c r="G113" s="29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1</v>
      </c>
      <c r="M113" s="23">
        <v>0</v>
      </c>
      <c r="N113" s="23">
        <v>0</v>
      </c>
    </row>
    <row r="114" spans="1:14" ht="12.75" customHeight="1">
      <c r="A114" s="34">
        <f t="shared" si="1"/>
        <v>104</v>
      </c>
      <c r="B114">
        <v>2020</v>
      </c>
      <c r="C114">
        <v>8</v>
      </c>
      <c r="D114" s="19">
        <v>12444.07</v>
      </c>
      <c r="E114" s="19">
        <v>119.45</v>
      </c>
      <c r="F114" s="19">
        <v>440741.01000000001</v>
      </c>
      <c r="G114" s="29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1</v>
      </c>
      <c r="N114" s="23">
        <v>0</v>
      </c>
    </row>
    <row r="115" spans="1:14" ht="12.75" customHeight="1">
      <c r="A115" s="34">
        <f t="shared" si="1"/>
        <v>105</v>
      </c>
      <c r="B115">
        <v>2020</v>
      </c>
      <c r="C115">
        <v>9</v>
      </c>
      <c r="D115" s="19">
        <v>14160.799999999999</v>
      </c>
      <c r="E115" s="19">
        <v>105.87000000000001</v>
      </c>
      <c r="F115" s="19">
        <v>442757.16999999998</v>
      </c>
      <c r="G115" s="29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</row>
    <row r="116" spans="1:14" ht="12.75" customHeight="1">
      <c r="A116" s="34">
        <f t="shared" si="1"/>
        <v>106</v>
      </c>
      <c r="B116">
        <v>2020</v>
      </c>
      <c r="C116">
        <v>10</v>
      </c>
      <c r="D116" s="19">
        <v>12997.110000000001</v>
      </c>
      <c r="E116" s="19">
        <v>60.369999999999997</v>
      </c>
      <c r="F116" s="19">
        <v>442547.04999999999</v>
      </c>
      <c r="G116" s="29">
        <v>0</v>
      </c>
      <c r="H116" s="23">
        <v>0</v>
      </c>
      <c r="I116" s="23">
        <v>0</v>
      </c>
      <c r="J116" s="23">
        <v>0</v>
      </c>
      <c r="K116" s="23">
        <v>0</v>
      </c>
      <c r="L116" s="23">
        <v>0</v>
      </c>
      <c r="M116" s="23">
        <v>0</v>
      </c>
      <c r="N116" s="23">
        <v>0</v>
      </c>
    </row>
    <row r="117" spans="1:14" ht="12.75" customHeight="1">
      <c r="A117" s="34">
        <f t="shared" si="1"/>
        <v>107</v>
      </c>
      <c r="B117">
        <v>2020</v>
      </c>
      <c r="C117">
        <v>11</v>
      </c>
      <c r="D117" s="19">
        <v>12742.469999999999</v>
      </c>
      <c r="E117" s="19">
        <v>34.420000000000002</v>
      </c>
      <c r="F117" s="19">
        <v>442799.34000000003</v>
      </c>
      <c r="G117" s="29">
        <v>0</v>
      </c>
      <c r="H117" s="23">
        <v>0</v>
      </c>
      <c r="I117" s="23">
        <v>0</v>
      </c>
      <c r="J117" s="23">
        <v>0</v>
      </c>
      <c r="K117" s="23">
        <v>0</v>
      </c>
      <c r="L117" s="23">
        <v>0</v>
      </c>
      <c r="M117" s="23">
        <v>0</v>
      </c>
      <c r="N117" s="23">
        <v>0</v>
      </c>
    </row>
    <row r="118" spans="1:14" ht="12.75" customHeight="1">
      <c r="A118" s="34">
        <f t="shared" si="1"/>
        <v>108</v>
      </c>
      <c r="B118">
        <v>2020</v>
      </c>
      <c r="C118">
        <v>12</v>
      </c>
      <c r="D118" s="19">
        <v>13793.85</v>
      </c>
      <c r="E118" s="19">
        <v>13.59</v>
      </c>
      <c r="F118" s="19">
        <v>445404.47999999998</v>
      </c>
      <c r="G118" s="29">
        <v>0</v>
      </c>
      <c r="H118" s="23">
        <v>0</v>
      </c>
      <c r="I118" s="23">
        <v>0</v>
      </c>
      <c r="J118" s="23">
        <v>0</v>
      </c>
      <c r="K118" s="23">
        <v>0</v>
      </c>
      <c r="L118" s="23">
        <v>0</v>
      </c>
      <c r="M118" s="23">
        <v>0</v>
      </c>
      <c r="N118" s="23">
        <v>0</v>
      </c>
    </row>
    <row r="119" spans="1:14" ht="12.75" customHeight="1">
      <c r="A119" s="34">
        <f t="shared" si="1"/>
        <v>109</v>
      </c>
      <c r="B119">
        <v>2021</v>
      </c>
      <c r="C119">
        <v>1</v>
      </c>
      <c r="D119" s="19">
        <v>12276.66</v>
      </c>
      <c r="E119" s="19">
        <v>3.04</v>
      </c>
      <c r="F119" s="19">
        <v>449803.87</v>
      </c>
      <c r="G119" s="29">
        <v>1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</row>
    <row r="120" spans="1:14" ht="12.75" customHeight="1">
      <c r="A120" s="34">
        <f t="shared" si="1"/>
        <v>110</v>
      </c>
      <c r="B120">
        <v>2021</v>
      </c>
      <c r="C120">
        <v>2</v>
      </c>
      <c r="D120" s="19">
        <v>12499.790000000001</v>
      </c>
      <c r="E120" s="19">
        <v>3.3999999999999999</v>
      </c>
      <c r="F120" s="19">
        <v>454275.17999999999</v>
      </c>
      <c r="G120" s="29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</row>
    <row r="121" spans="1:14" ht="12.75" customHeight="1">
      <c r="A121" s="34">
        <f t="shared" si="1"/>
        <v>111</v>
      </c>
      <c r="B121">
        <v>2021</v>
      </c>
      <c r="C121">
        <v>3</v>
      </c>
      <c r="D121" s="19">
        <v>10529.68</v>
      </c>
      <c r="E121" s="19">
        <v>8.2799999999999994</v>
      </c>
      <c r="F121" s="19">
        <v>457967.92999999999</v>
      </c>
      <c r="G121" s="29">
        <v>0</v>
      </c>
      <c r="H121" s="23">
        <v>1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</row>
    <row r="122" spans="1:14" ht="12.75" customHeight="1">
      <c r="A122" s="34">
        <f t="shared" si="1"/>
        <v>112</v>
      </c>
      <c r="B122">
        <v>2021</v>
      </c>
      <c r="C122">
        <v>4</v>
      </c>
      <c r="D122" s="19">
        <v>13261.190000000001</v>
      </c>
      <c r="E122" s="19">
        <v>22.73</v>
      </c>
      <c r="F122" s="19">
        <v>460861.79999999999</v>
      </c>
      <c r="G122" s="29">
        <v>0</v>
      </c>
      <c r="H122" s="23">
        <v>0</v>
      </c>
      <c r="I122" s="23">
        <v>1</v>
      </c>
      <c r="J122" s="23">
        <v>0</v>
      </c>
      <c r="K122" s="23">
        <v>0</v>
      </c>
      <c r="L122" s="23">
        <v>0</v>
      </c>
      <c r="M122" s="23">
        <v>0</v>
      </c>
      <c r="N122" s="23">
        <v>0</v>
      </c>
    </row>
    <row r="123" spans="1:14" ht="12.75" customHeight="1">
      <c r="A123" s="34">
        <f t="shared" si="1"/>
        <v>113</v>
      </c>
      <c r="B123">
        <v>2021</v>
      </c>
      <c r="C123">
        <v>5</v>
      </c>
      <c r="D123" s="19">
        <v>13819.450000000001</v>
      </c>
      <c r="E123" s="19">
        <v>34.119999999999997</v>
      </c>
      <c r="F123" s="19">
        <v>462989.01000000001</v>
      </c>
      <c r="G123" s="29">
        <v>0</v>
      </c>
      <c r="H123" s="23">
        <v>0</v>
      </c>
      <c r="I123" s="23">
        <v>0</v>
      </c>
      <c r="J123" s="23">
        <v>1</v>
      </c>
      <c r="K123" s="23">
        <v>0</v>
      </c>
      <c r="L123" s="23">
        <v>0</v>
      </c>
      <c r="M123" s="23">
        <v>0</v>
      </c>
      <c r="N123" s="23">
        <v>0</v>
      </c>
    </row>
    <row r="124" spans="1:14" ht="12.75" customHeight="1">
      <c r="A124" s="34">
        <f t="shared" si="1"/>
        <v>114</v>
      </c>
      <c r="B124">
        <v>2021</v>
      </c>
      <c r="C124">
        <v>6</v>
      </c>
      <c r="D124" s="19">
        <v>13522.629999999999</v>
      </c>
      <c r="E124" s="19">
        <v>63.759999999999998</v>
      </c>
      <c r="F124" s="19">
        <v>464565.09000000003</v>
      </c>
      <c r="G124" s="29">
        <v>0</v>
      </c>
      <c r="H124" s="23">
        <v>0</v>
      </c>
      <c r="I124" s="23">
        <v>0</v>
      </c>
      <c r="J124" s="23">
        <v>0</v>
      </c>
      <c r="K124" s="23">
        <v>1</v>
      </c>
      <c r="L124" s="23">
        <v>0</v>
      </c>
      <c r="M124" s="23">
        <v>0</v>
      </c>
      <c r="N124" s="23">
        <v>0</v>
      </c>
    </row>
    <row r="125" spans="1:14" ht="12.75" customHeight="1">
      <c r="A125" s="34">
        <f t="shared" si="1"/>
        <v>115</v>
      </c>
      <c r="B125">
        <v>2021</v>
      </c>
      <c r="C125">
        <v>7</v>
      </c>
      <c r="D125" s="19">
        <v>14247.32</v>
      </c>
      <c r="E125" s="19">
        <v>96.25</v>
      </c>
      <c r="F125" s="19">
        <v>465836.71999999997</v>
      </c>
      <c r="G125" s="29">
        <v>0</v>
      </c>
      <c r="H125" s="23">
        <v>0</v>
      </c>
      <c r="I125" s="23">
        <v>0</v>
      </c>
      <c r="J125" s="23">
        <v>0</v>
      </c>
      <c r="K125" s="23">
        <v>0</v>
      </c>
      <c r="L125" s="23">
        <v>1</v>
      </c>
      <c r="M125" s="23">
        <v>0</v>
      </c>
      <c r="N125" s="23">
        <v>0</v>
      </c>
    </row>
  </sheetData>
  <mergeCells count="6">
    <mergeCell ref="B9:N9"/>
    <mergeCell ref="B1:N1"/>
    <mergeCell ref="B2:N2"/>
    <mergeCell ref="B3:N3"/>
    <mergeCell ref="B4:N4"/>
    <mergeCell ref="B6:N6"/>
  </mergeCells>
  <pageMargins left="1.5" right="0.75" top="1" bottom="1" header="0.5" footer="0.5"/>
  <pageSetup orientation="portrait" scale="61" r:id="rId1"/>
  <headerFooter alignWithMargins="0">
    <oddHeader>&amp;RSchedule II-H-2.2
Page &amp;P of &amp;N</oddHeader>
  </headerFooter>
  <rowBreaks count="2" manualBreakCount="2">
    <brk id="58" max="17" man="1"/>
    <brk id="106" max="1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E149"/>
  <sheetViews>
    <sheetView showOutlineSymbols="0" view="pageBreakPreview" zoomScaleNormal="100" zoomScaleSheetLayoutView="100" workbookViewId="0" topLeftCell="A1"/>
  </sheetViews>
  <sheetFormatPr defaultRowHeight="12.75" customHeight="1"/>
  <cols>
    <col min="1" max="1" width="4.42857142857143" style="4" bestFit="1" customWidth="1"/>
    <col min="2" max="2" width="15.5714285714286" style="1" customWidth="1"/>
    <col min="3" max="3" width="14.2857142857143" style="1" customWidth="1"/>
    <col min="4" max="4" width="16.1428571428571" customWidth="1"/>
    <col min="5" max="5" width="16" customWidth="1"/>
  </cols>
  <sheetData>
    <row r="1" spans="2:5" ht="15.6">
      <c r="B1" s="47" t="str">
        <f>+Introduction!B1</f>
        <v xml:space="preserve">PUC DOCKET NO. </v>
      </c>
      <c r="C1" s="48"/>
      <c r="D1" s="48"/>
      <c r="E1" s="48"/>
    </row>
    <row r="2" spans="2:5" ht="15.6">
      <c r="B2" s="47" t="str">
        <f>+Introduction!B2</f>
        <v>ONCOR ELECTRIC DELIVERY COMPANY LLC</v>
      </c>
      <c r="C2" s="48"/>
      <c r="D2" s="48"/>
      <c r="E2" s="48"/>
    </row>
    <row r="3" spans="2:5" ht="15.6">
      <c r="B3" s="47" t="str">
        <f>+Introduction!B3</f>
        <v>MODEL DATA</v>
      </c>
      <c r="C3" s="48"/>
      <c r="D3" s="48"/>
      <c r="E3" s="48"/>
    </row>
    <row r="4" spans="2:5" ht="15.6">
      <c r="B4" s="47" t="str">
        <f>+Introduction!B4</f>
        <v>FOR THE TEST YEAR ENDING DECEMBER 31, 2021</v>
      </c>
      <c r="C4" s="48"/>
      <c r="D4" s="48"/>
      <c r="E4" s="48"/>
    </row>
    <row r="5" spans="2:5" ht="13.2">
      <c r="B5" s="15"/>
      <c r="C5" s="15"/>
      <c r="D5" s="17"/>
      <c r="E5" s="17"/>
    </row>
    <row r="6" spans="2:5" ht="12.75" customHeight="1">
      <c r="B6" s="47" t="str">
        <f>+Introduction!B6</f>
        <v>SPONSOR: D. E. NELSON</v>
      </c>
      <c r="C6" s="48"/>
      <c r="D6" s="48"/>
      <c r="E6" s="48"/>
    </row>
    <row r="8" spans="2:5" ht="12.75" customHeight="1">
      <c r="B8" s="9" t="s">
        <v>4</v>
      </c>
      <c r="C8" s="9" t="s">
        <v>5</v>
      </c>
      <c r="D8" s="27" t="s">
        <v>7</v>
      </c>
      <c r="E8" s="27" t="s">
        <v>6</v>
      </c>
    </row>
    <row r="9" spans="1:5" ht="12.75" customHeight="1">
      <c r="A9" s="4" t="s">
        <v>2</v>
      </c>
      <c r="B9" s="50" t="s">
        <v>39</v>
      </c>
      <c r="C9" s="48"/>
      <c r="D9" s="48"/>
      <c r="E9" s="48"/>
    </row>
    <row r="10" spans="1:5" s="21" customFormat="1" ht="12.75" customHeight="1">
      <c r="A10" s="20" t="s">
        <v>3</v>
      </c>
      <c r="B10" s="36" t="s">
        <v>53</v>
      </c>
      <c r="C10" s="36" t="s">
        <v>0</v>
      </c>
      <c r="D10" s="37" t="s">
        <v>60</v>
      </c>
      <c r="E10" s="37" t="s">
        <v>61</v>
      </c>
    </row>
    <row r="11" spans="1:5" ht="12.75" customHeight="1">
      <c r="A11" s="4">
        <v>1</v>
      </c>
      <c r="B11">
        <v>2010</v>
      </c>
      <c r="C11">
        <v>1</v>
      </c>
      <c r="D11">
        <v>57.960000000000001</v>
      </c>
      <c r="E11">
        <v>0.02</v>
      </c>
    </row>
    <row r="12" spans="1:5" ht="12.75" customHeight="1">
      <c r="A12" s="4">
        <f t="shared" si="0" ref="A12:A43">+A11+1</f>
        <v>2</v>
      </c>
      <c r="B12">
        <v>2010</v>
      </c>
      <c r="C12">
        <v>2</v>
      </c>
      <c r="D12">
        <v>48.509999999999998</v>
      </c>
      <c r="E12">
        <v>0</v>
      </c>
    </row>
    <row r="13" spans="1:5" ht="12.75" customHeight="1">
      <c r="A13" s="4">
        <f t="shared" si="0"/>
        <v>3</v>
      </c>
      <c r="B13">
        <v>2010</v>
      </c>
      <c r="C13">
        <v>3</v>
      </c>
      <c r="D13">
        <v>35.090000000000003</v>
      </c>
      <c r="E13">
        <v>0.01</v>
      </c>
    </row>
    <row r="14" spans="1:5" ht="12.75" customHeight="1">
      <c r="A14" s="4">
        <f t="shared" si="0"/>
        <v>4</v>
      </c>
      <c r="B14">
        <v>2010</v>
      </c>
      <c r="C14">
        <v>4</v>
      </c>
      <c r="D14">
        <v>7.1299999999999999</v>
      </c>
      <c r="E14">
        <v>2.29</v>
      </c>
    </row>
    <row r="15" spans="1:5" ht="12.75" customHeight="1">
      <c r="A15" s="4">
        <f t="shared" si="0"/>
        <v>5</v>
      </c>
      <c r="B15">
        <v>2010</v>
      </c>
      <c r="C15">
        <v>5</v>
      </c>
      <c r="D15">
        <v>0.55000000000000004</v>
      </c>
      <c r="E15">
        <v>10.710000000000001</v>
      </c>
    </row>
    <row r="16" spans="1:5" ht="12.75" customHeight="1">
      <c r="A16" s="4">
        <f t="shared" si="0"/>
        <v>6</v>
      </c>
      <c r="B16">
        <v>2010</v>
      </c>
      <c r="C16">
        <v>6</v>
      </c>
      <c r="D16">
        <v>0.02</v>
      </c>
      <c r="E16">
        <v>46.869999999999997</v>
      </c>
    </row>
    <row r="17" spans="1:5" ht="12.75" customHeight="1">
      <c r="A17" s="4">
        <f t="shared" si="0"/>
        <v>7</v>
      </c>
      <c r="B17">
        <v>2010</v>
      </c>
      <c r="C17">
        <v>7</v>
      </c>
      <c r="D17">
        <v>0</v>
      </c>
      <c r="E17">
        <v>60.93</v>
      </c>
    </row>
    <row r="18" spans="1:5" ht="12.75" customHeight="1">
      <c r="A18" s="4">
        <f t="shared" si="0"/>
        <v>8</v>
      </c>
      <c r="B18">
        <v>2010</v>
      </c>
      <c r="C18">
        <v>8</v>
      </c>
      <c r="D18">
        <v>0</v>
      </c>
      <c r="E18">
        <v>72.569999999999993</v>
      </c>
    </row>
    <row r="19" spans="1:5" ht="12.75" customHeight="1">
      <c r="A19" s="4">
        <f t="shared" si="0"/>
        <v>9</v>
      </c>
      <c r="B19">
        <v>2010</v>
      </c>
      <c r="C19">
        <v>9</v>
      </c>
      <c r="D19">
        <v>0</v>
      </c>
      <c r="E19">
        <v>65.310000000000002</v>
      </c>
    </row>
    <row r="20" spans="1:5" ht="12.75" customHeight="1">
      <c r="A20" s="4">
        <f t="shared" si="0"/>
        <v>10</v>
      </c>
      <c r="B20">
        <v>2010</v>
      </c>
      <c r="C20">
        <v>10</v>
      </c>
      <c r="D20">
        <v>0.12</v>
      </c>
      <c r="E20">
        <v>25.34</v>
      </c>
    </row>
    <row r="21" spans="1:5" ht="12.75" customHeight="1">
      <c r="A21" s="4">
        <f t="shared" si="0"/>
        <v>11</v>
      </c>
      <c r="B21">
        <v>2010</v>
      </c>
      <c r="C21">
        <v>11</v>
      </c>
      <c r="D21">
        <v>3.2799999999999998</v>
      </c>
      <c r="E21">
        <v>5.6299999999999999</v>
      </c>
    </row>
    <row r="22" spans="1:5" ht="12.75" customHeight="1">
      <c r="A22" s="4">
        <f t="shared" si="0"/>
        <v>12</v>
      </c>
      <c r="B22">
        <v>2010</v>
      </c>
      <c r="C22">
        <v>12</v>
      </c>
      <c r="D22">
        <v>20.57</v>
      </c>
      <c r="E22">
        <v>1.6399999999999999</v>
      </c>
    </row>
    <row r="23" spans="1:5" ht="12.75" customHeight="1">
      <c r="A23" s="4">
        <f t="shared" si="0"/>
        <v>13</v>
      </c>
      <c r="B23">
        <v>2011</v>
      </c>
      <c r="C23">
        <v>1</v>
      </c>
      <c r="D23">
        <v>50.950000000000003</v>
      </c>
      <c r="E23">
        <v>0.059999999999999998</v>
      </c>
    </row>
    <row r="24" spans="1:5" ht="12.75" customHeight="1">
      <c r="A24" s="4">
        <f t="shared" si="0"/>
        <v>14</v>
      </c>
      <c r="B24">
        <v>2011</v>
      </c>
      <c r="C24">
        <v>2</v>
      </c>
      <c r="D24">
        <v>68.730000000000004</v>
      </c>
      <c r="E24">
        <v>0.26000000000000001</v>
      </c>
    </row>
    <row r="25" spans="1:5" ht="12.75" customHeight="1">
      <c r="A25" s="4">
        <f t="shared" si="0"/>
        <v>15</v>
      </c>
      <c r="B25">
        <v>2011</v>
      </c>
      <c r="C25">
        <v>3</v>
      </c>
      <c r="D25">
        <v>18.620000000000001</v>
      </c>
      <c r="E25">
        <v>2.3799999999999999</v>
      </c>
    </row>
    <row r="26" spans="1:5" ht="12.75" customHeight="1">
      <c r="A26" s="4">
        <f t="shared" si="0"/>
        <v>16</v>
      </c>
      <c r="B26">
        <v>2011</v>
      </c>
      <c r="C26">
        <v>4</v>
      </c>
      <c r="D26">
        <v>5.1100000000000003</v>
      </c>
      <c r="E26">
        <v>11.529999999999999</v>
      </c>
    </row>
    <row r="27" spans="1:5" ht="12.75" customHeight="1">
      <c r="A27" s="4">
        <f t="shared" si="0"/>
        <v>17</v>
      </c>
      <c r="B27">
        <v>2011</v>
      </c>
      <c r="C27">
        <v>5</v>
      </c>
      <c r="D27">
        <v>1.6399999999999999</v>
      </c>
      <c r="E27">
        <v>20.210000000000001</v>
      </c>
    </row>
    <row r="28" spans="1:5" ht="12.75" customHeight="1">
      <c r="A28" s="4">
        <f t="shared" si="0"/>
        <v>18</v>
      </c>
      <c r="B28">
        <v>2011</v>
      </c>
      <c r="C28">
        <v>6</v>
      </c>
      <c r="D28">
        <v>0.12</v>
      </c>
      <c r="E28">
        <v>60.450000000000003</v>
      </c>
    </row>
    <row r="29" spans="1:5" ht="12.75" customHeight="1">
      <c r="A29" s="4">
        <f t="shared" si="0"/>
        <v>19</v>
      </c>
      <c r="B29">
        <v>2011</v>
      </c>
      <c r="C29">
        <v>7</v>
      </c>
      <c r="D29">
        <v>0</v>
      </c>
      <c r="E29">
        <v>97.099999999999994</v>
      </c>
    </row>
    <row r="30" spans="1:5" ht="12.75" customHeight="1">
      <c r="A30" s="4">
        <f t="shared" si="0"/>
        <v>20</v>
      </c>
      <c r="B30">
        <v>2011</v>
      </c>
      <c r="C30">
        <v>8</v>
      </c>
      <c r="D30">
        <v>0</v>
      </c>
      <c r="E30">
        <v>114.40000000000001</v>
      </c>
    </row>
    <row r="31" spans="1:5" ht="12.75" customHeight="1">
      <c r="A31" s="4">
        <f t="shared" si="0"/>
        <v>21</v>
      </c>
      <c r="B31">
        <v>2011</v>
      </c>
      <c r="C31">
        <v>9</v>
      </c>
      <c r="D31">
        <v>0</v>
      </c>
      <c r="E31">
        <v>90.450000000000003</v>
      </c>
    </row>
    <row r="32" spans="1:5" ht="12.75" customHeight="1">
      <c r="A32" s="4">
        <f t="shared" si="0"/>
        <v>22</v>
      </c>
      <c r="B32">
        <v>2011</v>
      </c>
      <c r="C32">
        <v>10</v>
      </c>
      <c r="D32">
        <v>0.14000000000000001</v>
      </c>
      <c r="E32">
        <v>33.25</v>
      </c>
    </row>
    <row r="33" spans="1:5" ht="12.75" customHeight="1">
      <c r="A33" s="4">
        <f t="shared" si="0"/>
        <v>23</v>
      </c>
      <c r="B33">
        <v>2011</v>
      </c>
      <c r="C33">
        <v>11</v>
      </c>
      <c r="D33">
        <v>6.4199999999999999</v>
      </c>
      <c r="E33">
        <v>6.9800000000000004</v>
      </c>
    </row>
    <row r="34" spans="1:5" ht="12.75" customHeight="1">
      <c r="A34" s="4">
        <f t="shared" si="0"/>
        <v>24</v>
      </c>
      <c r="B34">
        <v>2011</v>
      </c>
      <c r="C34">
        <v>12</v>
      </c>
      <c r="D34">
        <v>30.760000000000002</v>
      </c>
      <c r="E34">
        <v>1.3700000000000001</v>
      </c>
    </row>
    <row r="35" spans="1:5" ht="12.75" customHeight="1">
      <c r="A35" s="4">
        <f t="shared" si="0"/>
        <v>25</v>
      </c>
      <c r="B35">
        <v>2012</v>
      </c>
      <c r="C35">
        <v>1</v>
      </c>
      <c r="D35">
        <v>45.670000000000002</v>
      </c>
      <c r="E35">
        <v>0.02</v>
      </c>
    </row>
    <row r="36" spans="1:5" ht="12.75" customHeight="1">
      <c r="A36" s="4">
        <f t="shared" si="0"/>
        <v>26</v>
      </c>
      <c r="B36">
        <v>2012</v>
      </c>
      <c r="C36">
        <v>2</v>
      </c>
      <c r="D36">
        <v>37.039999999999999</v>
      </c>
      <c r="E36">
        <v>0.17999999999999999</v>
      </c>
    </row>
    <row r="37" spans="1:5" ht="12.75" customHeight="1">
      <c r="A37" s="4">
        <f t="shared" si="0"/>
        <v>27</v>
      </c>
      <c r="B37">
        <v>2012</v>
      </c>
      <c r="C37">
        <v>3</v>
      </c>
      <c r="D37">
        <v>18.66</v>
      </c>
      <c r="E37">
        <v>2.0499999999999998</v>
      </c>
    </row>
    <row r="38" spans="1:5" ht="12.75" customHeight="1">
      <c r="A38" s="4">
        <f t="shared" si="0"/>
        <v>28</v>
      </c>
      <c r="B38">
        <v>2012</v>
      </c>
      <c r="C38">
        <v>4</v>
      </c>
      <c r="D38">
        <v>2.25</v>
      </c>
      <c r="E38">
        <v>9.4800000000000004</v>
      </c>
    </row>
    <row r="39" spans="1:5" ht="12.75" customHeight="1">
      <c r="A39" s="4">
        <f t="shared" si="0"/>
        <v>29</v>
      </c>
      <c r="B39">
        <v>2012</v>
      </c>
      <c r="C39">
        <v>5</v>
      </c>
      <c r="D39">
        <v>0.11</v>
      </c>
      <c r="E39">
        <v>29.289999999999999</v>
      </c>
    </row>
    <row r="40" spans="1:5" ht="12.75" customHeight="1">
      <c r="A40" s="4">
        <f t="shared" si="0"/>
        <v>30</v>
      </c>
      <c r="B40">
        <v>2012</v>
      </c>
      <c r="C40">
        <v>6</v>
      </c>
      <c r="D40">
        <v>0.01</v>
      </c>
      <c r="E40">
        <v>58.990000000000002</v>
      </c>
    </row>
    <row r="41" spans="1:5" ht="12.75" customHeight="1">
      <c r="A41" s="4">
        <f t="shared" si="0"/>
        <v>31</v>
      </c>
      <c r="B41">
        <v>2012</v>
      </c>
      <c r="C41">
        <v>7</v>
      </c>
      <c r="D41">
        <v>0</v>
      </c>
      <c r="E41">
        <v>88.890000000000001</v>
      </c>
    </row>
    <row r="42" spans="1:5" ht="12.75" customHeight="1">
      <c r="A42" s="4">
        <f t="shared" si="0"/>
        <v>32</v>
      </c>
      <c r="B42">
        <v>2012</v>
      </c>
      <c r="C42">
        <v>8</v>
      </c>
      <c r="D42">
        <v>0</v>
      </c>
      <c r="E42">
        <v>106.48</v>
      </c>
    </row>
    <row r="43" spans="1:5" ht="12.75" customHeight="1">
      <c r="A43" s="4">
        <f t="shared" si="0"/>
        <v>33</v>
      </c>
      <c r="B43">
        <v>2012</v>
      </c>
      <c r="C43">
        <v>9</v>
      </c>
      <c r="D43">
        <v>0.01</v>
      </c>
      <c r="E43">
        <v>78.069999999999993</v>
      </c>
    </row>
    <row r="44" spans="1:5" ht="12.75" customHeight="1">
      <c r="A44" s="4">
        <f t="shared" si="1" ref="A44:A75">+A43+1</f>
        <v>34</v>
      </c>
      <c r="B44">
        <v>2012</v>
      </c>
      <c r="C44">
        <v>10</v>
      </c>
      <c r="D44">
        <v>1.7</v>
      </c>
      <c r="E44">
        <v>34.289999999999999</v>
      </c>
    </row>
    <row r="45" spans="1:5" ht="12.75" customHeight="1">
      <c r="A45" s="4">
        <f t="shared" si="1"/>
        <v>35</v>
      </c>
      <c r="B45">
        <v>2012</v>
      </c>
      <c r="C45">
        <v>11</v>
      </c>
      <c r="D45">
        <v>8.3399999999999999</v>
      </c>
      <c r="E45">
        <v>10.19</v>
      </c>
    </row>
    <row r="46" spans="1:5" ht="12.75" customHeight="1">
      <c r="A46" s="4">
        <f t="shared" si="1"/>
        <v>36</v>
      </c>
      <c r="B46">
        <v>2012</v>
      </c>
      <c r="C46">
        <v>12</v>
      </c>
      <c r="D46">
        <v>18.600000000000001</v>
      </c>
      <c r="E46">
        <v>2.29</v>
      </c>
    </row>
    <row r="47" spans="1:5" ht="12.75" customHeight="1">
      <c r="A47" s="4">
        <f t="shared" si="1"/>
        <v>37</v>
      </c>
      <c r="B47">
        <v>2013</v>
      </c>
      <c r="C47">
        <v>1</v>
      </c>
      <c r="D47">
        <v>68.530000000000001</v>
      </c>
      <c r="E47">
        <v>0.46999999999999997</v>
      </c>
    </row>
    <row r="48" spans="1:5" ht="12.75" customHeight="1">
      <c r="A48" s="4">
        <f t="shared" si="1"/>
        <v>38</v>
      </c>
      <c r="B48">
        <v>2013</v>
      </c>
      <c r="C48">
        <v>2</v>
      </c>
      <c r="D48">
        <v>38.240000000000002</v>
      </c>
      <c r="E48">
        <v>0.73999999999999999</v>
      </c>
    </row>
    <row r="49" spans="1:5" ht="12.75" customHeight="1">
      <c r="A49" s="4">
        <f t="shared" si="1"/>
        <v>39</v>
      </c>
      <c r="B49">
        <v>2013</v>
      </c>
      <c r="C49">
        <v>3</v>
      </c>
      <c r="D49">
        <v>34.960000000000001</v>
      </c>
      <c r="E49">
        <v>0.51000000000000001</v>
      </c>
    </row>
    <row r="50" spans="1:5" ht="12.75" customHeight="1">
      <c r="A50" s="4">
        <f t="shared" si="1"/>
        <v>40</v>
      </c>
      <c r="B50">
        <v>2013</v>
      </c>
      <c r="C50">
        <v>4</v>
      </c>
      <c r="D50">
        <v>17.129999999999999</v>
      </c>
      <c r="E50">
        <v>4.2400000000000002</v>
      </c>
    </row>
    <row r="51" spans="1:5" ht="12.75" customHeight="1">
      <c r="A51" s="4">
        <f t="shared" si="1"/>
        <v>41</v>
      </c>
      <c r="B51">
        <v>2013</v>
      </c>
      <c r="C51">
        <v>5</v>
      </c>
      <c r="D51">
        <v>7.1399999999999997</v>
      </c>
      <c r="E51">
        <v>14.279999999999999</v>
      </c>
    </row>
    <row r="52" spans="1:5" ht="12.75" customHeight="1">
      <c r="A52" s="4">
        <f t="shared" si="1"/>
        <v>42</v>
      </c>
      <c r="B52">
        <v>2013</v>
      </c>
      <c r="C52">
        <v>6</v>
      </c>
      <c r="D52">
        <v>0.37</v>
      </c>
      <c r="E52">
        <v>54.119999999999997</v>
      </c>
    </row>
    <row r="53" spans="1:5" ht="12.75" customHeight="1">
      <c r="A53" s="4">
        <f t="shared" si="1"/>
        <v>43</v>
      </c>
      <c r="B53">
        <v>2013</v>
      </c>
      <c r="C53">
        <v>7</v>
      </c>
      <c r="D53">
        <v>0</v>
      </c>
      <c r="E53">
        <v>93.489999999999995</v>
      </c>
    </row>
    <row r="54" spans="1:5" ht="12.75" customHeight="1">
      <c r="A54" s="4">
        <f t="shared" si="1"/>
        <v>44</v>
      </c>
      <c r="B54">
        <v>2013</v>
      </c>
      <c r="C54">
        <v>8</v>
      </c>
      <c r="D54">
        <v>0</v>
      </c>
      <c r="E54">
        <v>105.73</v>
      </c>
    </row>
    <row r="55" spans="1:5" ht="12.75" customHeight="1">
      <c r="A55" s="4">
        <f t="shared" si="1"/>
        <v>45</v>
      </c>
      <c r="B55">
        <v>2013</v>
      </c>
      <c r="C55">
        <v>9</v>
      </c>
      <c r="D55">
        <v>0</v>
      </c>
      <c r="E55">
        <v>103.7</v>
      </c>
    </row>
    <row r="56" spans="1:5" ht="12.75" customHeight="1">
      <c r="A56" s="4">
        <f t="shared" si="1"/>
        <v>46</v>
      </c>
      <c r="B56">
        <v>2013</v>
      </c>
      <c r="C56">
        <v>10</v>
      </c>
      <c r="D56">
        <v>0.48999999999999999</v>
      </c>
      <c r="E56">
        <v>52.799999999999997</v>
      </c>
    </row>
    <row r="57" spans="1:5" ht="12.75" customHeight="1">
      <c r="A57" s="4">
        <f t="shared" si="1"/>
        <v>47</v>
      </c>
      <c r="B57">
        <v>2013</v>
      </c>
      <c r="C57">
        <v>11</v>
      </c>
      <c r="D57">
        <v>6.8200000000000003</v>
      </c>
      <c r="E57">
        <v>7.6299999999999999</v>
      </c>
    </row>
    <row r="58" spans="1:5" ht="12.75" customHeight="1">
      <c r="A58" s="4">
        <f t="shared" si="1"/>
        <v>48</v>
      </c>
      <c r="B58">
        <v>2013</v>
      </c>
      <c r="C58">
        <v>12</v>
      </c>
      <c r="D58">
        <v>63.909999999999997</v>
      </c>
      <c r="E58">
        <v>1.25</v>
      </c>
    </row>
    <row r="59" spans="1:5" ht="12.75" customHeight="1">
      <c r="A59" s="4">
        <f t="shared" si="1"/>
        <v>49</v>
      </c>
      <c r="B59">
        <v>2014</v>
      </c>
      <c r="C59">
        <v>1</v>
      </c>
      <c r="D59">
        <v>95.030000000000001</v>
      </c>
      <c r="E59">
        <v>0.040000000000000001</v>
      </c>
    </row>
    <row r="60" spans="1:5" ht="12.75" customHeight="1">
      <c r="A60" s="4">
        <f t="shared" si="1"/>
        <v>50</v>
      </c>
      <c r="B60">
        <v>2014</v>
      </c>
      <c r="C60">
        <v>2</v>
      </c>
      <c r="D60">
        <v>96.290000000000006</v>
      </c>
      <c r="E60">
        <v>0.040000000000000001</v>
      </c>
    </row>
    <row r="61" spans="1:5" ht="12.75" customHeight="1">
      <c r="A61" s="4">
        <f t="shared" si="1"/>
        <v>51</v>
      </c>
      <c r="B61">
        <v>2014</v>
      </c>
      <c r="C61">
        <v>3</v>
      </c>
      <c r="D61">
        <v>62.899999999999999</v>
      </c>
      <c r="E61">
        <v>0.23999999999999999</v>
      </c>
    </row>
    <row r="62" spans="1:5" ht="12.75" customHeight="1">
      <c r="A62" s="4">
        <f t="shared" si="1"/>
        <v>52</v>
      </c>
      <c r="B62">
        <v>2014</v>
      </c>
      <c r="C62">
        <v>4</v>
      </c>
      <c r="D62">
        <v>17.890000000000001</v>
      </c>
      <c r="E62">
        <v>5.8799999999999999</v>
      </c>
    </row>
    <row r="63" spans="1:5" ht="12.75" customHeight="1">
      <c r="A63" s="4">
        <f t="shared" si="1"/>
        <v>53</v>
      </c>
      <c r="B63">
        <v>2014</v>
      </c>
      <c r="C63">
        <v>5</v>
      </c>
      <c r="D63">
        <v>3.4100000000000001</v>
      </c>
      <c r="E63">
        <v>23.969999999999999</v>
      </c>
    </row>
    <row r="64" spans="1:5" ht="12.75" customHeight="1">
      <c r="A64" s="4">
        <f t="shared" si="1"/>
        <v>54</v>
      </c>
      <c r="B64">
        <v>2014</v>
      </c>
      <c r="C64">
        <v>6</v>
      </c>
      <c r="D64">
        <v>0.14999999999999999</v>
      </c>
      <c r="E64">
        <v>59.600000000000001</v>
      </c>
    </row>
    <row r="65" spans="1:5" ht="12.75" customHeight="1">
      <c r="A65" s="4">
        <f t="shared" si="1"/>
        <v>55</v>
      </c>
      <c r="B65">
        <v>2014</v>
      </c>
      <c r="C65">
        <v>7</v>
      </c>
      <c r="D65">
        <v>0</v>
      </c>
      <c r="E65">
        <v>93.599999999999994</v>
      </c>
    </row>
    <row r="66" spans="1:5" ht="12.75" customHeight="1">
      <c r="A66" s="4">
        <f t="shared" si="1"/>
        <v>56</v>
      </c>
      <c r="B66">
        <v>2014</v>
      </c>
      <c r="C66">
        <v>8</v>
      </c>
      <c r="D66">
        <v>0</v>
      </c>
      <c r="E66">
        <v>103.88</v>
      </c>
    </row>
    <row r="67" spans="1:5" ht="12.75" customHeight="1">
      <c r="A67" s="4">
        <f t="shared" si="1"/>
        <v>57</v>
      </c>
      <c r="B67">
        <v>2014</v>
      </c>
      <c r="C67">
        <v>9</v>
      </c>
      <c r="D67">
        <v>0.050000000000000003</v>
      </c>
      <c r="E67">
        <v>107.74</v>
      </c>
    </row>
    <row r="68" spans="1:5" ht="12.75" customHeight="1">
      <c r="A68" s="4">
        <f t="shared" si="1"/>
        <v>58</v>
      </c>
      <c r="B68">
        <v>2014</v>
      </c>
      <c r="C68">
        <v>10</v>
      </c>
      <c r="D68">
        <v>0.20000000000000001</v>
      </c>
      <c r="E68">
        <v>51.630000000000003</v>
      </c>
    </row>
    <row r="69" spans="1:5" ht="12.75" customHeight="1">
      <c r="A69" s="4">
        <f t="shared" si="1"/>
        <v>59</v>
      </c>
      <c r="B69">
        <v>2014</v>
      </c>
      <c r="C69">
        <v>11</v>
      </c>
      <c r="D69">
        <v>16.93</v>
      </c>
      <c r="E69">
        <v>13.59</v>
      </c>
    </row>
    <row r="70" spans="1:5" ht="12.75" customHeight="1">
      <c r="A70" s="4">
        <f t="shared" si="1"/>
        <v>60</v>
      </c>
      <c r="B70">
        <v>2014</v>
      </c>
      <c r="C70">
        <v>12</v>
      </c>
      <c r="D70">
        <v>49.170000000000002</v>
      </c>
      <c r="E70">
        <v>0.34999999999999998</v>
      </c>
    </row>
    <row r="71" spans="1:5" ht="12.75" customHeight="1">
      <c r="A71" s="4">
        <f t="shared" si="1"/>
        <v>61</v>
      </c>
      <c r="B71">
        <v>2015</v>
      </c>
      <c r="C71">
        <v>1</v>
      </c>
      <c r="D71">
        <v>90.5</v>
      </c>
      <c r="E71">
        <v>0.059999999999999998</v>
      </c>
    </row>
    <row r="72" spans="1:5" ht="12.75" customHeight="1">
      <c r="A72" s="4">
        <f t="shared" si="1"/>
        <v>62</v>
      </c>
      <c r="B72">
        <v>2015</v>
      </c>
      <c r="C72">
        <v>2</v>
      </c>
      <c r="D72">
        <v>78.019999999999996</v>
      </c>
      <c r="E72">
        <v>0</v>
      </c>
    </row>
    <row r="73" spans="1:5" ht="12.75" customHeight="1">
      <c r="A73" s="4">
        <f t="shared" si="1"/>
        <v>63</v>
      </c>
      <c r="B73">
        <v>2015</v>
      </c>
      <c r="C73">
        <v>3</v>
      </c>
      <c r="D73">
        <v>93.079999999999998</v>
      </c>
      <c r="E73">
        <v>0.20999999999999999</v>
      </c>
    </row>
    <row r="74" spans="1:5" ht="12.75" customHeight="1">
      <c r="A74" s="4">
        <f t="shared" si="1"/>
        <v>64</v>
      </c>
      <c r="B74">
        <v>2015</v>
      </c>
      <c r="C74">
        <v>4</v>
      </c>
      <c r="D74">
        <v>14.060000000000001</v>
      </c>
      <c r="E74">
        <v>7.3300000000000001</v>
      </c>
    </row>
    <row r="75" spans="1:5" ht="12.75" customHeight="1">
      <c r="A75" s="4">
        <f t="shared" si="1"/>
        <v>65</v>
      </c>
      <c r="B75">
        <v>2015</v>
      </c>
      <c r="C75">
        <v>5</v>
      </c>
      <c r="D75">
        <v>1.5700000000000001</v>
      </c>
      <c r="E75">
        <v>14.039999999999999</v>
      </c>
    </row>
    <row r="76" spans="1:5" ht="12.75" customHeight="1">
      <c r="A76" s="4">
        <f t="shared" si="2" ref="A76:A107">+A75+1</f>
        <v>66</v>
      </c>
      <c r="B76">
        <v>2015</v>
      </c>
      <c r="C76">
        <v>6</v>
      </c>
      <c r="D76">
        <v>0.23999999999999999</v>
      </c>
      <c r="E76">
        <v>44.840000000000003</v>
      </c>
    </row>
    <row r="77" spans="1:5" ht="12.75" customHeight="1">
      <c r="A77" s="4">
        <f t="shared" si="2"/>
        <v>67</v>
      </c>
      <c r="B77">
        <v>2015</v>
      </c>
      <c r="C77">
        <v>7</v>
      </c>
      <c r="D77">
        <v>0</v>
      </c>
      <c r="E77">
        <v>108.26000000000001</v>
      </c>
    </row>
    <row r="78" spans="1:5" ht="12.75" customHeight="1">
      <c r="A78" s="4">
        <f t="shared" si="2"/>
        <v>68</v>
      </c>
      <c r="B78">
        <v>2015</v>
      </c>
      <c r="C78">
        <v>8</v>
      </c>
      <c r="D78">
        <v>0</v>
      </c>
      <c r="E78">
        <v>149.37000000000001</v>
      </c>
    </row>
    <row r="79" spans="1:5" ht="12.75" customHeight="1">
      <c r="A79" s="4">
        <f t="shared" si="2"/>
        <v>69</v>
      </c>
      <c r="B79">
        <v>2015</v>
      </c>
      <c r="C79">
        <v>9</v>
      </c>
      <c r="D79">
        <v>0</v>
      </c>
      <c r="E79">
        <v>123.24</v>
      </c>
    </row>
    <row r="80" spans="1:5" ht="12.75" customHeight="1">
      <c r="A80" s="4">
        <f t="shared" si="2"/>
        <v>70</v>
      </c>
      <c r="B80">
        <v>2015</v>
      </c>
      <c r="C80">
        <v>10</v>
      </c>
      <c r="D80">
        <v>0.01</v>
      </c>
      <c r="E80">
        <v>72.75</v>
      </c>
    </row>
    <row r="81" spans="1:5" ht="12.75" customHeight="1">
      <c r="A81" s="4">
        <f t="shared" si="2"/>
        <v>71</v>
      </c>
      <c r="B81">
        <v>2015</v>
      </c>
      <c r="C81">
        <v>11</v>
      </c>
      <c r="D81">
        <v>1.98</v>
      </c>
      <c r="E81">
        <v>18.350000000000001</v>
      </c>
    </row>
    <row r="82" spans="1:5" ht="12.75" customHeight="1">
      <c r="A82" s="4">
        <f t="shared" si="2"/>
        <v>72</v>
      </c>
      <c r="B82">
        <v>2015</v>
      </c>
      <c r="C82">
        <v>12</v>
      </c>
      <c r="D82">
        <v>31.940000000000001</v>
      </c>
      <c r="E82">
        <v>1.79</v>
      </c>
    </row>
    <row r="83" spans="1:5" ht="12.75" customHeight="1">
      <c r="A83" s="4">
        <f t="shared" si="2"/>
        <v>73</v>
      </c>
      <c r="B83">
        <v>2016</v>
      </c>
      <c r="C83">
        <v>1</v>
      </c>
      <c r="D83">
        <v>67.189999999999998</v>
      </c>
      <c r="E83">
        <v>1.24</v>
      </c>
    </row>
    <row r="84" spans="1:5" ht="12.75" customHeight="1">
      <c r="A84" s="4">
        <f t="shared" si="2"/>
        <v>74</v>
      </c>
      <c r="B84">
        <v>2016</v>
      </c>
      <c r="C84">
        <v>2</v>
      </c>
      <c r="D84">
        <v>71.5</v>
      </c>
      <c r="E84">
        <v>0.12</v>
      </c>
    </row>
    <row r="85" spans="1:5" ht="12.75" customHeight="1">
      <c r="A85" s="4">
        <f t="shared" si="2"/>
        <v>75</v>
      </c>
      <c r="B85">
        <v>2016</v>
      </c>
      <c r="C85">
        <v>3</v>
      </c>
      <c r="D85">
        <v>22.699999999999999</v>
      </c>
      <c r="E85">
        <v>1.27</v>
      </c>
    </row>
    <row r="86" spans="1:5" ht="12.75" customHeight="1">
      <c r="A86" s="4">
        <f t="shared" si="2"/>
        <v>76</v>
      </c>
      <c r="B86">
        <v>2016</v>
      </c>
      <c r="C86">
        <v>4</v>
      </c>
      <c r="D86">
        <v>9.4299999999999997</v>
      </c>
      <c r="E86">
        <v>4.0999999999999996</v>
      </c>
    </row>
    <row r="87" spans="1:5" ht="12.75" customHeight="1">
      <c r="A87" s="4">
        <f t="shared" si="2"/>
        <v>77</v>
      </c>
      <c r="B87">
        <v>2016</v>
      </c>
      <c r="C87">
        <v>5</v>
      </c>
      <c r="D87">
        <v>1.1299999999999999</v>
      </c>
      <c r="E87">
        <v>19.989999999999998</v>
      </c>
    </row>
    <row r="88" spans="1:5" ht="12.75" customHeight="1">
      <c r="A88" s="4">
        <f t="shared" si="2"/>
        <v>78</v>
      </c>
      <c r="B88">
        <v>2016</v>
      </c>
      <c r="C88">
        <v>6</v>
      </c>
      <c r="D88">
        <v>0.31</v>
      </c>
      <c r="E88">
        <v>55.270000000000003</v>
      </c>
    </row>
    <row r="89" spans="1:5" ht="12.75" customHeight="1">
      <c r="A89" s="4">
        <f t="shared" si="2"/>
        <v>79</v>
      </c>
      <c r="B89">
        <v>2016</v>
      </c>
      <c r="C89">
        <v>7</v>
      </c>
      <c r="D89">
        <v>0</v>
      </c>
      <c r="E89">
        <v>135.87000000000001</v>
      </c>
    </row>
    <row r="90" spans="1:5" ht="12.75" customHeight="1">
      <c r="A90" s="4">
        <f t="shared" si="2"/>
        <v>80</v>
      </c>
      <c r="B90">
        <v>2016</v>
      </c>
      <c r="C90">
        <v>8</v>
      </c>
      <c r="D90">
        <v>0</v>
      </c>
      <c r="E90">
        <v>159.72999999999999</v>
      </c>
    </row>
    <row r="91" spans="1:5" ht="12.75" customHeight="1">
      <c r="A91" s="4">
        <f t="shared" si="2"/>
        <v>81</v>
      </c>
      <c r="B91">
        <v>2016</v>
      </c>
      <c r="C91">
        <v>9</v>
      </c>
      <c r="D91">
        <v>0</v>
      </c>
      <c r="E91">
        <v>118.77</v>
      </c>
    </row>
    <row r="92" spans="1:5" ht="12.75" customHeight="1">
      <c r="A92" s="4">
        <f t="shared" si="2"/>
        <v>82</v>
      </c>
      <c r="B92">
        <v>2016</v>
      </c>
      <c r="C92">
        <v>10</v>
      </c>
      <c r="D92">
        <v>0.040000000000000001</v>
      </c>
      <c r="E92">
        <v>80.120000000000005</v>
      </c>
    </row>
    <row r="93" spans="1:5" ht="12.75" customHeight="1">
      <c r="A93" s="4">
        <f t="shared" si="2"/>
        <v>83</v>
      </c>
      <c r="B93">
        <v>2016</v>
      </c>
      <c r="C93">
        <v>11</v>
      </c>
      <c r="D93">
        <v>1</v>
      </c>
      <c r="E93">
        <v>33.200000000000003</v>
      </c>
    </row>
    <row r="94" spans="1:5" ht="12.75" customHeight="1">
      <c r="A94" s="4">
        <f t="shared" si="2"/>
        <v>84</v>
      </c>
      <c r="B94">
        <v>2016</v>
      </c>
      <c r="C94">
        <v>12</v>
      </c>
      <c r="D94">
        <v>32.659999999999997</v>
      </c>
      <c r="E94">
        <v>4.0800000000000001</v>
      </c>
    </row>
    <row r="95" spans="1:5" ht="12.75" customHeight="1">
      <c r="A95" s="4">
        <f t="shared" si="2"/>
        <v>85</v>
      </c>
      <c r="B95">
        <v>2017</v>
      </c>
      <c r="C95">
        <v>1</v>
      </c>
      <c r="D95">
        <v>85.989999999999995</v>
      </c>
      <c r="E95">
        <v>2</v>
      </c>
    </row>
    <row r="96" spans="1:5" ht="12.75" customHeight="1">
      <c r="A96" s="4">
        <f t="shared" si="2"/>
        <v>86</v>
      </c>
      <c r="B96">
        <v>2017</v>
      </c>
      <c r="C96">
        <v>2</v>
      </c>
      <c r="D96">
        <v>53.5</v>
      </c>
      <c r="E96">
        <v>1.8899999999999999</v>
      </c>
    </row>
    <row r="97" spans="1:5" ht="12.75" customHeight="1">
      <c r="A97" s="4">
        <f t="shared" si="2"/>
        <v>87</v>
      </c>
      <c r="B97">
        <v>2017</v>
      </c>
      <c r="C97">
        <v>3</v>
      </c>
      <c r="D97">
        <v>21.57</v>
      </c>
      <c r="E97">
        <v>6.6399999999999997</v>
      </c>
    </row>
    <row r="98" spans="1:5" ht="12.75" customHeight="1">
      <c r="A98" s="4">
        <f t="shared" si="2"/>
        <v>88</v>
      </c>
      <c r="B98">
        <v>2017</v>
      </c>
      <c r="C98">
        <v>4</v>
      </c>
      <c r="D98">
        <v>5.5999999999999996</v>
      </c>
      <c r="E98">
        <v>16.719999999999999</v>
      </c>
    </row>
    <row r="99" spans="1:5" ht="12.75" customHeight="1">
      <c r="A99" s="4">
        <f t="shared" si="2"/>
        <v>89</v>
      </c>
      <c r="B99">
        <v>2017</v>
      </c>
      <c r="C99">
        <v>5</v>
      </c>
      <c r="D99">
        <v>1.0800000000000001</v>
      </c>
      <c r="E99">
        <v>28.629999999999999</v>
      </c>
    </row>
    <row r="100" spans="1:5" ht="12.75" customHeight="1">
      <c r="A100" s="4">
        <f t="shared" si="2"/>
        <v>90</v>
      </c>
      <c r="B100">
        <v>2017</v>
      </c>
      <c r="C100">
        <v>6</v>
      </c>
      <c r="D100">
        <v>0.089999999999999997</v>
      </c>
      <c r="E100">
        <v>72.099999999999994</v>
      </c>
    </row>
    <row r="101" spans="1:5" ht="12.75" customHeight="1">
      <c r="A101" s="4">
        <f t="shared" si="2"/>
        <v>91</v>
      </c>
      <c r="B101">
        <v>2017</v>
      </c>
      <c r="C101">
        <v>7</v>
      </c>
      <c r="D101">
        <v>0</v>
      </c>
      <c r="E101">
        <v>129.38999999999999</v>
      </c>
    </row>
    <row r="102" spans="1:5" s="18" customFormat="1" ht="12.75" customHeight="1">
      <c r="A102" s="4">
        <f t="shared" si="2"/>
        <v>92</v>
      </c>
      <c r="B102">
        <v>2017</v>
      </c>
      <c r="C102">
        <v>8</v>
      </c>
      <c r="D102" s="18">
        <v>0</v>
      </c>
      <c r="E102" s="18">
        <v>157.13</v>
      </c>
    </row>
    <row r="103" spans="1:5" s="18" customFormat="1" ht="12.75" customHeight="1">
      <c r="A103" s="4">
        <f t="shared" si="2"/>
        <v>93</v>
      </c>
      <c r="B103">
        <v>2017</v>
      </c>
      <c r="C103">
        <v>9</v>
      </c>
      <c r="D103" s="18">
        <v>0</v>
      </c>
      <c r="E103" s="18">
        <v>116.54000000000001</v>
      </c>
    </row>
    <row r="104" spans="1:5" ht="12.75" customHeight="1">
      <c r="A104" s="4">
        <f t="shared" si="2"/>
        <v>94</v>
      </c>
      <c r="B104">
        <v>2017</v>
      </c>
      <c r="C104">
        <v>10</v>
      </c>
      <c r="D104">
        <v>0.23000000000000001</v>
      </c>
      <c r="E104">
        <v>84.629999999999995</v>
      </c>
    </row>
    <row r="105" spans="1:5" ht="12.75" customHeight="1">
      <c r="A105" s="4">
        <f t="shared" si="2"/>
        <v>95</v>
      </c>
      <c r="B105">
        <v>2017</v>
      </c>
      <c r="C105">
        <v>11</v>
      </c>
      <c r="D105">
        <v>9.7100000000000009</v>
      </c>
      <c r="E105">
        <v>24.16</v>
      </c>
    </row>
    <row r="106" spans="1:5" ht="12.75" customHeight="1">
      <c r="A106" s="4">
        <f t="shared" si="2"/>
        <v>96</v>
      </c>
      <c r="B106">
        <v>2017</v>
      </c>
      <c r="C106">
        <v>12</v>
      </c>
      <c r="D106">
        <v>28.129999999999999</v>
      </c>
      <c r="E106">
        <v>5.6699999999999999</v>
      </c>
    </row>
    <row r="107" spans="1:5" ht="12.75" customHeight="1">
      <c r="A107" s="4">
        <f t="shared" si="2"/>
        <v>97</v>
      </c>
      <c r="B107">
        <v>2018</v>
      </c>
      <c r="C107">
        <v>1</v>
      </c>
      <c r="D107">
        <v>126.7</v>
      </c>
      <c r="E107">
        <v>0.39000000000000001</v>
      </c>
    </row>
    <row r="108" spans="1:5" ht="12.75" customHeight="1">
      <c r="A108" s="4">
        <f t="shared" si="3" ref="A108:A149">+A107+1</f>
        <v>98</v>
      </c>
      <c r="B108">
        <v>2018</v>
      </c>
      <c r="C108">
        <v>2</v>
      </c>
      <c r="D108">
        <v>109.89</v>
      </c>
      <c r="E108">
        <v>0.55000000000000004</v>
      </c>
    </row>
    <row r="109" spans="1:5" ht="12.75" customHeight="1">
      <c r="A109" s="4">
        <f t="shared" si="3"/>
        <v>99</v>
      </c>
      <c r="B109">
        <v>2018</v>
      </c>
      <c r="C109">
        <v>3</v>
      </c>
      <c r="D109">
        <v>55.93</v>
      </c>
      <c r="E109">
        <v>3.2999999999999998</v>
      </c>
    </row>
    <row r="110" spans="1:5" ht="12.75" customHeight="1">
      <c r="A110" s="4">
        <f t="shared" si="3"/>
        <v>100</v>
      </c>
      <c r="B110">
        <v>2018</v>
      </c>
      <c r="C110">
        <v>4</v>
      </c>
      <c r="D110">
        <v>14.84</v>
      </c>
      <c r="E110">
        <v>10.039999999999999</v>
      </c>
    </row>
    <row r="111" spans="1:5" ht="12.75" customHeight="1">
      <c r="A111" s="4">
        <f t="shared" si="3"/>
        <v>101</v>
      </c>
      <c r="B111">
        <v>2018</v>
      </c>
      <c r="C111">
        <v>5</v>
      </c>
      <c r="D111">
        <v>8.5999999999999996</v>
      </c>
      <c r="E111">
        <v>27.739999999999998</v>
      </c>
    </row>
    <row r="112" spans="1:5" ht="12.75" customHeight="1">
      <c r="A112" s="4">
        <f t="shared" si="3"/>
        <v>102</v>
      </c>
      <c r="B112">
        <v>2018</v>
      </c>
      <c r="C112">
        <v>6</v>
      </c>
      <c r="D112">
        <v>0.040000000000000001</v>
      </c>
      <c r="E112">
        <v>120.39</v>
      </c>
    </row>
    <row r="113" spans="1:5" ht="12.75" customHeight="1">
      <c r="A113" s="4">
        <f t="shared" si="3"/>
        <v>103</v>
      </c>
      <c r="B113">
        <v>2018</v>
      </c>
      <c r="C113">
        <v>7</v>
      </c>
      <c r="D113">
        <v>0</v>
      </c>
      <c r="E113">
        <v>173.06</v>
      </c>
    </row>
    <row r="114" spans="1:5" ht="12.75" customHeight="1">
      <c r="A114" s="4">
        <f t="shared" si="3"/>
        <v>104</v>
      </c>
      <c r="B114">
        <v>2018</v>
      </c>
      <c r="C114">
        <v>8</v>
      </c>
      <c r="D114">
        <v>0</v>
      </c>
      <c r="E114">
        <v>186.97</v>
      </c>
    </row>
    <row r="115" spans="1:5" ht="12.75" customHeight="1">
      <c r="A115" s="4">
        <f t="shared" si="3"/>
        <v>105</v>
      </c>
      <c r="B115">
        <v>2018</v>
      </c>
      <c r="C115">
        <v>9</v>
      </c>
      <c r="D115">
        <v>0</v>
      </c>
      <c r="E115">
        <v>143.93000000000001</v>
      </c>
    </row>
    <row r="116" spans="1:5" ht="12.75" customHeight="1">
      <c r="A116" s="4">
        <f t="shared" si="3"/>
        <v>106</v>
      </c>
      <c r="B116">
        <v>2018</v>
      </c>
      <c r="C116">
        <v>10</v>
      </c>
      <c r="D116">
        <v>2.9399999999999999</v>
      </c>
      <c r="E116">
        <v>68.329999999999998</v>
      </c>
    </row>
    <row r="117" spans="1:5" ht="12.75" customHeight="1">
      <c r="A117" s="4">
        <f t="shared" si="3"/>
        <v>107</v>
      </c>
      <c r="B117">
        <v>2018</v>
      </c>
      <c r="C117">
        <v>11</v>
      </c>
      <c r="D117">
        <v>25.260000000000002</v>
      </c>
      <c r="E117">
        <v>11.779999999999999</v>
      </c>
    </row>
    <row r="118" spans="1:5" ht="12.75" customHeight="1">
      <c r="A118" s="4">
        <f t="shared" si="3"/>
        <v>108</v>
      </c>
      <c r="B118">
        <v>2018</v>
      </c>
      <c r="C118">
        <v>12</v>
      </c>
      <c r="D118">
        <v>73.799999999999997</v>
      </c>
      <c r="E118">
        <v>0.77000000000000002</v>
      </c>
    </row>
    <row r="119" spans="1:5" ht="12.75" customHeight="1">
      <c r="A119" s="4">
        <f t="shared" si="3"/>
        <v>109</v>
      </c>
      <c r="B119">
        <v>2019</v>
      </c>
      <c r="C119">
        <v>1</v>
      </c>
      <c r="D119">
        <v>98.269999999999996</v>
      </c>
      <c r="E119">
        <v>0.10000000000000001</v>
      </c>
    </row>
    <row r="120" spans="1:5" ht="12.75" customHeight="1">
      <c r="A120" s="4">
        <f t="shared" si="3"/>
        <v>110</v>
      </c>
      <c r="B120">
        <v>2019</v>
      </c>
      <c r="C120">
        <v>2</v>
      </c>
      <c r="D120">
        <v>109.43000000000001</v>
      </c>
      <c r="E120">
        <v>0.91000000000000003</v>
      </c>
    </row>
    <row r="121" spans="1:5" ht="12.75" customHeight="1">
      <c r="A121" s="4">
        <f t="shared" si="3"/>
        <v>111</v>
      </c>
      <c r="B121">
        <v>2019</v>
      </c>
      <c r="C121">
        <v>3</v>
      </c>
      <c r="D121">
        <v>105.98</v>
      </c>
      <c r="E121">
        <v>1.1799999999999999</v>
      </c>
    </row>
    <row r="122" spans="1:5" ht="12.75" customHeight="1">
      <c r="A122" s="4">
        <f t="shared" si="3"/>
        <v>112</v>
      </c>
      <c r="B122">
        <v>2019</v>
      </c>
      <c r="C122">
        <v>4</v>
      </c>
      <c r="D122">
        <v>31.27</v>
      </c>
      <c r="E122">
        <v>5.0300000000000002</v>
      </c>
    </row>
    <row r="123" spans="1:5" ht="12.75" customHeight="1">
      <c r="A123" s="4">
        <f t="shared" si="3"/>
        <v>113</v>
      </c>
      <c r="B123">
        <v>2019</v>
      </c>
      <c r="C123">
        <v>5</v>
      </c>
      <c r="D123">
        <v>4.4299999999999997</v>
      </c>
      <c r="E123">
        <v>21.300000000000001</v>
      </c>
    </row>
    <row r="124" spans="1:5" ht="12.75" customHeight="1">
      <c r="A124" s="4">
        <f t="shared" si="3"/>
        <v>114</v>
      </c>
      <c r="B124">
        <v>2019</v>
      </c>
      <c r="C124">
        <v>6</v>
      </c>
      <c r="D124">
        <v>0.84999999999999998</v>
      </c>
      <c r="E124">
        <v>76.859999999999999</v>
      </c>
    </row>
    <row r="125" spans="1:5" ht="12.75" customHeight="1">
      <c r="A125" s="4">
        <f t="shared" si="3"/>
        <v>115</v>
      </c>
      <c r="B125">
        <v>2019</v>
      </c>
      <c r="C125">
        <v>7</v>
      </c>
      <c r="D125">
        <v>0</v>
      </c>
      <c r="E125">
        <v>131.27000000000001</v>
      </c>
    </row>
    <row r="126" spans="1:5" ht="12.75" customHeight="1">
      <c r="A126" s="4">
        <f t="shared" si="3"/>
        <v>116</v>
      </c>
      <c r="B126">
        <v>2019</v>
      </c>
      <c r="C126">
        <v>8</v>
      </c>
      <c r="D126">
        <v>0</v>
      </c>
      <c r="E126">
        <v>176.94999999999999</v>
      </c>
    </row>
    <row r="127" spans="1:5" ht="12.75" customHeight="1">
      <c r="A127" s="4">
        <f t="shared" si="3"/>
        <v>117</v>
      </c>
      <c r="B127">
        <v>2019</v>
      </c>
      <c r="C127">
        <v>9</v>
      </c>
      <c r="D127">
        <v>0</v>
      </c>
      <c r="E127">
        <v>192.02000000000001</v>
      </c>
    </row>
    <row r="128" spans="1:5" ht="12.75" customHeight="1">
      <c r="A128" s="4">
        <f t="shared" si="3"/>
        <v>118</v>
      </c>
      <c r="B128">
        <v>2019</v>
      </c>
      <c r="C128">
        <v>10</v>
      </c>
      <c r="D128">
        <v>1.25</v>
      </c>
      <c r="E128">
        <v>137.63999999999999</v>
      </c>
    </row>
    <row r="129" spans="1:5" ht="12.75" customHeight="1">
      <c r="A129" s="4">
        <f t="shared" si="3"/>
        <v>119</v>
      </c>
      <c r="B129">
        <v>2019</v>
      </c>
      <c r="C129">
        <v>11</v>
      </c>
      <c r="D129">
        <v>39.340000000000003</v>
      </c>
      <c r="E129">
        <v>21.260000000000002</v>
      </c>
    </row>
    <row r="130" spans="1:5" ht="12.75" customHeight="1">
      <c r="A130" s="4">
        <f t="shared" si="3"/>
        <v>120</v>
      </c>
      <c r="B130">
        <v>2019</v>
      </c>
      <c r="C130">
        <v>12</v>
      </c>
      <c r="D130">
        <v>68.280000000000001</v>
      </c>
      <c r="E130">
        <v>1.29</v>
      </c>
    </row>
    <row r="131" spans="1:5" ht="12.75" customHeight="1">
      <c r="A131" s="4">
        <f t="shared" si="3"/>
        <v>121</v>
      </c>
      <c r="B131">
        <v>2020</v>
      </c>
      <c r="C131">
        <v>1</v>
      </c>
      <c r="D131">
        <v>84.840000000000003</v>
      </c>
      <c r="E131">
        <v>0.29999999999999999</v>
      </c>
    </row>
    <row r="132" spans="1:5" ht="12.75" customHeight="1">
      <c r="A132" s="4">
        <f t="shared" si="3"/>
        <v>122</v>
      </c>
      <c r="B132">
        <v>2020</v>
      </c>
      <c r="C132">
        <v>2</v>
      </c>
      <c r="D132">
        <v>90.700000000000003</v>
      </c>
      <c r="E132">
        <v>0.47999999999999998</v>
      </c>
    </row>
    <row r="133" spans="1:5" ht="12.75" customHeight="1">
      <c r="A133" s="4">
        <f t="shared" si="3"/>
        <v>123</v>
      </c>
      <c r="B133">
        <v>2020</v>
      </c>
      <c r="C133">
        <v>3</v>
      </c>
      <c r="D133">
        <v>71.719999999999999</v>
      </c>
      <c r="E133">
        <v>2.0299999999999998</v>
      </c>
    </row>
    <row r="134" spans="1:5" ht="12.75" customHeight="1">
      <c r="A134" s="33">
        <f t="shared" si="3"/>
        <v>124</v>
      </c>
      <c r="B134" s="32">
        <v>2020</v>
      </c>
      <c r="C134" s="32">
        <v>4</v>
      </c>
      <c r="D134">
        <v>18.68</v>
      </c>
      <c r="E134">
        <v>14.85</v>
      </c>
    </row>
    <row r="135" spans="1:5" ht="12.75" customHeight="1">
      <c r="A135" s="33">
        <f t="shared" si="3"/>
        <v>125</v>
      </c>
      <c r="B135" s="32">
        <v>2020</v>
      </c>
      <c r="C135" s="32">
        <v>5</v>
      </c>
      <c r="D135">
        <v>9.8399999999999999</v>
      </c>
      <c r="E135">
        <v>33.350000000000001</v>
      </c>
    </row>
    <row r="136" spans="1:5" ht="12.75" customHeight="1">
      <c r="A136" s="33">
        <f t="shared" si="3"/>
        <v>126</v>
      </c>
      <c r="B136" s="32">
        <v>2020</v>
      </c>
      <c r="C136" s="32">
        <v>6</v>
      </c>
      <c r="D136">
        <v>0.070000000000000007</v>
      </c>
      <c r="E136">
        <v>87.959999999999994</v>
      </c>
    </row>
    <row r="137" spans="1:5" ht="12.75" customHeight="1">
      <c r="A137" s="33">
        <f t="shared" si="3"/>
        <v>127</v>
      </c>
      <c r="B137" s="32">
        <v>2020</v>
      </c>
      <c r="C137" s="32">
        <v>7</v>
      </c>
      <c r="D137">
        <v>0</v>
      </c>
      <c r="E137">
        <v>159.31999999999999</v>
      </c>
    </row>
    <row r="138" spans="1:5" ht="12.75" customHeight="1">
      <c r="A138" s="33">
        <f t="shared" si="3"/>
        <v>128</v>
      </c>
      <c r="B138" s="32">
        <v>2020</v>
      </c>
      <c r="C138" s="32">
        <v>8</v>
      </c>
      <c r="D138">
        <v>0</v>
      </c>
      <c r="E138">
        <v>193.25999999999999</v>
      </c>
    </row>
    <row r="139" spans="1:5" ht="12.75" customHeight="1">
      <c r="A139" s="33">
        <f t="shared" si="3"/>
        <v>129</v>
      </c>
      <c r="B139" s="32">
        <v>2020</v>
      </c>
      <c r="C139" s="32">
        <v>9</v>
      </c>
      <c r="D139">
        <v>0.23999999999999999</v>
      </c>
      <c r="E139">
        <v>166.68000000000001</v>
      </c>
    </row>
    <row r="140" spans="1:5" ht="12.75" customHeight="1">
      <c r="A140" s="33">
        <f t="shared" si="3"/>
        <v>130</v>
      </c>
      <c r="B140" s="32">
        <v>2020</v>
      </c>
      <c r="C140" s="32">
        <v>10</v>
      </c>
      <c r="D140">
        <v>0.44</v>
      </c>
      <c r="E140">
        <v>56.600000000000001</v>
      </c>
    </row>
    <row r="141" spans="1:5" ht="12.75" customHeight="1">
      <c r="A141" s="33">
        <f t="shared" si="3"/>
        <v>131</v>
      </c>
      <c r="B141" s="32">
        <v>2020</v>
      </c>
      <c r="C141" s="32">
        <v>11</v>
      </c>
      <c r="D141">
        <v>23.010000000000002</v>
      </c>
      <c r="E141">
        <v>21.079999999999998</v>
      </c>
    </row>
    <row r="142" spans="1:5" ht="12.75" customHeight="1">
      <c r="A142" s="33">
        <f t="shared" si="3"/>
        <v>132</v>
      </c>
      <c r="B142" s="32">
        <v>2020</v>
      </c>
      <c r="C142" s="32">
        <v>12</v>
      </c>
      <c r="D142">
        <v>49.68</v>
      </c>
      <c r="E142">
        <v>2.3900000000000001</v>
      </c>
    </row>
    <row r="143" spans="1:5" ht="12.75" customHeight="1">
      <c r="A143" s="33">
        <f t="shared" si="3"/>
        <v>133</v>
      </c>
      <c r="B143" s="32">
        <v>2021</v>
      </c>
      <c r="C143" s="32">
        <v>1</v>
      </c>
      <c r="D143">
        <v>108.53</v>
      </c>
      <c r="E143">
        <v>0.02</v>
      </c>
    </row>
    <row r="144" spans="1:5" ht="12.75" customHeight="1">
      <c r="A144" s="33">
        <f t="shared" si="3"/>
        <v>134</v>
      </c>
      <c r="B144" s="32">
        <v>2021</v>
      </c>
      <c r="C144" s="32">
        <v>2</v>
      </c>
      <c r="D144">
        <v>135.69999999999999</v>
      </c>
      <c r="E144">
        <v>0.040000000000000001</v>
      </c>
    </row>
    <row r="145" spans="1:5" ht="12.75" customHeight="1">
      <c r="A145" s="33">
        <f t="shared" si="3"/>
        <v>135</v>
      </c>
      <c r="B145" s="32">
        <v>2021</v>
      </c>
      <c r="C145" s="32">
        <v>3</v>
      </c>
      <c r="D145">
        <v>173.71000000000001</v>
      </c>
      <c r="E145">
        <v>1.5800000000000001</v>
      </c>
    </row>
    <row r="146" spans="1:5" ht="12.75" customHeight="1">
      <c r="A146" s="33">
        <f t="shared" si="3"/>
        <v>136</v>
      </c>
      <c r="B146" s="32">
        <v>2021</v>
      </c>
      <c r="C146" s="32">
        <v>4</v>
      </c>
      <c r="D146">
        <v>14.23</v>
      </c>
      <c r="E146">
        <v>7.3499999999999996</v>
      </c>
    </row>
    <row r="147" spans="1:5" ht="12.75" customHeight="1">
      <c r="A147" s="33">
        <f t="shared" si="3"/>
        <v>137</v>
      </c>
      <c r="B147" s="32">
        <v>2021</v>
      </c>
      <c r="C147" s="32">
        <v>5</v>
      </c>
      <c r="D147">
        <v>8.2699999999999996</v>
      </c>
      <c r="E147">
        <v>19.109999999999999</v>
      </c>
    </row>
    <row r="148" spans="1:5" ht="12.75" customHeight="1">
      <c r="A148" s="33">
        <f t="shared" si="3"/>
        <v>138</v>
      </c>
      <c r="B148" s="32">
        <v>2021</v>
      </c>
      <c r="C148" s="32">
        <v>6</v>
      </c>
      <c r="D148">
        <v>0.60999999999999999</v>
      </c>
      <c r="E148">
        <v>64.900000000000006</v>
      </c>
    </row>
    <row r="149" spans="1:5" ht="12.75" customHeight="1">
      <c r="A149" s="33">
        <f t="shared" si="3"/>
        <v>139</v>
      </c>
      <c r="B149" s="32">
        <v>2021</v>
      </c>
      <c r="C149" s="32">
        <v>7</v>
      </c>
      <c r="D149">
        <v>0</v>
      </c>
      <c r="E149">
        <v>158.19999999999999</v>
      </c>
    </row>
  </sheetData>
  <mergeCells count="6">
    <mergeCell ref="B9:E9"/>
    <mergeCell ref="B1:E1"/>
    <mergeCell ref="B2:E2"/>
    <mergeCell ref="B3:E3"/>
    <mergeCell ref="B4:E4"/>
    <mergeCell ref="B6:E6"/>
  </mergeCells>
  <pageMargins left="1.5" right="0.75" top="1" bottom="1" header="0.5" footer="0.5"/>
  <pageSetup orientation="portrait" scale="61" r:id="rId1"/>
  <headerFooter alignWithMargins="0">
    <oddHeader>&amp;RSchedule II-H-2.2
Page &amp;P of &amp;N</oddHeader>
  </headerFooter>
  <rowBreaks count="2" manualBreakCount="2">
    <brk id="58" max="4" man="1"/>
    <brk id="106" max="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D149"/>
  <sheetViews>
    <sheetView showOutlineSymbols="0" view="pageBreakPreview" zoomScaleNormal="100" zoomScaleSheetLayoutView="100" workbookViewId="0" topLeftCell="A1"/>
  </sheetViews>
  <sheetFormatPr defaultRowHeight="12.75" customHeight="1"/>
  <cols>
    <col min="1" max="1" width="9.14285714285714" style="4" customWidth="1"/>
    <col min="2" max="2" width="24.8571428571429" style="1" customWidth="1"/>
    <col min="3" max="3" width="25.2857142857143" style="1" customWidth="1"/>
    <col min="4" max="4" width="28.2857142857143" customWidth="1"/>
  </cols>
  <sheetData>
    <row r="1" spans="2:4" ht="15.6">
      <c r="B1" s="47" t="str">
        <f>+Introduction!B1</f>
        <v xml:space="preserve">PUC DOCKET NO. </v>
      </c>
      <c r="C1" s="49"/>
      <c r="D1" s="48"/>
    </row>
    <row r="2" spans="2:4" ht="15.6">
      <c r="B2" s="47" t="str">
        <f>+Introduction!B2</f>
        <v>ONCOR ELECTRIC DELIVERY COMPANY LLC</v>
      </c>
      <c r="C2" s="49"/>
      <c r="D2" s="48"/>
    </row>
    <row r="3" spans="2:4" ht="15.6">
      <c r="B3" s="47" t="str">
        <f>+Introduction!B3</f>
        <v>MODEL DATA</v>
      </c>
      <c r="C3" s="49"/>
      <c r="D3" s="48"/>
    </row>
    <row r="4" spans="2:4" ht="15.6">
      <c r="B4" s="47" t="str">
        <f>+Introduction!B4</f>
        <v>FOR THE TEST YEAR ENDING DECEMBER 31, 2021</v>
      </c>
      <c r="C4" s="49"/>
      <c r="D4" s="48"/>
    </row>
    <row r="5" spans="2:4" ht="13.2">
      <c r="B5" s="15"/>
      <c r="C5" s="15"/>
      <c r="D5" s="17"/>
    </row>
    <row r="6" spans="2:4" ht="15.6">
      <c r="B6" s="47" t="str">
        <f>+Introduction!B6</f>
        <v>SPONSOR: D. E. NELSON</v>
      </c>
      <c r="C6" s="49"/>
      <c r="D6" s="48"/>
    </row>
    <row r="8" spans="2:4" ht="12.75" customHeight="1">
      <c r="B8" s="9" t="s">
        <v>4</v>
      </c>
      <c r="C8" s="9" t="s">
        <v>5</v>
      </c>
      <c r="D8" s="27" t="s">
        <v>7</v>
      </c>
    </row>
    <row r="9" spans="1:4" ht="12.75" customHeight="1">
      <c r="A9" s="4" t="s">
        <v>2</v>
      </c>
      <c r="B9" s="47" t="s">
        <v>40</v>
      </c>
      <c r="C9" s="47"/>
      <c r="D9" s="49"/>
    </row>
    <row r="10" spans="1:4" s="21" customFormat="1" ht="12.75" customHeight="1">
      <c r="A10" s="20" t="s">
        <v>3</v>
      </c>
      <c r="B10" s="36" t="s">
        <v>53</v>
      </c>
      <c r="C10" s="36" t="s">
        <v>0</v>
      </c>
      <c r="D10" s="37" t="s">
        <v>48</v>
      </c>
    </row>
    <row r="11" spans="1:4" ht="12.75" customHeight="1">
      <c r="A11" s="4">
        <v>1</v>
      </c>
      <c r="B11">
        <v>2010</v>
      </c>
      <c r="C11">
        <v>1</v>
      </c>
      <c r="D11" s="22">
        <v>400.32999999999998</v>
      </c>
    </row>
    <row r="12" spans="1:4" ht="12.75" customHeight="1">
      <c r="A12" s="4">
        <f t="shared" si="0" ref="A12:A43">+A11+1</f>
        <v>2</v>
      </c>
      <c r="B12">
        <v>2010</v>
      </c>
      <c r="C12">
        <v>2</v>
      </c>
      <c r="D12" s="22">
        <v>401.45999999999998</v>
      </c>
    </row>
    <row r="13" spans="1:4" ht="12.75" customHeight="1">
      <c r="A13" s="4">
        <f t="shared" si="0"/>
        <v>3</v>
      </c>
      <c r="B13">
        <v>2010</v>
      </c>
      <c r="C13">
        <v>3</v>
      </c>
      <c r="D13" s="22">
        <v>404.66000000000002</v>
      </c>
    </row>
    <row r="14" spans="1:4" ht="12.75" customHeight="1">
      <c r="A14" s="4">
        <f t="shared" si="0"/>
        <v>4</v>
      </c>
      <c r="B14">
        <v>2010</v>
      </c>
      <c r="C14">
        <v>4</v>
      </c>
      <c r="D14" s="22">
        <v>408.55000000000001</v>
      </c>
    </row>
    <row r="15" spans="1:4" ht="12.75" customHeight="1">
      <c r="A15" s="4">
        <f t="shared" si="0"/>
        <v>5</v>
      </c>
      <c r="B15">
        <v>2010</v>
      </c>
      <c r="C15">
        <v>5</v>
      </c>
      <c r="D15" s="22">
        <v>410.67000000000002</v>
      </c>
    </row>
    <row r="16" spans="1:4" ht="12.75" customHeight="1">
      <c r="A16" s="4">
        <f t="shared" si="0"/>
        <v>6</v>
      </c>
      <c r="B16">
        <v>2010</v>
      </c>
      <c r="C16">
        <v>6</v>
      </c>
      <c r="D16" s="22">
        <v>409.56</v>
      </c>
    </row>
    <row r="17" spans="1:4" ht="12.75" customHeight="1">
      <c r="A17" s="4">
        <f t="shared" si="0"/>
        <v>7</v>
      </c>
      <c r="B17">
        <v>2010</v>
      </c>
      <c r="C17">
        <v>7</v>
      </c>
      <c r="D17" s="22">
        <v>406.50999999999999</v>
      </c>
    </row>
    <row r="18" spans="1:4" ht="12.75" customHeight="1">
      <c r="A18" s="4">
        <f t="shared" si="0"/>
        <v>8</v>
      </c>
      <c r="B18">
        <v>2010</v>
      </c>
      <c r="C18">
        <v>8</v>
      </c>
      <c r="D18" s="22">
        <v>403.72000000000003</v>
      </c>
    </row>
    <row r="19" spans="1:4" ht="12.75" customHeight="1">
      <c r="A19" s="4">
        <f t="shared" si="0"/>
        <v>9</v>
      </c>
      <c r="B19">
        <v>2010</v>
      </c>
      <c r="C19">
        <v>9</v>
      </c>
      <c r="D19" s="22">
        <v>402.82999999999998</v>
      </c>
    </row>
    <row r="20" spans="1:4" ht="12.75" customHeight="1">
      <c r="A20" s="4">
        <f t="shared" si="0"/>
        <v>10</v>
      </c>
      <c r="B20">
        <v>2010</v>
      </c>
      <c r="C20">
        <v>10</v>
      </c>
      <c r="D20" s="22">
        <v>403.31</v>
      </c>
    </row>
    <row r="21" spans="1:4" ht="12.75" customHeight="1">
      <c r="A21" s="4">
        <f t="shared" si="0"/>
        <v>11</v>
      </c>
      <c r="B21">
        <v>2010</v>
      </c>
      <c r="C21">
        <v>11</v>
      </c>
      <c r="D21" s="22">
        <v>404</v>
      </c>
    </row>
    <row r="22" spans="1:4" ht="12.75" customHeight="1">
      <c r="A22" s="4">
        <f t="shared" si="0"/>
        <v>12</v>
      </c>
      <c r="B22">
        <v>2010</v>
      </c>
      <c r="C22">
        <v>12</v>
      </c>
      <c r="D22" s="22">
        <v>404.11000000000001</v>
      </c>
    </row>
    <row r="23" spans="1:4" ht="12.75" customHeight="1">
      <c r="A23" s="4">
        <f t="shared" si="0"/>
        <v>13</v>
      </c>
      <c r="B23">
        <v>2011</v>
      </c>
      <c r="C23">
        <v>1</v>
      </c>
      <c r="D23" s="22">
        <v>403.81999999999999</v>
      </c>
    </row>
    <row r="24" spans="1:4" ht="12.75" customHeight="1">
      <c r="A24" s="4">
        <f t="shared" si="0"/>
        <v>14</v>
      </c>
      <c r="B24">
        <v>2011</v>
      </c>
      <c r="C24">
        <v>2</v>
      </c>
      <c r="D24" s="22">
        <v>403.69999999999999</v>
      </c>
    </row>
    <row r="25" spans="1:4" ht="12.75" customHeight="1">
      <c r="A25" s="4">
        <f t="shared" si="0"/>
        <v>15</v>
      </c>
      <c r="B25">
        <v>2011</v>
      </c>
      <c r="C25">
        <v>3</v>
      </c>
      <c r="D25" s="22">
        <v>404.05000000000001</v>
      </c>
    </row>
    <row r="26" spans="1:4" ht="12.75" customHeight="1">
      <c r="A26" s="4">
        <f t="shared" si="0"/>
        <v>16</v>
      </c>
      <c r="B26">
        <v>2011</v>
      </c>
      <c r="C26">
        <v>4</v>
      </c>
      <c r="D26" s="22">
        <v>404.73000000000002</v>
      </c>
    </row>
    <row r="27" spans="1:4" ht="12.75" customHeight="1">
      <c r="A27" s="4">
        <f t="shared" si="0"/>
        <v>17</v>
      </c>
      <c r="B27">
        <v>2011</v>
      </c>
      <c r="C27">
        <v>5</v>
      </c>
      <c r="D27" s="22">
        <v>405.33999999999998</v>
      </c>
    </row>
    <row r="28" spans="1:4" ht="12.75" customHeight="1">
      <c r="A28" s="4">
        <f t="shared" si="0"/>
        <v>18</v>
      </c>
      <c r="B28">
        <v>2011</v>
      </c>
      <c r="C28">
        <v>6</v>
      </c>
      <c r="D28" s="22">
        <v>405.54000000000002</v>
      </c>
    </row>
    <row r="29" spans="1:4" ht="12.75" customHeight="1">
      <c r="A29" s="4">
        <f t="shared" si="0"/>
        <v>19</v>
      </c>
      <c r="B29">
        <v>2011</v>
      </c>
      <c r="C29">
        <v>7</v>
      </c>
      <c r="D29" s="22">
        <v>405.04000000000002</v>
      </c>
    </row>
    <row r="30" spans="1:4" ht="12.75" customHeight="1">
      <c r="A30" s="4">
        <f t="shared" si="0"/>
        <v>20</v>
      </c>
      <c r="B30">
        <v>2011</v>
      </c>
      <c r="C30">
        <v>8</v>
      </c>
      <c r="D30" s="22">
        <v>403.56</v>
      </c>
    </row>
    <row r="31" spans="1:4" ht="12.75" customHeight="1">
      <c r="A31" s="4">
        <f t="shared" si="0"/>
        <v>21</v>
      </c>
      <c r="B31">
        <v>2011</v>
      </c>
      <c r="C31">
        <v>9</v>
      </c>
      <c r="D31" s="22">
        <v>401.16000000000002</v>
      </c>
    </row>
    <row r="32" spans="1:4" ht="12.75" customHeight="1">
      <c r="A32" s="4">
        <f t="shared" si="0"/>
        <v>22</v>
      </c>
      <c r="B32">
        <v>2011</v>
      </c>
      <c r="C32">
        <v>10</v>
      </c>
      <c r="D32" s="22">
        <v>398.49000000000001</v>
      </c>
    </row>
    <row r="33" spans="1:4" ht="12.75" customHeight="1">
      <c r="A33" s="4">
        <f t="shared" si="0"/>
        <v>23</v>
      </c>
      <c r="B33">
        <v>2011</v>
      </c>
      <c r="C33">
        <v>11</v>
      </c>
      <c r="D33" s="22">
        <v>396.47000000000003</v>
      </c>
    </row>
    <row r="34" spans="1:4" ht="12.75" customHeight="1">
      <c r="A34" s="4">
        <f t="shared" si="0"/>
        <v>24</v>
      </c>
      <c r="B34">
        <v>2011</v>
      </c>
      <c r="C34">
        <v>12</v>
      </c>
      <c r="D34" s="22">
        <v>395.72000000000003</v>
      </c>
    </row>
    <row r="35" spans="1:4" ht="12.75" customHeight="1">
      <c r="A35" s="4">
        <f t="shared" si="0"/>
        <v>25</v>
      </c>
      <c r="B35">
        <v>2012</v>
      </c>
      <c r="C35">
        <v>1</v>
      </c>
      <c r="D35" s="22">
        <v>395.83999999999998</v>
      </c>
    </row>
    <row r="36" spans="1:4" ht="12.75" customHeight="1">
      <c r="A36" s="4">
        <f t="shared" si="0"/>
        <v>26</v>
      </c>
      <c r="B36">
        <v>2012</v>
      </c>
      <c r="C36">
        <v>2</v>
      </c>
      <c r="D36" s="22">
        <v>396.12</v>
      </c>
    </row>
    <row r="37" spans="1:4" ht="12.75" customHeight="1">
      <c r="A37" s="4">
        <f t="shared" si="0"/>
        <v>27</v>
      </c>
      <c r="B37">
        <v>2012</v>
      </c>
      <c r="C37">
        <v>3</v>
      </c>
      <c r="D37" s="22">
        <v>396.07999999999998</v>
      </c>
    </row>
    <row r="38" spans="1:4" ht="12.75" customHeight="1">
      <c r="A38" s="4">
        <f t="shared" si="0"/>
        <v>28</v>
      </c>
      <c r="B38">
        <v>2012</v>
      </c>
      <c r="C38">
        <v>4</v>
      </c>
      <c r="D38" s="22">
        <v>395.81</v>
      </c>
    </row>
    <row r="39" spans="1:4" ht="12.75" customHeight="1">
      <c r="A39" s="4">
        <f t="shared" si="0"/>
        <v>29</v>
      </c>
      <c r="B39">
        <v>2012</v>
      </c>
      <c r="C39">
        <v>5</v>
      </c>
      <c r="D39" s="22">
        <v>395.64999999999998</v>
      </c>
    </row>
    <row r="40" spans="1:4" ht="12.75" customHeight="1">
      <c r="A40" s="4">
        <f t="shared" si="0"/>
        <v>30</v>
      </c>
      <c r="B40">
        <v>2012</v>
      </c>
      <c r="C40">
        <v>6</v>
      </c>
      <c r="D40" s="22">
        <v>395.80000000000001</v>
      </c>
    </row>
    <row r="41" spans="1:4" ht="12.75" customHeight="1">
      <c r="A41" s="4">
        <f t="shared" si="0"/>
        <v>31</v>
      </c>
      <c r="B41">
        <v>2012</v>
      </c>
      <c r="C41">
        <v>7</v>
      </c>
      <c r="D41" s="22">
        <v>396.19999999999999</v>
      </c>
    </row>
    <row r="42" spans="1:4" ht="12.75" customHeight="1">
      <c r="A42" s="4">
        <f t="shared" si="0"/>
        <v>32</v>
      </c>
      <c r="B42">
        <v>2012</v>
      </c>
      <c r="C42">
        <v>8</v>
      </c>
      <c r="D42" s="22">
        <v>396.72000000000003</v>
      </c>
    </row>
    <row r="43" spans="1:4" ht="12.75" customHeight="1">
      <c r="A43" s="4">
        <f t="shared" si="0"/>
        <v>33</v>
      </c>
      <c r="B43">
        <v>2012</v>
      </c>
      <c r="C43">
        <v>9</v>
      </c>
      <c r="D43" s="22">
        <v>397.19999999999999</v>
      </c>
    </row>
    <row r="44" spans="1:4" ht="12.75" customHeight="1">
      <c r="A44" s="4">
        <f t="shared" si="1" ref="A44:A75">+A43+1</f>
        <v>34</v>
      </c>
      <c r="B44">
        <v>2012</v>
      </c>
      <c r="C44">
        <v>10</v>
      </c>
      <c r="D44" s="22">
        <v>397.63999999999999</v>
      </c>
    </row>
    <row r="45" spans="1:4" ht="12.75" customHeight="1">
      <c r="A45" s="4">
        <f t="shared" si="1"/>
        <v>35</v>
      </c>
      <c r="B45">
        <v>2012</v>
      </c>
      <c r="C45">
        <v>11</v>
      </c>
      <c r="D45" s="22">
        <v>398.06999999999999</v>
      </c>
    </row>
    <row r="46" spans="1:4" ht="12.75" customHeight="1">
      <c r="A46" s="4">
        <f t="shared" si="1"/>
        <v>36</v>
      </c>
      <c r="B46">
        <v>2012</v>
      </c>
      <c r="C46">
        <v>12</v>
      </c>
      <c r="D46" s="22">
        <v>398.49000000000001</v>
      </c>
    </row>
    <row r="47" spans="1:4" ht="12.75" customHeight="1">
      <c r="A47" s="4">
        <f t="shared" si="1"/>
        <v>37</v>
      </c>
      <c r="B47">
        <v>2013</v>
      </c>
      <c r="C47">
        <v>1</v>
      </c>
      <c r="D47" s="22">
        <v>398.88</v>
      </c>
    </row>
    <row r="48" spans="1:4" ht="12.75" customHeight="1">
      <c r="A48" s="4">
        <f t="shared" si="1"/>
        <v>38</v>
      </c>
      <c r="B48">
        <v>2013</v>
      </c>
      <c r="C48">
        <v>2</v>
      </c>
      <c r="D48" s="22">
        <v>399.17000000000002</v>
      </c>
    </row>
    <row r="49" spans="1:4" ht="12.75" customHeight="1">
      <c r="A49" s="4">
        <f t="shared" si="1"/>
        <v>39</v>
      </c>
      <c r="B49">
        <v>2013</v>
      </c>
      <c r="C49">
        <v>3</v>
      </c>
      <c r="D49" s="22">
        <v>399.38999999999999</v>
      </c>
    </row>
    <row r="50" spans="1:4" ht="12.75" customHeight="1">
      <c r="A50" s="4">
        <f t="shared" si="1"/>
        <v>40</v>
      </c>
      <c r="B50">
        <v>2013</v>
      </c>
      <c r="C50">
        <v>4</v>
      </c>
      <c r="D50" s="22">
        <v>399.75</v>
      </c>
    </row>
    <row r="51" spans="1:4" ht="12.75" customHeight="1">
      <c r="A51" s="4">
        <f t="shared" si="1"/>
        <v>41</v>
      </c>
      <c r="B51">
        <v>2013</v>
      </c>
      <c r="C51">
        <v>5</v>
      </c>
      <c r="D51" s="22">
        <v>400.49000000000001</v>
      </c>
    </row>
    <row r="52" spans="1:4" ht="12.75" customHeight="1">
      <c r="A52" s="4">
        <f t="shared" si="1"/>
        <v>42</v>
      </c>
      <c r="B52">
        <v>2013</v>
      </c>
      <c r="C52">
        <v>6</v>
      </c>
      <c r="D52" s="22">
        <v>401.70999999999998</v>
      </c>
    </row>
    <row r="53" spans="1:4" ht="12.75" customHeight="1">
      <c r="A53" s="4">
        <f t="shared" si="1"/>
        <v>43</v>
      </c>
      <c r="B53">
        <v>2013</v>
      </c>
      <c r="C53">
        <v>7</v>
      </c>
      <c r="D53" s="22">
        <v>403.05000000000001</v>
      </c>
    </row>
    <row r="54" spans="1:4" ht="12.75" customHeight="1">
      <c r="A54" s="4">
        <f t="shared" si="1"/>
        <v>44</v>
      </c>
      <c r="B54">
        <v>2013</v>
      </c>
      <c r="C54">
        <v>8</v>
      </c>
      <c r="D54" s="22">
        <v>404.00999999999999</v>
      </c>
    </row>
    <row r="55" spans="1:4" ht="12.75" customHeight="1">
      <c r="A55" s="4">
        <f t="shared" si="1"/>
        <v>45</v>
      </c>
      <c r="B55">
        <v>2013</v>
      </c>
      <c r="C55">
        <v>9</v>
      </c>
      <c r="D55" s="22">
        <v>404.22000000000003</v>
      </c>
    </row>
    <row r="56" spans="1:4" ht="12.75" customHeight="1">
      <c r="A56" s="4">
        <f t="shared" si="1"/>
        <v>46</v>
      </c>
      <c r="B56">
        <v>2013</v>
      </c>
      <c r="C56">
        <v>10</v>
      </c>
      <c r="D56" s="22">
        <v>403.99000000000001</v>
      </c>
    </row>
    <row r="57" spans="1:4" ht="12.75" customHeight="1">
      <c r="A57" s="4">
        <f t="shared" si="1"/>
        <v>47</v>
      </c>
      <c r="B57">
        <v>2013</v>
      </c>
      <c r="C57">
        <v>11</v>
      </c>
      <c r="D57" s="22">
        <v>403.81</v>
      </c>
    </row>
    <row r="58" spans="1:4" ht="12.75" customHeight="1">
      <c r="A58" s="4">
        <f t="shared" si="1"/>
        <v>48</v>
      </c>
      <c r="B58">
        <v>2013</v>
      </c>
      <c r="C58">
        <v>12</v>
      </c>
      <c r="D58" s="22">
        <v>404.01999999999998</v>
      </c>
    </row>
    <row r="59" spans="1:4" ht="12.75" customHeight="1">
      <c r="A59" s="4">
        <f t="shared" si="1"/>
        <v>49</v>
      </c>
      <c r="B59">
        <v>2014</v>
      </c>
      <c r="C59">
        <v>1</v>
      </c>
      <c r="D59" s="22">
        <v>404.63999999999999</v>
      </c>
    </row>
    <row r="60" spans="1:4" ht="12.75" customHeight="1">
      <c r="A60" s="4">
        <f t="shared" si="1"/>
        <v>50</v>
      </c>
      <c r="B60">
        <v>2014</v>
      </c>
      <c r="C60">
        <v>2</v>
      </c>
      <c r="D60" s="22">
        <v>405.48000000000002</v>
      </c>
    </row>
    <row r="61" spans="1:4" ht="12.75" customHeight="1">
      <c r="A61" s="4">
        <f t="shared" si="1"/>
        <v>51</v>
      </c>
      <c r="B61">
        <v>2014</v>
      </c>
      <c r="C61">
        <v>3</v>
      </c>
      <c r="D61" s="22">
        <v>406.44</v>
      </c>
    </row>
    <row r="62" spans="1:4" ht="12.75" customHeight="1">
      <c r="A62" s="4">
        <f t="shared" si="1"/>
        <v>52</v>
      </c>
      <c r="B62">
        <v>2014</v>
      </c>
      <c r="C62">
        <v>4</v>
      </c>
      <c r="D62" s="22">
        <v>407.38999999999999</v>
      </c>
    </row>
    <row r="63" spans="1:4" ht="12.75" customHeight="1">
      <c r="A63" s="4">
        <f t="shared" si="1"/>
        <v>53</v>
      </c>
      <c r="B63">
        <v>2014</v>
      </c>
      <c r="C63">
        <v>5</v>
      </c>
      <c r="D63" s="22">
        <v>408.08999999999998</v>
      </c>
    </row>
    <row r="64" spans="1:4" ht="12.75" customHeight="1">
      <c r="A64" s="4">
        <f t="shared" si="1"/>
        <v>54</v>
      </c>
      <c r="B64">
        <v>2014</v>
      </c>
      <c r="C64">
        <v>6</v>
      </c>
      <c r="D64" s="22">
        <v>408.45999999999998</v>
      </c>
    </row>
    <row r="65" spans="1:4" ht="12.75" customHeight="1">
      <c r="A65" s="4">
        <f t="shared" si="1"/>
        <v>55</v>
      </c>
      <c r="B65">
        <v>2014</v>
      </c>
      <c r="C65">
        <v>7</v>
      </c>
      <c r="D65" s="22">
        <v>408.70999999999998</v>
      </c>
    </row>
    <row r="66" spans="1:4" ht="12.75" customHeight="1">
      <c r="A66" s="4">
        <f t="shared" si="1"/>
        <v>56</v>
      </c>
      <c r="B66">
        <v>2014</v>
      </c>
      <c r="C66">
        <v>8</v>
      </c>
      <c r="D66" s="22">
        <v>409.14999999999998</v>
      </c>
    </row>
    <row r="67" spans="1:4" ht="12.75" customHeight="1">
      <c r="A67" s="4">
        <f t="shared" si="1"/>
        <v>57</v>
      </c>
      <c r="B67">
        <v>2014</v>
      </c>
      <c r="C67">
        <v>9</v>
      </c>
      <c r="D67" s="22">
        <v>409.94999999999999</v>
      </c>
    </row>
    <row r="68" spans="1:4" ht="12.75" customHeight="1">
      <c r="A68" s="4">
        <f t="shared" si="1"/>
        <v>58</v>
      </c>
      <c r="B68">
        <v>2014</v>
      </c>
      <c r="C68">
        <v>10</v>
      </c>
      <c r="D68" s="22">
        <v>410.93000000000001</v>
      </c>
    </row>
    <row r="69" spans="1:4" ht="12.75" customHeight="1">
      <c r="A69" s="4">
        <f t="shared" si="1"/>
        <v>59</v>
      </c>
      <c r="B69">
        <v>2014</v>
      </c>
      <c r="C69">
        <v>11</v>
      </c>
      <c r="D69" s="22">
        <v>411.81999999999999</v>
      </c>
    </row>
    <row r="70" spans="1:4" ht="12.75" customHeight="1">
      <c r="A70" s="4">
        <f t="shared" si="1"/>
        <v>60</v>
      </c>
      <c r="B70">
        <v>2014</v>
      </c>
      <c r="C70">
        <v>12</v>
      </c>
      <c r="D70" s="22">
        <v>412.38999999999999</v>
      </c>
    </row>
    <row r="71" spans="1:4" ht="12.75" customHeight="1">
      <c r="A71" s="4">
        <f t="shared" si="1"/>
        <v>61</v>
      </c>
      <c r="B71">
        <v>2015</v>
      </c>
      <c r="C71">
        <v>1</v>
      </c>
      <c r="D71" s="22">
        <v>412.73000000000002</v>
      </c>
    </row>
    <row r="72" spans="1:4" ht="12.75" customHeight="1">
      <c r="A72" s="4">
        <f t="shared" si="1"/>
        <v>62</v>
      </c>
      <c r="B72">
        <v>2015</v>
      </c>
      <c r="C72">
        <v>2</v>
      </c>
      <c r="D72" s="22">
        <v>412.99000000000001</v>
      </c>
    </row>
    <row r="73" spans="1:4" ht="12.75" customHeight="1">
      <c r="A73" s="4">
        <f t="shared" si="1"/>
        <v>63</v>
      </c>
      <c r="B73">
        <v>2015</v>
      </c>
      <c r="C73">
        <v>3</v>
      </c>
      <c r="D73" s="22">
        <v>413.29000000000002</v>
      </c>
    </row>
    <row r="74" spans="1:4" ht="12.75" customHeight="1">
      <c r="A74" s="4">
        <f t="shared" si="1"/>
        <v>64</v>
      </c>
      <c r="B74">
        <v>2015</v>
      </c>
      <c r="C74">
        <v>4</v>
      </c>
      <c r="D74" s="22">
        <v>413.73000000000002</v>
      </c>
    </row>
    <row r="75" spans="1:4" ht="12.75" customHeight="1">
      <c r="A75" s="4">
        <f t="shared" si="1"/>
        <v>65</v>
      </c>
      <c r="B75">
        <v>2015</v>
      </c>
      <c r="C75">
        <v>5</v>
      </c>
      <c r="D75" s="22">
        <v>414.31999999999999</v>
      </c>
    </row>
    <row r="76" spans="1:4" ht="12.75" customHeight="1">
      <c r="A76" s="4">
        <f t="shared" si="2" ref="A76:A107">+A75+1</f>
        <v>66</v>
      </c>
      <c r="B76">
        <v>2015</v>
      </c>
      <c r="C76">
        <v>6</v>
      </c>
      <c r="D76" s="22">
        <v>415.06</v>
      </c>
    </row>
    <row r="77" spans="1:4" ht="12.75" customHeight="1">
      <c r="A77" s="4">
        <f t="shared" si="2"/>
        <v>67</v>
      </c>
      <c r="B77">
        <v>2015</v>
      </c>
      <c r="C77">
        <v>7</v>
      </c>
      <c r="D77" s="22">
        <v>415.86000000000001</v>
      </c>
    </row>
    <row r="78" spans="1:4" ht="12.75" customHeight="1">
      <c r="A78" s="4">
        <f t="shared" si="2"/>
        <v>68</v>
      </c>
      <c r="B78">
        <v>2015</v>
      </c>
      <c r="C78">
        <v>8</v>
      </c>
      <c r="D78" s="22">
        <v>416.63</v>
      </c>
    </row>
    <row r="79" spans="1:4" ht="12.75" customHeight="1">
      <c r="A79" s="4">
        <f t="shared" si="2"/>
        <v>69</v>
      </c>
      <c r="B79">
        <v>2015</v>
      </c>
      <c r="C79">
        <v>9</v>
      </c>
      <c r="D79" s="22">
        <v>417.26999999999998</v>
      </c>
    </row>
    <row r="80" spans="1:4" ht="12.75" customHeight="1">
      <c r="A80" s="4">
        <f t="shared" si="2"/>
        <v>70</v>
      </c>
      <c r="B80">
        <v>2015</v>
      </c>
      <c r="C80">
        <v>10</v>
      </c>
      <c r="D80" s="22">
        <v>417.94</v>
      </c>
    </row>
    <row r="81" spans="1:4" ht="12.75" customHeight="1">
      <c r="A81" s="4">
        <f t="shared" si="2"/>
        <v>71</v>
      </c>
      <c r="B81">
        <v>2015</v>
      </c>
      <c r="C81">
        <v>11</v>
      </c>
      <c r="D81" s="22">
        <v>418.80000000000001</v>
      </c>
    </row>
    <row r="82" spans="1:4" ht="12.75" customHeight="1">
      <c r="A82" s="4">
        <f t="shared" si="2"/>
        <v>72</v>
      </c>
      <c r="B82">
        <v>2015</v>
      </c>
      <c r="C82">
        <v>12</v>
      </c>
      <c r="D82" s="22">
        <v>419.93000000000001</v>
      </c>
    </row>
    <row r="83" spans="1:4" ht="12.75" customHeight="1">
      <c r="A83" s="4">
        <f t="shared" si="2"/>
        <v>73</v>
      </c>
      <c r="B83">
        <v>2016</v>
      </c>
      <c r="C83">
        <v>1</v>
      </c>
      <c r="D83" s="22">
        <v>421.06999999999999</v>
      </c>
    </row>
    <row r="84" spans="1:4" ht="12.75" customHeight="1">
      <c r="A84" s="4">
        <f t="shared" si="2"/>
        <v>74</v>
      </c>
      <c r="B84">
        <v>2016</v>
      </c>
      <c r="C84">
        <v>2</v>
      </c>
      <c r="D84" s="22">
        <v>421.76999999999998</v>
      </c>
    </row>
    <row r="85" spans="1:4" ht="12.75" customHeight="1">
      <c r="A85" s="4">
        <f t="shared" si="2"/>
        <v>75</v>
      </c>
      <c r="B85">
        <v>2016</v>
      </c>
      <c r="C85">
        <v>3</v>
      </c>
      <c r="D85" s="22">
        <v>421.88999999999999</v>
      </c>
    </row>
    <row r="86" spans="1:4" ht="12.75" customHeight="1">
      <c r="A86" s="4">
        <f t="shared" si="2"/>
        <v>76</v>
      </c>
      <c r="B86">
        <v>2016</v>
      </c>
      <c r="C86">
        <v>4</v>
      </c>
      <c r="D86" s="22">
        <v>421.86000000000001</v>
      </c>
    </row>
    <row r="87" spans="1:4" ht="12.75" customHeight="1">
      <c r="A87" s="4">
        <f t="shared" si="2"/>
        <v>77</v>
      </c>
      <c r="B87">
        <v>2016</v>
      </c>
      <c r="C87">
        <v>5</v>
      </c>
      <c r="D87" s="22">
        <v>422.31999999999999</v>
      </c>
    </row>
    <row r="88" spans="1:4" ht="12.75" customHeight="1">
      <c r="A88" s="4">
        <f t="shared" si="2"/>
        <v>78</v>
      </c>
      <c r="B88">
        <v>2016</v>
      </c>
      <c r="C88">
        <v>6</v>
      </c>
      <c r="D88" s="22">
        <v>423.66000000000002</v>
      </c>
    </row>
    <row r="89" spans="1:4" ht="12.75" customHeight="1">
      <c r="A89" s="4">
        <f t="shared" si="2"/>
        <v>79</v>
      </c>
      <c r="B89">
        <v>2016</v>
      </c>
      <c r="C89">
        <v>7</v>
      </c>
      <c r="D89" s="22">
        <v>425.39999999999998</v>
      </c>
    </row>
    <row r="90" spans="1:4" ht="12.75" customHeight="1">
      <c r="A90" s="4">
        <f t="shared" si="2"/>
        <v>80</v>
      </c>
      <c r="B90">
        <v>2016</v>
      </c>
      <c r="C90">
        <v>8</v>
      </c>
      <c r="D90" s="22">
        <v>426.81</v>
      </c>
    </row>
    <row r="91" spans="1:4" ht="12.75" customHeight="1">
      <c r="A91" s="4">
        <f t="shared" si="2"/>
        <v>81</v>
      </c>
      <c r="B91">
        <v>2016</v>
      </c>
      <c r="C91">
        <v>9</v>
      </c>
      <c r="D91" s="22">
        <v>427.37</v>
      </c>
    </row>
    <row r="92" spans="1:4" ht="12.75" customHeight="1">
      <c r="A92" s="4">
        <f t="shared" si="2"/>
        <v>82</v>
      </c>
      <c r="B92">
        <v>2016</v>
      </c>
      <c r="C92">
        <v>10</v>
      </c>
      <c r="D92" s="22">
        <v>427.39999999999998</v>
      </c>
    </row>
    <row r="93" spans="1:4" ht="12.75" customHeight="1">
      <c r="A93" s="4">
        <f t="shared" si="2"/>
        <v>83</v>
      </c>
      <c r="B93">
        <v>2016</v>
      </c>
      <c r="C93">
        <v>11</v>
      </c>
      <c r="D93" s="22">
        <v>427.48000000000002</v>
      </c>
    </row>
    <row r="94" spans="1:4" ht="12.75" customHeight="1">
      <c r="A94" s="4">
        <f t="shared" si="2"/>
        <v>84</v>
      </c>
      <c r="B94">
        <v>2016</v>
      </c>
      <c r="C94">
        <v>12</v>
      </c>
      <c r="D94" s="22">
        <v>428.02999999999997</v>
      </c>
    </row>
    <row r="95" spans="1:4" ht="12.75" customHeight="1">
      <c r="A95" s="4">
        <f t="shared" si="2"/>
        <v>85</v>
      </c>
      <c r="B95">
        <v>2017</v>
      </c>
      <c r="C95">
        <v>1</v>
      </c>
      <c r="D95" s="22">
        <v>429.02999999999997</v>
      </c>
    </row>
    <row r="96" spans="1:4" ht="12.75" customHeight="1">
      <c r="A96" s="4">
        <f t="shared" si="2"/>
        <v>86</v>
      </c>
      <c r="B96">
        <v>2017</v>
      </c>
      <c r="C96">
        <v>2</v>
      </c>
      <c r="D96" s="22">
        <v>430.19999999999999</v>
      </c>
    </row>
    <row r="97" spans="1:4" ht="12.75" customHeight="1">
      <c r="A97" s="4">
        <f t="shared" si="2"/>
        <v>87</v>
      </c>
      <c r="B97">
        <v>2017</v>
      </c>
      <c r="C97">
        <v>3</v>
      </c>
      <c r="D97" s="22">
        <v>431.38</v>
      </c>
    </row>
    <row r="98" spans="1:4" ht="12.75" customHeight="1">
      <c r="A98" s="4">
        <f t="shared" si="2"/>
        <v>88</v>
      </c>
      <c r="B98">
        <v>2017</v>
      </c>
      <c r="C98">
        <v>4</v>
      </c>
      <c r="D98" s="22">
        <v>432.30000000000001</v>
      </c>
    </row>
    <row r="99" spans="1:4" ht="12.75" customHeight="1">
      <c r="A99" s="4">
        <f t="shared" si="2"/>
        <v>89</v>
      </c>
      <c r="B99">
        <v>2017</v>
      </c>
      <c r="C99">
        <v>5</v>
      </c>
      <c r="D99" s="22">
        <v>432.51999999999998</v>
      </c>
    </row>
    <row r="100" spans="1:4" ht="12.75" customHeight="1">
      <c r="A100" s="4">
        <f t="shared" si="2"/>
        <v>90</v>
      </c>
      <c r="B100">
        <v>2017</v>
      </c>
      <c r="C100">
        <v>6</v>
      </c>
      <c r="D100" s="22">
        <v>431.92000000000002</v>
      </c>
    </row>
    <row r="101" spans="1:4" ht="12.75" customHeight="1">
      <c r="A101" s="4">
        <f t="shared" si="2"/>
        <v>91</v>
      </c>
      <c r="B101">
        <v>2017</v>
      </c>
      <c r="C101">
        <v>7</v>
      </c>
      <c r="D101" s="22">
        <v>431.13999999999999</v>
      </c>
    </row>
    <row r="102" spans="1:4" s="18" customFormat="1" ht="12.75" customHeight="1">
      <c r="A102" s="4">
        <f t="shared" si="2"/>
        <v>92</v>
      </c>
      <c r="B102">
        <v>2017</v>
      </c>
      <c r="C102">
        <v>8</v>
      </c>
      <c r="D102" s="30">
        <v>431.05000000000001</v>
      </c>
    </row>
    <row r="103" spans="1:4" s="18" customFormat="1" ht="12.75" customHeight="1">
      <c r="A103" s="4">
        <f t="shared" si="2"/>
        <v>93</v>
      </c>
      <c r="B103">
        <v>2017</v>
      </c>
      <c r="C103">
        <v>9</v>
      </c>
      <c r="D103" s="30">
        <v>432.17000000000002</v>
      </c>
    </row>
    <row r="104" spans="1:4" ht="12.75" customHeight="1">
      <c r="A104" s="4">
        <f t="shared" si="2"/>
        <v>94</v>
      </c>
      <c r="B104">
        <v>2017</v>
      </c>
      <c r="C104">
        <v>10</v>
      </c>
      <c r="D104" s="22">
        <v>433.97000000000003</v>
      </c>
    </row>
    <row r="105" spans="1:4" ht="12.75" customHeight="1">
      <c r="A105" s="4">
        <f t="shared" si="2"/>
        <v>95</v>
      </c>
      <c r="B105">
        <v>2017</v>
      </c>
      <c r="C105">
        <v>11</v>
      </c>
      <c r="D105" s="22">
        <v>435.56999999999999</v>
      </c>
    </row>
    <row r="106" spans="1:4" ht="12.75" customHeight="1">
      <c r="A106" s="4">
        <f t="shared" si="2"/>
        <v>96</v>
      </c>
      <c r="B106">
        <v>2017</v>
      </c>
      <c r="C106">
        <v>12</v>
      </c>
      <c r="D106" s="22">
        <v>436.36000000000001</v>
      </c>
    </row>
    <row r="107" spans="1:4" ht="12.75" customHeight="1">
      <c r="A107" s="4">
        <f t="shared" si="2"/>
        <v>97</v>
      </c>
      <c r="B107">
        <v>2018</v>
      </c>
      <c r="C107">
        <v>1</v>
      </c>
      <c r="D107" s="22">
        <v>436.49000000000001</v>
      </c>
    </row>
    <row r="108" spans="1:4" ht="12.75" customHeight="1">
      <c r="A108" s="4">
        <f t="shared" si="3" ref="A108:A123">+A107+1</f>
        <v>98</v>
      </c>
      <c r="B108">
        <v>2018</v>
      </c>
      <c r="C108">
        <v>2</v>
      </c>
      <c r="D108" s="22">
        <v>436.39999999999998</v>
      </c>
    </row>
    <row r="109" spans="1:4" ht="12.75" customHeight="1">
      <c r="A109" s="4">
        <f t="shared" si="3"/>
        <v>99</v>
      </c>
      <c r="B109">
        <v>2018</v>
      </c>
      <c r="C109">
        <v>3</v>
      </c>
      <c r="D109" s="22">
        <v>436.42000000000002</v>
      </c>
    </row>
    <row r="110" spans="1:4" ht="12.75" customHeight="1">
      <c r="A110" s="4">
        <f t="shared" si="3"/>
        <v>100</v>
      </c>
      <c r="B110">
        <v>2018</v>
      </c>
      <c r="C110">
        <v>4</v>
      </c>
      <c r="D110" s="22">
        <v>436.57999999999998</v>
      </c>
    </row>
    <row r="111" spans="1:4" ht="12.75" customHeight="1">
      <c r="A111" s="4">
        <f t="shared" si="3"/>
        <v>101</v>
      </c>
      <c r="B111">
        <v>2018</v>
      </c>
      <c r="C111">
        <v>5</v>
      </c>
      <c r="D111" s="22">
        <v>436.86000000000001</v>
      </c>
    </row>
    <row r="112" spans="1:4" ht="12.75" customHeight="1">
      <c r="A112" s="4">
        <f t="shared" si="3"/>
        <v>102</v>
      </c>
      <c r="B112">
        <v>2018</v>
      </c>
      <c r="C112">
        <v>6</v>
      </c>
      <c r="D112" s="22">
        <v>437.22000000000003</v>
      </c>
    </row>
    <row r="113" spans="1:4" ht="12.75" customHeight="1">
      <c r="A113" s="4">
        <f t="shared" si="3"/>
        <v>103</v>
      </c>
      <c r="B113">
        <v>2018</v>
      </c>
      <c r="C113">
        <v>7</v>
      </c>
      <c r="D113" s="22">
        <v>437.63</v>
      </c>
    </row>
    <row r="114" spans="1:4" ht="12.75" customHeight="1">
      <c r="A114" s="4">
        <f t="shared" si="3"/>
        <v>104</v>
      </c>
      <c r="B114">
        <v>2018</v>
      </c>
      <c r="C114">
        <v>8</v>
      </c>
      <c r="D114" s="22">
        <v>438.05000000000001</v>
      </c>
    </row>
    <row r="115" spans="1:4" ht="12.75" customHeight="1">
      <c r="A115" s="4">
        <f t="shared" si="3"/>
        <v>105</v>
      </c>
      <c r="B115">
        <v>2018</v>
      </c>
      <c r="C115">
        <v>9</v>
      </c>
      <c r="D115" s="22">
        <v>438.45999999999998</v>
      </c>
    </row>
    <row r="116" spans="1:4" ht="12.75" customHeight="1">
      <c r="A116" s="4">
        <f t="shared" si="3"/>
        <v>106</v>
      </c>
      <c r="B116">
        <v>2018</v>
      </c>
      <c r="C116">
        <v>10</v>
      </c>
      <c r="D116" s="22">
        <v>438.80000000000001</v>
      </c>
    </row>
    <row r="117" spans="1:4" ht="12.75" customHeight="1">
      <c r="A117" s="4">
        <f t="shared" si="3"/>
        <v>107</v>
      </c>
      <c r="B117">
        <v>2018</v>
      </c>
      <c r="C117">
        <v>11</v>
      </c>
      <c r="D117" s="22">
        <v>439.02999999999997</v>
      </c>
    </row>
    <row r="118" spans="1:4" ht="12.75" customHeight="1">
      <c r="A118" s="4">
        <f t="shared" si="3"/>
        <v>108</v>
      </c>
      <c r="B118">
        <v>2018</v>
      </c>
      <c r="C118">
        <v>12</v>
      </c>
      <c r="D118" s="22">
        <v>439.13</v>
      </c>
    </row>
    <row r="119" spans="1:4" ht="12.75" customHeight="1">
      <c r="A119" s="4">
        <f t="shared" si="3"/>
        <v>109</v>
      </c>
      <c r="B119">
        <v>2019</v>
      </c>
      <c r="C119">
        <v>1</v>
      </c>
      <c r="D119" s="22">
        <v>439.23000000000002</v>
      </c>
    </row>
    <row r="120" spans="1:4" ht="12.75" customHeight="1">
      <c r="A120" s="4">
        <f t="shared" si="3"/>
        <v>110</v>
      </c>
      <c r="B120">
        <v>2019</v>
      </c>
      <c r="C120">
        <v>2</v>
      </c>
      <c r="D120" s="22">
        <v>439.47000000000003</v>
      </c>
    </row>
    <row r="121" spans="1:4" ht="12.75" customHeight="1">
      <c r="A121" s="4">
        <f t="shared" si="3"/>
        <v>111</v>
      </c>
      <c r="B121">
        <v>2019</v>
      </c>
      <c r="C121">
        <v>3</v>
      </c>
      <c r="D121" s="22">
        <v>439.99000000000001</v>
      </c>
    </row>
    <row r="122" spans="1:4" ht="12.75" customHeight="1">
      <c r="A122" s="4">
        <f t="shared" si="3"/>
        <v>112</v>
      </c>
      <c r="B122">
        <v>2019</v>
      </c>
      <c r="C122">
        <v>4</v>
      </c>
      <c r="D122" s="22">
        <v>440.86000000000001</v>
      </c>
    </row>
    <row r="123" spans="1:4" ht="13.5" customHeight="1">
      <c r="A123" s="4">
        <f t="shared" si="3"/>
        <v>113</v>
      </c>
      <c r="B123">
        <v>2019</v>
      </c>
      <c r="C123">
        <v>5</v>
      </c>
      <c r="D123" s="22">
        <v>442.11000000000001</v>
      </c>
    </row>
    <row r="124" spans="1:4" ht="12.75" customHeight="1">
      <c r="A124" s="4">
        <f t="shared" si="4" ref="A124:A149">+A123+1</f>
        <v>114</v>
      </c>
      <c r="B124">
        <v>2019</v>
      </c>
      <c r="C124">
        <v>6</v>
      </c>
      <c r="D124" s="22">
        <v>443.68000000000001</v>
      </c>
    </row>
    <row r="125" spans="1:4" ht="12.75" customHeight="1">
      <c r="A125" s="4">
        <f t="shared" si="4"/>
        <v>115</v>
      </c>
      <c r="B125">
        <v>2019</v>
      </c>
      <c r="C125">
        <v>7</v>
      </c>
      <c r="D125" s="22">
        <v>445.26999999999998</v>
      </c>
    </row>
    <row r="126" spans="1:4" ht="12.75" customHeight="1">
      <c r="A126" s="4">
        <f t="shared" si="4"/>
        <v>116</v>
      </c>
      <c r="B126">
        <v>2019</v>
      </c>
      <c r="C126">
        <v>8</v>
      </c>
      <c r="D126" s="22">
        <v>446.5</v>
      </c>
    </row>
    <row r="127" spans="1:4" ht="12.75" customHeight="1">
      <c r="A127" s="4">
        <f t="shared" si="4"/>
        <v>117</v>
      </c>
      <c r="B127">
        <v>2019</v>
      </c>
      <c r="C127">
        <v>9</v>
      </c>
      <c r="D127" s="22">
        <v>447.16000000000002</v>
      </c>
    </row>
    <row r="128" spans="1:4" ht="12.75" customHeight="1">
      <c r="A128" s="4">
        <f t="shared" si="4"/>
        <v>118</v>
      </c>
      <c r="B128">
        <v>2019</v>
      </c>
      <c r="C128">
        <v>10</v>
      </c>
      <c r="D128" s="22">
        <v>447.66000000000002</v>
      </c>
    </row>
    <row r="129" spans="1:4" ht="12.75" customHeight="1">
      <c r="A129" s="4">
        <f t="shared" si="4"/>
        <v>119</v>
      </c>
      <c r="B129">
        <v>2019</v>
      </c>
      <c r="C129">
        <v>11</v>
      </c>
      <c r="D129" s="22">
        <v>448.62</v>
      </c>
    </row>
    <row r="130" spans="1:4" ht="12.75" customHeight="1">
      <c r="A130" s="4">
        <f t="shared" si="4"/>
        <v>120</v>
      </c>
      <c r="B130">
        <v>2019</v>
      </c>
      <c r="C130">
        <v>12</v>
      </c>
      <c r="D130" s="22">
        <v>450.16000000000002</v>
      </c>
    </row>
    <row r="131" spans="1:4" ht="12.75" customHeight="1">
      <c r="A131" s="4">
        <f t="shared" si="4"/>
        <v>121</v>
      </c>
      <c r="B131">
        <v>2020</v>
      </c>
      <c r="C131">
        <v>1</v>
      </c>
      <c r="D131" s="22">
        <v>450.94999999999999</v>
      </c>
    </row>
    <row r="132" spans="1:4" ht="12.75" customHeight="1">
      <c r="A132" s="4">
        <f t="shared" si="4"/>
        <v>122</v>
      </c>
      <c r="B132">
        <v>2020</v>
      </c>
      <c r="C132">
        <v>2</v>
      </c>
      <c r="D132" s="22">
        <v>449.24000000000001</v>
      </c>
    </row>
    <row r="133" spans="1:4" ht="12.75" customHeight="1">
      <c r="A133" s="4">
        <f t="shared" si="4"/>
        <v>123</v>
      </c>
      <c r="B133">
        <v>2020</v>
      </c>
      <c r="C133">
        <v>3</v>
      </c>
      <c r="D133" s="22">
        <v>444.27999999999997</v>
      </c>
    </row>
    <row r="134" spans="1:4" ht="12.75" customHeight="1">
      <c r="A134" s="33">
        <f t="shared" si="4"/>
        <v>124</v>
      </c>
      <c r="B134" s="32">
        <v>2020</v>
      </c>
      <c r="C134" s="32">
        <v>4</v>
      </c>
      <c r="D134">
        <v>438.14999999999998</v>
      </c>
    </row>
    <row r="135" spans="1:4" ht="12.75" customHeight="1">
      <c r="A135" s="33">
        <f t="shared" si="4"/>
        <v>125</v>
      </c>
      <c r="B135" s="32">
        <v>2020</v>
      </c>
      <c r="C135" s="32">
        <v>5</v>
      </c>
      <c r="D135">
        <v>434.12</v>
      </c>
    </row>
    <row r="136" spans="1:4" ht="12.75" customHeight="1">
      <c r="A136" s="33">
        <f t="shared" si="4"/>
        <v>126</v>
      </c>
      <c r="B136" s="32">
        <v>2020</v>
      </c>
      <c r="C136" s="32">
        <v>6</v>
      </c>
      <c r="D136">
        <v>434.25999999999999</v>
      </c>
    </row>
    <row r="137" spans="1:4" ht="12.75" customHeight="1">
      <c r="A137" s="33">
        <f t="shared" si="4"/>
        <v>127</v>
      </c>
      <c r="B137" s="32">
        <v>2020</v>
      </c>
      <c r="C137" s="32">
        <v>7</v>
      </c>
      <c r="D137">
        <v>437.12</v>
      </c>
    </row>
    <row r="138" spans="1:4" ht="12.75" customHeight="1">
      <c r="A138" s="33">
        <f t="shared" si="4"/>
        <v>128</v>
      </c>
      <c r="B138" s="32">
        <v>2020</v>
      </c>
      <c r="C138" s="32">
        <v>8</v>
      </c>
      <c r="D138">
        <v>440.11000000000001</v>
      </c>
    </row>
    <row r="139" spans="1:4" ht="12.75" customHeight="1">
      <c r="A139" s="33">
        <f t="shared" si="4"/>
        <v>129</v>
      </c>
      <c r="B139" s="32">
        <v>2020</v>
      </c>
      <c r="C139" s="32">
        <v>9</v>
      </c>
      <c r="D139">
        <v>441.31999999999999</v>
      </c>
    </row>
    <row r="140" spans="1:4" ht="12.75" customHeight="1">
      <c r="A140" s="33">
        <f t="shared" si="4"/>
        <v>130</v>
      </c>
      <c r="B140" s="32">
        <v>2020</v>
      </c>
      <c r="C140" s="32">
        <v>10</v>
      </c>
      <c r="D140">
        <v>441.37</v>
      </c>
    </row>
    <row r="141" spans="1:4" ht="12.75" customHeight="1">
      <c r="A141" s="33">
        <f t="shared" si="4"/>
        <v>131</v>
      </c>
      <c r="B141" s="32">
        <v>2020</v>
      </c>
      <c r="C141" s="32">
        <v>11</v>
      </c>
      <c r="D141">
        <v>441.63999999999999</v>
      </c>
    </row>
    <row r="142" spans="1:4" ht="12.75" customHeight="1">
      <c r="A142" s="33">
        <f t="shared" si="4"/>
        <v>132</v>
      </c>
      <c r="B142" s="32">
        <v>2020</v>
      </c>
      <c r="C142" s="32">
        <v>12</v>
      </c>
      <c r="D142">
        <v>443.04000000000002</v>
      </c>
    </row>
    <row r="143" spans="1:4" ht="12.75" customHeight="1">
      <c r="A143" s="33">
        <f t="shared" si="4"/>
        <v>133</v>
      </c>
      <c r="B143" s="32">
        <v>2021</v>
      </c>
      <c r="C143" s="32">
        <v>1</v>
      </c>
      <c r="D143">
        <v>445.11000000000001</v>
      </c>
    </row>
    <row r="144" spans="1:4" ht="12.75" customHeight="1">
      <c r="A144" s="33">
        <f t="shared" si="4"/>
        <v>134</v>
      </c>
      <c r="B144" s="32">
        <v>2021</v>
      </c>
      <c r="C144" s="32">
        <v>2</v>
      </c>
      <c r="D144">
        <v>446.80000000000001</v>
      </c>
    </row>
    <row r="145" spans="1:4" ht="12.75" customHeight="1">
      <c r="A145" s="33">
        <f t="shared" si="4"/>
        <v>135</v>
      </c>
      <c r="B145" s="32">
        <v>2021</v>
      </c>
      <c r="C145" s="32">
        <v>3</v>
      </c>
      <c r="D145">
        <v>447.62</v>
      </c>
    </row>
    <row r="146" spans="1:4" ht="12.75" customHeight="1">
      <c r="A146" s="33">
        <f t="shared" si="4"/>
        <v>136</v>
      </c>
      <c r="B146" s="32">
        <v>2021</v>
      </c>
      <c r="C146" s="32">
        <v>4</v>
      </c>
      <c r="D146">
        <v>447.80000000000001</v>
      </c>
    </row>
    <row r="147" spans="1:4" ht="12.75" customHeight="1">
      <c r="A147" s="33">
        <f t="shared" si="4"/>
        <v>137</v>
      </c>
      <c r="B147" s="32">
        <v>2021</v>
      </c>
      <c r="C147" s="32">
        <v>5</v>
      </c>
      <c r="D147">
        <v>447.83999999999998</v>
      </c>
    </row>
    <row r="148" spans="1:4" ht="12.75" customHeight="1">
      <c r="A148" s="33">
        <f t="shared" si="4"/>
        <v>138</v>
      </c>
      <c r="B148" s="32">
        <v>2021</v>
      </c>
      <c r="C148" s="32">
        <v>6</v>
      </c>
      <c r="D148">
        <v>448.14999999999998</v>
      </c>
    </row>
    <row r="149" spans="1:4" ht="12.75" customHeight="1">
      <c r="A149" s="33">
        <f t="shared" si="4"/>
        <v>139</v>
      </c>
      <c r="B149" s="32">
        <v>2021</v>
      </c>
      <c r="C149" s="32">
        <v>7</v>
      </c>
      <c r="D149">
        <v>448.69999999999999</v>
      </c>
    </row>
  </sheetData>
  <mergeCells count="6">
    <mergeCell ref="B9:D9"/>
    <mergeCell ref="B1:D1"/>
    <mergeCell ref="B2:D2"/>
    <mergeCell ref="B3:D3"/>
    <mergeCell ref="B4:D4"/>
    <mergeCell ref="B6:D6"/>
  </mergeCells>
  <pageMargins left="1.5" right="0.75" top="1" bottom="1" header="0.5" footer="0.5"/>
  <pageSetup orientation="portrait" scale="61" r:id="rId1"/>
  <headerFooter alignWithMargins="0">
    <oddHeader>&amp;RSchedule II-H-2.2
Page &amp;P of &amp;N</oddHeader>
  </headerFooter>
  <rowBreaks count="2" manualBreakCount="2">
    <brk id="58" max="4" man="1"/>
    <brk id="106" max="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E149"/>
  <sheetViews>
    <sheetView showOutlineSymbols="0" view="pageBreakPreview" zoomScaleNormal="100" zoomScaleSheetLayoutView="100" workbookViewId="0" topLeftCell="A1"/>
  </sheetViews>
  <sheetFormatPr defaultRowHeight="12.75" customHeight="1"/>
  <cols>
    <col min="1" max="1" width="9.14285714285714" style="4" customWidth="1"/>
    <col min="2" max="2" width="27" style="1" customWidth="1"/>
    <col min="3" max="3" width="30.5714285714286" style="1" customWidth="1"/>
  </cols>
  <sheetData>
    <row r="1" spans="2:5" ht="15.6">
      <c r="B1" s="47" t="str">
        <f>+Introduction!B1</f>
        <v xml:space="preserve">PUC DOCKET NO. </v>
      </c>
      <c r="C1" s="48"/>
      <c r="D1" s="48"/>
      <c r="E1" s="48"/>
    </row>
    <row r="2" spans="2:5" ht="15.6">
      <c r="B2" s="47" t="str">
        <f>+Introduction!B2</f>
        <v>ONCOR ELECTRIC DELIVERY COMPANY LLC</v>
      </c>
      <c r="C2" s="48"/>
      <c r="D2" s="48"/>
      <c r="E2" s="48"/>
    </row>
    <row r="3" spans="2:5" ht="15.6">
      <c r="B3" s="47" t="str">
        <f>+Introduction!B3</f>
        <v>MODEL DATA</v>
      </c>
      <c r="C3" s="48"/>
      <c r="D3" s="48"/>
      <c r="E3" s="48"/>
    </row>
    <row r="4" spans="2:5" ht="15.6">
      <c r="B4" s="47" t="str">
        <f>+Introduction!B4</f>
        <v>FOR THE TEST YEAR ENDING DECEMBER 31, 2021</v>
      </c>
      <c r="C4" s="48"/>
      <c r="D4" s="48"/>
      <c r="E4" s="48"/>
    </row>
    <row r="5" spans="2:3" ht="13.2">
      <c r="B5" s="15"/>
      <c r="C5" s="15"/>
    </row>
    <row r="6" spans="2:5" ht="15.6">
      <c r="B6" s="47" t="str">
        <f>+Introduction!B6</f>
        <v>SPONSOR: D. E. NELSON</v>
      </c>
      <c r="C6" s="48"/>
      <c r="D6" s="48"/>
      <c r="E6" s="48"/>
    </row>
    <row r="8" spans="2:5" ht="12.75" customHeight="1">
      <c r="B8" s="9" t="s">
        <v>4</v>
      </c>
      <c r="C8" s="9" t="s">
        <v>5</v>
      </c>
      <c r="D8" s="9" t="s">
        <v>7</v>
      </c>
      <c r="E8" s="9" t="s">
        <v>6</v>
      </c>
    </row>
    <row r="9" spans="1:5" ht="12.75" customHeight="1">
      <c r="A9" s="4" t="s">
        <v>2</v>
      </c>
      <c r="B9" s="47" t="s">
        <v>45</v>
      </c>
      <c r="C9" s="48"/>
      <c r="D9" s="48"/>
      <c r="E9" s="48"/>
    </row>
    <row r="10" spans="1:5" s="21" customFormat="1" ht="12.75" customHeight="1">
      <c r="A10" s="20" t="s">
        <v>3</v>
      </c>
      <c r="B10" s="36" t="s">
        <v>53</v>
      </c>
      <c r="C10" s="36" t="s">
        <v>0</v>
      </c>
      <c r="D10" s="37" t="s">
        <v>27</v>
      </c>
      <c r="E10" s="37" t="s">
        <v>28</v>
      </c>
    </row>
    <row r="11" spans="1:5" ht="12.75" customHeight="1">
      <c r="A11" s="4">
        <v>1</v>
      </c>
      <c r="B11">
        <v>2010</v>
      </c>
      <c r="C11">
        <v>1</v>
      </c>
      <c r="D11">
        <v>0</v>
      </c>
      <c r="E11">
        <v>0</v>
      </c>
    </row>
    <row r="12" spans="1:5" ht="12.75" customHeight="1">
      <c r="A12" s="4">
        <f t="shared" si="0" ref="A12:A75">+A11+1</f>
        <v>2</v>
      </c>
      <c r="B12">
        <v>2010</v>
      </c>
      <c r="C12">
        <v>2</v>
      </c>
      <c r="D12">
        <v>0</v>
      </c>
      <c r="E12">
        <v>0</v>
      </c>
    </row>
    <row r="13" spans="1:5" ht="12.75" customHeight="1">
      <c r="A13" s="4">
        <f t="shared" si="0"/>
        <v>3</v>
      </c>
      <c r="B13">
        <v>2010</v>
      </c>
      <c r="C13">
        <v>3</v>
      </c>
      <c r="D13">
        <v>0</v>
      </c>
      <c r="E13">
        <v>0</v>
      </c>
    </row>
    <row r="14" spans="1:5" ht="12.75" customHeight="1">
      <c r="A14" s="4">
        <f t="shared" si="0"/>
        <v>4</v>
      </c>
      <c r="B14">
        <v>2010</v>
      </c>
      <c r="C14">
        <v>4</v>
      </c>
      <c r="D14">
        <v>0</v>
      </c>
      <c r="E14">
        <v>0</v>
      </c>
    </row>
    <row r="15" spans="1:5" ht="12.75" customHeight="1">
      <c r="A15" s="4">
        <f t="shared" si="0"/>
        <v>5</v>
      </c>
      <c r="B15">
        <v>2010</v>
      </c>
      <c r="C15">
        <v>5</v>
      </c>
      <c r="D15">
        <v>0</v>
      </c>
      <c r="E15">
        <v>0</v>
      </c>
    </row>
    <row r="16" spans="1:5" ht="12.75" customHeight="1">
      <c r="A16" s="4">
        <f t="shared" si="0"/>
        <v>6</v>
      </c>
      <c r="B16">
        <v>2010</v>
      </c>
      <c r="C16">
        <v>6</v>
      </c>
      <c r="D16">
        <v>0</v>
      </c>
      <c r="E16">
        <v>0</v>
      </c>
    </row>
    <row r="17" spans="1:5" ht="12.75" customHeight="1">
      <c r="A17" s="4">
        <f t="shared" si="0"/>
        <v>7</v>
      </c>
      <c r="B17">
        <v>2010</v>
      </c>
      <c r="C17">
        <v>7</v>
      </c>
      <c r="D17">
        <v>0</v>
      </c>
      <c r="E17">
        <v>0</v>
      </c>
    </row>
    <row r="18" spans="1:5" ht="12.75" customHeight="1">
      <c r="A18" s="4">
        <f t="shared" si="0"/>
        <v>8</v>
      </c>
      <c r="B18">
        <v>2010</v>
      </c>
      <c r="C18">
        <v>8</v>
      </c>
      <c r="D18">
        <v>0</v>
      </c>
      <c r="E18">
        <v>0</v>
      </c>
    </row>
    <row r="19" spans="1:5" ht="12.75" customHeight="1">
      <c r="A19" s="4">
        <f t="shared" si="0"/>
        <v>9</v>
      </c>
      <c r="B19">
        <v>2010</v>
      </c>
      <c r="C19">
        <v>9</v>
      </c>
      <c r="D19">
        <v>1</v>
      </c>
      <c r="E19">
        <v>0</v>
      </c>
    </row>
    <row r="20" spans="1:5" ht="12.75" customHeight="1">
      <c r="A20" s="4">
        <f t="shared" si="0"/>
        <v>10</v>
      </c>
      <c r="B20">
        <v>2010</v>
      </c>
      <c r="C20">
        <v>10</v>
      </c>
      <c r="D20">
        <v>0</v>
      </c>
      <c r="E20">
        <v>1</v>
      </c>
    </row>
    <row r="21" spans="1:5" ht="12.75" customHeight="1">
      <c r="A21" s="4">
        <f t="shared" si="0"/>
        <v>11</v>
      </c>
      <c r="B21">
        <v>2010</v>
      </c>
      <c r="C21">
        <v>11</v>
      </c>
      <c r="D21">
        <v>0</v>
      </c>
      <c r="E21">
        <v>0</v>
      </c>
    </row>
    <row r="22" spans="1:5" ht="12.75" customHeight="1">
      <c r="A22" s="4">
        <f t="shared" si="0"/>
        <v>12</v>
      </c>
      <c r="B22">
        <v>2010</v>
      </c>
      <c r="C22">
        <v>12</v>
      </c>
      <c r="D22">
        <v>0</v>
      </c>
      <c r="E22">
        <v>0</v>
      </c>
    </row>
    <row r="23" spans="1:5" ht="12.75" customHeight="1">
      <c r="A23" s="4">
        <f t="shared" si="0"/>
        <v>13</v>
      </c>
      <c r="B23">
        <v>2011</v>
      </c>
      <c r="C23">
        <v>1</v>
      </c>
      <c r="D23">
        <v>0</v>
      </c>
      <c r="E23">
        <v>0</v>
      </c>
    </row>
    <row r="24" spans="1:5" ht="12.75" customHeight="1">
      <c r="A24" s="4">
        <f t="shared" si="0"/>
        <v>14</v>
      </c>
      <c r="B24">
        <v>2011</v>
      </c>
      <c r="C24">
        <v>2</v>
      </c>
      <c r="D24">
        <v>0</v>
      </c>
      <c r="E24">
        <v>0</v>
      </c>
    </row>
    <row r="25" spans="1:5" ht="12.75" customHeight="1">
      <c r="A25" s="4">
        <f t="shared" si="0"/>
        <v>15</v>
      </c>
      <c r="B25">
        <v>2011</v>
      </c>
      <c r="C25">
        <v>3</v>
      </c>
      <c r="D25">
        <v>0</v>
      </c>
      <c r="E25">
        <v>0</v>
      </c>
    </row>
    <row r="26" spans="1:5" ht="12.75" customHeight="1">
      <c r="A26" s="4">
        <f t="shared" si="0"/>
        <v>16</v>
      </c>
      <c r="B26">
        <v>2011</v>
      </c>
      <c r="C26">
        <v>4</v>
      </c>
      <c r="D26">
        <v>0</v>
      </c>
      <c r="E26">
        <v>0</v>
      </c>
    </row>
    <row r="27" spans="1:5" ht="12.75" customHeight="1">
      <c r="A27" s="4">
        <f t="shared" si="0"/>
        <v>17</v>
      </c>
      <c r="B27">
        <v>2011</v>
      </c>
      <c r="C27">
        <v>5</v>
      </c>
      <c r="D27">
        <v>0</v>
      </c>
      <c r="E27">
        <v>0</v>
      </c>
    </row>
    <row r="28" spans="1:5" ht="12.75" customHeight="1">
      <c r="A28" s="4">
        <f t="shared" si="0"/>
        <v>18</v>
      </c>
      <c r="B28">
        <v>2011</v>
      </c>
      <c r="C28">
        <v>6</v>
      </c>
      <c r="D28">
        <v>0</v>
      </c>
      <c r="E28">
        <v>0</v>
      </c>
    </row>
    <row r="29" spans="1:5" ht="12.75" customHeight="1">
      <c r="A29" s="4">
        <f t="shared" si="0"/>
        <v>19</v>
      </c>
      <c r="B29">
        <v>2011</v>
      </c>
      <c r="C29">
        <v>7</v>
      </c>
      <c r="D29">
        <v>0</v>
      </c>
      <c r="E29">
        <v>0</v>
      </c>
    </row>
    <row r="30" spans="1:5" ht="12.75" customHeight="1">
      <c r="A30" s="4">
        <f t="shared" si="0"/>
        <v>20</v>
      </c>
      <c r="B30">
        <v>2011</v>
      </c>
      <c r="C30">
        <v>8</v>
      </c>
      <c r="D30">
        <v>0</v>
      </c>
      <c r="E30">
        <v>0</v>
      </c>
    </row>
    <row r="31" spans="1:5" ht="12.75" customHeight="1">
      <c r="A31" s="4">
        <f t="shared" si="0"/>
        <v>21</v>
      </c>
      <c r="B31">
        <v>2011</v>
      </c>
      <c r="C31">
        <v>9</v>
      </c>
      <c r="D31">
        <v>1</v>
      </c>
      <c r="E31">
        <v>0</v>
      </c>
    </row>
    <row r="32" spans="1:5" ht="12.75" customHeight="1">
      <c r="A32" s="4">
        <f t="shared" si="0"/>
        <v>22</v>
      </c>
      <c r="B32">
        <v>2011</v>
      </c>
      <c r="C32">
        <v>10</v>
      </c>
      <c r="D32">
        <v>0</v>
      </c>
      <c r="E32">
        <v>1</v>
      </c>
    </row>
    <row r="33" spans="1:5" ht="12.75" customHeight="1">
      <c r="A33" s="4">
        <f t="shared" si="0"/>
        <v>23</v>
      </c>
      <c r="B33">
        <v>2011</v>
      </c>
      <c r="C33">
        <v>11</v>
      </c>
      <c r="D33">
        <v>0</v>
      </c>
      <c r="E33">
        <v>0</v>
      </c>
    </row>
    <row r="34" spans="1:5" ht="12.75" customHeight="1">
      <c r="A34" s="4">
        <f t="shared" si="0"/>
        <v>24</v>
      </c>
      <c r="B34">
        <v>2011</v>
      </c>
      <c r="C34">
        <v>12</v>
      </c>
      <c r="D34">
        <v>0</v>
      </c>
      <c r="E34">
        <v>0</v>
      </c>
    </row>
    <row r="35" spans="1:5" ht="12.75" customHeight="1">
      <c r="A35" s="4">
        <f t="shared" si="0"/>
        <v>25</v>
      </c>
      <c r="B35">
        <v>2012</v>
      </c>
      <c r="C35">
        <v>1</v>
      </c>
      <c r="D35">
        <v>0</v>
      </c>
      <c r="E35">
        <v>0</v>
      </c>
    </row>
    <row r="36" spans="1:5" ht="12.75" customHeight="1">
      <c r="A36" s="4">
        <f t="shared" si="0"/>
        <v>26</v>
      </c>
      <c r="B36">
        <v>2012</v>
      </c>
      <c r="C36">
        <v>2</v>
      </c>
      <c r="D36">
        <v>0</v>
      </c>
      <c r="E36">
        <v>0</v>
      </c>
    </row>
    <row r="37" spans="1:5" ht="12.75" customHeight="1">
      <c r="A37" s="4">
        <f t="shared" si="0"/>
        <v>27</v>
      </c>
      <c r="B37">
        <v>2012</v>
      </c>
      <c r="C37">
        <v>3</v>
      </c>
      <c r="D37">
        <v>0</v>
      </c>
      <c r="E37">
        <v>0</v>
      </c>
    </row>
    <row r="38" spans="1:5" ht="12.75" customHeight="1">
      <c r="A38" s="4">
        <f t="shared" si="0"/>
        <v>28</v>
      </c>
      <c r="B38">
        <v>2012</v>
      </c>
      <c r="C38">
        <v>4</v>
      </c>
      <c r="D38">
        <v>0</v>
      </c>
      <c r="E38">
        <v>0</v>
      </c>
    </row>
    <row r="39" spans="1:5" ht="12.75" customHeight="1">
      <c r="A39" s="4">
        <f t="shared" si="0"/>
        <v>29</v>
      </c>
      <c r="B39">
        <v>2012</v>
      </c>
      <c r="C39">
        <v>5</v>
      </c>
      <c r="D39">
        <v>0</v>
      </c>
      <c r="E39">
        <v>0</v>
      </c>
    </row>
    <row r="40" spans="1:5" ht="12.75" customHeight="1">
      <c r="A40" s="4">
        <f t="shared" si="0"/>
        <v>30</v>
      </c>
      <c r="B40">
        <v>2012</v>
      </c>
      <c r="C40">
        <v>6</v>
      </c>
      <c r="D40">
        <v>0</v>
      </c>
      <c r="E40">
        <v>0</v>
      </c>
    </row>
    <row r="41" spans="1:5" ht="12.75" customHeight="1">
      <c r="A41" s="4">
        <f t="shared" si="0"/>
        <v>31</v>
      </c>
      <c r="B41">
        <v>2012</v>
      </c>
      <c r="C41">
        <v>7</v>
      </c>
      <c r="D41">
        <v>0</v>
      </c>
      <c r="E41">
        <v>0</v>
      </c>
    </row>
    <row r="42" spans="1:5" ht="12.75" customHeight="1">
      <c r="A42" s="4">
        <f t="shared" si="0"/>
        <v>32</v>
      </c>
      <c r="B42">
        <v>2012</v>
      </c>
      <c r="C42">
        <v>8</v>
      </c>
      <c r="D42">
        <v>0</v>
      </c>
      <c r="E42">
        <v>0</v>
      </c>
    </row>
    <row r="43" spans="1:5" ht="12.75" customHeight="1">
      <c r="A43" s="4">
        <f t="shared" si="0"/>
        <v>33</v>
      </c>
      <c r="B43">
        <v>2012</v>
      </c>
      <c r="C43">
        <v>9</v>
      </c>
      <c r="D43">
        <v>1</v>
      </c>
      <c r="E43">
        <v>0</v>
      </c>
    </row>
    <row r="44" spans="1:5" ht="12.75" customHeight="1">
      <c r="A44" s="4">
        <f t="shared" si="0"/>
        <v>34</v>
      </c>
      <c r="B44">
        <v>2012</v>
      </c>
      <c r="C44">
        <v>10</v>
      </c>
      <c r="D44">
        <v>0</v>
      </c>
      <c r="E44">
        <v>1</v>
      </c>
    </row>
    <row r="45" spans="1:5" ht="12.75" customHeight="1">
      <c r="A45" s="4">
        <f t="shared" si="0"/>
        <v>35</v>
      </c>
      <c r="B45">
        <v>2012</v>
      </c>
      <c r="C45">
        <v>11</v>
      </c>
      <c r="D45">
        <v>0</v>
      </c>
      <c r="E45">
        <v>0</v>
      </c>
    </row>
    <row r="46" spans="1:5" ht="12.75" customHeight="1">
      <c r="A46" s="4">
        <f t="shared" si="0"/>
        <v>36</v>
      </c>
      <c r="B46">
        <v>2012</v>
      </c>
      <c r="C46">
        <v>12</v>
      </c>
      <c r="D46">
        <v>0</v>
      </c>
      <c r="E46">
        <v>0</v>
      </c>
    </row>
    <row r="47" spans="1:5" ht="12.75" customHeight="1">
      <c r="A47" s="4">
        <f t="shared" si="0"/>
        <v>37</v>
      </c>
      <c r="B47">
        <v>2013</v>
      </c>
      <c r="C47">
        <v>1</v>
      </c>
      <c r="D47">
        <v>0</v>
      </c>
      <c r="E47">
        <v>0</v>
      </c>
    </row>
    <row r="48" spans="1:5" ht="12.75" customHeight="1">
      <c r="A48" s="4">
        <f t="shared" si="0"/>
        <v>38</v>
      </c>
      <c r="B48">
        <v>2013</v>
      </c>
      <c r="C48">
        <v>2</v>
      </c>
      <c r="D48">
        <v>0</v>
      </c>
      <c r="E48">
        <v>0</v>
      </c>
    </row>
    <row r="49" spans="1:5" ht="12.75" customHeight="1">
      <c r="A49" s="4">
        <f t="shared" si="0"/>
        <v>39</v>
      </c>
      <c r="B49">
        <v>2013</v>
      </c>
      <c r="C49">
        <v>3</v>
      </c>
      <c r="D49">
        <v>0</v>
      </c>
      <c r="E49">
        <v>0</v>
      </c>
    </row>
    <row r="50" spans="1:5" ht="12.75" customHeight="1">
      <c r="A50" s="4">
        <f t="shared" si="0"/>
        <v>40</v>
      </c>
      <c r="B50">
        <v>2013</v>
      </c>
      <c r="C50">
        <v>4</v>
      </c>
      <c r="D50">
        <v>0</v>
      </c>
      <c r="E50">
        <v>0</v>
      </c>
    </row>
    <row r="51" spans="1:5" ht="12.75" customHeight="1">
      <c r="A51" s="4">
        <f t="shared" si="0"/>
        <v>41</v>
      </c>
      <c r="B51">
        <v>2013</v>
      </c>
      <c r="C51">
        <v>5</v>
      </c>
      <c r="D51">
        <v>0</v>
      </c>
      <c r="E51">
        <v>0</v>
      </c>
    </row>
    <row r="52" spans="1:5" ht="12.75" customHeight="1">
      <c r="A52" s="4">
        <f t="shared" si="0"/>
        <v>42</v>
      </c>
      <c r="B52">
        <v>2013</v>
      </c>
      <c r="C52">
        <v>6</v>
      </c>
      <c r="D52">
        <v>0</v>
      </c>
      <c r="E52">
        <v>0</v>
      </c>
    </row>
    <row r="53" spans="1:5" ht="12.75" customHeight="1">
      <c r="A53" s="4">
        <f t="shared" si="0"/>
        <v>43</v>
      </c>
      <c r="B53">
        <v>2013</v>
      </c>
      <c r="C53">
        <v>7</v>
      </c>
      <c r="D53">
        <v>0</v>
      </c>
      <c r="E53">
        <v>0</v>
      </c>
    </row>
    <row r="54" spans="1:5" ht="12.75" customHeight="1">
      <c r="A54" s="4">
        <f t="shared" si="0"/>
        <v>44</v>
      </c>
      <c r="B54">
        <v>2013</v>
      </c>
      <c r="C54">
        <v>8</v>
      </c>
      <c r="D54">
        <v>0</v>
      </c>
      <c r="E54">
        <v>0</v>
      </c>
    </row>
    <row r="55" spans="1:5" ht="12.75" customHeight="1">
      <c r="A55" s="4">
        <f t="shared" si="0"/>
        <v>45</v>
      </c>
      <c r="B55">
        <v>2013</v>
      </c>
      <c r="C55">
        <v>9</v>
      </c>
      <c r="D55">
        <v>1</v>
      </c>
      <c r="E55">
        <v>0</v>
      </c>
    </row>
    <row r="56" spans="1:5" ht="12.75" customHeight="1">
      <c r="A56" s="4">
        <f t="shared" si="0"/>
        <v>46</v>
      </c>
      <c r="B56">
        <v>2013</v>
      </c>
      <c r="C56">
        <v>10</v>
      </c>
      <c r="D56">
        <v>0</v>
      </c>
      <c r="E56">
        <v>1</v>
      </c>
    </row>
    <row r="57" spans="1:5" ht="12.75" customHeight="1">
      <c r="A57" s="4">
        <f t="shared" si="0"/>
        <v>47</v>
      </c>
      <c r="B57">
        <v>2013</v>
      </c>
      <c r="C57">
        <v>11</v>
      </c>
      <c r="D57">
        <v>0</v>
      </c>
      <c r="E57">
        <v>0</v>
      </c>
    </row>
    <row r="58" spans="1:5" ht="12.75" customHeight="1">
      <c r="A58" s="4">
        <f t="shared" si="0"/>
        <v>48</v>
      </c>
      <c r="B58">
        <v>2013</v>
      </c>
      <c r="C58">
        <v>12</v>
      </c>
      <c r="D58">
        <v>0</v>
      </c>
      <c r="E58">
        <v>0</v>
      </c>
    </row>
    <row r="59" spans="1:5" ht="12.75" customHeight="1">
      <c r="A59" s="4">
        <f t="shared" si="0"/>
        <v>49</v>
      </c>
      <c r="B59">
        <v>2014</v>
      </c>
      <c r="C59">
        <v>1</v>
      </c>
      <c r="D59">
        <v>0</v>
      </c>
      <c r="E59">
        <v>0</v>
      </c>
    </row>
    <row r="60" spans="1:5" ht="12.75" customHeight="1">
      <c r="A60" s="4">
        <f t="shared" si="0"/>
        <v>50</v>
      </c>
      <c r="B60">
        <v>2014</v>
      </c>
      <c r="C60">
        <v>2</v>
      </c>
      <c r="D60">
        <v>0</v>
      </c>
      <c r="E60">
        <v>0</v>
      </c>
    </row>
    <row r="61" spans="1:5" ht="12.75" customHeight="1">
      <c r="A61" s="4">
        <f t="shared" si="0"/>
        <v>51</v>
      </c>
      <c r="B61">
        <v>2014</v>
      </c>
      <c r="C61">
        <v>3</v>
      </c>
      <c r="D61">
        <v>0</v>
      </c>
      <c r="E61">
        <v>0</v>
      </c>
    </row>
    <row r="62" spans="1:5" ht="12.75" customHeight="1">
      <c r="A62" s="4">
        <f t="shared" si="0"/>
        <v>52</v>
      </c>
      <c r="B62">
        <v>2014</v>
      </c>
      <c r="C62">
        <v>4</v>
      </c>
      <c r="D62">
        <v>0</v>
      </c>
      <c r="E62">
        <v>0</v>
      </c>
    </row>
    <row r="63" spans="1:5" ht="12.75" customHeight="1">
      <c r="A63" s="4">
        <f t="shared" si="0"/>
        <v>53</v>
      </c>
      <c r="B63">
        <v>2014</v>
      </c>
      <c r="C63">
        <v>5</v>
      </c>
      <c r="D63">
        <v>0</v>
      </c>
      <c r="E63">
        <v>0</v>
      </c>
    </row>
    <row r="64" spans="1:5" ht="12.75" customHeight="1">
      <c r="A64" s="4">
        <f t="shared" si="0"/>
        <v>54</v>
      </c>
      <c r="B64">
        <v>2014</v>
      </c>
      <c r="C64">
        <v>6</v>
      </c>
      <c r="D64">
        <v>0</v>
      </c>
      <c r="E64">
        <v>0</v>
      </c>
    </row>
    <row r="65" spans="1:5" ht="12.75" customHeight="1">
      <c r="A65" s="4">
        <f t="shared" si="0"/>
        <v>55</v>
      </c>
      <c r="B65">
        <v>2014</v>
      </c>
      <c r="C65">
        <v>7</v>
      </c>
      <c r="D65">
        <v>0</v>
      </c>
      <c r="E65">
        <v>0</v>
      </c>
    </row>
    <row r="66" spans="1:5" ht="12.75" customHeight="1">
      <c r="A66" s="4">
        <f t="shared" si="0"/>
        <v>56</v>
      </c>
      <c r="B66">
        <v>2014</v>
      </c>
      <c r="C66">
        <v>8</v>
      </c>
      <c r="D66">
        <v>0</v>
      </c>
      <c r="E66">
        <v>0</v>
      </c>
    </row>
    <row r="67" spans="1:5" ht="12.75" customHeight="1">
      <c r="A67" s="4">
        <f t="shared" si="0"/>
        <v>57</v>
      </c>
      <c r="B67">
        <v>2014</v>
      </c>
      <c r="C67">
        <v>9</v>
      </c>
      <c r="D67">
        <v>1</v>
      </c>
      <c r="E67">
        <v>0</v>
      </c>
    </row>
    <row r="68" spans="1:5" ht="12.75" customHeight="1">
      <c r="A68" s="4">
        <f t="shared" si="0"/>
        <v>58</v>
      </c>
      <c r="B68">
        <v>2014</v>
      </c>
      <c r="C68">
        <v>10</v>
      </c>
      <c r="D68">
        <v>0</v>
      </c>
      <c r="E68">
        <v>1</v>
      </c>
    </row>
    <row r="69" spans="1:5" ht="12.75" customHeight="1">
      <c r="A69" s="4">
        <f t="shared" si="0"/>
        <v>59</v>
      </c>
      <c r="B69">
        <v>2014</v>
      </c>
      <c r="C69">
        <v>11</v>
      </c>
      <c r="D69">
        <v>0</v>
      </c>
      <c r="E69">
        <v>0</v>
      </c>
    </row>
    <row r="70" spans="1:5" ht="12.75" customHeight="1">
      <c r="A70" s="4">
        <f t="shared" si="0"/>
        <v>60</v>
      </c>
      <c r="B70">
        <v>2014</v>
      </c>
      <c r="C70">
        <v>12</v>
      </c>
      <c r="D70">
        <v>0</v>
      </c>
      <c r="E70">
        <v>0</v>
      </c>
    </row>
    <row r="71" spans="1:5" ht="12.75" customHeight="1">
      <c r="A71" s="4">
        <f t="shared" si="0"/>
        <v>61</v>
      </c>
      <c r="B71">
        <v>2015</v>
      </c>
      <c r="C71">
        <v>1</v>
      </c>
      <c r="D71">
        <v>0</v>
      </c>
      <c r="E71">
        <v>0</v>
      </c>
    </row>
    <row r="72" spans="1:5" ht="12.75" customHeight="1">
      <c r="A72" s="4">
        <f t="shared" si="0"/>
        <v>62</v>
      </c>
      <c r="B72">
        <v>2015</v>
      </c>
      <c r="C72">
        <v>2</v>
      </c>
      <c r="D72">
        <v>0</v>
      </c>
      <c r="E72">
        <v>0</v>
      </c>
    </row>
    <row r="73" spans="1:5" ht="12.75" customHeight="1">
      <c r="A73" s="4">
        <f t="shared" si="0"/>
        <v>63</v>
      </c>
      <c r="B73">
        <v>2015</v>
      </c>
      <c r="C73">
        <v>3</v>
      </c>
      <c r="D73">
        <v>0</v>
      </c>
      <c r="E73">
        <v>0</v>
      </c>
    </row>
    <row r="74" spans="1:5" ht="12.75" customHeight="1">
      <c r="A74" s="4">
        <f t="shared" si="0"/>
        <v>64</v>
      </c>
      <c r="B74">
        <v>2015</v>
      </c>
      <c r="C74">
        <v>4</v>
      </c>
      <c r="D74">
        <v>0</v>
      </c>
      <c r="E74">
        <v>0</v>
      </c>
    </row>
    <row r="75" spans="1:5" ht="12.75" customHeight="1">
      <c r="A75" s="4">
        <f t="shared" si="0"/>
        <v>65</v>
      </c>
      <c r="B75">
        <v>2015</v>
      </c>
      <c r="C75">
        <v>5</v>
      </c>
      <c r="D75">
        <v>0</v>
      </c>
      <c r="E75">
        <v>0</v>
      </c>
    </row>
    <row r="76" spans="1:5" ht="12.75" customHeight="1">
      <c r="A76" s="4">
        <f t="shared" si="1" ref="A76:A139">+A75+1</f>
        <v>66</v>
      </c>
      <c r="B76">
        <v>2015</v>
      </c>
      <c r="C76">
        <v>6</v>
      </c>
      <c r="D76">
        <v>0</v>
      </c>
      <c r="E76">
        <v>0</v>
      </c>
    </row>
    <row r="77" spans="1:5" ht="12.75" customHeight="1">
      <c r="A77" s="4">
        <f t="shared" si="1"/>
        <v>67</v>
      </c>
      <c r="B77">
        <v>2015</v>
      </c>
      <c r="C77">
        <v>7</v>
      </c>
      <c r="D77">
        <v>0</v>
      </c>
      <c r="E77">
        <v>0</v>
      </c>
    </row>
    <row r="78" spans="1:5" ht="12.75" customHeight="1">
      <c r="A78" s="4">
        <f t="shared" si="1"/>
        <v>68</v>
      </c>
      <c r="B78">
        <v>2015</v>
      </c>
      <c r="C78">
        <v>8</v>
      </c>
      <c r="D78">
        <v>0</v>
      </c>
      <c r="E78">
        <v>0</v>
      </c>
    </row>
    <row r="79" spans="1:5" ht="12.75" customHeight="1">
      <c r="A79" s="4">
        <f t="shared" si="1"/>
        <v>69</v>
      </c>
      <c r="B79">
        <v>2015</v>
      </c>
      <c r="C79">
        <v>9</v>
      </c>
      <c r="D79">
        <v>1</v>
      </c>
      <c r="E79">
        <v>0</v>
      </c>
    </row>
    <row r="80" spans="1:5" ht="12.75" customHeight="1">
      <c r="A80" s="4">
        <f t="shared" si="1"/>
        <v>70</v>
      </c>
      <c r="B80">
        <v>2015</v>
      </c>
      <c r="C80">
        <v>10</v>
      </c>
      <c r="D80">
        <v>0</v>
      </c>
      <c r="E80">
        <v>1</v>
      </c>
    </row>
    <row r="81" spans="1:5" ht="12.75" customHeight="1">
      <c r="A81" s="4">
        <f t="shared" si="1"/>
        <v>71</v>
      </c>
      <c r="B81">
        <v>2015</v>
      </c>
      <c r="C81">
        <v>11</v>
      </c>
      <c r="D81">
        <v>0</v>
      </c>
      <c r="E81">
        <v>0</v>
      </c>
    </row>
    <row r="82" spans="1:5" ht="12.75" customHeight="1">
      <c r="A82" s="4">
        <f t="shared" si="1"/>
        <v>72</v>
      </c>
      <c r="B82">
        <v>2015</v>
      </c>
      <c r="C82">
        <v>12</v>
      </c>
      <c r="D82">
        <v>0</v>
      </c>
      <c r="E82">
        <v>0</v>
      </c>
    </row>
    <row r="83" spans="1:5" ht="12.75" customHeight="1">
      <c r="A83" s="4">
        <f t="shared" si="1"/>
        <v>73</v>
      </c>
      <c r="B83">
        <v>2016</v>
      </c>
      <c r="C83">
        <v>1</v>
      </c>
      <c r="D83">
        <v>0</v>
      </c>
      <c r="E83">
        <v>0</v>
      </c>
    </row>
    <row r="84" spans="1:5" ht="12.75" customHeight="1">
      <c r="A84" s="4">
        <f t="shared" si="1"/>
        <v>74</v>
      </c>
      <c r="B84">
        <v>2016</v>
      </c>
      <c r="C84">
        <v>2</v>
      </c>
      <c r="D84">
        <v>0</v>
      </c>
      <c r="E84">
        <v>0</v>
      </c>
    </row>
    <row r="85" spans="1:5" ht="12.75" customHeight="1">
      <c r="A85" s="4">
        <f t="shared" si="1"/>
        <v>75</v>
      </c>
      <c r="B85">
        <v>2016</v>
      </c>
      <c r="C85">
        <v>3</v>
      </c>
      <c r="D85">
        <v>0</v>
      </c>
      <c r="E85">
        <v>0</v>
      </c>
    </row>
    <row r="86" spans="1:5" ht="12.75" customHeight="1">
      <c r="A86" s="4">
        <f t="shared" si="1"/>
        <v>76</v>
      </c>
      <c r="B86">
        <v>2016</v>
      </c>
      <c r="C86">
        <v>4</v>
      </c>
      <c r="D86">
        <v>0</v>
      </c>
      <c r="E86">
        <v>0</v>
      </c>
    </row>
    <row r="87" spans="1:5" ht="12.75" customHeight="1">
      <c r="A87" s="4">
        <f t="shared" si="1"/>
        <v>77</v>
      </c>
      <c r="B87">
        <v>2016</v>
      </c>
      <c r="C87">
        <v>5</v>
      </c>
      <c r="D87">
        <v>0</v>
      </c>
      <c r="E87">
        <v>0</v>
      </c>
    </row>
    <row r="88" spans="1:5" ht="12.75" customHeight="1">
      <c r="A88" s="4">
        <f t="shared" si="1"/>
        <v>78</v>
      </c>
      <c r="B88">
        <v>2016</v>
      </c>
      <c r="C88">
        <v>6</v>
      </c>
      <c r="D88">
        <v>0</v>
      </c>
      <c r="E88">
        <v>0</v>
      </c>
    </row>
    <row r="89" spans="1:5" ht="12.75" customHeight="1">
      <c r="A89" s="4">
        <f t="shared" si="1"/>
        <v>79</v>
      </c>
      <c r="B89">
        <v>2016</v>
      </c>
      <c r="C89">
        <v>7</v>
      </c>
      <c r="D89">
        <v>0</v>
      </c>
      <c r="E89">
        <v>0</v>
      </c>
    </row>
    <row r="90" spans="1:5" ht="12.75" customHeight="1">
      <c r="A90" s="4">
        <f t="shared" si="1"/>
        <v>80</v>
      </c>
      <c r="B90">
        <v>2016</v>
      </c>
      <c r="C90">
        <v>8</v>
      </c>
      <c r="D90">
        <v>0</v>
      </c>
      <c r="E90">
        <v>0</v>
      </c>
    </row>
    <row r="91" spans="1:5" ht="12.75" customHeight="1">
      <c r="A91" s="4">
        <f t="shared" si="1"/>
        <v>81</v>
      </c>
      <c r="B91">
        <v>2016</v>
      </c>
      <c r="C91">
        <v>9</v>
      </c>
      <c r="D91">
        <v>1</v>
      </c>
      <c r="E91">
        <v>0</v>
      </c>
    </row>
    <row r="92" spans="1:5" ht="12.75" customHeight="1">
      <c r="A92" s="4">
        <f t="shared" si="1"/>
        <v>82</v>
      </c>
      <c r="B92">
        <v>2016</v>
      </c>
      <c r="C92">
        <v>10</v>
      </c>
      <c r="D92">
        <v>0</v>
      </c>
      <c r="E92">
        <v>1</v>
      </c>
    </row>
    <row r="93" spans="1:5" ht="12.75" customHeight="1">
      <c r="A93" s="4">
        <f t="shared" si="1"/>
        <v>83</v>
      </c>
      <c r="B93">
        <v>2016</v>
      </c>
      <c r="C93">
        <v>11</v>
      </c>
      <c r="D93">
        <v>0</v>
      </c>
      <c r="E93">
        <v>0</v>
      </c>
    </row>
    <row r="94" spans="1:5" ht="12.75" customHeight="1">
      <c r="A94" s="4">
        <f t="shared" si="1"/>
        <v>84</v>
      </c>
      <c r="B94">
        <v>2016</v>
      </c>
      <c r="C94">
        <v>12</v>
      </c>
      <c r="D94">
        <v>0</v>
      </c>
      <c r="E94">
        <v>0</v>
      </c>
    </row>
    <row r="95" spans="1:5" ht="12.75" customHeight="1">
      <c r="A95" s="4">
        <f t="shared" si="1"/>
        <v>85</v>
      </c>
      <c r="B95">
        <v>2017</v>
      </c>
      <c r="C95">
        <v>1</v>
      </c>
      <c r="D95">
        <v>0</v>
      </c>
      <c r="E95">
        <v>0</v>
      </c>
    </row>
    <row r="96" spans="1:5" ht="12.75" customHeight="1">
      <c r="A96" s="4">
        <f t="shared" si="1"/>
        <v>86</v>
      </c>
      <c r="B96">
        <v>2017</v>
      </c>
      <c r="C96">
        <v>2</v>
      </c>
      <c r="D96">
        <v>0</v>
      </c>
      <c r="E96">
        <v>0</v>
      </c>
    </row>
    <row r="97" spans="1:5" ht="12.75" customHeight="1">
      <c r="A97" s="4">
        <f t="shared" si="1"/>
        <v>87</v>
      </c>
      <c r="B97">
        <v>2017</v>
      </c>
      <c r="C97">
        <v>3</v>
      </c>
      <c r="D97">
        <v>0</v>
      </c>
      <c r="E97">
        <v>0</v>
      </c>
    </row>
    <row r="98" spans="1:5" ht="12.75" customHeight="1">
      <c r="A98" s="4">
        <f t="shared" si="1"/>
        <v>88</v>
      </c>
      <c r="B98">
        <v>2017</v>
      </c>
      <c r="C98">
        <v>4</v>
      </c>
      <c r="D98">
        <v>0</v>
      </c>
      <c r="E98">
        <v>0</v>
      </c>
    </row>
    <row r="99" spans="1:5" ht="12.75" customHeight="1">
      <c r="A99" s="4">
        <f t="shared" si="1"/>
        <v>89</v>
      </c>
      <c r="B99">
        <v>2017</v>
      </c>
      <c r="C99">
        <v>5</v>
      </c>
      <c r="D99">
        <v>0</v>
      </c>
      <c r="E99">
        <v>0</v>
      </c>
    </row>
    <row r="100" spans="1:5" ht="12.75" customHeight="1">
      <c r="A100" s="4">
        <f t="shared" si="1"/>
        <v>90</v>
      </c>
      <c r="B100">
        <v>2017</v>
      </c>
      <c r="C100">
        <v>6</v>
      </c>
      <c r="D100">
        <v>0</v>
      </c>
      <c r="E100">
        <v>0</v>
      </c>
    </row>
    <row r="101" spans="1:5" ht="12.75" customHeight="1">
      <c r="A101" s="4">
        <f t="shared" si="1"/>
        <v>91</v>
      </c>
      <c r="B101">
        <v>2017</v>
      </c>
      <c r="C101">
        <v>7</v>
      </c>
      <c r="D101">
        <v>0</v>
      </c>
      <c r="E101">
        <v>0</v>
      </c>
    </row>
    <row r="102" spans="1:5" s="18" customFormat="1" ht="12.75" customHeight="1">
      <c r="A102" s="4">
        <f t="shared" si="1"/>
        <v>92</v>
      </c>
      <c r="B102">
        <v>2017</v>
      </c>
      <c r="C102">
        <v>8</v>
      </c>
      <c r="D102" s="18">
        <v>0</v>
      </c>
      <c r="E102" s="18">
        <v>0</v>
      </c>
    </row>
    <row r="103" spans="1:5" s="18" customFormat="1" ht="12.75" customHeight="1">
      <c r="A103" s="4">
        <f t="shared" si="1"/>
        <v>93</v>
      </c>
      <c r="B103">
        <v>2017</v>
      </c>
      <c r="C103">
        <v>9</v>
      </c>
      <c r="D103" s="18">
        <v>1</v>
      </c>
      <c r="E103" s="18">
        <v>0</v>
      </c>
    </row>
    <row r="104" spans="1:5" ht="12.75" customHeight="1">
      <c r="A104" s="4">
        <f t="shared" si="1"/>
        <v>94</v>
      </c>
      <c r="B104">
        <v>2017</v>
      </c>
      <c r="C104">
        <v>10</v>
      </c>
      <c r="D104">
        <v>0</v>
      </c>
      <c r="E104">
        <v>1</v>
      </c>
    </row>
    <row r="105" spans="1:5" ht="12.75" customHeight="1">
      <c r="A105" s="4">
        <f t="shared" si="1"/>
        <v>95</v>
      </c>
      <c r="B105">
        <v>2017</v>
      </c>
      <c r="C105">
        <v>11</v>
      </c>
      <c r="D105">
        <v>0</v>
      </c>
      <c r="E105">
        <v>0</v>
      </c>
    </row>
    <row r="106" spans="1:5" ht="12.75" customHeight="1">
      <c r="A106" s="4">
        <f t="shared" si="1"/>
        <v>96</v>
      </c>
      <c r="B106">
        <v>2017</v>
      </c>
      <c r="C106">
        <v>12</v>
      </c>
      <c r="D106">
        <v>0</v>
      </c>
      <c r="E106">
        <v>0</v>
      </c>
    </row>
    <row r="107" spans="1:5" ht="12.75" customHeight="1">
      <c r="A107" s="4">
        <f t="shared" si="1"/>
        <v>97</v>
      </c>
      <c r="B107">
        <v>2018</v>
      </c>
      <c r="C107">
        <v>1</v>
      </c>
      <c r="D107">
        <v>0</v>
      </c>
      <c r="E107">
        <v>0</v>
      </c>
    </row>
    <row r="108" spans="1:5" ht="12.75" customHeight="1">
      <c r="A108" s="4">
        <f t="shared" si="1"/>
        <v>98</v>
      </c>
      <c r="B108">
        <v>2018</v>
      </c>
      <c r="C108">
        <v>2</v>
      </c>
      <c r="D108">
        <v>0</v>
      </c>
      <c r="E108">
        <v>0</v>
      </c>
    </row>
    <row r="109" spans="1:5" ht="12.75" customHeight="1">
      <c r="A109" s="4">
        <f t="shared" si="1"/>
        <v>99</v>
      </c>
      <c r="B109">
        <v>2018</v>
      </c>
      <c r="C109">
        <v>3</v>
      </c>
      <c r="D109">
        <v>0</v>
      </c>
      <c r="E109">
        <v>0</v>
      </c>
    </row>
    <row r="110" spans="1:5" ht="12.75" customHeight="1">
      <c r="A110" s="4">
        <f t="shared" si="1"/>
        <v>100</v>
      </c>
      <c r="B110">
        <v>2018</v>
      </c>
      <c r="C110">
        <v>4</v>
      </c>
      <c r="D110">
        <v>0</v>
      </c>
      <c r="E110">
        <v>0</v>
      </c>
    </row>
    <row r="111" spans="1:5" ht="12.75" customHeight="1">
      <c r="A111" s="4">
        <f t="shared" si="1"/>
        <v>101</v>
      </c>
      <c r="B111">
        <v>2018</v>
      </c>
      <c r="C111">
        <v>5</v>
      </c>
      <c r="D111">
        <v>0</v>
      </c>
      <c r="E111">
        <v>0</v>
      </c>
    </row>
    <row r="112" spans="1:5" ht="12.75" customHeight="1">
      <c r="A112" s="4">
        <f t="shared" si="1"/>
        <v>102</v>
      </c>
      <c r="B112">
        <v>2018</v>
      </c>
      <c r="C112">
        <v>6</v>
      </c>
      <c r="D112">
        <v>0</v>
      </c>
      <c r="E112">
        <v>0</v>
      </c>
    </row>
    <row r="113" spans="1:5" ht="12.75" customHeight="1">
      <c r="A113" s="4">
        <f t="shared" si="1"/>
        <v>103</v>
      </c>
      <c r="B113">
        <v>2018</v>
      </c>
      <c r="C113">
        <v>7</v>
      </c>
      <c r="D113">
        <v>0</v>
      </c>
      <c r="E113">
        <v>0</v>
      </c>
    </row>
    <row r="114" spans="1:5" ht="12.75" customHeight="1">
      <c r="A114" s="4">
        <f t="shared" si="1"/>
        <v>104</v>
      </c>
      <c r="B114">
        <v>2018</v>
      </c>
      <c r="C114">
        <v>8</v>
      </c>
      <c r="D114">
        <v>0</v>
      </c>
      <c r="E114">
        <v>0</v>
      </c>
    </row>
    <row r="115" spans="1:5" ht="12.75" customHeight="1">
      <c r="A115" s="4">
        <f t="shared" si="1"/>
        <v>105</v>
      </c>
      <c r="B115">
        <v>2018</v>
      </c>
      <c r="C115">
        <v>9</v>
      </c>
      <c r="D115">
        <v>1</v>
      </c>
      <c r="E115">
        <v>0</v>
      </c>
    </row>
    <row r="116" spans="1:5" ht="12.75" customHeight="1">
      <c r="A116" s="4">
        <f t="shared" si="1"/>
        <v>106</v>
      </c>
      <c r="B116">
        <v>2018</v>
      </c>
      <c r="C116">
        <v>10</v>
      </c>
      <c r="D116">
        <v>0</v>
      </c>
      <c r="E116">
        <v>1</v>
      </c>
    </row>
    <row r="117" spans="1:5" ht="12.75" customHeight="1">
      <c r="A117" s="4">
        <f t="shared" si="1"/>
        <v>107</v>
      </c>
      <c r="B117">
        <v>2018</v>
      </c>
      <c r="C117">
        <v>11</v>
      </c>
      <c r="D117">
        <v>0</v>
      </c>
      <c r="E117">
        <v>0</v>
      </c>
    </row>
    <row r="118" spans="1:5" ht="12.75" customHeight="1">
      <c r="A118" s="4">
        <f t="shared" si="1"/>
        <v>108</v>
      </c>
      <c r="B118">
        <v>2018</v>
      </c>
      <c r="C118">
        <v>12</v>
      </c>
      <c r="D118">
        <v>0</v>
      </c>
      <c r="E118">
        <v>0</v>
      </c>
    </row>
    <row r="119" spans="1:5" ht="12.75" customHeight="1">
      <c r="A119" s="4">
        <f t="shared" si="1"/>
        <v>109</v>
      </c>
      <c r="B119">
        <v>2019</v>
      </c>
      <c r="C119">
        <v>1</v>
      </c>
      <c r="D119">
        <v>0</v>
      </c>
      <c r="E119">
        <v>0</v>
      </c>
    </row>
    <row r="120" spans="1:5" ht="12.75" customHeight="1">
      <c r="A120" s="4">
        <f t="shared" si="1"/>
        <v>110</v>
      </c>
      <c r="B120">
        <v>2019</v>
      </c>
      <c r="C120">
        <v>2</v>
      </c>
      <c r="D120">
        <v>0</v>
      </c>
      <c r="E120">
        <v>0</v>
      </c>
    </row>
    <row r="121" spans="1:5" ht="12.75" customHeight="1">
      <c r="A121" s="4">
        <f t="shared" si="1"/>
        <v>111</v>
      </c>
      <c r="B121">
        <v>2019</v>
      </c>
      <c r="C121">
        <v>3</v>
      </c>
      <c r="D121">
        <v>0</v>
      </c>
      <c r="E121">
        <v>0</v>
      </c>
    </row>
    <row r="122" spans="1:5" ht="12.75" customHeight="1">
      <c r="A122" s="4">
        <f t="shared" si="1"/>
        <v>112</v>
      </c>
      <c r="B122">
        <v>2019</v>
      </c>
      <c r="C122">
        <v>4</v>
      </c>
      <c r="D122">
        <v>0</v>
      </c>
      <c r="E122">
        <v>0</v>
      </c>
    </row>
    <row r="123" spans="1:5" ht="13.5" customHeight="1">
      <c r="A123" s="4">
        <f t="shared" si="1"/>
        <v>113</v>
      </c>
      <c r="B123">
        <v>2019</v>
      </c>
      <c r="C123">
        <v>5</v>
      </c>
      <c r="D123">
        <v>0</v>
      </c>
      <c r="E123">
        <v>0</v>
      </c>
    </row>
    <row r="124" spans="1:5" ht="12.75" customHeight="1">
      <c r="A124" s="4">
        <f t="shared" si="1"/>
        <v>114</v>
      </c>
      <c r="B124">
        <v>2019</v>
      </c>
      <c r="C124">
        <v>6</v>
      </c>
      <c r="D124">
        <v>0</v>
      </c>
      <c r="E124">
        <v>0</v>
      </c>
    </row>
    <row r="125" spans="1:5" ht="12.75" customHeight="1">
      <c r="A125" s="4">
        <f t="shared" si="1"/>
        <v>115</v>
      </c>
      <c r="B125">
        <v>2019</v>
      </c>
      <c r="C125">
        <v>7</v>
      </c>
      <c r="D125">
        <v>0</v>
      </c>
      <c r="E125">
        <v>0</v>
      </c>
    </row>
    <row r="126" spans="1:5" ht="12.75" customHeight="1">
      <c r="A126" s="4">
        <f t="shared" si="1"/>
        <v>116</v>
      </c>
      <c r="B126">
        <v>2019</v>
      </c>
      <c r="C126">
        <v>8</v>
      </c>
      <c r="D126">
        <v>0</v>
      </c>
      <c r="E126">
        <v>0</v>
      </c>
    </row>
    <row r="127" spans="1:5" ht="12.75" customHeight="1">
      <c r="A127" s="4">
        <f t="shared" si="1"/>
        <v>117</v>
      </c>
      <c r="B127">
        <v>2019</v>
      </c>
      <c r="C127">
        <v>9</v>
      </c>
      <c r="D127">
        <v>1</v>
      </c>
      <c r="E127">
        <v>0</v>
      </c>
    </row>
    <row r="128" spans="1:5" ht="12.75" customHeight="1">
      <c r="A128" s="4">
        <f t="shared" si="1"/>
        <v>118</v>
      </c>
      <c r="B128">
        <v>2019</v>
      </c>
      <c r="C128">
        <v>10</v>
      </c>
      <c r="D128">
        <v>0</v>
      </c>
      <c r="E128">
        <v>1</v>
      </c>
    </row>
    <row r="129" spans="1:5" ht="12.75" customHeight="1">
      <c r="A129" s="4">
        <f t="shared" si="1"/>
        <v>119</v>
      </c>
      <c r="B129">
        <v>2019</v>
      </c>
      <c r="C129">
        <v>11</v>
      </c>
      <c r="D129">
        <v>0</v>
      </c>
      <c r="E129">
        <v>0</v>
      </c>
    </row>
    <row r="130" spans="1:5" ht="12.75" customHeight="1">
      <c r="A130" s="4">
        <f t="shared" si="1"/>
        <v>120</v>
      </c>
      <c r="B130">
        <v>2019</v>
      </c>
      <c r="C130">
        <v>12</v>
      </c>
      <c r="D130">
        <v>0</v>
      </c>
      <c r="E130">
        <v>0</v>
      </c>
    </row>
    <row r="131" spans="1:5" ht="12.75" customHeight="1">
      <c r="A131" s="4">
        <f t="shared" si="1"/>
        <v>121</v>
      </c>
      <c r="B131">
        <v>2020</v>
      </c>
      <c r="C131">
        <v>1</v>
      </c>
      <c r="D131">
        <v>0</v>
      </c>
      <c r="E131">
        <v>0</v>
      </c>
    </row>
    <row r="132" spans="1:5" ht="12.75" customHeight="1">
      <c r="A132" s="4">
        <f t="shared" si="1"/>
        <v>122</v>
      </c>
      <c r="B132">
        <v>2020</v>
      </c>
      <c r="C132">
        <v>2</v>
      </c>
      <c r="D132">
        <v>0</v>
      </c>
      <c r="E132">
        <v>0</v>
      </c>
    </row>
    <row r="133" spans="1:5" ht="12.75" customHeight="1">
      <c r="A133" s="4">
        <f t="shared" si="1"/>
        <v>123</v>
      </c>
      <c r="B133">
        <v>2020</v>
      </c>
      <c r="C133">
        <v>3</v>
      </c>
      <c r="D133">
        <v>0</v>
      </c>
      <c r="E133">
        <v>0</v>
      </c>
    </row>
    <row r="134" spans="1:5" ht="12.75" customHeight="1">
      <c r="A134" s="34">
        <f t="shared" si="1"/>
        <v>124</v>
      </c>
      <c r="B134" s="32">
        <v>2020</v>
      </c>
      <c r="C134" s="32">
        <v>4</v>
      </c>
      <c r="D134">
        <v>0</v>
      </c>
      <c r="E134">
        <v>0</v>
      </c>
    </row>
    <row r="135" spans="1:5" ht="12.75" customHeight="1">
      <c r="A135" s="34">
        <f t="shared" si="1"/>
        <v>125</v>
      </c>
      <c r="B135" s="32">
        <v>2020</v>
      </c>
      <c r="C135" s="32">
        <v>5</v>
      </c>
      <c r="D135">
        <v>0</v>
      </c>
      <c r="E135">
        <v>0</v>
      </c>
    </row>
    <row r="136" spans="1:5" ht="12.75" customHeight="1">
      <c r="A136" s="34">
        <f t="shared" si="1"/>
        <v>126</v>
      </c>
      <c r="B136" s="32">
        <v>2020</v>
      </c>
      <c r="C136" s="32">
        <v>6</v>
      </c>
      <c r="D136">
        <v>0</v>
      </c>
      <c r="E136">
        <v>0</v>
      </c>
    </row>
    <row r="137" spans="1:5" ht="12.75" customHeight="1">
      <c r="A137" s="34">
        <f t="shared" si="1"/>
        <v>127</v>
      </c>
      <c r="B137" s="32">
        <v>2020</v>
      </c>
      <c r="C137" s="32">
        <v>7</v>
      </c>
      <c r="D137">
        <v>0</v>
      </c>
      <c r="E137">
        <v>0</v>
      </c>
    </row>
    <row r="138" spans="1:5" ht="12.75" customHeight="1">
      <c r="A138" s="34">
        <f t="shared" si="1"/>
        <v>128</v>
      </c>
      <c r="B138" s="32">
        <v>2020</v>
      </c>
      <c r="C138" s="32">
        <v>8</v>
      </c>
      <c r="D138">
        <v>0</v>
      </c>
      <c r="E138">
        <v>0</v>
      </c>
    </row>
    <row r="139" spans="1:5" ht="12.75" customHeight="1">
      <c r="A139" s="34">
        <f t="shared" si="1"/>
        <v>129</v>
      </c>
      <c r="B139" s="32">
        <v>2020</v>
      </c>
      <c r="C139" s="32">
        <v>9</v>
      </c>
      <c r="D139">
        <v>1</v>
      </c>
      <c r="E139">
        <v>0</v>
      </c>
    </row>
    <row r="140" spans="1:5" ht="12.75" customHeight="1">
      <c r="A140" s="34">
        <f t="shared" si="2" ref="A140:A149">+A139+1</f>
        <v>130</v>
      </c>
      <c r="B140" s="32">
        <v>2020</v>
      </c>
      <c r="C140" s="32">
        <v>10</v>
      </c>
      <c r="D140">
        <v>0</v>
      </c>
      <c r="E140">
        <v>1</v>
      </c>
    </row>
    <row r="141" spans="1:5" ht="12.75" customHeight="1">
      <c r="A141" s="34">
        <f t="shared" si="2"/>
        <v>131</v>
      </c>
      <c r="B141" s="32">
        <v>2020</v>
      </c>
      <c r="C141" s="32">
        <v>11</v>
      </c>
      <c r="D141">
        <v>0</v>
      </c>
      <c r="E141">
        <v>0</v>
      </c>
    </row>
    <row r="142" spans="1:5" ht="12.75" customHeight="1">
      <c r="A142" s="34">
        <f t="shared" si="2"/>
        <v>132</v>
      </c>
      <c r="B142" s="32">
        <v>2020</v>
      </c>
      <c r="C142" s="32">
        <v>12</v>
      </c>
      <c r="D142">
        <v>0</v>
      </c>
      <c r="E142">
        <v>0</v>
      </c>
    </row>
    <row r="143" spans="1:5" ht="12.75" customHeight="1">
      <c r="A143" s="34">
        <f t="shared" si="2"/>
        <v>133</v>
      </c>
      <c r="B143" s="32">
        <v>2021</v>
      </c>
      <c r="C143" s="32">
        <v>1</v>
      </c>
      <c r="D143">
        <v>0</v>
      </c>
      <c r="E143">
        <v>0</v>
      </c>
    </row>
    <row r="144" spans="1:5" ht="12.75" customHeight="1">
      <c r="A144" s="34">
        <f t="shared" si="2"/>
        <v>134</v>
      </c>
      <c r="B144" s="32">
        <v>2021</v>
      </c>
      <c r="C144" s="32">
        <v>2</v>
      </c>
      <c r="D144">
        <v>0</v>
      </c>
      <c r="E144">
        <v>0</v>
      </c>
    </row>
    <row r="145" spans="1:5" ht="12.75" customHeight="1">
      <c r="A145" s="34">
        <f t="shared" si="2"/>
        <v>135</v>
      </c>
      <c r="B145" s="32">
        <v>2021</v>
      </c>
      <c r="C145" s="32">
        <v>3</v>
      </c>
      <c r="D145">
        <v>0</v>
      </c>
      <c r="E145">
        <v>0</v>
      </c>
    </row>
    <row r="146" spans="1:5" ht="12.75" customHeight="1">
      <c r="A146" s="34">
        <f t="shared" si="2"/>
        <v>136</v>
      </c>
      <c r="B146" s="32">
        <v>2021</v>
      </c>
      <c r="C146" s="32">
        <v>4</v>
      </c>
      <c r="D146">
        <v>0</v>
      </c>
      <c r="E146">
        <v>0</v>
      </c>
    </row>
    <row r="147" spans="1:5" ht="12.75" customHeight="1">
      <c r="A147" s="34">
        <f t="shared" si="2"/>
        <v>137</v>
      </c>
      <c r="B147" s="32">
        <v>2021</v>
      </c>
      <c r="C147" s="32">
        <v>5</v>
      </c>
      <c r="D147">
        <v>0</v>
      </c>
      <c r="E147">
        <v>0</v>
      </c>
    </row>
    <row r="148" spans="1:5" ht="12.75" customHeight="1">
      <c r="A148" s="34">
        <f t="shared" si="2"/>
        <v>138</v>
      </c>
      <c r="B148" s="32">
        <v>2021</v>
      </c>
      <c r="C148" s="32">
        <v>6</v>
      </c>
      <c r="D148">
        <v>0</v>
      </c>
      <c r="E148">
        <v>0</v>
      </c>
    </row>
    <row r="149" spans="1:5" ht="12.75" customHeight="1">
      <c r="A149" s="34">
        <f t="shared" si="2"/>
        <v>139</v>
      </c>
      <c r="B149" s="32">
        <v>2021</v>
      </c>
      <c r="C149" s="32">
        <v>7</v>
      </c>
      <c r="D149">
        <v>0</v>
      </c>
      <c r="E149">
        <v>0</v>
      </c>
    </row>
  </sheetData>
  <mergeCells count="6">
    <mergeCell ref="B9:E9"/>
    <mergeCell ref="B1:E1"/>
    <mergeCell ref="B2:E2"/>
    <mergeCell ref="B3:E3"/>
    <mergeCell ref="B4:E4"/>
    <mergeCell ref="B6:E6"/>
  </mergeCells>
  <pageMargins left="1.5" right="0.75" top="1" bottom="1" header="0.5" footer="0.5"/>
  <pageSetup orientation="portrait" scale="61" r:id="rId1"/>
  <headerFooter alignWithMargins="0">
    <oddHeader>&amp;RSchedule II-H-2.2
Page &amp;P of &amp;N</oddHeader>
  </headerFooter>
  <rowBreaks count="2" manualBreakCount="2">
    <brk id="58" max="4" man="1"/>
    <brk id="106" max="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K149"/>
  <sheetViews>
    <sheetView showOutlineSymbols="0" view="pageBreakPreview" zoomScaleNormal="100" zoomScaleSheetLayoutView="100" workbookViewId="0" topLeftCell="A1">
      <pane xSplit="3" ySplit="10" topLeftCell="D11" activePane="bottomRight" state="frozen"/>
      <selection pane="topLeft" activeCell="A1" sqref="A1"/>
      <selection pane="bottomLeft" activeCell="A1" sqref="A1"/>
      <selection pane="topRight" activeCell="A1" sqref="A1"/>
      <selection pane="bottomRight" activeCell="A1" sqref="A1"/>
    </sheetView>
  </sheetViews>
  <sheetFormatPr defaultRowHeight="12.75" customHeight="1"/>
  <cols>
    <col min="1" max="1" width="9.14285714285714" style="4" customWidth="1"/>
    <col min="2" max="2" width="5" style="1" bestFit="1" customWidth="1"/>
    <col min="3" max="3" width="5.85714285714286" style="1" bestFit="1" customWidth="1"/>
  </cols>
  <sheetData>
    <row r="1" spans="2:11" ht="15.6">
      <c r="B1" s="47" t="str">
        <f>+Introduction!B1</f>
        <v xml:space="preserve">PUC DOCKET NO. </v>
      </c>
      <c r="C1" s="48"/>
      <c r="D1" s="48"/>
      <c r="E1" s="48"/>
      <c r="F1" s="48"/>
      <c r="G1" s="48"/>
      <c r="H1" s="48"/>
      <c r="I1" s="48"/>
      <c r="J1" s="48"/>
      <c r="K1" s="48"/>
    </row>
    <row r="2" spans="2:11" ht="15.6">
      <c r="B2" s="47" t="str">
        <f>+Introduction!B2</f>
        <v>ONCOR ELECTRIC DELIVERY COMPANY LLC</v>
      </c>
      <c r="C2" s="48"/>
      <c r="D2" s="48"/>
      <c r="E2" s="48"/>
      <c r="F2" s="48"/>
      <c r="G2" s="48"/>
      <c r="H2" s="48"/>
      <c r="I2" s="48"/>
      <c r="J2" s="48"/>
      <c r="K2" s="48"/>
    </row>
    <row r="3" spans="2:11" ht="15.6">
      <c r="B3" s="47" t="str">
        <f>+Introduction!B3</f>
        <v>MODEL DATA</v>
      </c>
      <c r="C3" s="48"/>
      <c r="D3" s="48"/>
      <c r="E3" s="48"/>
      <c r="F3" s="48"/>
      <c r="G3" s="48"/>
      <c r="H3" s="48"/>
      <c r="I3" s="48"/>
      <c r="J3" s="48"/>
      <c r="K3" s="48"/>
    </row>
    <row r="4" spans="2:11" ht="15.6">
      <c r="B4" s="47" t="str">
        <f>+Introduction!B4</f>
        <v>FOR THE TEST YEAR ENDING DECEMBER 31, 2021</v>
      </c>
      <c r="C4" s="48"/>
      <c r="D4" s="48"/>
      <c r="E4" s="48"/>
      <c r="F4" s="48"/>
      <c r="G4" s="48"/>
      <c r="H4" s="48"/>
      <c r="I4" s="48"/>
      <c r="J4" s="48"/>
      <c r="K4" s="48"/>
    </row>
    <row r="5" spans="2:3" ht="13.2">
      <c r="B5" s="15"/>
      <c r="C5" s="15"/>
    </row>
    <row r="6" spans="2:11" ht="15.6">
      <c r="B6" s="47" t="str">
        <f>+Introduction!B6</f>
        <v>SPONSOR: D. E. NELSON</v>
      </c>
      <c r="C6" s="48"/>
      <c r="D6" s="48"/>
      <c r="E6" s="48"/>
      <c r="F6" s="48"/>
      <c r="G6" s="48"/>
      <c r="H6" s="48"/>
      <c r="I6" s="48"/>
      <c r="J6" s="48"/>
      <c r="K6" s="48"/>
    </row>
    <row r="8" spans="2:11" ht="12.75" customHeight="1">
      <c r="B8" s="9" t="s">
        <v>4</v>
      </c>
      <c r="C8" s="9" t="s">
        <v>5</v>
      </c>
      <c r="D8" s="27" t="s">
        <v>7</v>
      </c>
      <c r="E8" s="27" t="s">
        <v>6</v>
      </c>
      <c r="F8" s="27" t="s">
        <v>8</v>
      </c>
      <c r="G8" s="27" t="s">
        <v>9</v>
      </c>
      <c r="H8" s="27" t="s">
        <v>10</v>
      </c>
      <c r="I8" s="27" t="s">
        <v>11</v>
      </c>
      <c r="J8" s="27" t="s">
        <v>12</v>
      </c>
      <c r="K8" s="27" t="s">
        <v>13</v>
      </c>
    </row>
    <row r="9" spans="1:11" ht="12.75" customHeight="1">
      <c r="A9" s="4" t="s">
        <v>2</v>
      </c>
      <c r="B9" s="47" t="s">
        <v>46</v>
      </c>
      <c r="C9" s="48"/>
      <c r="D9" s="48"/>
      <c r="E9" s="48"/>
      <c r="F9" s="48"/>
      <c r="G9" s="48"/>
      <c r="H9" s="48"/>
      <c r="I9" s="48"/>
      <c r="J9" s="48"/>
      <c r="K9" s="48"/>
    </row>
    <row r="10" spans="1:11" s="21" customFormat="1" ht="12.75" customHeight="1">
      <c r="A10" s="20" t="s">
        <v>3</v>
      </c>
      <c r="B10" s="36" t="s">
        <v>53</v>
      </c>
      <c r="C10" s="36" t="s">
        <v>0</v>
      </c>
      <c r="D10" s="37" t="s">
        <v>32</v>
      </c>
      <c r="E10" s="37" t="s">
        <v>21</v>
      </c>
      <c r="F10" s="37" t="s">
        <v>23</v>
      </c>
      <c r="G10" s="37" t="s">
        <v>24</v>
      </c>
      <c r="H10" s="37" t="s">
        <v>25</v>
      </c>
      <c r="I10" s="37" t="s">
        <v>26</v>
      </c>
      <c r="J10" s="37" t="s">
        <v>27</v>
      </c>
      <c r="K10" s="37" t="s">
        <v>29</v>
      </c>
    </row>
    <row r="11" spans="1:11" ht="12.75" customHeight="1">
      <c r="A11" s="4">
        <v>1</v>
      </c>
      <c r="B11">
        <v>2010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ht="12.75" customHeight="1">
      <c r="A12" s="4">
        <f t="shared" si="0" ref="A12:A75">+A11+1</f>
        <v>2</v>
      </c>
      <c r="B12">
        <v>2010</v>
      </c>
      <c r="C12">
        <v>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ht="12.75" customHeight="1">
      <c r="A13" s="4">
        <f t="shared" si="0"/>
        <v>3</v>
      </c>
      <c r="B13">
        <v>2010</v>
      </c>
      <c r="C13">
        <v>3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ht="12.75" customHeight="1">
      <c r="A14" s="4">
        <f t="shared" si="0"/>
        <v>4</v>
      </c>
      <c r="B14">
        <v>2010</v>
      </c>
      <c r="C14">
        <v>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ht="12.75" customHeight="1">
      <c r="A15" s="4">
        <f t="shared" si="0"/>
        <v>5</v>
      </c>
      <c r="B15">
        <v>2010</v>
      </c>
      <c r="C15">
        <v>5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ht="12.75" customHeight="1">
      <c r="A16" s="4">
        <f t="shared" si="0"/>
        <v>6</v>
      </c>
      <c r="B16">
        <v>2010</v>
      </c>
      <c r="C16">
        <v>6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</row>
    <row r="17" spans="1:11" ht="12.75" customHeight="1">
      <c r="A17" s="4">
        <f t="shared" si="0"/>
        <v>7</v>
      </c>
      <c r="B17">
        <v>2010</v>
      </c>
      <c r="C17">
        <v>7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</row>
    <row r="18" spans="1:11" ht="12.75" customHeight="1">
      <c r="A18" s="4">
        <f t="shared" si="0"/>
        <v>8</v>
      </c>
      <c r="B18">
        <v>2010</v>
      </c>
      <c r="C18">
        <v>8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</row>
    <row r="19" spans="1:11" ht="12.75" customHeight="1">
      <c r="A19" s="4">
        <f t="shared" si="0"/>
        <v>9</v>
      </c>
      <c r="B19">
        <v>2010</v>
      </c>
      <c r="C19">
        <v>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</row>
    <row r="20" spans="1:11" ht="12.75" customHeight="1">
      <c r="A20" s="4">
        <f t="shared" si="0"/>
        <v>10</v>
      </c>
      <c r="B20">
        <v>2010</v>
      </c>
      <c r="C20">
        <v>10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ht="12.75" customHeight="1">
      <c r="A21" s="4">
        <f t="shared" si="0"/>
        <v>11</v>
      </c>
      <c r="B21">
        <v>2010</v>
      </c>
      <c r="C21">
        <v>11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</row>
    <row r="22" spans="1:11" ht="12.75" customHeight="1">
      <c r="A22" s="4">
        <f t="shared" si="0"/>
        <v>12</v>
      </c>
      <c r="B22">
        <v>2010</v>
      </c>
      <c r="C22">
        <v>12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ht="12.75" customHeight="1">
      <c r="A23" s="4">
        <f t="shared" si="0"/>
        <v>13</v>
      </c>
      <c r="B23">
        <v>2011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ht="12.75" customHeight="1">
      <c r="A24" s="4">
        <f t="shared" si="0"/>
        <v>14</v>
      </c>
      <c r="B24">
        <v>2011</v>
      </c>
      <c r="C24">
        <v>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ht="12.75" customHeight="1">
      <c r="A25" s="4">
        <f t="shared" si="0"/>
        <v>15</v>
      </c>
      <c r="B25">
        <v>2011</v>
      </c>
      <c r="C25">
        <v>3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ht="12.75" customHeight="1">
      <c r="A26" s="4">
        <f t="shared" si="0"/>
        <v>16</v>
      </c>
      <c r="B26">
        <v>2011</v>
      </c>
      <c r="C26">
        <v>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ht="12.75" customHeight="1">
      <c r="A27" s="4">
        <f t="shared" si="0"/>
        <v>17</v>
      </c>
      <c r="B27">
        <v>2011</v>
      </c>
      <c r="C27">
        <v>5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ht="12.75" customHeight="1">
      <c r="A28" s="4">
        <f t="shared" si="0"/>
        <v>18</v>
      </c>
      <c r="B28">
        <v>2011</v>
      </c>
      <c r="C28">
        <v>6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</row>
    <row r="29" spans="1:11" ht="12.75" customHeight="1">
      <c r="A29" s="4">
        <f t="shared" si="0"/>
        <v>19</v>
      </c>
      <c r="B29">
        <v>2011</v>
      </c>
      <c r="C29">
        <v>7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</row>
    <row r="30" spans="1:11" ht="12.75" customHeight="1">
      <c r="A30" s="4">
        <f t="shared" si="0"/>
        <v>20</v>
      </c>
      <c r="B30">
        <v>2011</v>
      </c>
      <c r="C30">
        <v>8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</row>
    <row r="31" spans="1:11" ht="12.75" customHeight="1">
      <c r="A31" s="4">
        <f t="shared" si="0"/>
        <v>21</v>
      </c>
      <c r="B31">
        <v>2011</v>
      </c>
      <c r="C31">
        <v>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</row>
    <row r="32" spans="1:11" ht="12.75" customHeight="1">
      <c r="A32" s="4">
        <f t="shared" si="0"/>
        <v>22</v>
      </c>
      <c r="B32">
        <v>2011</v>
      </c>
      <c r="C32">
        <v>10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ht="12.75" customHeight="1">
      <c r="A33" s="4">
        <f t="shared" si="0"/>
        <v>23</v>
      </c>
      <c r="B33">
        <v>2011</v>
      </c>
      <c r="C33">
        <v>11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</row>
    <row r="34" spans="1:11" ht="12.75" customHeight="1">
      <c r="A34" s="4">
        <f t="shared" si="0"/>
        <v>24</v>
      </c>
      <c r="B34">
        <v>2011</v>
      </c>
      <c r="C34">
        <v>12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ht="12.75" customHeight="1">
      <c r="A35" s="4">
        <f t="shared" si="0"/>
        <v>25</v>
      </c>
      <c r="B35">
        <v>2012</v>
      </c>
      <c r="C35">
        <v>1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ht="12.75" customHeight="1">
      <c r="A36" s="4">
        <f t="shared" si="0"/>
        <v>26</v>
      </c>
      <c r="B36">
        <v>2012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ht="12.75" customHeight="1">
      <c r="A37" s="4">
        <f t="shared" si="0"/>
        <v>27</v>
      </c>
      <c r="B37">
        <v>2012</v>
      </c>
      <c r="C37">
        <v>3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ht="12.75" customHeight="1">
      <c r="A38" s="4">
        <f t="shared" si="0"/>
        <v>28</v>
      </c>
      <c r="B38">
        <v>2012</v>
      </c>
      <c r="C38">
        <v>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ht="12.75" customHeight="1">
      <c r="A39" s="4">
        <f t="shared" si="0"/>
        <v>29</v>
      </c>
      <c r="B39">
        <v>2012</v>
      </c>
      <c r="C39">
        <v>5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ht="12.75" customHeight="1">
      <c r="A40" s="4">
        <f t="shared" si="0"/>
        <v>30</v>
      </c>
      <c r="B40">
        <v>2012</v>
      </c>
      <c r="C40">
        <v>6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</row>
    <row r="41" spans="1:11" ht="12.75" customHeight="1">
      <c r="A41" s="4">
        <f t="shared" si="0"/>
        <v>31</v>
      </c>
      <c r="B41">
        <v>2012</v>
      </c>
      <c r="C41">
        <v>7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</row>
    <row r="42" spans="1:11" ht="12.75" customHeight="1">
      <c r="A42" s="4">
        <f t="shared" si="0"/>
        <v>32</v>
      </c>
      <c r="B42">
        <v>2012</v>
      </c>
      <c r="C42">
        <v>8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</row>
    <row r="43" spans="1:11" ht="12.75" customHeight="1">
      <c r="A43" s="4">
        <f t="shared" si="0"/>
        <v>33</v>
      </c>
      <c r="B43">
        <v>2012</v>
      </c>
      <c r="C43">
        <v>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</row>
    <row r="44" spans="1:11" ht="12.75" customHeight="1">
      <c r="A44" s="4">
        <f t="shared" si="0"/>
        <v>34</v>
      </c>
      <c r="B44">
        <v>2012</v>
      </c>
      <c r="C44">
        <v>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ht="12.75" customHeight="1">
      <c r="A45" s="4">
        <f t="shared" si="0"/>
        <v>35</v>
      </c>
      <c r="B45">
        <v>2012</v>
      </c>
      <c r="C45">
        <v>11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</row>
    <row r="46" spans="1:11" ht="12.75" customHeight="1">
      <c r="A46" s="4">
        <f t="shared" si="0"/>
        <v>36</v>
      </c>
      <c r="B46">
        <v>2012</v>
      </c>
      <c r="C46">
        <v>12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ht="12.75" customHeight="1">
      <c r="A47" s="4">
        <f t="shared" si="0"/>
        <v>37</v>
      </c>
      <c r="B47">
        <v>2013</v>
      </c>
      <c r="C4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ht="12.75" customHeight="1">
      <c r="A48" s="4">
        <f t="shared" si="0"/>
        <v>38</v>
      </c>
      <c r="B48">
        <v>2013</v>
      </c>
      <c r="C48">
        <v>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ht="12.75" customHeight="1">
      <c r="A49" s="4">
        <f t="shared" si="0"/>
        <v>39</v>
      </c>
      <c r="B49">
        <v>2013</v>
      </c>
      <c r="C49">
        <v>3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ht="12.75" customHeight="1">
      <c r="A50" s="4">
        <f t="shared" si="0"/>
        <v>40</v>
      </c>
      <c r="B50">
        <v>2013</v>
      </c>
      <c r="C50">
        <v>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ht="12.75" customHeight="1">
      <c r="A51" s="4">
        <f t="shared" si="0"/>
        <v>41</v>
      </c>
      <c r="B51">
        <v>2013</v>
      </c>
      <c r="C51">
        <v>5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ht="12.75" customHeight="1">
      <c r="A52" s="4">
        <f t="shared" si="0"/>
        <v>42</v>
      </c>
      <c r="B52">
        <v>2013</v>
      </c>
      <c r="C52">
        <v>6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</row>
    <row r="53" spans="1:11" ht="12.75" customHeight="1">
      <c r="A53" s="4">
        <f t="shared" si="0"/>
        <v>43</v>
      </c>
      <c r="B53">
        <v>2013</v>
      </c>
      <c r="C53">
        <v>7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</row>
    <row r="54" spans="1:11" ht="12.75" customHeight="1">
      <c r="A54" s="4">
        <f t="shared" si="0"/>
        <v>44</v>
      </c>
      <c r="B54">
        <v>2013</v>
      </c>
      <c r="C54">
        <v>8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</row>
    <row r="55" spans="1:11" ht="12.75" customHeight="1">
      <c r="A55" s="4">
        <f t="shared" si="0"/>
        <v>45</v>
      </c>
      <c r="B55">
        <v>2013</v>
      </c>
      <c r="C55">
        <v>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</row>
    <row r="56" spans="1:11" ht="12.75" customHeight="1">
      <c r="A56" s="4">
        <f t="shared" si="0"/>
        <v>46</v>
      </c>
      <c r="B56">
        <v>2013</v>
      </c>
      <c r="C56">
        <v>10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ht="12.75" customHeight="1">
      <c r="A57" s="4">
        <f t="shared" si="0"/>
        <v>47</v>
      </c>
      <c r="B57">
        <v>2013</v>
      </c>
      <c r="C57">
        <v>11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</row>
    <row r="58" spans="1:11" ht="12.75" customHeight="1">
      <c r="A58" s="4">
        <f t="shared" si="0"/>
        <v>48</v>
      </c>
      <c r="B58">
        <v>2013</v>
      </c>
      <c r="C58">
        <v>12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ht="12.75" customHeight="1">
      <c r="A59" s="4">
        <f t="shared" si="0"/>
        <v>49</v>
      </c>
      <c r="B59">
        <v>2014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ht="12.75" customHeight="1">
      <c r="A60" s="4">
        <f t="shared" si="0"/>
        <v>50</v>
      </c>
      <c r="B60">
        <v>2014</v>
      </c>
      <c r="C60">
        <v>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ht="12.75" customHeight="1">
      <c r="A61" s="4">
        <f t="shared" si="0"/>
        <v>51</v>
      </c>
      <c r="B61">
        <v>2014</v>
      </c>
      <c r="C61">
        <v>3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ht="12.75" customHeight="1">
      <c r="A62" s="4">
        <f t="shared" si="0"/>
        <v>52</v>
      </c>
      <c r="B62">
        <v>2014</v>
      </c>
      <c r="C62">
        <v>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ht="12.75" customHeight="1">
      <c r="A63" s="4">
        <f t="shared" si="0"/>
        <v>53</v>
      </c>
      <c r="B63">
        <v>2014</v>
      </c>
      <c r="C63">
        <v>5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ht="12.75" customHeight="1">
      <c r="A64" s="4">
        <f t="shared" si="0"/>
        <v>54</v>
      </c>
      <c r="B64">
        <v>2014</v>
      </c>
      <c r="C64">
        <v>6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</row>
    <row r="65" spans="1:11" ht="12.75" customHeight="1">
      <c r="A65" s="4">
        <f t="shared" si="0"/>
        <v>55</v>
      </c>
      <c r="B65">
        <v>2014</v>
      </c>
      <c r="C65">
        <v>7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</row>
    <row r="66" spans="1:11" ht="12.75" customHeight="1">
      <c r="A66" s="4">
        <f t="shared" si="0"/>
        <v>56</v>
      </c>
      <c r="B66">
        <v>2014</v>
      </c>
      <c r="C66">
        <v>8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</row>
    <row r="67" spans="1:11" ht="12.75" customHeight="1">
      <c r="A67" s="4">
        <f t="shared" si="0"/>
        <v>57</v>
      </c>
      <c r="B67">
        <v>2014</v>
      </c>
      <c r="C67">
        <v>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</row>
    <row r="68" spans="1:11" ht="12.75" customHeight="1">
      <c r="A68" s="4">
        <f t="shared" si="0"/>
        <v>58</v>
      </c>
      <c r="B68">
        <v>2014</v>
      </c>
      <c r="C68">
        <v>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ht="12.75" customHeight="1">
      <c r="A69" s="4">
        <f t="shared" si="0"/>
        <v>59</v>
      </c>
      <c r="B69">
        <v>2014</v>
      </c>
      <c r="C69">
        <v>11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</row>
    <row r="70" spans="1:11" ht="12.75" customHeight="1">
      <c r="A70" s="4">
        <f t="shared" si="0"/>
        <v>60</v>
      </c>
      <c r="B70">
        <v>2014</v>
      </c>
      <c r="C70">
        <v>12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ht="12.75" customHeight="1">
      <c r="A71" s="4">
        <f t="shared" si="0"/>
        <v>61</v>
      </c>
      <c r="B71">
        <v>2015</v>
      </c>
      <c r="C71">
        <v>1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ht="12.75" customHeight="1">
      <c r="A72" s="4">
        <f t="shared" si="0"/>
        <v>62</v>
      </c>
      <c r="B72">
        <v>2015</v>
      </c>
      <c r="C72">
        <v>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ht="12.75" customHeight="1">
      <c r="A73" s="4">
        <f t="shared" si="0"/>
        <v>63</v>
      </c>
      <c r="B73">
        <v>2015</v>
      </c>
      <c r="C73">
        <v>3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ht="12.75" customHeight="1">
      <c r="A74" s="4">
        <f t="shared" si="0"/>
        <v>64</v>
      </c>
      <c r="B74">
        <v>2015</v>
      </c>
      <c r="C74">
        <v>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ht="12.75" customHeight="1">
      <c r="A75" s="4">
        <f t="shared" si="0"/>
        <v>65</v>
      </c>
      <c r="B75">
        <v>2015</v>
      </c>
      <c r="C75">
        <v>5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ht="12.75" customHeight="1">
      <c r="A76" s="4">
        <f t="shared" si="1" ref="A76:A139">+A75+1</f>
        <v>66</v>
      </c>
      <c r="B76">
        <v>2015</v>
      </c>
      <c r="C76">
        <v>6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</row>
    <row r="77" spans="1:11" ht="12.75" customHeight="1">
      <c r="A77" s="4">
        <f t="shared" si="1"/>
        <v>67</v>
      </c>
      <c r="B77">
        <v>2015</v>
      </c>
      <c r="C77">
        <v>7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</row>
    <row r="78" spans="1:11" ht="12.75" customHeight="1">
      <c r="A78" s="4">
        <f t="shared" si="1"/>
        <v>68</v>
      </c>
      <c r="B78">
        <v>2015</v>
      </c>
      <c r="C78">
        <v>8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</row>
    <row r="79" spans="1:11" ht="12.75" customHeight="1">
      <c r="A79" s="4">
        <f t="shared" si="1"/>
        <v>69</v>
      </c>
      <c r="B79">
        <v>2015</v>
      </c>
      <c r="C79">
        <v>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</row>
    <row r="80" spans="1:11" ht="12.75" customHeight="1">
      <c r="A80" s="4">
        <f t="shared" si="1"/>
        <v>70</v>
      </c>
      <c r="B80">
        <v>2015</v>
      </c>
      <c r="C80">
        <v>10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ht="12.75" customHeight="1">
      <c r="A81" s="4">
        <f t="shared" si="1"/>
        <v>71</v>
      </c>
      <c r="B81">
        <v>2015</v>
      </c>
      <c r="C81">
        <v>11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</row>
    <row r="82" spans="1:11" ht="12.75" customHeight="1">
      <c r="A82" s="4">
        <f t="shared" si="1"/>
        <v>72</v>
      </c>
      <c r="B82">
        <v>2015</v>
      </c>
      <c r="C82">
        <v>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ht="12.75" customHeight="1">
      <c r="A83" s="4">
        <f t="shared" si="1"/>
        <v>73</v>
      </c>
      <c r="B83">
        <v>2016</v>
      </c>
      <c r="C83">
        <v>1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ht="12.75" customHeight="1">
      <c r="A84" s="4">
        <f t="shared" si="1"/>
        <v>74</v>
      </c>
      <c r="B84">
        <v>2016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ht="12.75" customHeight="1">
      <c r="A85" s="4">
        <f t="shared" si="1"/>
        <v>75</v>
      </c>
      <c r="B85">
        <v>2016</v>
      </c>
      <c r="C85">
        <v>3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ht="12.75" customHeight="1">
      <c r="A86" s="4">
        <f t="shared" si="1"/>
        <v>76</v>
      </c>
      <c r="B86">
        <v>2016</v>
      </c>
      <c r="C86">
        <v>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ht="12.75" customHeight="1">
      <c r="A87" s="4">
        <f t="shared" si="1"/>
        <v>77</v>
      </c>
      <c r="B87">
        <v>2016</v>
      </c>
      <c r="C87">
        <v>5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ht="12.75" customHeight="1">
      <c r="A88" s="4">
        <f t="shared" si="1"/>
        <v>78</v>
      </c>
      <c r="B88">
        <v>2016</v>
      </c>
      <c r="C88">
        <v>6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</row>
    <row r="89" spans="1:11" ht="12.75" customHeight="1">
      <c r="A89" s="4">
        <f t="shared" si="1"/>
        <v>79</v>
      </c>
      <c r="B89">
        <v>2016</v>
      </c>
      <c r="C89">
        <v>7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</row>
    <row r="90" spans="1:11" ht="12.75" customHeight="1">
      <c r="A90" s="28">
        <f t="shared" si="1"/>
        <v>80</v>
      </c>
      <c r="B90" s="32">
        <v>2016</v>
      </c>
      <c r="C90" s="32">
        <v>8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</row>
    <row r="91" spans="1:11" ht="12.75" customHeight="1">
      <c r="A91" s="28">
        <f t="shared" si="1"/>
        <v>81</v>
      </c>
      <c r="B91" s="32">
        <v>2016</v>
      </c>
      <c r="C91" s="32">
        <v>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</row>
    <row r="92" spans="1:11" ht="12.75" customHeight="1">
      <c r="A92" s="28">
        <f t="shared" si="1"/>
        <v>82</v>
      </c>
      <c r="B92" s="32">
        <v>2016</v>
      </c>
      <c r="C92" s="32">
        <v>10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ht="12.75" customHeight="1">
      <c r="A93" s="28">
        <f t="shared" si="1"/>
        <v>83</v>
      </c>
      <c r="B93" s="32">
        <v>2016</v>
      </c>
      <c r="C93" s="32">
        <v>11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</row>
    <row r="94" spans="1:11" ht="12.75" customHeight="1">
      <c r="A94" s="28">
        <f t="shared" si="1"/>
        <v>84</v>
      </c>
      <c r="B94" s="32">
        <v>2016</v>
      </c>
      <c r="C94" s="32">
        <v>12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ht="12.75" customHeight="1">
      <c r="A95" s="28">
        <f t="shared" si="1"/>
        <v>85</v>
      </c>
      <c r="B95" s="32">
        <v>2017</v>
      </c>
      <c r="C95" s="32">
        <v>1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ht="12.75" customHeight="1">
      <c r="A96" s="28">
        <f t="shared" si="1"/>
        <v>86</v>
      </c>
      <c r="B96" s="32">
        <v>2017</v>
      </c>
      <c r="C96" s="32">
        <v>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ht="12.75" customHeight="1">
      <c r="A97" s="28">
        <f t="shared" si="1"/>
        <v>87</v>
      </c>
      <c r="B97" s="32">
        <v>2017</v>
      </c>
      <c r="C97" s="32">
        <v>3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ht="12.75" customHeight="1">
      <c r="A98" s="28">
        <f t="shared" si="1"/>
        <v>88</v>
      </c>
      <c r="B98" s="32">
        <v>2017</v>
      </c>
      <c r="C98" s="32">
        <v>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ht="12.75" customHeight="1">
      <c r="A99" s="28">
        <f t="shared" si="1"/>
        <v>89</v>
      </c>
      <c r="B99" s="32">
        <v>2017</v>
      </c>
      <c r="C99" s="32">
        <v>5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ht="12.75" customHeight="1">
      <c r="A100" s="28">
        <f t="shared" si="1"/>
        <v>90</v>
      </c>
      <c r="B100" s="32">
        <v>2017</v>
      </c>
      <c r="C100" s="32">
        <v>6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</row>
    <row r="101" spans="1:11" ht="12.75" customHeight="1">
      <c r="A101" s="28">
        <f t="shared" si="1"/>
        <v>91</v>
      </c>
      <c r="B101" s="32">
        <v>2017</v>
      </c>
      <c r="C101" s="32">
        <v>7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</row>
    <row r="102" spans="1:11" ht="12.75" customHeight="1">
      <c r="A102" s="28">
        <f t="shared" si="1"/>
        <v>92</v>
      </c>
      <c r="B102" s="32">
        <v>2017</v>
      </c>
      <c r="C102" s="32">
        <v>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</row>
    <row r="103" spans="1:11" ht="12.75" customHeight="1">
      <c r="A103" s="28">
        <f t="shared" si="1"/>
        <v>93</v>
      </c>
      <c r="B103" s="32">
        <v>2017</v>
      </c>
      <c r="C103" s="32">
        <v>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</row>
    <row r="104" spans="1:11" ht="12.75" customHeight="1">
      <c r="A104" s="28">
        <f t="shared" si="1"/>
        <v>94</v>
      </c>
      <c r="B104" s="32">
        <v>2017</v>
      </c>
      <c r="C104" s="32">
        <v>10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ht="12.75" customHeight="1">
      <c r="A105" s="28">
        <f t="shared" si="1"/>
        <v>95</v>
      </c>
      <c r="B105" s="32">
        <v>2017</v>
      </c>
      <c r="C105" s="32">
        <v>11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</row>
    <row r="106" spans="1:11" ht="12.75" customHeight="1">
      <c r="A106" s="28">
        <f t="shared" si="1"/>
        <v>96</v>
      </c>
      <c r="B106" s="32">
        <v>2017</v>
      </c>
      <c r="C106" s="32">
        <v>12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ht="12.75" customHeight="1">
      <c r="A107" s="28">
        <f t="shared" si="1"/>
        <v>97</v>
      </c>
      <c r="B107" s="32">
        <v>2018</v>
      </c>
      <c r="C107" s="32">
        <v>1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ht="12.75" customHeight="1">
      <c r="A108" s="28">
        <f t="shared" si="1"/>
        <v>98</v>
      </c>
      <c r="B108" s="32">
        <v>2018</v>
      </c>
      <c r="C108" s="32">
        <v>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ht="12.75" customHeight="1">
      <c r="A109" s="28">
        <f t="shared" si="1"/>
        <v>99</v>
      </c>
      <c r="B109" s="32">
        <v>2018</v>
      </c>
      <c r="C109" s="32">
        <v>3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ht="12.75" customHeight="1">
      <c r="A110" s="28">
        <f t="shared" si="1"/>
        <v>100</v>
      </c>
      <c r="B110" s="32">
        <v>2018</v>
      </c>
      <c r="C110" s="32">
        <v>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ht="12.75" customHeight="1">
      <c r="A111" s="28">
        <f t="shared" si="1"/>
        <v>101</v>
      </c>
      <c r="B111" s="32">
        <v>2018</v>
      </c>
      <c r="C111" s="32">
        <v>5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ht="12.75" customHeight="1">
      <c r="A112" s="28">
        <f t="shared" si="1"/>
        <v>102</v>
      </c>
      <c r="B112" s="32">
        <v>2018</v>
      </c>
      <c r="C112" s="32">
        <v>6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</row>
    <row r="113" spans="1:11" ht="12.75" customHeight="1">
      <c r="A113" s="28">
        <f t="shared" si="1"/>
        <v>103</v>
      </c>
      <c r="B113" s="32">
        <v>2018</v>
      </c>
      <c r="C113" s="32">
        <v>7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</row>
    <row r="114" spans="1:11" ht="12.75" customHeight="1">
      <c r="A114" s="28">
        <f t="shared" si="1"/>
        <v>104</v>
      </c>
      <c r="B114" s="32">
        <v>2018</v>
      </c>
      <c r="C114" s="32">
        <v>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</row>
    <row r="115" spans="1:11" ht="12.75" customHeight="1">
      <c r="A115" s="28">
        <f t="shared" si="1"/>
        <v>105</v>
      </c>
      <c r="B115" s="32">
        <v>2018</v>
      </c>
      <c r="C115" s="32">
        <v>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</row>
    <row r="116" spans="1:11" ht="12.75" customHeight="1">
      <c r="A116" s="28">
        <f t="shared" si="1"/>
        <v>106</v>
      </c>
      <c r="B116" s="32">
        <v>2018</v>
      </c>
      <c r="C116" s="32">
        <v>10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ht="12.75" customHeight="1">
      <c r="A117" s="28">
        <f t="shared" si="1"/>
        <v>107</v>
      </c>
      <c r="B117" s="32">
        <v>2018</v>
      </c>
      <c r="C117" s="32">
        <v>11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</row>
    <row r="118" spans="1:11" ht="12.75" customHeight="1">
      <c r="A118" s="28">
        <f t="shared" si="1"/>
        <v>108</v>
      </c>
      <c r="B118" s="32">
        <v>2018</v>
      </c>
      <c r="C118" s="32">
        <v>12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ht="12.75" customHeight="1">
      <c r="A119" s="28">
        <f t="shared" si="1"/>
        <v>109</v>
      </c>
      <c r="B119" s="32">
        <v>2019</v>
      </c>
      <c r="C119" s="32">
        <v>1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ht="12.75" customHeight="1">
      <c r="A120" s="28">
        <f t="shared" si="1"/>
        <v>110</v>
      </c>
      <c r="B120" s="32">
        <v>2019</v>
      </c>
      <c r="C120" s="32">
        <v>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ht="12.75" customHeight="1">
      <c r="A121" s="28">
        <f t="shared" si="1"/>
        <v>111</v>
      </c>
      <c r="B121" s="32">
        <v>2019</v>
      </c>
      <c r="C121" s="32">
        <v>3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ht="12.75" customHeight="1">
      <c r="A122" s="28">
        <f t="shared" si="1"/>
        <v>112</v>
      </c>
      <c r="B122" s="32">
        <v>2019</v>
      </c>
      <c r="C122" s="32">
        <v>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ht="12.75" customHeight="1">
      <c r="A123" s="28">
        <f t="shared" si="1"/>
        <v>113</v>
      </c>
      <c r="B123" s="32">
        <v>2019</v>
      </c>
      <c r="C123" s="32">
        <v>5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ht="12.75" customHeight="1">
      <c r="A124" s="28">
        <f t="shared" si="1"/>
        <v>114</v>
      </c>
      <c r="B124" s="32">
        <v>2019</v>
      </c>
      <c r="C124" s="32">
        <v>6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</row>
    <row r="125" spans="1:11" ht="12.75" customHeight="1">
      <c r="A125" s="28">
        <f t="shared" si="1"/>
        <v>115</v>
      </c>
      <c r="B125" s="32">
        <v>2019</v>
      </c>
      <c r="C125" s="32">
        <v>7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</row>
    <row r="126" spans="1:11" ht="12.75" customHeight="1">
      <c r="A126" s="28">
        <f t="shared" si="1"/>
        <v>116</v>
      </c>
      <c r="B126" s="32">
        <v>2019</v>
      </c>
      <c r="C126" s="32">
        <v>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</row>
    <row r="127" spans="1:11" ht="12.75" customHeight="1">
      <c r="A127" s="28">
        <f t="shared" si="1"/>
        <v>117</v>
      </c>
      <c r="B127" s="32">
        <v>2019</v>
      </c>
      <c r="C127" s="32">
        <v>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</row>
    <row r="128" spans="1:11" ht="12.75" customHeight="1">
      <c r="A128" s="28">
        <f t="shared" si="1"/>
        <v>118</v>
      </c>
      <c r="B128" s="32">
        <v>2019</v>
      </c>
      <c r="C128" s="32">
        <v>10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ht="12.75" customHeight="1">
      <c r="A129" s="28">
        <f t="shared" si="1"/>
        <v>119</v>
      </c>
      <c r="B129" s="32">
        <v>2019</v>
      </c>
      <c r="C129" s="32">
        <v>11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</row>
    <row r="130" spans="1:11" ht="12.75" customHeight="1">
      <c r="A130" s="28">
        <f t="shared" si="1"/>
        <v>120</v>
      </c>
      <c r="B130" s="32">
        <v>2019</v>
      </c>
      <c r="C130" s="32">
        <v>12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ht="12.75" customHeight="1">
      <c r="A131" s="28">
        <f t="shared" si="1"/>
        <v>121</v>
      </c>
      <c r="B131" s="32">
        <v>2020</v>
      </c>
      <c r="C131" s="32">
        <v>1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ht="12.75" customHeight="1">
      <c r="A132" s="28">
        <f t="shared" si="1"/>
        <v>122</v>
      </c>
      <c r="B132" s="32">
        <v>2020</v>
      </c>
      <c r="C132" s="32">
        <v>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ht="12.75" customHeight="1">
      <c r="A133" s="28">
        <f t="shared" si="1"/>
        <v>123</v>
      </c>
      <c r="B133" s="32">
        <v>2020</v>
      </c>
      <c r="C133" s="32">
        <v>3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ht="12.75" customHeight="1">
      <c r="A134" s="34">
        <f t="shared" si="1"/>
        <v>124</v>
      </c>
      <c r="B134" s="1">
        <v>2020</v>
      </c>
      <c r="C134" s="32">
        <v>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ht="12.75" customHeight="1">
      <c r="A135" s="34">
        <f t="shared" si="1"/>
        <v>125</v>
      </c>
      <c r="B135" s="1">
        <v>2020</v>
      </c>
      <c r="C135" s="32">
        <v>5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ht="12.75" customHeight="1">
      <c r="A136" s="34">
        <f t="shared" si="1"/>
        <v>126</v>
      </c>
      <c r="B136" s="1">
        <v>2020</v>
      </c>
      <c r="C136" s="32">
        <v>6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</row>
    <row r="137" spans="1:11" ht="12.75" customHeight="1">
      <c r="A137" s="34">
        <f t="shared" si="1"/>
        <v>127</v>
      </c>
      <c r="B137" s="1">
        <v>2020</v>
      </c>
      <c r="C137" s="32">
        <v>7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</row>
    <row r="138" spans="1:11" ht="12.75" customHeight="1">
      <c r="A138" s="34">
        <f t="shared" si="1"/>
        <v>128</v>
      </c>
      <c r="B138" s="1">
        <v>2020</v>
      </c>
      <c r="C138" s="32">
        <v>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</row>
    <row r="139" spans="1:11" ht="12.75" customHeight="1">
      <c r="A139" s="34">
        <f t="shared" si="1"/>
        <v>129</v>
      </c>
      <c r="B139" s="1">
        <v>2020</v>
      </c>
      <c r="C139" s="32">
        <v>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</row>
    <row r="140" spans="1:11" ht="12.75" customHeight="1">
      <c r="A140" s="34">
        <f t="shared" si="2" ref="A140:A149">+A139+1</f>
        <v>130</v>
      </c>
      <c r="B140" s="1">
        <v>2020</v>
      </c>
      <c r="C140" s="32">
        <v>10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ht="12.75" customHeight="1">
      <c r="A141" s="34">
        <f t="shared" si="2"/>
        <v>131</v>
      </c>
      <c r="B141" s="1">
        <v>2020</v>
      </c>
      <c r="C141" s="32">
        <v>11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</row>
    <row r="142" spans="1:11" ht="12.75" customHeight="1">
      <c r="A142" s="34">
        <f t="shared" si="2"/>
        <v>132</v>
      </c>
      <c r="B142" s="1">
        <v>2020</v>
      </c>
      <c r="C142" s="32">
        <v>12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ht="12.75" customHeight="1">
      <c r="A143" s="34">
        <f t="shared" si="2"/>
        <v>133</v>
      </c>
      <c r="B143" s="1">
        <v>2021</v>
      </c>
      <c r="C143" s="32">
        <v>1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ht="12.75" customHeight="1">
      <c r="A144" s="34">
        <f t="shared" si="2"/>
        <v>134</v>
      </c>
      <c r="B144" s="1">
        <v>2021</v>
      </c>
      <c r="C144" s="32">
        <v>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ht="12.75" customHeight="1">
      <c r="A145" s="34">
        <f t="shared" si="2"/>
        <v>135</v>
      </c>
      <c r="B145" s="1">
        <v>2021</v>
      </c>
      <c r="C145" s="32">
        <v>3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ht="12.75" customHeight="1">
      <c r="A146" s="34">
        <f t="shared" si="2"/>
        <v>136</v>
      </c>
      <c r="B146" s="1">
        <v>2021</v>
      </c>
      <c r="C146" s="32">
        <v>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ht="12.75" customHeight="1">
      <c r="A147" s="34">
        <f t="shared" si="2"/>
        <v>137</v>
      </c>
      <c r="B147" s="1">
        <v>2021</v>
      </c>
      <c r="C147" s="32">
        <v>5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ht="12.75" customHeight="1">
      <c r="A148" s="34">
        <f t="shared" si="2"/>
        <v>138</v>
      </c>
      <c r="B148" s="1">
        <v>2021</v>
      </c>
      <c r="C148" s="32">
        <v>6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</row>
    <row r="149" spans="1:11" ht="12.75" customHeight="1">
      <c r="A149" s="34">
        <f t="shared" si="2"/>
        <v>139</v>
      </c>
      <c r="B149" s="1">
        <v>2021</v>
      </c>
      <c r="C149" s="32">
        <v>7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</row>
  </sheetData>
  <mergeCells count="6">
    <mergeCell ref="B9:K9"/>
    <mergeCell ref="B1:K1"/>
    <mergeCell ref="B2:K2"/>
    <mergeCell ref="B3:K3"/>
    <mergeCell ref="B4:K4"/>
    <mergeCell ref="B6:K6"/>
  </mergeCells>
  <pageMargins left="1.5" right="0.75" top="1" bottom="1" header="0.5" footer="0.5"/>
  <pageSetup orientation="portrait" scale="61" r:id="rId1"/>
  <headerFooter alignWithMargins="0">
    <oddHeader>&amp;RSchedule II-H-2.2
Page &amp;P of &amp;N</oddHeader>
  </headerFooter>
  <rowBreaks count="2" manualBreakCount="2">
    <brk id="68" max="10" man="1"/>
    <brk id="106" max="10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H125"/>
  <sheetViews>
    <sheetView showOutlineSymbols="0" view="pageBreakPreview" zoomScaleNormal="100" zoomScaleSheetLayoutView="100" workbookViewId="0" topLeftCell="A1"/>
  </sheetViews>
  <sheetFormatPr defaultRowHeight="12.75" customHeight="1"/>
  <cols>
    <col min="1" max="1" width="9.14285714285714" style="34" customWidth="1"/>
    <col min="2" max="2" width="27" style="1" customWidth="1"/>
    <col min="3" max="3" width="30.5714285714286" style="1" customWidth="1"/>
  </cols>
  <sheetData>
    <row r="1" spans="2:8" ht="15.6">
      <c r="B1" s="47" t="str">
        <f>+Introduction!B1</f>
        <v xml:space="preserve">PUC DOCKET NO. </v>
      </c>
      <c r="C1" s="48"/>
      <c r="D1" s="48"/>
      <c r="E1" s="48"/>
      <c r="F1" s="48"/>
      <c r="G1" s="48"/>
      <c r="H1" s="48"/>
    </row>
    <row r="2" spans="2:8" ht="15.6">
      <c r="B2" s="47" t="str">
        <f>+Introduction!B2</f>
        <v>ONCOR ELECTRIC DELIVERY COMPANY LLC</v>
      </c>
      <c r="C2" s="48"/>
      <c r="D2" s="48"/>
      <c r="E2" s="48"/>
      <c r="F2" s="48"/>
      <c r="G2" s="48"/>
      <c r="H2" s="48"/>
    </row>
    <row r="3" spans="2:8" ht="15.6">
      <c r="B3" s="47" t="str">
        <f>+Introduction!B3</f>
        <v>MODEL DATA</v>
      </c>
      <c r="C3" s="48"/>
      <c r="D3" s="48"/>
      <c r="E3" s="48"/>
      <c r="F3" s="48"/>
      <c r="G3" s="48"/>
      <c r="H3" s="48"/>
    </row>
    <row r="4" spans="2:8" ht="15.6">
      <c r="B4" s="47" t="str">
        <f>+Introduction!B4</f>
        <v>FOR THE TEST YEAR ENDING DECEMBER 31, 2021</v>
      </c>
      <c r="C4" s="48"/>
      <c r="D4" s="48"/>
      <c r="E4" s="48"/>
      <c r="F4" s="48"/>
      <c r="G4" s="48"/>
      <c r="H4" s="48"/>
    </row>
    <row r="5" spans="2:3" ht="13.2">
      <c r="B5" s="15"/>
      <c r="C5" s="15"/>
    </row>
    <row r="6" spans="2:8" ht="15.6">
      <c r="B6" s="47" t="str">
        <f>+Introduction!B6</f>
        <v>SPONSOR: D. E. NELSON</v>
      </c>
      <c r="C6" s="48"/>
      <c r="D6" s="48"/>
      <c r="E6" s="48"/>
      <c r="F6" s="48"/>
      <c r="G6" s="48"/>
      <c r="H6" s="48"/>
    </row>
    <row r="8" spans="2:8" ht="12.75" customHeight="1">
      <c r="B8" s="9" t="s">
        <v>4</v>
      </c>
      <c r="C8" s="9" t="s">
        <v>5</v>
      </c>
      <c r="D8" s="27" t="s">
        <v>7</v>
      </c>
      <c r="E8" s="27" t="s">
        <v>6</v>
      </c>
      <c r="F8" s="27" t="s">
        <v>8</v>
      </c>
      <c r="G8" s="27" t="s">
        <v>9</v>
      </c>
      <c r="H8" s="27" t="s">
        <v>10</v>
      </c>
    </row>
    <row r="9" spans="1:8" ht="12.75" customHeight="1">
      <c r="A9" s="34" t="s">
        <v>2</v>
      </c>
      <c r="B9" s="47" t="s">
        <v>72</v>
      </c>
      <c r="C9" s="48"/>
      <c r="D9" s="48"/>
      <c r="E9" s="48"/>
      <c r="F9" s="48"/>
      <c r="G9" s="48"/>
      <c r="H9" s="48"/>
    </row>
    <row r="10" spans="1:8" s="21" customFormat="1" ht="12.75" customHeight="1">
      <c r="A10" s="20" t="s">
        <v>3</v>
      </c>
      <c r="B10" s="36" t="s">
        <v>53</v>
      </c>
      <c r="C10" s="36" t="s">
        <v>0</v>
      </c>
      <c r="D10" s="37" t="s">
        <v>20</v>
      </c>
      <c r="E10" s="37" t="s">
        <v>27</v>
      </c>
      <c r="F10" s="37" t="s">
        <v>28</v>
      </c>
      <c r="G10" s="37" t="s">
        <v>29</v>
      </c>
      <c r="H10" s="37" t="s">
        <v>56</v>
      </c>
    </row>
    <row r="11" spans="1:8" ht="12.75" customHeight="1">
      <c r="A11" s="34">
        <v>1</v>
      </c>
      <c r="B11">
        <v>2012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ht="12.75" customHeight="1">
      <c r="A12" s="34">
        <f t="shared" si="0" ref="A12:A75">+A11+1</f>
        <v>2</v>
      </c>
      <c r="B12">
        <v>2012</v>
      </c>
      <c r="C12">
        <v>2</v>
      </c>
      <c r="D12">
        <v>1</v>
      </c>
      <c r="E12">
        <v>0</v>
      </c>
      <c r="F12">
        <v>0</v>
      </c>
      <c r="G12">
        <v>0</v>
      </c>
      <c r="H12">
        <v>0</v>
      </c>
    </row>
    <row r="13" spans="1:8" ht="12.75" customHeight="1">
      <c r="A13" s="34">
        <f t="shared" si="0"/>
        <v>3</v>
      </c>
      <c r="B13">
        <v>2012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ht="12.75" customHeight="1">
      <c r="A14" s="34">
        <f t="shared" si="0"/>
        <v>4</v>
      </c>
      <c r="B14">
        <v>2012</v>
      </c>
      <c r="C14">
        <v>4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ht="12.75" customHeight="1">
      <c r="A15" s="34">
        <f t="shared" si="0"/>
        <v>5</v>
      </c>
      <c r="B15">
        <v>2012</v>
      </c>
      <c r="C15">
        <v>5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ht="12.75" customHeight="1">
      <c r="A16" s="34">
        <f t="shared" si="0"/>
        <v>6</v>
      </c>
      <c r="B16">
        <v>2012</v>
      </c>
      <c r="C16">
        <v>6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ht="12.75" customHeight="1">
      <c r="A17" s="34">
        <f t="shared" si="0"/>
        <v>7</v>
      </c>
      <c r="B17">
        <v>2012</v>
      </c>
      <c r="C17">
        <v>7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ht="12.75" customHeight="1">
      <c r="A18" s="34">
        <f t="shared" si="0"/>
        <v>8</v>
      </c>
      <c r="B18">
        <v>2012</v>
      </c>
      <c r="C18">
        <v>8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ht="12.75" customHeight="1">
      <c r="A19" s="34">
        <f t="shared" si="0"/>
        <v>9</v>
      </c>
      <c r="B19">
        <v>2012</v>
      </c>
      <c r="C19">
        <v>9</v>
      </c>
      <c r="D19">
        <v>0</v>
      </c>
      <c r="E19">
        <v>1</v>
      </c>
      <c r="F19">
        <v>0</v>
      </c>
      <c r="G19">
        <v>0</v>
      </c>
      <c r="H19">
        <v>0</v>
      </c>
    </row>
    <row r="20" spans="1:8" ht="12.75" customHeight="1">
      <c r="A20" s="34">
        <f t="shared" si="0"/>
        <v>10</v>
      </c>
      <c r="B20">
        <v>2012</v>
      </c>
      <c r="C20">
        <v>10</v>
      </c>
      <c r="D20">
        <v>0</v>
      </c>
      <c r="E20">
        <v>0</v>
      </c>
      <c r="F20">
        <v>1</v>
      </c>
      <c r="G20">
        <v>0</v>
      </c>
      <c r="H20">
        <v>0</v>
      </c>
    </row>
    <row r="21" spans="1:8" ht="12.75" customHeight="1">
      <c r="A21" s="34">
        <f t="shared" si="0"/>
        <v>11</v>
      </c>
      <c r="B21">
        <v>2012</v>
      </c>
      <c r="C21">
        <v>11</v>
      </c>
      <c r="D21">
        <v>0</v>
      </c>
      <c r="E21">
        <v>0</v>
      </c>
      <c r="F21">
        <v>0</v>
      </c>
      <c r="G21">
        <v>1</v>
      </c>
      <c r="H21">
        <v>0</v>
      </c>
    </row>
    <row r="22" spans="1:8" ht="12.75" customHeight="1">
      <c r="A22" s="34">
        <f t="shared" si="0"/>
        <v>12</v>
      </c>
      <c r="B22">
        <v>2012</v>
      </c>
      <c r="C22">
        <v>12</v>
      </c>
      <c r="D22">
        <v>0</v>
      </c>
      <c r="E22">
        <v>0</v>
      </c>
      <c r="F22">
        <v>0</v>
      </c>
      <c r="G22">
        <v>0</v>
      </c>
      <c r="H22">
        <v>1</v>
      </c>
    </row>
    <row r="23" spans="1:8" ht="12.75" customHeight="1">
      <c r="A23" s="34">
        <f t="shared" si="0"/>
        <v>13</v>
      </c>
      <c r="B23">
        <v>2013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ht="12.75" customHeight="1">
      <c r="A24" s="34">
        <f t="shared" si="0"/>
        <v>14</v>
      </c>
      <c r="B24">
        <v>2013</v>
      </c>
      <c r="C24">
        <v>2</v>
      </c>
      <c r="D24">
        <v>1</v>
      </c>
      <c r="E24">
        <v>0</v>
      </c>
      <c r="F24">
        <v>0</v>
      </c>
      <c r="G24">
        <v>0</v>
      </c>
      <c r="H24">
        <v>0</v>
      </c>
    </row>
    <row r="25" spans="1:8" ht="12.75" customHeight="1">
      <c r="A25" s="34">
        <f t="shared" si="0"/>
        <v>15</v>
      </c>
      <c r="B25">
        <v>2013</v>
      </c>
      <c r="C25">
        <v>3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ht="12.75" customHeight="1">
      <c r="A26" s="34">
        <f t="shared" si="0"/>
        <v>16</v>
      </c>
      <c r="B26">
        <v>2013</v>
      </c>
      <c r="C26">
        <v>4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ht="12.75" customHeight="1">
      <c r="A27" s="34">
        <f t="shared" si="0"/>
        <v>17</v>
      </c>
      <c r="B27">
        <v>2013</v>
      </c>
      <c r="C27">
        <v>5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ht="12.75" customHeight="1">
      <c r="A28" s="34">
        <f t="shared" si="0"/>
        <v>18</v>
      </c>
      <c r="B28">
        <v>2013</v>
      </c>
      <c r="C28">
        <v>6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ht="12.75" customHeight="1">
      <c r="A29" s="34">
        <f t="shared" si="0"/>
        <v>19</v>
      </c>
      <c r="B29">
        <v>2013</v>
      </c>
      <c r="C29">
        <v>7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ht="12.75" customHeight="1">
      <c r="A30" s="34">
        <f t="shared" si="0"/>
        <v>20</v>
      </c>
      <c r="B30">
        <v>2013</v>
      </c>
      <c r="C30">
        <v>8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ht="12.75" customHeight="1">
      <c r="A31" s="34">
        <f t="shared" si="0"/>
        <v>21</v>
      </c>
      <c r="B31">
        <v>2013</v>
      </c>
      <c r="C31">
        <v>9</v>
      </c>
      <c r="D31">
        <v>0</v>
      </c>
      <c r="E31">
        <v>1</v>
      </c>
      <c r="F31">
        <v>0</v>
      </c>
      <c r="G31">
        <v>0</v>
      </c>
      <c r="H31">
        <v>0</v>
      </c>
    </row>
    <row r="32" spans="1:8" ht="12.75" customHeight="1">
      <c r="A32" s="34">
        <f t="shared" si="0"/>
        <v>22</v>
      </c>
      <c r="B32">
        <v>2013</v>
      </c>
      <c r="C32">
        <v>10</v>
      </c>
      <c r="D32">
        <v>0</v>
      </c>
      <c r="E32">
        <v>0</v>
      </c>
      <c r="F32">
        <v>1</v>
      </c>
      <c r="G32">
        <v>0</v>
      </c>
      <c r="H32">
        <v>0</v>
      </c>
    </row>
    <row r="33" spans="1:8" ht="12.75" customHeight="1">
      <c r="A33" s="34">
        <f t="shared" si="0"/>
        <v>23</v>
      </c>
      <c r="B33">
        <v>2013</v>
      </c>
      <c r="C33">
        <v>11</v>
      </c>
      <c r="D33">
        <v>0</v>
      </c>
      <c r="E33">
        <v>0</v>
      </c>
      <c r="F33">
        <v>0</v>
      </c>
      <c r="G33">
        <v>1</v>
      </c>
      <c r="H33">
        <v>0</v>
      </c>
    </row>
    <row r="34" spans="1:8" ht="12.75" customHeight="1">
      <c r="A34" s="34">
        <f t="shared" si="0"/>
        <v>24</v>
      </c>
      <c r="B34">
        <v>2013</v>
      </c>
      <c r="C34">
        <v>12</v>
      </c>
      <c r="D34">
        <v>0</v>
      </c>
      <c r="E34">
        <v>0</v>
      </c>
      <c r="F34">
        <v>0</v>
      </c>
      <c r="G34">
        <v>0</v>
      </c>
      <c r="H34">
        <v>1</v>
      </c>
    </row>
    <row r="35" spans="1:8" ht="12.75" customHeight="1">
      <c r="A35" s="34">
        <f t="shared" si="0"/>
        <v>25</v>
      </c>
      <c r="B35">
        <v>2014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ht="12.75" customHeight="1">
      <c r="A36" s="34">
        <f t="shared" si="0"/>
        <v>26</v>
      </c>
      <c r="B36">
        <v>2014</v>
      </c>
      <c r="C36">
        <v>2</v>
      </c>
      <c r="D36">
        <v>1</v>
      </c>
      <c r="E36">
        <v>0</v>
      </c>
      <c r="F36">
        <v>0</v>
      </c>
      <c r="G36">
        <v>0</v>
      </c>
      <c r="H36">
        <v>0</v>
      </c>
    </row>
    <row r="37" spans="1:8" ht="12.75" customHeight="1">
      <c r="A37" s="34">
        <f t="shared" si="0"/>
        <v>27</v>
      </c>
      <c r="B37">
        <v>2014</v>
      </c>
      <c r="C37">
        <v>3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ht="12.75" customHeight="1">
      <c r="A38" s="34">
        <f t="shared" si="0"/>
        <v>28</v>
      </c>
      <c r="B38">
        <v>2014</v>
      </c>
      <c r="C38">
        <v>4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ht="12.75" customHeight="1">
      <c r="A39" s="34">
        <f t="shared" si="0"/>
        <v>29</v>
      </c>
      <c r="B39">
        <v>2014</v>
      </c>
      <c r="C39">
        <v>5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ht="12.75" customHeight="1">
      <c r="A40" s="34">
        <f t="shared" si="0"/>
        <v>30</v>
      </c>
      <c r="B40">
        <v>2014</v>
      </c>
      <c r="C40">
        <v>6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ht="12.75" customHeight="1">
      <c r="A41" s="34">
        <f t="shared" si="0"/>
        <v>31</v>
      </c>
      <c r="B41">
        <v>2014</v>
      </c>
      <c r="C41">
        <v>7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ht="12.75" customHeight="1">
      <c r="A42" s="34">
        <f t="shared" si="0"/>
        <v>32</v>
      </c>
      <c r="B42">
        <v>2014</v>
      </c>
      <c r="C42">
        <v>8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ht="12.75" customHeight="1">
      <c r="A43" s="34">
        <f t="shared" si="0"/>
        <v>33</v>
      </c>
      <c r="B43">
        <v>2014</v>
      </c>
      <c r="C43">
        <v>9</v>
      </c>
      <c r="D43">
        <v>0</v>
      </c>
      <c r="E43">
        <v>1</v>
      </c>
      <c r="F43">
        <v>0</v>
      </c>
      <c r="G43">
        <v>0</v>
      </c>
      <c r="H43">
        <v>0</v>
      </c>
    </row>
    <row r="44" spans="1:8" ht="12.75" customHeight="1">
      <c r="A44" s="34">
        <f t="shared" si="0"/>
        <v>34</v>
      </c>
      <c r="B44">
        <v>2014</v>
      </c>
      <c r="C44">
        <v>10</v>
      </c>
      <c r="D44">
        <v>0</v>
      </c>
      <c r="E44">
        <v>0</v>
      </c>
      <c r="F44">
        <v>1</v>
      </c>
      <c r="G44">
        <v>0</v>
      </c>
      <c r="H44">
        <v>0</v>
      </c>
    </row>
    <row r="45" spans="1:8" ht="12.75" customHeight="1">
      <c r="A45" s="34">
        <f t="shared" si="0"/>
        <v>35</v>
      </c>
      <c r="B45">
        <v>2014</v>
      </c>
      <c r="C45">
        <v>11</v>
      </c>
      <c r="D45">
        <v>0</v>
      </c>
      <c r="E45">
        <v>0</v>
      </c>
      <c r="F45">
        <v>0</v>
      </c>
      <c r="G45">
        <v>1</v>
      </c>
      <c r="H45">
        <v>0</v>
      </c>
    </row>
    <row r="46" spans="1:8" ht="12.75" customHeight="1">
      <c r="A46" s="34">
        <f t="shared" si="0"/>
        <v>36</v>
      </c>
      <c r="B46">
        <v>2014</v>
      </c>
      <c r="C46">
        <v>12</v>
      </c>
      <c r="D46">
        <v>0</v>
      </c>
      <c r="E46">
        <v>0</v>
      </c>
      <c r="F46">
        <v>0</v>
      </c>
      <c r="G46">
        <v>0</v>
      </c>
      <c r="H46">
        <v>1</v>
      </c>
    </row>
    <row r="47" spans="1:8" ht="12.75" customHeight="1">
      <c r="A47" s="34">
        <f t="shared" si="0"/>
        <v>37</v>
      </c>
      <c r="B47">
        <v>2015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ht="12.75" customHeight="1">
      <c r="A48" s="34">
        <f t="shared" si="0"/>
        <v>38</v>
      </c>
      <c r="B48">
        <v>2015</v>
      </c>
      <c r="C48">
        <v>2</v>
      </c>
      <c r="D48">
        <v>1</v>
      </c>
      <c r="E48">
        <v>0</v>
      </c>
      <c r="F48">
        <v>0</v>
      </c>
      <c r="G48">
        <v>0</v>
      </c>
      <c r="H48">
        <v>0</v>
      </c>
    </row>
    <row r="49" spans="1:8" ht="12.75" customHeight="1">
      <c r="A49" s="34">
        <f t="shared" si="0"/>
        <v>39</v>
      </c>
      <c r="B49">
        <v>2015</v>
      </c>
      <c r="C49">
        <v>3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ht="12.75" customHeight="1">
      <c r="A50" s="34">
        <f t="shared" si="0"/>
        <v>40</v>
      </c>
      <c r="B50">
        <v>2015</v>
      </c>
      <c r="C50">
        <v>4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ht="12.75" customHeight="1">
      <c r="A51" s="34">
        <f t="shared" si="0"/>
        <v>41</v>
      </c>
      <c r="B51">
        <v>2015</v>
      </c>
      <c r="C51">
        <v>5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ht="12.75" customHeight="1">
      <c r="A52" s="34">
        <f t="shared" si="0"/>
        <v>42</v>
      </c>
      <c r="B52">
        <v>2015</v>
      </c>
      <c r="C52">
        <v>6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ht="12.75" customHeight="1">
      <c r="A53" s="34">
        <f t="shared" si="0"/>
        <v>43</v>
      </c>
      <c r="B53">
        <v>2015</v>
      </c>
      <c r="C53">
        <v>7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ht="12.75" customHeight="1">
      <c r="A54" s="34">
        <f t="shared" si="0"/>
        <v>44</v>
      </c>
      <c r="B54">
        <v>2015</v>
      </c>
      <c r="C54">
        <v>8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ht="12.75" customHeight="1">
      <c r="A55" s="34">
        <f t="shared" si="0"/>
        <v>45</v>
      </c>
      <c r="B55">
        <v>2015</v>
      </c>
      <c r="C55">
        <v>9</v>
      </c>
      <c r="D55">
        <v>0</v>
      </c>
      <c r="E55">
        <v>1</v>
      </c>
      <c r="F55">
        <v>0</v>
      </c>
      <c r="G55">
        <v>0</v>
      </c>
      <c r="H55">
        <v>0</v>
      </c>
    </row>
    <row r="56" spans="1:8" ht="12.75" customHeight="1">
      <c r="A56" s="34">
        <f t="shared" si="0"/>
        <v>46</v>
      </c>
      <c r="B56">
        <v>2015</v>
      </c>
      <c r="C56">
        <v>10</v>
      </c>
      <c r="D56">
        <v>0</v>
      </c>
      <c r="E56">
        <v>0</v>
      </c>
      <c r="F56">
        <v>1</v>
      </c>
      <c r="G56">
        <v>0</v>
      </c>
      <c r="H56">
        <v>0</v>
      </c>
    </row>
    <row r="57" spans="1:8" ht="12.75" customHeight="1">
      <c r="A57" s="34">
        <f t="shared" si="0"/>
        <v>47</v>
      </c>
      <c r="B57">
        <v>2015</v>
      </c>
      <c r="C57">
        <v>11</v>
      </c>
      <c r="D57">
        <v>0</v>
      </c>
      <c r="E57">
        <v>0</v>
      </c>
      <c r="F57">
        <v>0</v>
      </c>
      <c r="G57">
        <v>1</v>
      </c>
      <c r="H57">
        <v>0</v>
      </c>
    </row>
    <row r="58" spans="1:8" ht="12.75" customHeight="1">
      <c r="A58" s="34">
        <f t="shared" si="0"/>
        <v>48</v>
      </c>
      <c r="B58">
        <v>2015</v>
      </c>
      <c r="C58">
        <v>12</v>
      </c>
      <c r="D58">
        <v>0</v>
      </c>
      <c r="E58">
        <v>0</v>
      </c>
      <c r="F58">
        <v>0</v>
      </c>
      <c r="G58">
        <v>0</v>
      </c>
      <c r="H58">
        <v>1</v>
      </c>
    </row>
    <row r="59" spans="1:8" ht="12.75" customHeight="1">
      <c r="A59" s="34">
        <f t="shared" si="0"/>
        <v>49</v>
      </c>
      <c r="B59">
        <v>2016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ht="12.75" customHeight="1">
      <c r="A60" s="34">
        <f t="shared" si="0"/>
        <v>50</v>
      </c>
      <c r="B60">
        <v>2016</v>
      </c>
      <c r="C60">
        <v>2</v>
      </c>
      <c r="D60">
        <v>1</v>
      </c>
      <c r="E60">
        <v>0</v>
      </c>
      <c r="F60">
        <v>0</v>
      </c>
      <c r="G60">
        <v>0</v>
      </c>
      <c r="H60">
        <v>0</v>
      </c>
    </row>
    <row r="61" spans="1:8" ht="12.75" customHeight="1">
      <c r="A61" s="34">
        <f t="shared" si="0"/>
        <v>51</v>
      </c>
      <c r="B61">
        <v>2016</v>
      </c>
      <c r="C61">
        <v>3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ht="12.75" customHeight="1">
      <c r="A62" s="34">
        <f t="shared" si="0"/>
        <v>52</v>
      </c>
      <c r="B62">
        <v>2016</v>
      </c>
      <c r="C62">
        <v>4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ht="12.75" customHeight="1">
      <c r="A63" s="34">
        <f t="shared" si="0"/>
        <v>53</v>
      </c>
      <c r="B63">
        <v>2016</v>
      </c>
      <c r="C63">
        <v>5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ht="12.75" customHeight="1">
      <c r="A64" s="34">
        <f t="shared" si="0"/>
        <v>54</v>
      </c>
      <c r="B64">
        <v>2016</v>
      </c>
      <c r="C64">
        <v>6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ht="12.75" customHeight="1">
      <c r="A65" s="34">
        <f t="shared" si="0"/>
        <v>55</v>
      </c>
      <c r="B65">
        <v>2016</v>
      </c>
      <c r="C65">
        <v>7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ht="12.75" customHeight="1">
      <c r="A66" s="34">
        <f t="shared" si="0"/>
        <v>56</v>
      </c>
      <c r="B66">
        <v>2016</v>
      </c>
      <c r="C66">
        <v>8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ht="12.75" customHeight="1">
      <c r="A67" s="34">
        <f t="shared" si="0"/>
        <v>57</v>
      </c>
      <c r="B67">
        <v>2016</v>
      </c>
      <c r="C67">
        <v>9</v>
      </c>
      <c r="D67">
        <v>0</v>
      </c>
      <c r="E67">
        <v>1</v>
      </c>
      <c r="F67">
        <v>0</v>
      </c>
      <c r="G67">
        <v>0</v>
      </c>
      <c r="H67">
        <v>0</v>
      </c>
    </row>
    <row r="68" spans="1:8" ht="12.75" customHeight="1">
      <c r="A68" s="34">
        <f t="shared" si="0"/>
        <v>58</v>
      </c>
      <c r="B68">
        <v>2016</v>
      </c>
      <c r="C68">
        <v>10</v>
      </c>
      <c r="D68">
        <v>0</v>
      </c>
      <c r="E68">
        <v>0</v>
      </c>
      <c r="F68">
        <v>1</v>
      </c>
      <c r="G68">
        <v>0</v>
      </c>
      <c r="H68">
        <v>0</v>
      </c>
    </row>
    <row r="69" spans="1:8" ht="12.75" customHeight="1">
      <c r="A69" s="34">
        <f t="shared" si="0"/>
        <v>59</v>
      </c>
      <c r="B69">
        <v>2016</v>
      </c>
      <c r="C69">
        <v>11</v>
      </c>
      <c r="D69">
        <v>0</v>
      </c>
      <c r="E69">
        <v>0</v>
      </c>
      <c r="F69">
        <v>0</v>
      </c>
      <c r="G69">
        <v>1</v>
      </c>
      <c r="H69">
        <v>0</v>
      </c>
    </row>
    <row r="70" spans="1:8" ht="12.75" customHeight="1">
      <c r="A70" s="34">
        <f t="shared" si="0"/>
        <v>60</v>
      </c>
      <c r="B70">
        <v>2016</v>
      </c>
      <c r="C70">
        <v>12</v>
      </c>
      <c r="D70">
        <v>0</v>
      </c>
      <c r="E70">
        <v>0</v>
      </c>
      <c r="F70">
        <v>0</v>
      </c>
      <c r="G70">
        <v>0</v>
      </c>
      <c r="H70">
        <v>1</v>
      </c>
    </row>
    <row r="71" spans="1:8" ht="12.75" customHeight="1">
      <c r="A71" s="34">
        <f t="shared" si="0"/>
        <v>61</v>
      </c>
      <c r="B71">
        <v>2017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ht="12.75" customHeight="1">
      <c r="A72" s="34">
        <f t="shared" si="0"/>
        <v>62</v>
      </c>
      <c r="B72">
        <v>2017</v>
      </c>
      <c r="C72">
        <v>2</v>
      </c>
      <c r="D72">
        <v>1</v>
      </c>
      <c r="E72">
        <v>0</v>
      </c>
      <c r="F72">
        <v>0</v>
      </c>
      <c r="G72">
        <v>0</v>
      </c>
      <c r="H72">
        <v>0</v>
      </c>
    </row>
    <row r="73" spans="1:8" ht="12.75" customHeight="1">
      <c r="A73" s="34">
        <f t="shared" si="0"/>
        <v>63</v>
      </c>
      <c r="B73">
        <v>2017</v>
      </c>
      <c r="C73">
        <v>3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ht="12.75" customHeight="1">
      <c r="A74" s="34">
        <f t="shared" si="0"/>
        <v>64</v>
      </c>
      <c r="B74">
        <v>2017</v>
      </c>
      <c r="C74">
        <v>4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ht="12.75" customHeight="1">
      <c r="A75" s="34">
        <f t="shared" si="0"/>
        <v>65</v>
      </c>
      <c r="B75">
        <v>2017</v>
      </c>
      <c r="C75">
        <v>5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ht="12.75" customHeight="1">
      <c r="A76" s="34">
        <f t="shared" si="1" ref="A76:A125">+A75+1</f>
        <v>66</v>
      </c>
      <c r="B76">
        <v>2017</v>
      </c>
      <c r="C76">
        <v>6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ht="12.75" customHeight="1">
      <c r="A77" s="34">
        <f t="shared" si="1"/>
        <v>67</v>
      </c>
      <c r="B77">
        <v>2017</v>
      </c>
      <c r="C77">
        <v>7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ht="12.75" customHeight="1">
      <c r="A78" s="34">
        <f t="shared" si="1"/>
        <v>68</v>
      </c>
      <c r="B78">
        <v>2017</v>
      </c>
      <c r="C78">
        <v>8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ht="12.75" customHeight="1">
      <c r="A79" s="34">
        <f t="shared" si="1"/>
        <v>69</v>
      </c>
      <c r="B79">
        <v>2017</v>
      </c>
      <c r="C79">
        <v>9</v>
      </c>
      <c r="D79">
        <v>0</v>
      </c>
      <c r="E79">
        <v>1</v>
      </c>
      <c r="F79">
        <v>0</v>
      </c>
      <c r="G79">
        <v>0</v>
      </c>
      <c r="H79">
        <v>0</v>
      </c>
    </row>
    <row r="80" spans="1:8" ht="12.75" customHeight="1">
      <c r="A80" s="34">
        <f t="shared" si="1"/>
        <v>70</v>
      </c>
      <c r="B80">
        <v>2017</v>
      </c>
      <c r="C80">
        <v>10</v>
      </c>
      <c r="D80">
        <v>0</v>
      </c>
      <c r="E80">
        <v>0</v>
      </c>
      <c r="F80">
        <v>1</v>
      </c>
      <c r="G80">
        <v>0</v>
      </c>
      <c r="H80">
        <v>0</v>
      </c>
    </row>
    <row r="81" spans="1:8" ht="12.75" customHeight="1">
      <c r="A81" s="34">
        <f t="shared" si="1"/>
        <v>71</v>
      </c>
      <c r="B81">
        <v>2017</v>
      </c>
      <c r="C81">
        <v>11</v>
      </c>
      <c r="D81">
        <v>0</v>
      </c>
      <c r="E81">
        <v>0</v>
      </c>
      <c r="F81">
        <v>0</v>
      </c>
      <c r="G81">
        <v>1</v>
      </c>
      <c r="H81">
        <v>0</v>
      </c>
    </row>
    <row r="82" spans="1:8" ht="12.75" customHeight="1">
      <c r="A82" s="34">
        <f t="shared" si="1"/>
        <v>72</v>
      </c>
      <c r="B82">
        <v>2017</v>
      </c>
      <c r="C82">
        <v>12</v>
      </c>
      <c r="D82">
        <v>0</v>
      </c>
      <c r="E82">
        <v>0</v>
      </c>
      <c r="F82">
        <v>0</v>
      </c>
      <c r="G82">
        <v>0</v>
      </c>
      <c r="H82">
        <v>1</v>
      </c>
    </row>
    <row r="83" spans="1:8" ht="12.75" customHeight="1">
      <c r="A83" s="34">
        <f t="shared" si="1"/>
        <v>73</v>
      </c>
      <c r="B83">
        <v>2018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ht="12.75" customHeight="1">
      <c r="A84" s="34">
        <f t="shared" si="1"/>
        <v>74</v>
      </c>
      <c r="B84">
        <v>2018</v>
      </c>
      <c r="C84">
        <v>2</v>
      </c>
      <c r="D84">
        <v>1</v>
      </c>
      <c r="E84">
        <v>0</v>
      </c>
      <c r="F84">
        <v>0</v>
      </c>
      <c r="G84">
        <v>0</v>
      </c>
      <c r="H84">
        <v>0</v>
      </c>
    </row>
    <row r="85" spans="1:8" ht="12.75" customHeight="1">
      <c r="A85" s="34">
        <f t="shared" si="1"/>
        <v>75</v>
      </c>
      <c r="B85">
        <v>2018</v>
      </c>
      <c r="C85">
        <v>3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ht="12.75" customHeight="1">
      <c r="A86" s="34">
        <f t="shared" si="1"/>
        <v>76</v>
      </c>
      <c r="B86">
        <v>2018</v>
      </c>
      <c r="C86">
        <v>4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ht="12.75" customHeight="1">
      <c r="A87" s="34">
        <f t="shared" si="1"/>
        <v>77</v>
      </c>
      <c r="B87">
        <v>2018</v>
      </c>
      <c r="C87">
        <v>5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ht="12.75" customHeight="1">
      <c r="A88" s="34">
        <f t="shared" si="1"/>
        <v>78</v>
      </c>
      <c r="B88">
        <v>2018</v>
      </c>
      <c r="C88">
        <v>6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ht="12.75" customHeight="1">
      <c r="A89" s="34">
        <f t="shared" si="1"/>
        <v>79</v>
      </c>
      <c r="B89">
        <v>2018</v>
      </c>
      <c r="C89">
        <v>7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ht="12.75" customHeight="1">
      <c r="A90" s="34">
        <f t="shared" si="1"/>
        <v>80</v>
      </c>
      <c r="B90">
        <v>2018</v>
      </c>
      <c r="C90">
        <v>8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ht="12.75" customHeight="1">
      <c r="A91" s="34">
        <f t="shared" si="1"/>
        <v>81</v>
      </c>
      <c r="B91">
        <v>2018</v>
      </c>
      <c r="C91">
        <v>9</v>
      </c>
      <c r="D91">
        <v>0</v>
      </c>
      <c r="E91">
        <v>1</v>
      </c>
      <c r="F91">
        <v>0</v>
      </c>
      <c r="G91">
        <v>0</v>
      </c>
      <c r="H91">
        <v>0</v>
      </c>
    </row>
    <row r="92" spans="1:8" ht="12.75" customHeight="1">
      <c r="A92" s="34">
        <f t="shared" si="1"/>
        <v>82</v>
      </c>
      <c r="B92">
        <v>2018</v>
      </c>
      <c r="C92">
        <v>10</v>
      </c>
      <c r="D92">
        <v>0</v>
      </c>
      <c r="E92">
        <v>0</v>
      </c>
      <c r="F92">
        <v>1</v>
      </c>
      <c r="G92">
        <v>0</v>
      </c>
      <c r="H92">
        <v>0</v>
      </c>
    </row>
    <row r="93" spans="1:8" ht="12.75" customHeight="1">
      <c r="A93" s="34">
        <f t="shared" si="1"/>
        <v>83</v>
      </c>
      <c r="B93">
        <v>2018</v>
      </c>
      <c r="C93">
        <v>11</v>
      </c>
      <c r="D93">
        <v>0</v>
      </c>
      <c r="E93">
        <v>0</v>
      </c>
      <c r="F93">
        <v>0</v>
      </c>
      <c r="G93">
        <v>1</v>
      </c>
      <c r="H93">
        <v>0</v>
      </c>
    </row>
    <row r="94" spans="1:8" ht="12.75" customHeight="1">
      <c r="A94" s="34">
        <f t="shared" si="1"/>
        <v>84</v>
      </c>
      <c r="B94">
        <v>2018</v>
      </c>
      <c r="C94">
        <v>12</v>
      </c>
      <c r="D94">
        <v>0</v>
      </c>
      <c r="E94">
        <v>0</v>
      </c>
      <c r="F94">
        <v>0</v>
      </c>
      <c r="G94">
        <v>0</v>
      </c>
      <c r="H94">
        <v>1</v>
      </c>
    </row>
    <row r="95" spans="1:8" ht="12.75" customHeight="1">
      <c r="A95" s="34">
        <f t="shared" si="1"/>
        <v>85</v>
      </c>
      <c r="B95">
        <v>2019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ht="12.75" customHeight="1">
      <c r="A96" s="34">
        <f t="shared" si="1"/>
        <v>86</v>
      </c>
      <c r="B96">
        <v>2019</v>
      </c>
      <c r="C96">
        <v>2</v>
      </c>
      <c r="D96">
        <v>1</v>
      </c>
      <c r="E96">
        <v>0</v>
      </c>
      <c r="F96">
        <v>0</v>
      </c>
      <c r="G96">
        <v>0</v>
      </c>
      <c r="H96">
        <v>0</v>
      </c>
    </row>
    <row r="97" spans="1:8" ht="12.75" customHeight="1">
      <c r="A97" s="34">
        <f t="shared" si="1"/>
        <v>87</v>
      </c>
      <c r="B97">
        <v>2019</v>
      </c>
      <c r="C97">
        <v>3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ht="12.75" customHeight="1">
      <c r="A98" s="34">
        <f t="shared" si="1"/>
        <v>88</v>
      </c>
      <c r="B98">
        <v>2019</v>
      </c>
      <c r="C98">
        <v>4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ht="12.75" customHeight="1">
      <c r="A99" s="34">
        <f t="shared" si="1"/>
        <v>89</v>
      </c>
      <c r="B99">
        <v>2019</v>
      </c>
      <c r="C99">
        <v>5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ht="12.75" customHeight="1">
      <c r="A100" s="34">
        <f t="shared" si="1"/>
        <v>90</v>
      </c>
      <c r="B100">
        <v>2019</v>
      </c>
      <c r="C100">
        <v>6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ht="12.75" customHeight="1">
      <c r="A101" s="34">
        <f t="shared" si="1"/>
        <v>91</v>
      </c>
      <c r="B101">
        <v>2019</v>
      </c>
      <c r="C101">
        <v>7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s="18" customFormat="1" ht="12.75" customHeight="1">
      <c r="A102" s="34">
        <f t="shared" si="1"/>
        <v>92</v>
      </c>
      <c r="B102">
        <v>2019</v>
      </c>
      <c r="C102">
        <v>8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</row>
    <row r="103" spans="1:8" s="18" customFormat="1" ht="12.75" customHeight="1">
      <c r="A103" s="34">
        <f t="shared" si="1"/>
        <v>93</v>
      </c>
      <c r="B103">
        <v>2019</v>
      </c>
      <c r="C103">
        <v>9</v>
      </c>
      <c r="D103" s="18">
        <v>0</v>
      </c>
      <c r="E103" s="18">
        <v>1</v>
      </c>
      <c r="F103" s="18">
        <v>0</v>
      </c>
      <c r="G103" s="18">
        <v>0</v>
      </c>
      <c r="H103" s="18">
        <v>0</v>
      </c>
    </row>
    <row r="104" spans="1:8" ht="12.75" customHeight="1">
      <c r="A104" s="34">
        <f t="shared" si="1"/>
        <v>94</v>
      </c>
      <c r="B104">
        <v>2019</v>
      </c>
      <c r="C104">
        <v>10</v>
      </c>
      <c r="D104">
        <v>0</v>
      </c>
      <c r="E104">
        <v>0</v>
      </c>
      <c r="F104">
        <v>1</v>
      </c>
      <c r="G104">
        <v>0</v>
      </c>
      <c r="H104">
        <v>0</v>
      </c>
    </row>
    <row r="105" spans="1:8" ht="12.75" customHeight="1">
      <c r="A105" s="34">
        <f t="shared" si="1"/>
        <v>95</v>
      </c>
      <c r="B105">
        <v>2019</v>
      </c>
      <c r="C105">
        <v>11</v>
      </c>
      <c r="D105">
        <v>0</v>
      </c>
      <c r="E105">
        <v>0</v>
      </c>
      <c r="F105">
        <v>0</v>
      </c>
      <c r="G105">
        <v>1</v>
      </c>
      <c r="H105">
        <v>0</v>
      </c>
    </row>
    <row r="106" spans="1:8" ht="12.75" customHeight="1">
      <c r="A106" s="34">
        <f t="shared" si="1"/>
        <v>96</v>
      </c>
      <c r="B106">
        <v>2019</v>
      </c>
      <c r="C106">
        <v>12</v>
      </c>
      <c r="D106">
        <v>0</v>
      </c>
      <c r="E106">
        <v>0</v>
      </c>
      <c r="F106">
        <v>0</v>
      </c>
      <c r="G106">
        <v>0</v>
      </c>
      <c r="H106">
        <v>1</v>
      </c>
    </row>
    <row r="107" spans="1:8" ht="12.75" customHeight="1">
      <c r="A107" s="34">
        <f t="shared" si="1"/>
        <v>97</v>
      </c>
      <c r="B107">
        <v>2020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ht="12.75" customHeight="1">
      <c r="A108" s="34">
        <f t="shared" si="1"/>
        <v>98</v>
      </c>
      <c r="B108">
        <v>2020</v>
      </c>
      <c r="C108">
        <v>2</v>
      </c>
      <c r="D108">
        <v>1</v>
      </c>
      <c r="E108">
        <v>0</v>
      </c>
      <c r="F108">
        <v>0</v>
      </c>
      <c r="G108">
        <v>0</v>
      </c>
      <c r="H108">
        <v>0</v>
      </c>
    </row>
    <row r="109" spans="1:8" ht="12.75" customHeight="1">
      <c r="A109" s="34">
        <f t="shared" si="1"/>
        <v>99</v>
      </c>
      <c r="B109">
        <v>2020</v>
      </c>
      <c r="C109">
        <v>3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ht="12.75" customHeight="1">
      <c r="A110" s="34">
        <f t="shared" si="1"/>
        <v>100</v>
      </c>
      <c r="B110">
        <v>2020</v>
      </c>
      <c r="C110">
        <v>4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ht="12.75" customHeight="1">
      <c r="A111" s="34">
        <f t="shared" si="1"/>
        <v>101</v>
      </c>
      <c r="B111">
        <v>2020</v>
      </c>
      <c r="C111">
        <v>5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ht="12.75" customHeight="1">
      <c r="A112" s="34">
        <f t="shared" si="1"/>
        <v>102</v>
      </c>
      <c r="B112">
        <v>2020</v>
      </c>
      <c r="C112">
        <v>6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ht="12.75" customHeight="1">
      <c r="A113" s="34">
        <f t="shared" si="1"/>
        <v>103</v>
      </c>
      <c r="B113">
        <v>2020</v>
      </c>
      <c r="C113">
        <v>7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ht="12.75" customHeight="1">
      <c r="A114" s="34">
        <f t="shared" si="1"/>
        <v>104</v>
      </c>
      <c r="B114">
        <v>2020</v>
      </c>
      <c r="C114">
        <v>8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ht="12.75" customHeight="1">
      <c r="A115" s="34">
        <f t="shared" si="1"/>
        <v>105</v>
      </c>
      <c r="B115">
        <v>2020</v>
      </c>
      <c r="C115">
        <v>9</v>
      </c>
      <c r="D115">
        <v>0</v>
      </c>
      <c r="E115">
        <v>1</v>
      </c>
      <c r="F115">
        <v>0</v>
      </c>
      <c r="G115">
        <v>0</v>
      </c>
      <c r="H115">
        <v>0</v>
      </c>
    </row>
    <row r="116" spans="1:8" ht="12.75" customHeight="1">
      <c r="A116" s="34">
        <f t="shared" si="1"/>
        <v>106</v>
      </c>
      <c r="B116">
        <v>2020</v>
      </c>
      <c r="C116">
        <v>10</v>
      </c>
      <c r="D116">
        <v>0</v>
      </c>
      <c r="E116">
        <v>0</v>
      </c>
      <c r="F116">
        <v>1</v>
      </c>
      <c r="G116">
        <v>0</v>
      </c>
      <c r="H116">
        <v>0</v>
      </c>
    </row>
    <row r="117" spans="1:8" ht="12.75" customHeight="1">
      <c r="A117" s="34">
        <f t="shared" si="1"/>
        <v>107</v>
      </c>
      <c r="B117">
        <v>2020</v>
      </c>
      <c r="C117">
        <v>11</v>
      </c>
      <c r="D117">
        <v>0</v>
      </c>
      <c r="E117">
        <v>0</v>
      </c>
      <c r="F117">
        <v>0</v>
      </c>
      <c r="G117">
        <v>1</v>
      </c>
      <c r="H117">
        <v>0</v>
      </c>
    </row>
    <row r="118" spans="1:8" ht="12.75" customHeight="1">
      <c r="A118" s="34">
        <f t="shared" si="1"/>
        <v>108</v>
      </c>
      <c r="B118">
        <v>2020</v>
      </c>
      <c r="C118">
        <v>12</v>
      </c>
      <c r="D118">
        <v>0</v>
      </c>
      <c r="E118">
        <v>0</v>
      </c>
      <c r="F118">
        <v>0</v>
      </c>
      <c r="G118">
        <v>0</v>
      </c>
      <c r="H118">
        <v>1</v>
      </c>
    </row>
    <row r="119" spans="1:8" ht="12.75" customHeight="1">
      <c r="A119" s="34">
        <f t="shared" si="1"/>
        <v>109</v>
      </c>
      <c r="B119">
        <v>2021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ht="12.75" customHeight="1">
      <c r="A120" s="34">
        <f t="shared" si="1"/>
        <v>110</v>
      </c>
      <c r="B120">
        <v>2021</v>
      </c>
      <c r="C120">
        <v>2</v>
      </c>
      <c r="D120">
        <v>1</v>
      </c>
      <c r="E120">
        <v>0</v>
      </c>
      <c r="F120">
        <v>0</v>
      </c>
      <c r="G120">
        <v>0</v>
      </c>
      <c r="H120">
        <v>0</v>
      </c>
    </row>
    <row r="121" spans="1:8" ht="12.75" customHeight="1">
      <c r="A121" s="34">
        <f t="shared" si="1"/>
        <v>111</v>
      </c>
      <c r="B121">
        <v>2021</v>
      </c>
      <c r="C121">
        <v>3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ht="12.75" customHeight="1">
      <c r="A122" s="34">
        <f t="shared" si="1"/>
        <v>112</v>
      </c>
      <c r="B122">
        <v>2021</v>
      </c>
      <c r="C122">
        <v>4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ht="13.5" customHeight="1">
      <c r="A123" s="34">
        <f t="shared" si="1"/>
        <v>113</v>
      </c>
      <c r="B123">
        <v>2021</v>
      </c>
      <c r="C123">
        <v>5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ht="12.75" customHeight="1">
      <c r="A124" s="34">
        <f t="shared" si="1"/>
        <v>114</v>
      </c>
      <c r="B124">
        <v>2021</v>
      </c>
      <c r="C124">
        <v>6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ht="12.75" customHeight="1">
      <c r="A125" s="34">
        <f t="shared" si="1"/>
        <v>115</v>
      </c>
      <c r="B125">
        <v>2021</v>
      </c>
      <c r="C125">
        <v>7</v>
      </c>
      <c r="D125">
        <v>0</v>
      </c>
      <c r="E125">
        <v>0</v>
      </c>
      <c r="F125">
        <v>0</v>
      </c>
      <c r="G125">
        <v>0</v>
      </c>
      <c r="H125">
        <v>0</v>
      </c>
    </row>
  </sheetData>
  <mergeCells count="6">
    <mergeCell ref="B6:H6"/>
    <mergeCell ref="B9:H9"/>
    <mergeCell ref="B1:H1"/>
    <mergeCell ref="B2:H2"/>
    <mergeCell ref="B3:H3"/>
    <mergeCell ref="B4:H4"/>
  </mergeCells>
  <pageMargins left="1.5" right="0.75" top="1" bottom="1" header="0.5" footer="0.5"/>
  <pageSetup orientation="portrait" scale="61" r:id="rId1"/>
  <headerFooter alignWithMargins="0">
    <oddHeader>&amp;RSchedule II-H-2.2
Page &amp;P of &amp;N</oddHeader>
  </headerFooter>
  <rowBreaks count="2" manualBreakCount="2">
    <brk id="58" max="7" man="1"/>
    <brk id="106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Introduction</vt:lpstr>
      <vt:lpstr>RES Data</vt:lpstr>
      <vt:lpstr>SECLE10KW Data</vt:lpstr>
      <vt:lpstr>SECGT10KW Data </vt:lpstr>
      <vt:lpstr>PRMGT10KWD Data</vt:lpstr>
      <vt:lpstr>SUBSTATION Data</vt:lpstr>
      <vt:lpstr>RES B Data</vt:lpstr>
      <vt:lpstr>SECLE10KW B Data</vt:lpstr>
      <vt:lpstr>SECGT10KW B DATA</vt:lpstr>
      <vt:lpstr>PRMGT10KWD B DATA</vt:lpstr>
      <vt:lpstr>SUBSTATION B DATA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