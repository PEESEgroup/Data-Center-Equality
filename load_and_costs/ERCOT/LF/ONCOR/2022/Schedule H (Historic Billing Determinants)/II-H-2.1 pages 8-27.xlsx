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8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9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0.xml" ContentType="application/vnd.openxmlformats-officedocument.drawing+xml"/>
  <Override PartName="/xl/worksheets/sheet20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wmf" ContentType="image/x-wmf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H (Historic Billing Determinants)\"/>
    </mc:Choice>
  </mc:AlternateContent>
  <bookViews>
    <workbookView xWindow="7668" yWindow="-12" windowWidth="5940" windowHeight="3756" tabRatio="598" activeTab="0"/>
  </bookViews>
  <sheets>
    <sheet name="RES Model" sheetId="51" r:id="rId2"/>
    <sheet name="RES Model Graph" sheetId="77" r:id="rId3"/>
    <sheet name="SECLE10KW Model" sheetId="52" r:id="rId4"/>
    <sheet name="SECLE10KW Model Graph" sheetId="79" r:id="rId5"/>
    <sheet name="SECGT10KW Model" sheetId="54" r:id="rId6"/>
    <sheet name="SECGT10KW Model Graph" sheetId="81" r:id="rId7"/>
    <sheet name="PRMGT10KWD Model" sheetId="112" r:id="rId8"/>
    <sheet name="PRMGT10KWD Model Graph" sheetId="113" r:id="rId9"/>
    <sheet name="SUB Model" sheetId="101" r:id="rId10"/>
    <sheet name="SUB Model Graph" sheetId="102" r:id="rId11"/>
    <sheet name="RES B Model" sheetId="68" r:id="rId12"/>
    <sheet name="RES B Model Graph" sheetId="78" r:id="rId13"/>
    <sheet name="SECLE10KW B Model" sheetId="120" r:id="rId14"/>
    <sheet name="SECLE10KW B Model Graph" sheetId="121" r:id="rId15"/>
    <sheet name="SECGT10KW B Model" sheetId="72" r:id="rId16"/>
    <sheet name="SECGT10KW B Model Graph" sheetId="82" r:id="rId17"/>
    <sheet name="PRMGT10KWD B Model" sheetId="76" r:id="rId18"/>
    <sheet name="PRMGT10KWD B Model Graph" sheetId="84" r:id="rId19"/>
    <sheet name="SUB B Model" sheetId="95" r:id="rId20"/>
    <sheet name="SUB B Model Graph" sheetId="96" r:id="rId21"/>
  </sheets>
  <definedNames/>
  <calcPr calcId="152511"/>
</workbook>
</file>

<file path=xl/calcChain.xml><?xml version="1.0" encoding="utf-8"?>
<calcChain xmlns="http://schemas.openxmlformats.org/spreadsheetml/2006/main">
  <c r="A59" i="51" l="1"/>
</calcChain>
</file>

<file path=xl/sharedStrings.xml><?xml version="1.0" encoding="utf-8"?>
<sst xmlns="http://schemas.openxmlformats.org/spreadsheetml/2006/main" count="553" uniqueCount="108">
  <si>
    <t>Variable</t>
  </si>
  <si>
    <t>Coefficient</t>
  </si>
  <si>
    <t>StdErr</t>
  </si>
  <si>
    <t>T-Stat</t>
  </si>
  <si>
    <t>P-Value</t>
  </si>
  <si>
    <t>Dependent Variable:</t>
  </si>
  <si>
    <t>Estimation Begin Date:</t>
  </si>
  <si>
    <t>Estimation End Date:</t>
  </si>
  <si>
    <t>Deg. of Freedom for Error</t>
  </si>
  <si>
    <t>R-Squared</t>
  </si>
  <si>
    <t>Adjusted R-Squared</t>
  </si>
  <si>
    <t>Durbin-Watson Statistic</t>
  </si>
  <si>
    <t>F-Statistic</t>
  </si>
  <si>
    <t>Prob (F-Statistic)</t>
  </si>
  <si>
    <t>Model Sum of Squares</t>
  </si>
  <si>
    <t>Sum of Squared Errors</t>
  </si>
  <si>
    <t>Mean Squared Error</t>
  </si>
  <si>
    <t>Std. Error of Regression</t>
  </si>
  <si>
    <t>Line</t>
  </si>
  <si>
    <t>No.</t>
  </si>
  <si>
    <t>(a)</t>
  </si>
  <si>
    <t>(b)</t>
  </si>
  <si>
    <t>(d)</t>
  </si>
  <si>
    <t>(e)</t>
  </si>
  <si>
    <t>(c)</t>
  </si>
  <si>
    <t>Adjusted Observations</t>
  </si>
  <si>
    <t xml:space="preserve">PUC DOCKET NO. </t>
  </si>
  <si>
    <t>RESIDENTIAL MODEL</t>
  </si>
  <si>
    <t>CalVars.Jan</t>
  </si>
  <si>
    <t>CalVars.Feb</t>
  </si>
  <si>
    <t>CalVars.Mar</t>
  </si>
  <si>
    <t>CalVars.Apr</t>
  </si>
  <si>
    <t>CalVars.May</t>
  </si>
  <si>
    <t>CalVars.Jun</t>
  </si>
  <si>
    <t>CalVars.Jul</t>
  </si>
  <si>
    <t>CalVars.Aug</t>
  </si>
  <si>
    <t>CalVars.Sep</t>
  </si>
  <si>
    <t>CalVars.Oct</t>
  </si>
  <si>
    <t>CalVars.Nov</t>
  </si>
  <si>
    <t>Res_UPC_Day</t>
  </si>
  <si>
    <t>SS_UPC_Day</t>
  </si>
  <si>
    <t>CalVars.Dec</t>
  </si>
  <si>
    <t>AR(1)</t>
  </si>
  <si>
    <t>LS_UPC_Day</t>
  </si>
  <si>
    <t>After Corrective Procedures for Autocorrelation</t>
  </si>
  <si>
    <t>Before Corrective Procedures for Autocorrelation</t>
  </si>
  <si>
    <t>SECONDARY SERVICE LESS THAN OR EQUAL TO 10 KW  MODEL</t>
  </si>
  <si>
    <t>SECONDARY SERVICE GREATER THAN 10 KW MODEL</t>
  </si>
  <si>
    <t>RESIDENTIAL  (B) MODEL</t>
  </si>
  <si>
    <t>SECONDARY SERVICE LESS THAN OR EQUAL TO 10 KW  (B) MODEL</t>
  </si>
  <si>
    <t>SECONDARY SERVICE GREATER THAN 10 KW (B) MODEL</t>
  </si>
  <si>
    <t>SPONSOR: D. E. NELSON</t>
  </si>
  <si>
    <t>ResVars.XOther</t>
  </si>
  <si>
    <t>Model Statistics</t>
  </si>
  <si>
    <t>AR(2)</t>
  </si>
  <si>
    <t>AR(3)</t>
  </si>
  <si>
    <t>AR(4)</t>
  </si>
  <si>
    <t>AR(5)</t>
  </si>
  <si>
    <t>Constant_Shifts.NOV2015</t>
  </si>
  <si>
    <t>ONCOR ELECTRIC DELIVERY COMPANY LLC</t>
  </si>
  <si>
    <t>MODEL INFORMATION</t>
  </si>
  <si>
    <t>Ljung-Box Statistic</t>
  </si>
  <si>
    <t>Prob (Ljung-Box)</t>
  </si>
  <si>
    <t>Residential Model</t>
  </si>
  <si>
    <t>Residential B Model</t>
  </si>
  <si>
    <t>Secondary Service Less Than or Equal to 10 KW Model</t>
  </si>
  <si>
    <t>Secondary Service Less Than or Equal to 10 KW B Model</t>
  </si>
  <si>
    <t>Secondary Service Greater Than 10 KW Model</t>
  </si>
  <si>
    <t>Secondary Service Greater Than 10 KW B Model</t>
  </si>
  <si>
    <t>DP_UPD</t>
  </si>
  <si>
    <t>SUB_UPD</t>
  </si>
  <si>
    <t>MA(1)</t>
  </si>
  <si>
    <t>MA(2)</t>
  </si>
  <si>
    <t>MA(3)</t>
  </si>
  <si>
    <t>MA(4)</t>
  </si>
  <si>
    <t>MA(5)</t>
  </si>
  <si>
    <t>ResVars.XOtherTrend</t>
  </si>
  <si>
    <t>Economic_Demogr_Data.DFW_ESRV</t>
  </si>
  <si>
    <t>MA(6)</t>
  </si>
  <si>
    <t>Economic_Demogr_Data.EMFGONCOR</t>
  </si>
  <si>
    <t>DATAforSales4cast.GMPR</t>
  </si>
  <si>
    <t>FOR THE TEST YEAR ENDING DECEMBER 31, 2021</t>
  </si>
  <si>
    <t>Cyc_WthrTNew.XHeatNew</t>
  </si>
  <si>
    <t>Mean Abs. Dev. (MAD)</t>
  </si>
  <si>
    <t>Mean Abs. % Err. (MAPE)</t>
  </si>
  <si>
    <t>ResVars.XHeatTrendNew</t>
  </si>
  <si>
    <t>ResVars.XCoolTrendNew</t>
  </si>
  <si>
    <t>Cyc_WthrTNew.SS_HDDNew</t>
  </si>
  <si>
    <t>Cyc_WthrTNew.SS_CDDNew</t>
  </si>
  <si>
    <t>Cyc_WthrTNew.LS_HDDNew</t>
  </si>
  <si>
    <t>Cyc_WthrTNew.LS_CDDNew</t>
  </si>
  <si>
    <t>Cyc_WthrTNew.LP_CDDNew</t>
  </si>
  <si>
    <t>Cyc_WthrTNew.SUB_CDDNew</t>
  </si>
  <si>
    <t>Cyc_WthrTNew.XCoolNew</t>
  </si>
  <si>
    <t>MA(7)</t>
  </si>
  <si>
    <t>MA(8)</t>
  </si>
  <si>
    <t>MA(9)</t>
  </si>
  <si>
    <t>MA(10)</t>
  </si>
  <si>
    <t>MA(11)</t>
  </si>
  <si>
    <t>MA(12)</t>
  </si>
  <si>
    <t>PRIMARY SERVICE GREATER THAN 10 KW Distribution Line (B) MODEL</t>
  </si>
  <si>
    <t>Primary Service Greater Than 10 KW Distribution Line Model</t>
  </si>
  <si>
    <t>Primary Service Greater Than 10 KW Substation Model</t>
  </si>
  <si>
    <t>PRIMARY SERVICE GREATER THAN 10 KW SUBSTATION MODEL</t>
  </si>
  <si>
    <t>Primary Service Greater Than 10 KW Distribution Line B Model</t>
  </si>
  <si>
    <t>PRIMARY SERVICE GREATER THAN 10 KW SUBSTATION B MODEL</t>
  </si>
  <si>
    <t>Primary Service Greater Than 10 KW Substation B Model</t>
  </si>
  <si>
    <t>PRIMARY SERVICE GREATER THAN 10 KW Distribution Line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</si>
</sst>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.000"/>
    <numFmt numFmtId="165" formatCode="#,##0.000"/>
    <numFmt numFmtId="166" formatCode="0.0000"/>
    <numFmt numFmtId="167" formatCode="mmm\-yyyy"/>
    <numFmt numFmtId="168" formatCode="0.000;\-0.000"/>
    <numFmt numFmtId="169" formatCode="0.00%;\-0.00%"/>
    <numFmt numFmtId="170" formatCode="0;\-0"/>
    <numFmt numFmtId="171" formatCode="#,##0.0000"/>
  </numFmts>
  <fonts count="8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u val="single"/>
      <sz val="9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/>
      <protection/>
    </xf>
  </cellStyleXfs>
  <cellXfs count="44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/>
    <xf numFmtId="0" fontId="4" fillId="2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 quotePrefix="1">
      <alignment horizontal="center"/>
    </xf>
    <xf numFmtId="10" fontId="0" fillId="0" borderId="0" xfId="0" applyNumberFormat="1"/>
    <xf numFmtId="167" fontId="5" fillId="0" borderId="0" xfId="0" applyNumberFormat="1" applyFont="1" applyAlignment="1">
      <alignment horizontal="left"/>
    </xf>
    <xf numFmtId="10" fontId="4" fillId="0" borderId="0" xfId="0" applyNumberFormat="1" applyFont="1" applyAlignment="1">
      <alignment horizontal="left" vertical="center"/>
    </xf>
    <xf numFmtId="10" fontId="4" fillId="0" borderId="0" xfId="0" applyNumberFormat="1" applyFont="1" applyAlignment="1">
      <alignment horizontal="right" vertical="center"/>
    </xf>
    <xf numFmtId="10" fontId="0" fillId="0" borderId="0" xfId="0" applyNumberFormat="1" applyAlignment="1">
      <alignment horizontal="right"/>
    </xf>
    <xf numFmtId="168" fontId="0" fillId="0" borderId="0" xfId="0" applyNumberFormat="1"/>
    <xf numFmtId="169" fontId="0" fillId="0" borderId="0" xfId="0" applyNumberFormat="1"/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70" fontId="0" fillId="0" borderId="0" xfId="0" applyNumberFormat="1" applyAlignment="1">
      <alignment horizontal="right" vertical="center"/>
    </xf>
    <xf numFmtId="0" fontId="0" fillId="2" borderId="0" xfId="0" applyFill="1" applyBorder="1" applyAlignment="1">
      <alignment horizontal="center" vertical="center"/>
    </xf>
    <xf numFmtId="1" fontId="0" fillId="0" borderId="0" xfId="0" applyNumberFormat="1" applyAlignment="1">
      <alignment horizontal="right" vertical="center"/>
    </xf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3" fontId="0" fillId="0" borderId="0" xfId="0" applyNumberFormat="1"/>
    <xf numFmtId="166" fontId="0" fillId="0" borderId="0" xfId="0" applyNumberFormat="1"/>
    <xf numFmtId="0" fontId="4" fillId="0" borderId="0" xfId="0" applyFont="1" applyFill="1" applyBorder="1" applyAlignment="1">
      <alignment horizontal="center" vertical="center"/>
    </xf>
    <xf numFmtId="0" fontId="0" fillId="0" borderId="0" xfId="0" applyFill="1"/>
    <xf numFmtId="4" fontId="0" fillId="0" borderId="0" xfId="0" applyNumberFormat="1"/>
    <xf numFmtId="165" fontId="0" fillId="0" borderId="0" xfId="0" applyNumberFormat="1"/>
    <xf numFmtId="0" fontId="0" fillId="0" borderId="0" xfId="0" applyFont="1"/>
    <xf numFmtId="165" fontId="0" fillId="0" borderId="0" xfId="0" applyNumberFormat="1" applyFill="1"/>
    <xf numFmtId="164" fontId="0" fillId="0" borderId="0" xfId="0" applyNumberFormat="1" applyFill="1"/>
    <xf numFmtId="2" fontId="0" fillId="0" borderId="0" xfId="0" applyNumberFormat="1" applyFill="1"/>
    <xf numFmtId="166" fontId="0" fillId="0" borderId="0" xfId="0" applyNumberFormat="1" applyFill="1"/>
    <xf numFmtId="4" fontId="0" fillId="0" borderId="0" xfId="0" applyNumberFormat="1" applyFill="1"/>
    <xf numFmtId="3" fontId="0" fillId="0" borderId="0" xfId="0" applyNumberFormat="1" applyFill="1"/>
    <xf numFmtId="171" fontId="0" fillId="0" borderId="0" xfId="0" applyNumberFormat="1" applyFill="1"/>
    <xf numFmtId="167" fontId="5" fillId="0" borderId="0" xfId="0" applyNumberFormat="1" applyFont="1" applyFill="1" applyAlignment="1">
      <alignment horizontal="left"/>
    </xf>
    <xf numFmtId="1" fontId="0" fillId="0" borderId="0" xfId="0" applyNumberFormat="1" applyFill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/>
    </xf>
    <xf numFmtId="0" fontId="7" fillId="0" borderId="0" xfId="0" applyFont="1" applyAlignment="1">
      <alignment horizontal="center" vertical="center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2.xml" /><Relationship Id="rId22" Type="http://schemas.openxmlformats.org/officeDocument/2006/relationships/styles" Target="styles.xml" /><Relationship Id="rId23" Type="http://schemas.openxmlformats.org/officeDocument/2006/relationships/sharedStrings" Target="sharedStrings.xml" /><Relationship Id="rId5" Type="http://schemas.openxmlformats.org/officeDocument/2006/relationships/worksheet" Target="worksheets/sheet4.xml" /><Relationship Id="rId7" Type="http://schemas.openxmlformats.org/officeDocument/2006/relationships/worksheet" Target="worksheets/sheet6.xml" /><Relationship Id="rId9" Type="http://schemas.openxmlformats.org/officeDocument/2006/relationships/worksheet" Target="worksheets/sheet8.xml" /><Relationship Id="rId2" Type="http://schemas.openxmlformats.org/officeDocument/2006/relationships/worksheet" Target="worksheets/sheet1.xml" /><Relationship Id="rId18" Type="http://schemas.openxmlformats.org/officeDocument/2006/relationships/worksheet" Target="worksheets/sheet17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worksheet" Target="worksheets/sheet16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" Type="http://schemas.openxmlformats.org/officeDocument/2006/relationships/theme" Target="theme/theme1.xml" /><Relationship Id="rId4" Type="http://schemas.openxmlformats.org/officeDocument/2006/relationships/worksheet" Target="worksheets/sheet3.xml" /><Relationship Id="rId6" Type="http://schemas.openxmlformats.org/officeDocument/2006/relationships/worksheet" Target="worksheets/sheet5.xml" /><Relationship Id="rId8" Type="http://schemas.openxmlformats.org/officeDocument/2006/relationships/worksheet" Target="worksheets/sheet7.xml" /><Relationship Id="rId19" Type="http://schemas.openxmlformats.org/officeDocument/2006/relationships/worksheet" Target="worksheets/sheet18.xml" /><Relationship Id="rId13" Type="http://schemas.openxmlformats.org/officeDocument/2006/relationships/worksheet" Target="worksheets/sheet12.xml" /><Relationship Id="rId21" Type="http://schemas.openxmlformats.org/officeDocument/2006/relationships/worksheet" Target="worksheets/sheet20.xml" /><Relationship Id="rId24" Type="http://schemas.openxmlformats.org/officeDocument/2006/relationships/calcChain" Target="calcChain.xml" /><Relationship Id="rId20" Type="http://schemas.openxmlformats.org/officeDocument/2006/relationships/worksheet" Target="worksheets/sheet19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11</xdr:row>
      <xdr:rowOff>0</xdr:rowOff>
    </xdr:from>
    <xdr:to>
      <xdr:col>7</xdr:col>
      <xdr:colOff>534399</xdr:colOff>
      <xdr:row>36</xdr:row>
      <xdr:rowOff>75667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1933575"/>
          <a:ext cx="7058025" cy="4124325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11</xdr:row>
      <xdr:rowOff>0</xdr:rowOff>
    </xdr:from>
    <xdr:to>
      <xdr:col>7</xdr:col>
      <xdr:colOff>534399</xdr:colOff>
      <xdr:row>36</xdr:row>
      <xdr:rowOff>75667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1933575"/>
          <a:ext cx="7058025" cy="4124325"/>
        </a:xfrm>
        <a:prstGeom prst="rect"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11</xdr:row>
      <xdr:rowOff>0</xdr:rowOff>
    </xdr:from>
    <xdr:to>
      <xdr:col>7</xdr:col>
      <xdr:colOff>534399</xdr:colOff>
      <xdr:row>36</xdr:row>
      <xdr:rowOff>75667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1933575"/>
          <a:ext cx="7058025" cy="4124325"/>
        </a:xfrm>
        <a:prstGeom prst="rect"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11</xdr:row>
      <xdr:rowOff>0</xdr:rowOff>
    </xdr:from>
    <xdr:to>
      <xdr:col>7</xdr:col>
      <xdr:colOff>534399</xdr:colOff>
      <xdr:row>36</xdr:row>
      <xdr:rowOff>75667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1933575"/>
          <a:ext cx="7058025" cy="4124325"/>
        </a:xfrm>
        <a:prstGeom prst="rect"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11</xdr:row>
      <xdr:rowOff>0</xdr:rowOff>
    </xdr:from>
    <xdr:to>
      <xdr:col>7</xdr:col>
      <xdr:colOff>534399</xdr:colOff>
      <xdr:row>36</xdr:row>
      <xdr:rowOff>75667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1933575"/>
          <a:ext cx="7058025" cy="4124325"/>
        </a:xfrm>
        <a:prstGeom prst="rect"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11</xdr:row>
      <xdr:rowOff>0</xdr:rowOff>
    </xdr:from>
    <xdr:to>
      <xdr:col>7</xdr:col>
      <xdr:colOff>587739</xdr:colOff>
      <xdr:row>36</xdr:row>
      <xdr:rowOff>75667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1933575"/>
          <a:ext cx="7058025" cy="4124325"/>
        </a:xfrm>
        <a:prstGeom prst="rect"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11</xdr:row>
      <xdr:rowOff>0</xdr:rowOff>
    </xdr:from>
    <xdr:to>
      <xdr:col>7</xdr:col>
      <xdr:colOff>534399</xdr:colOff>
      <xdr:row>36</xdr:row>
      <xdr:rowOff>75667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1933575"/>
          <a:ext cx="7058025" cy="4124325"/>
        </a:xfrm>
        <a:prstGeom prst="rect"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11</xdr:row>
      <xdr:rowOff>0</xdr:rowOff>
    </xdr:from>
    <xdr:to>
      <xdr:col>7</xdr:col>
      <xdr:colOff>534399</xdr:colOff>
      <xdr:row>36</xdr:row>
      <xdr:rowOff>75667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1933575"/>
          <a:ext cx="7058025" cy="4124325"/>
        </a:xfrm>
        <a:prstGeom prst="rect"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11</xdr:row>
      <xdr:rowOff>0</xdr:rowOff>
    </xdr:from>
    <xdr:to>
      <xdr:col>7</xdr:col>
      <xdr:colOff>534399</xdr:colOff>
      <xdr:row>36</xdr:row>
      <xdr:rowOff>75667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1933575"/>
          <a:ext cx="7058025" cy="4124325"/>
        </a:xfrm>
        <a:prstGeom prst="rect"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11</xdr:row>
      <xdr:rowOff>0</xdr:rowOff>
    </xdr:from>
    <xdr:to>
      <xdr:col>7</xdr:col>
      <xdr:colOff>534399</xdr:colOff>
      <xdr:row>36</xdr:row>
      <xdr:rowOff>75667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1933575"/>
          <a:ext cx="7058025" cy="412432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 /><Relationship Id="rId2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 /><Relationship Id="rId2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 /><Relationship Id="rId2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 /><Relationship Id="rId2" Type="http://schemas.openxmlformats.org/officeDocument/2006/relationships/printerSettings" Target="../printerSettings/printerSettings20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">
    <pageSetUpPr fitToPage="1"/>
  </sheetPr>
  <dimension ref="A1:F60"/>
  <sheetViews>
    <sheetView tabSelected="1" workbookViewId="0" topLeftCell="A1"/>
  </sheetViews>
  <sheetFormatPr defaultRowHeight="13.5"/>
  <cols>
    <col min="1" max="1" width="9.28571428571429" bestFit="1" customWidth="1"/>
    <col min="2" max="2" width="26.8571428571429" bestFit="1" customWidth="1"/>
    <col min="3" max="3" width="12.5714285714286" customWidth="1"/>
    <col min="4" max="5" width="9.28571428571429" bestFit="1" customWidth="1"/>
    <col min="6" max="6" width="9.28571428571429" customWidth="1"/>
  </cols>
  <sheetData>
    <row r="1" spans="1:6" s="1" customFormat="1" ht="15.6">
      <c r="A1" s="5"/>
      <c r="B1" s="39" t="s">
        <v>26</v>
      </c>
      <c r="C1" s="39"/>
      <c r="D1" s="39"/>
      <c r="E1" s="39"/>
      <c r="F1" s="39"/>
    </row>
    <row r="2" spans="1:6" s="1" customFormat="1" ht="15.6">
      <c r="A2" s="5"/>
      <c r="B2" s="39" t="s">
        <v>59</v>
      </c>
      <c r="C2" s="39"/>
      <c r="D2" s="39"/>
      <c r="E2" s="39"/>
      <c r="F2" s="39"/>
    </row>
    <row r="3" spans="1:6" s="1" customFormat="1" ht="15.6">
      <c r="A3" s="5"/>
      <c r="B3" s="39" t="s">
        <v>60</v>
      </c>
      <c r="C3" s="39"/>
      <c r="D3" s="39"/>
      <c r="E3" s="39"/>
      <c r="F3" s="39"/>
    </row>
    <row r="4" spans="1:6" s="1" customFormat="1" ht="15.6">
      <c r="A4" s="5"/>
      <c r="B4" s="39" t="s">
        <v>81</v>
      </c>
      <c r="C4" s="39"/>
      <c r="D4" s="39"/>
      <c r="E4" s="39"/>
      <c r="F4" s="39"/>
    </row>
    <row r="5" spans="1:1" s="1" customFormat="1" ht="11.4">
      <c r="A5" s="5"/>
    </row>
    <row r="6" spans="1:6" s="1" customFormat="1" ht="15.6">
      <c r="A6" s="5"/>
      <c r="B6" s="39" t="s">
        <v>51</v>
      </c>
      <c r="C6" s="39"/>
      <c r="D6" s="39"/>
      <c r="E6" s="39"/>
      <c r="F6" s="39"/>
    </row>
    <row r="8" spans="2:6" ht="15.6">
      <c r="B8" s="39" t="s">
        <v>27</v>
      </c>
      <c r="C8" s="39"/>
      <c r="D8" s="39"/>
      <c r="E8" s="39"/>
      <c r="F8" s="39"/>
    </row>
    <row r="9" spans="1:6" s="1" customFormat="1" ht="12">
      <c r="A9" s="5" t="s">
        <v>18</v>
      </c>
      <c r="B9" s="40"/>
      <c r="C9" s="40"/>
      <c r="D9" s="40"/>
      <c r="E9" s="40"/>
      <c r="F9" s="40"/>
    </row>
    <row r="10" spans="1:6" s="1" customFormat="1" ht="11.4">
      <c r="A10" s="6" t="s">
        <v>19</v>
      </c>
      <c r="B10" s="7" t="s">
        <v>20</v>
      </c>
      <c r="C10" s="7" t="s">
        <v>21</v>
      </c>
      <c r="D10" s="7" t="s">
        <v>24</v>
      </c>
      <c r="E10" s="7" t="s">
        <v>22</v>
      </c>
      <c r="F10" s="7" t="s">
        <v>23</v>
      </c>
    </row>
    <row r="11" spans="1:3" s="1" customFormat="1" ht="12">
      <c r="A11" s="5">
        <v>1</v>
      </c>
      <c r="B11" s="3" t="s">
        <v>44</v>
      </c>
      <c r="C11" s="3"/>
    </row>
    <row r="12" spans="1:3" s="1" customFormat="1" ht="12">
      <c r="A12" s="5">
        <f t="shared" si="0" ref="A12:A59">+A11+1</f>
        <v>2</v>
      </c>
      <c r="B12" s="3" t="s">
        <v>5</v>
      </c>
      <c r="C12" s="3" t="s">
        <v>39</v>
      </c>
    </row>
    <row r="13" spans="1:3" s="1" customFormat="1" ht="12">
      <c r="A13" s="5">
        <f t="shared" si="0"/>
        <v>3</v>
      </c>
      <c r="B13" s="3" t="s">
        <v>6</v>
      </c>
      <c r="C13" s="9">
        <v>40179</v>
      </c>
    </row>
    <row r="14" spans="1:3" s="1" customFormat="1" ht="12">
      <c r="A14" s="5">
        <f t="shared" si="0"/>
        <v>4</v>
      </c>
      <c r="B14" s="3" t="s">
        <v>7</v>
      </c>
      <c r="C14" s="9">
        <v>44378</v>
      </c>
    </row>
    <row r="15" spans="1:1" s="1" customFormat="1" ht="11.4">
      <c r="A15" s="5">
        <f t="shared" si="0"/>
        <v>5</v>
      </c>
    </row>
    <row r="16" spans="1:6" s="1" customFormat="1" ht="11.4">
      <c r="A16" s="5">
        <f t="shared" si="0"/>
        <v>6</v>
      </c>
      <c r="B16" s="4" t="s">
        <v>0</v>
      </c>
      <c r="C16" s="4" t="s">
        <v>1</v>
      </c>
      <c r="D16" s="4" t="s">
        <v>2</v>
      </c>
      <c r="E16" s="4" t="s">
        <v>3</v>
      </c>
      <c r="F16" s="4" t="s">
        <v>4</v>
      </c>
    </row>
    <row r="17" spans="1:6" ht="13.2">
      <c r="A17" s="5">
        <f t="shared" si="0"/>
        <v>7</v>
      </c>
      <c r="B17" s="29" t="s">
        <v>82</v>
      </c>
      <c r="C17" s="13">
        <v>2.0550000000000002</v>
      </c>
      <c r="D17" s="13">
        <v>0.042000000000000003</v>
      </c>
      <c r="E17" s="13">
        <v>48.819000000000003</v>
      </c>
      <c r="F17" s="14">
        <v>0</v>
      </c>
    </row>
    <row r="18" spans="1:6" ht="13.2">
      <c r="A18" s="5">
        <f t="shared" si="0"/>
        <v>8</v>
      </c>
      <c r="B18" t="s">
        <v>93</v>
      </c>
      <c r="C18" s="13">
        <v>2.2890000000000001</v>
      </c>
      <c r="D18" s="13">
        <v>0.053999999999999999</v>
      </c>
      <c r="E18" s="13">
        <v>42.351999999999997</v>
      </c>
      <c r="F18" s="14">
        <v>0</v>
      </c>
    </row>
    <row r="19" spans="1:6" ht="13.2">
      <c r="A19" s="5">
        <f t="shared" si="0"/>
        <v>9</v>
      </c>
      <c r="B19" t="s">
        <v>52</v>
      </c>
      <c r="C19" s="13">
        <v>0.50700000000000001</v>
      </c>
      <c r="D19" s="13">
        <v>0.17199999999999999</v>
      </c>
      <c r="E19" s="13">
        <v>2.9529999999999998</v>
      </c>
      <c r="F19" s="14">
        <v>0.0038</v>
      </c>
    </row>
    <row r="20" spans="1:6" ht="13.2">
      <c r="A20" s="5">
        <f t="shared" si="0"/>
        <v>10</v>
      </c>
      <c r="B20" t="s">
        <v>28</v>
      </c>
      <c r="C20" s="13">
        <v>14.035</v>
      </c>
      <c r="D20" s="13">
        <v>4.2610000000000001</v>
      </c>
      <c r="E20" s="13">
        <v>3.294</v>
      </c>
      <c r="F20" s="14">
        <v>0.0012999999999999999</v>
      </c>
    </row>
    <row r="21" spans="1:6" ht="13.2">
      <c r="A21" s="5">
        <f t="shared" si="0"/>
        <v>11</v>
      </c>
      <c r="B21" t="s">
        <v>29</v>
      </c>
      <c r="C21" s="13">
        <v>13.500999999999999</v>
      </c>
      <c r="D21" s="13">
        <v>4.2009999999999996</v>
      </c>
      <c r="E21" s="13">
        <v>3.214</v>
      </c>
      <c r="F21" s="14">
        <v>0.0016999999999999999</v>
      </c>
    </row>
    <row r="22" spans="1:6" ht="13.2">
      <c r="A22" s="5">
        <f t="shared" si="0"/>
        <v>12</v>
      </c>
      <c r="B22" t="s">
        <v>30</v>
      </c>
      <c r="C22" s="13">
        <v>12.721</v>
      </c>
      <c r="D22" s="13">
        <v>4.1219999999999999</v>
      </c>
      <c r="E22" s="13">
        <v>3.0859999999999999</v>
      </c>
      <c r="F22" s="14">
        <v>0.0025999999999999999</v>
      </c>
    </row>
    <row r="23" spans="1:6" ht="13.2">
      <c r="A23" s="5">
        <f t="shared" si="0"/>
        <v>13</v>
      </c>
      <c r="B23" t="s">
        <v>31</v>
      </c>
      <c r="C23" s="13">
        <v>12.375999999999999</v>
      </c>
      <c r="D23" s="13">
        <v>3.992</v>
      </c>
      <c r="E23" s="13">
        <v>3.1000000000000001</v>
      </c>
      <c r="F23" s="14">
        <v>0.0023999999999999998</v>
      </c>
    </row>
    <row r="24" spans="1:6" ht="13.2">
      <c r="A24" s="5">
        <f t="shared" si="0"/>
        <v>14</v>
      </c>
      <c r="B24" t="s">
        <v>32</v>
      </c>
      <c r="C24" s="13">
        <v>13.026999999999999</v>
      </c>
      <c r="D24" s="13">
        <v>3.9460000000000002</v>
      </c>
      <c r="E24" s="13">
        <v>3.3010000000000002</v>
      </c>
      <c r="F24" s="14">
        <v>0.0012999999999999999</v>
      </c>
    </row>
    <row r="25" spans="1:6" ht="13.2">
      <c r="A25" s="5">
        <f t="shared" si="0"/>
        <v>15</v>
      </c>
      <c r="B25" t="s">
        <v>33</v>
      </c>
      <c r="C25" s="13">
        <v>14.775</v>
      </c>
      <c r="D25" s="13">
        <v>3.9350000000000001</v>
      </c>
      <c r="E25" s="13">
        <v>3.7549999999999999</v>
      </c>
      <c r="F25" s="14">
        <v>0.00029999999999999997</v>
      </c>
    </row>
    <row r="26" spans="1:6" ht="13.2">
      <c r="A26" s="5">
        <f t="shared" si="0"/>
        <v>16</v>
      </c>
      <c r="B26" t="s">
        <v>34</v>
      </c>
      <c r="C26" s="13">
        <v>16.178000000000001</v>
      </c>
      <c r="D26" s="13">
        <v>3.8929999999999998</v>
      </c>
      <c r="E26" s="13">
        <v>4.1559999999999997</v>
      </c>
      <c r="F26" s="14">
        <v>0.00010000000000000001</v>
      </c>
    </row>
    <row r="27" spans="1:6" ht="13.2">
      <c r="A27" s="5">
        <f t="shared" si="0"/>
        <v>17</v>
      </c>
      <c r="B27" t="s">
        <v>35</v>
      </c>
      <c r="C27" s="13">
        <v>16.276</v>
      </c>
      <c r="D27" s="13">
        <v>3.9249999999999998</v>
      </c>
      <c r="E27" s="13">
        <v>4.1459999999999999</v>
      </c>
      <c r="F27" s="14">
        <v>0.00010000000000000001</v>
      </c>
    </row>
    <row r="28" spans="1:6" ht="13.2">
      <c r="A28" s="5">
        <f t="shared" si="0"/>
        <v>18</v>
      </c>
      <c r="B28" t="s">
        <v>36</v>
      </c>
      <c r="C28" s="13">
        <v>15.816000000000001</v>
      </c>
      <c r="D28" s="13">
        <v>3.9740000000000002</v>
      </c>
      <c r="E28" s="13">
        <v>3.98</v>
      </c>
      <c r="F28" s="14">
        <v>0.00010000000000000001</v>
      </c>
    </row>
    <row r="29" spans="1:6" ht="13.2">
      <c r="A29" s="5">
        <f t="shared" si="0"/>
        <v>19</v>
      </c>
      <c r="B29" t="s">
        <v>37</v>
      </c>
      <c r="C29" s="13">
        <v>14.699999999999999</v>
      </c>
      <c r="D29" s="13">
        <v>4.024</v>
      </c>
      <c r="E29" s="13">
        <v>3.653</v>
      </c>
      <c r="F29" s="14">
        <v>0.00040000000000000002</v>
      </c>
    </row>
    <row r="30" spans="1:6" ht="13.2">
      <c r="A30" s="5">
        <f t="shared" si="0"/>
        <v>20</v>
      </c>
      <c r="B30" t="s">
        <v>38</v>
      </c>
      <c r="C30" s="13">
        <v>12.332000000000001</v>
      </c>
      <c r="D30" s="13">
        <v>4.0999999999999996</v>
      </c>
      <c r="E30" s="13">
        <v>3.008</v>
      </c>
      <c r="F30" s="14">
        <v>0.0032000000000000002</v>
      </c>
    </row>
    <row r="31" spans="1:6" ht="13.2">
      <c r="A31" s="5">
        <f t="shared" si="0"/>
        <v>21</v>
      </c>
      <c r="B31" t="s">
        <v>41</v>
      </c>
      <c r="C31" s="13">
        <v>12.307</v>
      </c>
      <c r="D31" s="13">
        <v>4.2290000000000001</v>
      </c>
      <c r="E31" s="13">
        <v>2.9100000000000001</v>
      </c>
      <c r="F31" s="14">
        <v>0.0044000000000000003</v>
      </c>
    </row>
    <row r="32" spans="1:6" ht="13.2">
      <c r="A32" s="5">
        <f t="shared" si="0"/>
        <v>22</v>
      </c>
      <c r="B32" t="s">
        <v>76</v>
      </c>
      <c r="C32" s="13">
        <v>-0.01</v>
      </c>
      <c r="D32" s="13">
        <v>0.002</v>
      </c>
      <c r="E32" s="13">
        <v>-4.1989999999999998</v>
      </c>
      <c r="F32" s="14">
        <v>0.00010000000000000001</v>
      </c>
    </row>
    <row r="33" spans="1:6" ht="13.2">
      <c r="A33" s="5">
        <f t="shared" si="0"/>
        <v>23</v>
      </c>
      <c r="B33" t="s">
        <v>71</v>
      </c>
      <c r="C33" s="13">
        <v>0.48299999999999998</v>
      </c>
      <c r="D33" s="13">
        <v>0.10299999999999999</v>
      </c>
      <c r="E33" s="13">
        <v>4.6959999999999997</v>
      </c>
      <c r="F33" s="14">
        <v>0</v>
      </c>
    </row>
    <row r="34" spans="1:6" ht="13.2">
      <c r="A34" s="5">
        <f t="shared" si="0"/>
        <v>24</v>
      </c>
      <c r="B34" t="s">
        <v>72</v>
      </c>
      <c r="C34" s="13">
        <v>-0.105</v>
      </c>
      <c r="D34" s="13">
        <v>0.123</v>
      </c>
      <c r="E34" s="13">
        <v>-0.85299999999999998</v>
      </c>
      <c r="F34" s="14">
        <v>0.39560000000000001</v>
      </c>
    </row>
    <row r="35" spans="1:6" ht="13.2">
      <c r="A35" s="5">
        <f t="shared" si="0"/>
        <v>25</v>
      </c>
      <c r="B35" t="s">
        <v>73</v>
      </c>
      <c r="C35" s="13">
        <v>-0.081000000000000003</v>
      </c>
      <c r="D35" s="13">
        <v>0.123</v>
      </c>
      <c r="E35" s="13">
        <v>-0.65800000000000003</v>
      </c>
      <c r="F35" s="14">
        <v>0.51219999999999999</v>
      </c>
    </row>
    <row r="36" spans="1:6" ht="13.2">
      <c r="A36" s="5">
        <f t="shared" si="0"/>
        <v>26</v>
      </c>
      <c r="B36" t="s">
        <v>74</v>
      </c>
      <c r="C36" s="13">
        <v>-0.21199999999999999</v>
      </c>
      <c r="D36" s="13">
        <v>0.125</v>
      </c>
      <c r="E36" s="13">
        <v>-1.7</v>
      </c>
      <c r="F36" s="14">
        <v>0.091800000000000007</v>
      </c>
    </row>
    <row r="37" spans="1:6" ht="13.2">
      <c r="A37" s="5">
        <f t="shared" si="0"/>
        <v>27</v>
      </c>
      <c r="B37" t="s">
        <v>75</v>
      </c>
      <c r="C37" s="13">
        <v>-0.45300000000000001</v>
      </c>
      <c r="D37" s="13">
        <v>0.127</v>
      </c>
      <c r="E37" s="13">
        <v>-3.569</v>
      </c>
      <c r="F37" s="14">
        <v>0.00050000000000000001</v>
      </c>
    </row>
    <row r="38" spans="1:6" ht="13.2">
      <c r="A38" s="5">
        <f t="shared" si="0"/>
        <v>28</v>
      </c>
      <c r="B38" t="s">
        <v>78</v>
      </c>
      <c r="C38" s="13">
        <v>-0.38900000000000001</v>
      </c>
      <c r="D38" s="13">
        <v>0.129</v>
      </c>
      <c r="E38" s="13">
        <v>-3.0230000000000001</v>
      </c>
      <c r="F38" s="14">
        <v>0.0030999999999999999</v>
      </c>
    </row>
    <row r="39" spans="1:6" ht="13.2">
      <c r="A39" s="5">
        <f t="shared" si="0"/>
        <v>29</v>
      </c>
      <c r="B39" t="s">
        <v>94</v>
      </c>
      <c r="C39" s="13">
        <v>-0.47299999999999998</v>
      </c>
      <c r="D39" s="13">
        <v>0.125</v>
      </c>
      <c r="E39" s="13">
        <v>-3.7970000000000002</v>
      </c>
      <c r="F39" s="14">
        <v>0.00020000000000000001</v>
      </c>
    </row>
    <row r="40" spans="1:6" ht="13.2">
      <c r="A40" s="5">
        <f t="shared" si="0"/>
        <v>30</v>
      </c>
      <c r="B40" t="s">
        <v>95</v>
      </c>
      <c r="C40" s="13">
        <v>-0.39800000000000002</v>
      </c>
      <c r="D40" s="13">
        <v>0.124</v>
      </c>
      <c r="E40" s="13">
        <v>-3.1960000000000002</v>
      </c>
      <c r="F40" s="14">
        <v>0.0018</v>
      </c>
    </row>
    <row r="41" spans="1:6" ht="13.2">
      <c r="A41" s="5">
        <f t="shared" si="0"/>
        <v>31</v>
      </c>
      <c r="B41" t="s">
        <v>96</v>
      </c>
      <c r="C41" s="13">
        <v>-0.27700000000000002</v>
      </c>
      <c r="D41" s="13">
        <v>0.125</v>
      </c>
      <c r="E41" s="13">
        <v>-2.2130000000000001</v>
      </c>
      <c r="F41" s="14">
        <v>0.028899999999999999</v>
      </c>
    </row>
    <row r="42" spans="1:6" ht="13.2">
      <c r="A42" s="5">
        <f t="shared" si="0"/>
        <v>32</v>
      </c>
      <c r="B42" t="s">
        <v>97</v>
      </c>
      <c r="C42" s="13">
        <v>-0.188</v>
      </c>
      <c r="D42" s="13">
        <v>0.106</v>
      </c>
      <c r="E42" s="13">
        <v>-1.7849999999999999</v>
      </c>
      <c r="F42" s="14">
        <v>0.076999999999999999</v>
      </c>
    </row>
    <row r="43" spans="1:6" ht="13.2">
      <c r="A43" s="5">
        <f t="shared" si="0"/>
        <v>33</v>
      </c>
      <c r="B43" s="16"/>
      <c r="C43" s="19"/>
      <c r="F43" s="10"/>
    </row>
    <row r="44" spans="1:6" ht="13.2">
      <c r="A44" s="5">
        <f t="shared" si="0"/>
        <v>34</v>
      </c>
      <c r="B44" s="15" t="s">
        <v>53</v>
      </c>
      <c r="C44" s="17"/>
      <c r="F44" s="10"/>
    </row>
    <row r="45" spans="1:6" ht="13.2">
      <c r="A45" s="5">
        <f t="shared" si="0"/>
        <v>35</v>
      </c>
      <c r="B45" t="s">
        <v>25</v>
      </c>
      <c r="C45" s="26">
        <v>139</v>
      </c>
      <c r="F45" s="8"/>
    </row>
    <row r="46" spans="1:6" ht="13.2">
      <c r="A46" s="5">
        <f t="shared" si="0"/>
        <v>36</v>
      </c>
      <c r="B46" t="s">
        <v>8</v>
      </c>
      <c r="C46" s="26">
        <v>113</v>
      </c>
      <c r="F46" s="8"/>
    </row>
    <row r="47" spans="1:6" ht="13.2">
      <c r="A47" s="5">
        <f t="shared" si="0"/>
        <v>37</v>
      </c>
      <c r="B47" t="s">
        <v>9</v>
      </c>
      <c r="C47" s="22">
        <v>0.998</v>
      </c>
      <c r="F47" s="8"/>
    </row>
    <row r="48" spans="1:6" ht="13.2">
      <c r="A48" s="5">
        <f t="shared" si="0"/>
        <v>38</v>
      </c>
      <c r="B48" t="s">
        <v>10</v>
      </c>
      <c r="C48" s="31">
        <v>0.997</v>
      </c>
      <c r="F48" s="8"/>
    </row>
    <row r="49" spans="1:6" ht="13.2">
      <c r="A49" s="5">
        <f t="shared" si="0"/>
        <v>39</v>
      </c>
      <c r="B49" t="s">
        <v>12</v>
      </c>
      <c r="C49" s="32">
        <v>2066.183</v>
      </c>
      <c r="F49" s="8"/>
    </row>
    <row r="50" spans="1:6" ht="13.2">
      <c r="A50" s="5">
        <f t="shared" si="0"/>
        <v>40</v>
      </c>
      <c r="B50" t="s">
        <v>13</v>
      </c>
      <c r="C50" s="33">
        <v>0</v>
      </c>
      <c r="F50" s="8"/>
    </row>
    <row r="51" spans="1:3" s="21" customFormat="1" ht="13.2">
      <c r="A51" s="5">
        <f t="shared" si="0"/>
        <v>41</v>
      </c>
      <c r="B51" t="s">
        <v>14</v>
      </c>
      <c r="C51" s="27">
        <v>15555.129999999999</v>
      </c>
    </row>
    <row r="52" spans="1:6" ht="13.2">
      <c r="A52" s="5">
        <f t="shared" si="0"/>
        <v>42</v>
      </c>
      <c r="B52" t="s">
        <v>15</v>
      </c>
      <c r="C52" s="21">
        <v>34</v>
      </c>
      <c r="F52" s="8"/>
    </row>
    <row r="53" spans="1:6" ht="13.2">
      <c r="A53" s="5">
        <f t="shared" si="0"/>
        <v>43</v>
      </c>
      <c r="B53" t="s">
        <v>16</v>
      </c>
      <c r="C53" s="21">
        <v>0.29999999999999999</v>
      </c>
      <c r="F53" s="8"/>
    </row>
    <row r="54" spans="1:6" ht="13.2">
      <c r="A54" s="5">
        <f t="shared" si="0"/>
        <v>44</v>
      </c>
      <c r="B54" t="s">
        <v>17</v>
      </c>
      <c r="C54">
        <v>0.55000000000000004</v>
      </c>
      <c r="F54" s="8"/>
    </row>
    <row r="55" spans="1:3" ht="13.2">
      <c r="A55" s="5">
        <f t="shared" si="0"/>
        <v>45</v>
      </c>
      <c r="B55" t="s">
        <v>83</v>
      </c>
      <c r="C55" s="21">
        <v>0.40000000000000002</v>
      </c>
    </row>
    <row r="56" spans="1:3" ht="13.2">
      <c r="A56" s="5">
        <f t="shared" si="0"/>
        <v>46</v>
      </c>
      <c r="B56" t="s">
        <v>84</v>
      </c>
      <c r="C56" s="8">
        <v>0.0104</v>
      </c>
    </row>
    <row r="57" spans="1:3" ht="13.2">
      <c r="A57" s="5">
        <f t="shared" si="0"/>
        <v>47</v>
      </c>
      <c r="B57" t="s">
        <v>11</v>
      </c>
      <c r="C57">
        <v>1.9950000000000001</v>
      </c>
    </row>
    <row r="58" spans="1:3" ht="13.2">
      <c r="A58" s="5">
        <f t="shared" si="0"/>
        <v>48</v>
      </c>
      <c r="B58" t="s">
        <v>61</v>
      </c>
      <c r="C58" s="21">
        <v>13.300000000000001</v>
      </c>
    </row>
    <row r="59" spans="1:3" ht="13.2">
      <c r="A59" s="5">
        <f t="shared" si="0"/>
        <v>49</v>
      </c>
      <c r="B59" t="s">
        <v>62</v>
      </c>
      <c r="C59">
        <v>0.96099999999999997</v>
      </c>
    </row>
    <row r="60" spans="1:1" ht="13.2">
      <c r="A60" s="5"/>
    </row>
  </sheetData>
  <mergeCells count="7">
    <mergeCell ref="B6:F6"/>
    <mergeCell ref="B9:F9"/>
    <mergeCell ref="B1:F1"/>
    <mergeCell ref="B2:F2"/>
    <mergeCell ref="B3:F3"/>
    <mergeCell ref="B4:F4"/>
    <mergeCell ref="B8:F8"/>
  </mergeCells>
  <pageMargins left="0.7" right="0.7" top="0.75" bottom="0.75" header="0.3" footer="0.3"/>
  <pageSetup firstPageNumber="8" useFirstPageNumber="1" orientation="portrait" scale="93" r:id="rId1"/>
  <headerFooter>
    <oddHeader xml:space="preserve">&amp;RSchedule II-H-2.1
Page  &amp;P of  27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H37"/>
  <sheetViews>
    <sheetView workbookViewId="0" topLeftCell="A1"/>
  </sheetViews>
  <sheetFormatPr defaultRowHeight="13.5"/>
  <cols>
    <col min="2" max="2" width="20.2857142857143" customWidth="1"/>
    <col min="3" max="3" width="17.2857142857143" customWidth="1"/>
    <col min="4" max="4" width="18.7142857142857" customWidth="1"/>
    <col min="5" max="5" width="14.7142857142857" customWidth="1"/>
    <col min="6" max="6" width="15.8571428571429" customWidth="1"/>
    <col min="7" max="7" width="11" customWidth="1"/>
  </cols>
  <sheetData>
    <row r="1" spans="1:8" ht="15.6">
      <c r="A1" s="5"/>
      <c r="B1" s="43" t="str">
        <f>+'RES Model'!B1:F1</f>
        <v xml:space="preserve">PUC DOCKET NO. </v>
      </c>
      <c r="C1" s="41"/>
      <c r="D1" s="41"/>
      <c r="E1" s="41"/>
      <c r="F1" s="41"/>
      <c r="G1" s="41"/>
      <c r="H1" s="41"/>
    </row>
    <row r="2" spans="1:8" ht="15.6">
      <c r="A2" s="5"/>
      <c r="B2" s="39" t="str">
        <f>+'RES Model'!B2:F2</f>
        <v>ONCOR ELECTRIC DELIVERY COMPANY LLC</v>
      </c>
      <c r="C2" s="41"/>
      <c r="D2" s="41"/>
      <c r="E2" s="41"/>
      <c r="F2" s="41"/>
      <c r="G2" s="41"/>
      <c r="H2" s="41"/>
    </row>
    <row r="3" spans="1:8" ht="15.6">
      <c r="A3" s="5"/>
      <c r="B3" s="39" t="str">
        <f>+'RES Model'!B3:F3</f>
        <v>MODEL INFORMATION</v>
      </c>
      <c r="C3" s="41"/>
      <c r="D3" s="41"/>
      <c r="E3" s="41"/>
      <c r="F3" s="41"/>
      <c r="G3" s="41"/>
      <c r="H3" s="41"/>
    </row>
    <row r="4" spans="1:8" ht="15.6">
      <c r="A4" s="5"/>
      <c r="B4" s="39" t="str">
        <f>+'RES Model'!B4:F4</f>
        <v>FOR THE TEST YEAR ENDING DECEMBER 31, 2021</v>
      </c>
      <c r="C4" s="41"/>
      <c r="D4" s="41"/>
      <c r="E4" s="41"/>
      <c r="F4" s="41"/>
      <c r="G4" s="41"/>
      <c r="H4" s="41"/>
    </row>
    <row r="5" spans="1:8" ht="13.2">
      <c r="A5" s="5"/>
      <c r="B5" s="1"/>
      <c r="C5" s="1"/>
      <c r="D5" s="1"/>
      <c r="E5" s="1"/>
      <c r="F5" s="1"/>
      <c r="G5" s="1"/>
      <c r="H5" s="1"/>
    </row>
    <row r="6" spans="1:8" ht="15.6">
      <c r="A6" s="5"/>
      <c r="B6" s="39" t="str">
        <f>+'RES Model'!B6:F6</f>
        <v>SPONSOR: D. E. NELSON</v>
      </c>
      <c r="C6" s="41"/>
      <c r="D6" s="41"/>
      <c r="E6" s="41"/>
      <c r="F6" s="41"/>
      <c r="G6" s="41"/>
      <c r="H6" s="41"/>
    </row>
    <row r="8" spans="1:8" ht="13.2">
      <c r="A8" s="5" t="s">
        <v>18</v>
      </c>
      <c r="B8" s="40"/>
      <c r="C8" s="40"/>
      <c r="D8" s="40"/>
      <c r="E8" s="40"/>
      <c r="F8" s="40"/>
      <c r="G8" s="1"/>
      <c r="H8" s="1"/>
    </row>
    <row r="9" spans="1:8" ht="13.2">
      <c r="A9" s="6" t="s">
        <v>19</v>
      </c>
      <c r="B9" s="7"/>
      <c r="C9" s="7"/>
      <c r="D9" s="7"/>
      <c r="E9" s="7"/>
      <c r="F9" s="7"/>
      <c r="G9" s="1"/>
      <c r="H9" s="1"/>
    </row>
    <row r="10" spans="1:8" ht="13.2">
      <c r="A10" s="5">
        <v>1</v>
      </c>
      <c r="B10" s="40" t="s">
        <v>63</v>
      </c>
      <c r="C10" s="41"/>
      <c r="D10" s="41"/>
      <c r="E10" s="41"/>
      <c r="F10" s="41"/>
      <c r="G10" s="41"/>
      <c r="H10" s="41"/>
    </row>
    <row r="11" spans="1:8" ht="13.2">
      <c r="A11" s="5">
        <f t="shared" si="0" ref="A11:A37">+A10+1</f>
        <v>2</v>
      </c>
      <c r="B11" s="40" t="s">
        <v>44</v>
      </c>
      <c r="C11" s="42"/>
      <c r="D11" s="42"/>
      <c r="E11" s="42"/>
      <c r="F11" s="42"/>
      <c r="G11" s="42"/>
      <c r="H11" s="42"/>
    </row>
    <row r="12" spans="1:8" ht="13.2">
      <c r="A12" s="5">
        <f t="shared" si="0"/>
        <v>3</v>
      </c>
      <c r="B12" s="3"/>
      <c r="C12" s="9"/>
      <c r="D12" s="1"/>
      <c r="E12" s="1"/>
      <c r="F12" s="1"/>
      <c r="G12" s="1"/>
      <c r="H12" s="1"/>
    </row>
    <row r="13" spans="1:8" ht="13.2">
      <c r="A13" s="5">
        <f t="shared" si="0"/>
        <v>4</v>
      </c>
      <c r="B13" s="3"/>
      <c r="C13" s="9"/>
      <c r="D13" s="1"/>
      <c r="E13" s="1"/>
      <c r="F13" s="1"/>
      <c r="G13" s="1"/>
      <c r="H13" s="1"/>
    </row>
    <row r="14" spans="1:8" ht="13.2">
      <c r="A14" s="5">
        <f t="shared" si="0"/>
        <v>5</v>
      </c>
      <c r="B14" s="1"/>
      <c r="C14" s="1"/>
      <c r="D14" s="1"/>
      <c r="E14" s="1"/>
      <c r="F14" s="1"/>
      <c r="G14" s="1"/>
      <c r="H14" s="1"/>
    </row>
    <row r="15" spans="1:8" ht="13.2">
      <c r="A15" s="5">
        <f t="shared" si="0"/>
        <v>6</v>
      </c>
      <c r="B15" s="25"/>
      <c r="C15" s="25"/>
      <c r="D15" s="25"/>
      <c r="E15" s="25"/>
      <c r="F15" s="25"/>
      <c r="G15" s="1"/>
      <c r="H15" s="1"/>
    </row>
    <row r="16" spans="1:6" ht="13.2">
      <c r="A16" s="5">
        <f t="shared" si="0"/>
        <v>7</v>
      </c>
      <c r="F16" s="8"/>
    </row>
    <row r="17" spans="1:6" ht="13.2">
      <c r="A17" s="5">
        <f t="shared" si="0"/>
        <v>8</v>
      </c>
      <c r="F17" s="8"/>
    </row>
    <row r="18" spans="1:6" ht="13.2">
      <c r="A18" s="5">
        <f t="shared" si="0"/>
        <v>9</v>
      </c>
      <c r="F18" s="8"/>
    </row>
    <row r="19" spans="1:6" ht="13.2">
      <c r="A19" s="5">
        <f t="shared" si="0"/>
        <v>10</v>
      </c>
      <c r="F19" s="8"/>
    </row>
    <row r="20" spans="1:6" ht="13.2">
      <c r="A20" s="5">
        <f t="shared" si="0"/>
        <v>11</v>
      </c>
      <c r="F20" s="8"/>
    </row>
    <row r="21" spans="1:6" ht="13.2">
      <c r="A21" s="5">
        <f t="shared" si="0"/>
        <v>12</v>
      </c>
      <c r="F21" s="8"/>
    </row>
    <row r="22" spans="1:6" ht="13.2">
      <c r="A22" s="5">
        <f t="shared" si="0"/>
        <v>13</v>
      </c>
      <c r="F22" s="8"/>
    </row>
    <row r="23" spans="1:6" ht="13.2">
      <c r="A23" s="5">
        <f t="shared" si="0"/>
        <v>14</v>
      </c>
      <c r="F23" s="8"/>
    </row>
    <row r="24" spans="1:6" ht="13.2">
      <c r="A24" s="5">
        <f t="shared" si="0"/>
        <v>15</v>
      </c>
      <c r="F24" s="8"/>
    </row>
    <row r="25" spans="1:6" ht="13.2">
      <c r="A25" s="5">
        <f t="shared" si="0"/>
        <v>16</v>
      </c>
      <c r="F25" s="8"/>
    </row>
    <row r="26" spans="1:6" ht="13.2">
      <c r="A26" s="5">
        <f t="shared" si="0"/>
        <v>17</v>
      </c>
      <c r="F26" s="8"/>
    </row>
    <row r="27" spans="1:6" ht="13.2">
      <c r="A27" s="5">
        <f t="shared" si="0"/>
        <v>18</v>
      </c>
      <c r="F27" s="8"/>
    </row>
    <row r="28" spans="1:6" ht="13.2">
      <c r="A28" s="5">
        <f t="shared" si="0"/>
        <v>19</v>
      </c>
      <c r="F28" s="8"/>
    </row>
    <row r="29" spans="1:6" ht="13.2">
      <c r="A29" s="5">
        <f t="shared" si="0"/>
        <v>20</v>
      </c>
      <c r="F29" s="8"/>
    </row>
    <row r="30" spans="1:6" ht="13.2">
      <c r="A30" s="5">
        <f t="shared" si="0"/>
        <v>21</v>
      </c>
      <c r="F30" s="8"/>
    </row>
    <row r="31" spans="1:6" ht="13.2">
      <c r="A31" s="5">
        <f t="shared" si="0"/>
        <v>22</v>
      </c>
      <c r="F31" s="8"/>
    </row>
    <row r="32" spans="1:6" ht="13.2">
      <c r="A32" s="5">
        <f t="shared" si="0"/>
        <v>23</v>
      </c>
      <c r="F32" s="8"/>
    </row>
    <row r="33" spans="1:6" ht="13.2">
      <c r="A33" s="5">
        <f t="shared" si="0"/>
        <v>24</v>
      </c>
      <c r="F33" s="10"/>
    </row>
    <row r="34" spans="1:1" ht="13.2">
      <c r="A34" s="5">
        <f t="shared" si="0"/>
        <v>25</v>
      </c>
    </row>
    <row r="35" spans="1:1" ht="13.2">
      <c r="A35" s="5">
        <f t="shared" si="0"/>
        <v>26</v>
      </c>
    </row>
    <row r="36" spans="1:1" ht="13.2">
      <c r="A36" s="5">
        <f t="shared" si="0"/>
        <v>27</v>
      </c>
    </row>
    <row r="37" spans="1:1" ht="13.2">
      <c r="A37" s="5">
        <f t="shared" si="0"/>
        <v>28</v>
      </c>
    </row>
  </sheetData>
  <mergeCells count="8">
    <mergeCell ref="B10:H10"/>
    <mergeCell ref="B11:H11"/>
    <mergeCell ref="B8:F8"/>
    <mergeCell ref="B1:H1"/>
    <mergeCell ref="B2:H2"/>
    <mergeCell ref="B3:H3"/>
    <mergeCell ref="B4:H4"/>
    <mergeCell ref="B6:H6"/>
  </mergeCells>
  <pageMargins left="0.7" right="0.7" top="0.75" bottom="0.75" header="0.3" footer="0.3"/>
  <pageSetup orientation="portrait" scale="79" r:id="rId2"/>
  <headerFooter>
    <oddHeader xml:space="preserve">&amp;RSchedule II-H-2.1
Page  &amp;P of  27
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3">
    <pageSetUpPr fitToPage="1"/>
  </sheetPr>
  <dimension ref="A1:F59"/>
  <sheetViews>
    <sheetView workbookViewId="0" topLeftCell="A1"/>
  </sheetViews>
  <sheetFormatPr defaultRowHeight="13.5"/>
  <cols>
    <col min="2" max="2" width="28.4285714285714" customWidth="1"/>
    <col min="3" max="3" width="11.7142857142857" bestFit="1" customWidth="1"/>
    <col min="4" max="4" width="10.8571428571429" customWidth="1"/>
    <col min="5" max="5" width="10.7142857142857" customWidth="1"/>
    <col min="6" max="6" width="11.7142857142857" customWidth="1"/>
  </cols>
  <sheetData>
    <row r="1" spans="1:6" s="1" customFormat="1" ht="15.6">
      <c r="A1" s="5"/>
      <c r="B1" s="39" t="str">
        <f>+'RES Model'!B1:F1</f>
        <v xml:space="preserve">PUC DOCKET NO. </v>
      </c>
      <c r="C1" s="39"/>
      <c r="D1" s="39"/>
      <c r="E1" s="39"/>
      <c r="F1" s="39"/>
    </row>
    <row r="2" spans="1:6" s="1" customFormat="1" ht="15.6">
      <c r="A2" s="5"/>
      <c r="B2" s="39" t="str">
        <f>+'RES Model'!B2:F2</f>
        <v>ONCOR ELECTRIC DELIVERY COMPANY LLC</v>
      </c>
      <c r="C2" s="39"/>
      <c r="D2" s="39"/>
      <c r="E2" s="39"/>
      <c r="F2" s="39"/>
    </row>
    <row r="3" spans="1:6" s="1" customFormat="1" ht="15.6">
      <c r="A3" s="5"/>
      <c r="B3" s="39" t="str">
        <f>+'RES Model'!B3:F3</f>
        <v>MODEL INFORMATION</v>
      </c>
      <c r="C3" s="39"/>
      <c r="D3" s="39"/>
      <c r="E3" s="39"/>
      <c r="F3" s="39"/>
    </row>
    <row r="4" spans="1:6" s="1" customFormat="1" ht="15.6">
      <c r="A4" s="5"/>
      <c r="B4" s="39" t="str">
        <f>+'RES Model'!B4:F4</f>
        <v>FOR THE TEST YEAR ENDING DECEMBER 31, 2021</v>
      </c>
      <c r="C4" s="39"/>
      <c r="D4" s="39"/>
      <c r="E4" s="39"/>
      <c r="F4" s="39"/>
    </row>
    <row r="5" spans="1:1" s="1" customFormat="1" ht="11.4">
      <c r="A5" s="5"/>
    </row>
    <row r="6" spans="1:6" s="1" customFormat="1" ht="15.6">
      <c r="A6" s="5"/>
      <c r="B6" s="39" t="str">
        <f>+'RES Model'!B6:F6</f>
        <v>SPONSOR: D. E. NELSON</v>
      </c>
      <c r="C6" s="39"/>
      <c r="D6" s="39"/>
      <c r="E6" s="39"/>
      <c r="F6" s="39"/>
    </row>
    <row r="8" spans="2:6" ht="15.6">
      <c r="B8" s="39" t="s">
        <v>46</v>
      </c>
      <c r="C8" s="39"/>
      <c r="D8" s="39"/>
      <c r="E8" s="39"/>
      <c r="F8" s="39"/>
    </row>
    <row r="9" spans="1:6" s="1" customFormat="1" ht="12">
      <c r="A9" s="5" t="s">
        <v>18</v>
      </c>
      <c r="B9" s="40"/>
      <c r="C9" s="40"/>
      <c r="D9" s="40"/>
      <c r="E9" s="40"/>
      <c r="F9" s="40"/>
    </row>
    <row r="10" spans="1:6" s="1" customFormat="1" ht="11.4">
      <c r="A10" s="6" t="s">
        <v>19</v>
      </c>
      <c r="B10" s="7" t="s">
        <v>20</v>
      </c>
      <c r="C10" s="7" t="s">
        <v>21</v>
      </c>
      <c r="D10" s="7" t="s">
        <v>24</v>
      </c>
      <c r="E10" s="7" t="s">
        <v>22</v>
      </c>
      <c r="F10" s="7" t="s">
        <v>23</v>
      </c>
    </row>
    <row r="11" spans="1:3" s="1" customFormat="1" ht="12">
      <c r="A11" s="5">
        <v>1</v>
      </c>
      <c r="B11" s="3" t="s">
        <v>44</v>
      </c>
      <c r="C11" s="3"/>
    </row>
    <row r="12" spans="1:3" s="1" customFormat="1" ht="12">
      <c r="A12" s="5">
        <f t="shared" si="0" ref="A12:A59">+A11+1</f>
        <v>2</v>
      </c>
      <c r="B12" s="3" t="s">
        <v>5</v>
      </c>
      <c r="C12" s="3" t="s">
        <v>40</v>
      </c>
    </row>
    <row r="13" spans="1:3" s="1" customFormat="1" ht="12">
      <c r="A13" s="5">
        <f t="shared" si="0"/>
        <v>3</v>
      </c>
      <c r="B13" s="3" t="s">
        <v>6</v>
      </c>
      <c r="C13" s="9">
        <f>+'RES Model'!C13</f>
        <v>40179</v>
      </c>
    </row>
    <row r="14" spans="1:3" s="1" customFormat="1" ht="12">
      <c r="A14" s="5">
        <f t="shared" si="0"/>
        <v>4</v>
      </c>
      <c r="B14" s="3" t="s">
        <v>7</v>
      </c>
      <c r="C14" s="9">
        <f>+'RES Model'!C14</f>
        <v>44378</v>
      </c>
    </row>
    <row r="15" spans="1:1" s="1" customFormat="1" ht="11.4">
      <c r="A15" s="5">
        <f t="shared" si="0"/>
        <v>5</v>
      </c>
    </row>
    <row r="16" spans="1:6" s="1" customFormat="1" ht="11.4">
      <c r="A16" s="5">
        <f t="shared" si="0"/>
        <v>6</v>
      </c>
      <c r="B16" s="4" t="s">
        <v>0</v>
      </c>
      <c r="C16" s="4" t="s">
        <v>1</v>
      </c>
      <c r="D16" s="4" t="s">
        <v>2</v>
      </c>
      <c r="E16" s="4" t="s">
        <v>3</v>
      </c>
      <c r="F16" s="4" t="s">
        <v>4</v>
      </c>
    </row>
    <row r="17" spans="1:6" ht="13.2">
      <c r="A17" s="5">
        <f t="shared" si="0"/>
        <v>7</v>
      </c>
      <c r="B17" t="s">
        <v>87</v>
      </c>
      <c r="C17" s="13">
        <v>0.29799999999999999</v>
      </c>
      <c r="D17" s="13">
        <v>0.021000000000000001</v>
      </c>
      <c r="E17" s="13">
        <v>14.009</v>
      </c>
      <c r="F17" s="14">
        <v>0</v>
      </c>
    </row>
    <row r="18" spans="1:6" ht="13.2">
      <c r="A18" s="5">
        <f t="shared" si="0"/>
        <v>8</v>
      </c>
      <c r="B18" t="s">
        <v>88</v>
      </c>
      <c r="C18" s="13">
        <v>0.45900000000000002</v>
      </c>
      <c r="D18" s="13">
        <v>0.035000000000000003</v>
      </c>
      <c r="E18" s="13">
        <v>13.209</v>
      </c>
      <c r="F18" s="14">
        <v>0</v>
      </c>
    </row>
    <row r="19" spans="1:6" ht="13.2">
      <c r="A19" s="5">
        <f t="shared" si="0"/>
        <v>9</v>
      </c>
      <c r="B19" t="s">
        <v>28</v>
      </c>
      <c r="C19" s="13">
        <v>15.438000000000001</v>
      </c>
      <c r="D19" s="13">
        <v>0.28699999999999998</v>
      </c>
      <c r="E19" s="13">
        <v>53.722999999999999</v>
      </c>
      <c r="F19" s="14">
        <v>0</v>
      </c>
    </row>
    <row r="20" spans="1:6" ht="13.2">
      <c r="A20" s="5">
        <f t="shared" si="0"/>
        <v>10</v>
      </c>
      <c r="B20" t="s">
        <v>29</v>
      </c>
      <c r="C20" s="13">
        <v>15.424</v>
      </c>
      <c r="D20" s="13">
        <v>0.26300000000000001</v>
      </c>
      <c r="E20" s="13">
        <v>58.616</v>
      </c>
      <c r="F20" s="14">
        <v>0</v>
      </c>
    </row>
    <row r="21" spans="1:6" ht="13.2">
      <c r="A21" s="5">
        <f t="shared" si="0"/>
        <v>11</v>
      </c>
      <c r="B21" t="s">
        <v>30</v>
      </c>
      <c r="C21" s="13">
        <v>14.962</v>
      </c>
      <c r="D21" s="13">
        <v>0.20999999999999999</v>
      </c>
      <c r="E21" s="13">
        <v>71.216999999999999</v>
      </c>
      <c r="F21" s="14">
        <v>0</v>
      </c>
    </row>
    <row r="22" spans="1:6" ht="13.2">
      <c r="A22" s="5">
        <f t="shared" si="0"/>
        <v>12</v>
      </c>
      <c r="B22" t="s">
        <v>31</v>
      </c>
      <c r="C22" s="13">
        <v>14.426</v>
      </c>
      <c r="D22" s="13">
        <v>0.152</v>
      </c>
      <c r="E22" s="13">
        <v>94.799999999999997</v>
      </c>
      <c r="F22" s="14">
        <v>0</v>
      </c>
    </row>
    <row r="23" spans="1:6" ht="13.2">
      <c r="A23" s="5">
        <f t="shared" si="0"/>
        <v>13</v>
      </c>
      <c r="B23" t="s">
        <v>32</v>
      </c>
      <c r="C23" s="13">
        <v>14.417999999999999</v>
      </c>
      <c r="D23" s="13">
        <v>0.17100000000000001</v>
      </c>
      <c r="E23" s="13">
        <v>84.320999999999998</v>
      </c>
      <c r="F23" s="14">
        <v>0</v>
      </c>
    </row>
    <row r="24" spans="1:6" ht="13.2">
      <c r="A24" s="5">
        <f t="shared" si="0"/>
        <v>14</v>
      </c>
      <c r="B24" t="s">
        <v>33</v>
      </c>
      <c r="C24" s="13">
        <v>14.531000000000001</v>
      </c>
      <c r="D24" s="13">
        <v>0.27000000000000002</v>
      </c>
      <c r="E24" s="13">
        <v>53.902999999999999</v>
      </c>
      <c r="F24" s="14">
        <v>0</v>
      </c>
    </row>
    <row r="25" spans="1:6" ht="13.2">
      <c r="A25" s="5">
        <f t="shared" si="0"/>
        <v>15</v>
      </c>
      <c r="B25" t="s">
        <v>34</v>
      </c>
      <c r="C25" s="13">
        <v>14.800000000000001</v>
      </c>
      <c r="D25" s="13">
        <v>0.39700000000000002</v>
      </c>
      <c r="E25" s="13">
        <v>37.241</v>
      </c>
      <c r="F25" s="14">
        <v>0</v>
      </c>
    </row>
    <row r="26" spans="1:6" ht="13.2">
      <c r="A26" s="5">
        <f t="shared" si="0"/>
        <v>16</v>
      </c>
      <c r="B26" t="s">
        <v>35</v>
      </c>
      <c r="C26" s="13">
        <v>14.962999999999999</v>
      </c>
      <c r="D26" s="13">
        <v>0.46899999999999997</v>
      </c>
      <c r="E26" s="13">
        <v>31.925000000000001</v>
      </c>
      <c r="F26" s="14">
        <v>0</v>
      </c>
    </row>
    <row r="27" spans="1:6" ht="13.2">
      <c r="A27" s="5">
        <f t="shared" si="0"/>
        <v>17</v>
      </c>
      <c r="B27" t="s">
        <v>36</v>
      </c>
      <c r="C27" s="13">
        <v>15.068</v>
      </c>
      <c r="D27" s="13">
        <v>0.40799999999999997</v>
      </c>
      <c r="E27" s="13">
        <v>36.929000000000002</v>
      </c>
      <c r="F27" s="14">
        <v>0</v>
      </c>
    </row>
    <row r="28" spans="1:6" ht="13.2">
      <c r="A28" s="5">
        <f t="shared" si="0"/>
        <v>18</v>
      </c>
      <c r="B28" t="s">
        <v>37</v>
      </c>
      <c r="C28" s="13">
        <v>15.271000000000001</v>
      </c>
      <c r="D28" s="13">
        <v>0.26200000000000001</v>
      </c>
      <c r="E28" s="13">
        <v>58.200000000000003</v>
      </c>
      <c r="F28" s="14">
        <v>0</v>
      </c>
    </row>
    <row r="29" spans="1:6" ht="13.2">
      <c r="A29" s="5">
        <f t="shared" si="0"/>
        <v>19</v>
      </c>
      <c r="B29" t="s">
        <v>38</v>
      </c>
      <c r="C29" s="13">
        <v>14.835000000000001</v>
      </c>
      <c r="D29" s="13">
        <v>0.21199999999999999</v>
      </c>
      <c r="E29" s="13">
        <v>70.028999999999996</v>
      </c>
      <c r="F29" s="14">
        <v>0</v>
      </c>
    </row>
    <row r="30" spans="1:6" ht="13.2">
      <c r="A30" s="5">
        <f t="shared" si="0"/>
        <v>20</v>
      </c>
      <c r="B30" t="s">
        <v>41</v>
      </c>
      <c r="C30" s="13">
        <v>14.888999999999999</v>
      </c>
      <c r="D30" s="13">
        <v>0.23799999999999999</v>
      </c>
      <c r="E30" s="13">
        <v>62.512999999999998</v>
      </c>
      <c r="F30" s="14">
        <v>0</v>
      </c>
    </row>
    <row r="31" spans="1:6" ht="13.2">
      <c r="A31" s="5">
        <f t="shared" si="0"/>
        <v>21</v>
      </c>
      <c r="B31" t="s">
        <v>71</v>
      </c>
      <c r="C31" s="13">
        <v>0.56100000000000005</v>
      </c>
      <c r="D31" s="13">
        <v>0.113</v>
      </c>
      <c r="E31" s="13">
        <v>4.9690000000000003</v>
      </c>
      <c r="F31" s="14">
        <v>0</v>
      </c>
    </row>
    <row r="32" spans="1:6" ht="13.2">
      <c r="A32" s="5">
        <f t="shared" si="0"/>
        <v>22</v>
      </c>
      <c r="B32" t="s">
        <v>72</v>
      </c>
      <c r="C32" s="13">
        <v>0.31</v>
      </c>
      <c r="D32" s="13">
        <v>0.14599999999999999</v>
      </c>
      <c r="E32" s="13">
        <v>2.1179999999999999</v>
      </c>
      <c r="F32" s="14">
        <v>0.036299999999999999</v>
      </c>
    </row>
    <row r="33" spans="1:6" ht="13.2">
      <c r="A33" s="5">
        <f t="shared" si="0"/>
        <v>23</v>
      </c>
      <c r="B33" t="s">
        <v>73</v>
      </c>
      <c r="C33" s="13">
        <v>0.28499999999999998</v>
      </c>
      <c r="D33" s="13">
        <v>0.16500000000000001</v>
      </c>
      <c r="E33" s="13">
        <v>1.7330000000000001</v>
      </c>
      <c r="F33" s="14">
        <v>0.085900000000000004</v>
      </c>
    </row>
    <row r="34" spans="1:6" ht="13.2">
      <c r="A34" s="5">
        <f t="shared" si="0"/>
        <v>24</v>
      </c>
      <c r="B34" t="s">
        <v>74</v>
      </c>
      <c r="C34" s="13">
        <v>0.58599999999999997</v>
      </c>
      <c r="D34" s="13">
        <v>0.17000000000000001</v>
      </c>
      <c r="E34" s="13">
        <v>3.4390000000000001</v>
      </c>
      <c r="F34" s="14">
        <v>0.00080000000000000004</v>
      </c>
    </row>
    <row r="35" spans="1:6" ht="13.2">
      <c r="A35" s="5">
        <f t="shared" si="0"/>
        <v>25</v>
      </c>
      <c r="B35" t="s">
        <v>75</v>
      </c>
      <c r="C35" s="13">
        <v>0.69299999999999995</v>
      </c>
      <c r="D35" s="13">
        <v>0.17899999999999999</v>
      </c>
      <c r="E35" s="13">
        <v>3.8820000000000001</v>
      </c>
      <c r="F35" s="14">
        <v>0.00020000000000000001</v>
      </c>
    </row>
    <row r="36" spans="1:6" ht="13.2">
      <c r="A36" s="5">
        <f t="shared" si="0"/>
        <v>26</v>
      </c>
      <c r="B36" t="s">
        <v>78</v>
      </c>
      <c r="C36" s="13">
        <v>1.0429999999999999</v>
      </c>
      <c r="D36" s="13">
        <v>0.17599999999999999</v>
      </c>
      <c r="E36" s="13">
        <v>5.9390000000000001</v>
      </c>
      <c r="F36" s="14">
        <v>0</v>
      </c>
    </row>
    <row r="37" spans="1:6" ht="13.2">
      <c r="A37" s="5">
        <f t="shared" si="0"/>
        <v>27</v>
      </c>
      <c r="B37" t="s">
        <v>94</v>
      </c>
      <c r="C37" s="13">
        <v>1.012</v>
      </c>
      <c r="D37" s="13">
        <v>0.17799999999999999</v>
      </c>
      <c r="E37" s="13">
        <v>5.6920000000000002</v>
      </c>
      <c r="F37" s="14">
        <v>0</v>
      </c>
    </row>
    <row r="38" spans="1:6" ht="13.2">
      <c r="A38" s="5">
        <f t="shared" si="0"/>
        <v>28</v>
      </c>
      <c r="B38" t="s">
        <v>95</v>
      </c>
      <c r="C38" s="13">
        <v>0.82099999999999995</v>
      </c>
      <c r="D38" s="13">
        <v>0.17799999999999999</v>
      </c>
      <c r="E38" s="13">
        <v>4.6150000000000002</v>
      </c>
      <c r="F38" s="14">
        <v>0</v>
      </c>
    </row>
    <row r="39" spans="1:6" ht="13.2">
      <c r="A39" s="5">
        <f t="shared" si="0"/>
        <v>29</v>
      </c>
      <c r="B39" t="s">
        <v>96</v>
      </c>
      <c r="C39" s="13">
        <v>0.71299999999999997</v>
      </c>
      <c r="D39" s="13">
        <v>0.16900000000000001</v>
      </c>
      <c r="E39" s="13">
        <v>4.2110000000000003</v>
      </c>
      <c r="F39" s="14">
        <v>0.00010000000000000001</v>
      </c>
    </row>
    <row r="40" spans="1:6" ht="13.2">
      <c r="A40" s="5">
        <f t="shared" si="0"/>
        <v>30</v>
      </c>
      <c r="B40" t="s">
        <v>97</v>
      </c>
      <c r="C40" s="13">
        <v>0.57099999999999995</v>
      </c>
      <c r="D40" s="13">
        <v>0.16300000000000001</v>
      </c>
      <c r="E40" s="13">
        <v>3.5059999999999998</v>
      </c>
      <c r="F40" s="14">
        <v>0.00069999999999999999</v>
      </c>
    </row>
    <row r="41" spans="1:6" ht="13.2">
      <c r="A41" s="5">
        <f t="shared" si="0"/>
        <v>31</v>
      </c>
      <c r="B41" t="s">
        <v>98</v>
      </c>
      <c r="C41" s="13">
        <v>0.32000000000000001</v>
      </c>
      <c r="D41" s="13">
        <v>0.14799999999999999</v>
      </c>
      <c r="E41" s="13">
        <v>2.1549999999999998</v>
      </c>
      <c r="F41" s="14">
        <v>0.033300000000000003</v>
      </c>
    </row>
    <row r="42" spans="1:6" ht="13.2">
      <c r="A42" s="5">
        <f t="shared" si="0"/>
        <v>32</v>
      </c>
      <c r="B42" t="s">
        <v>99</v>
      </c>
      <c r="C42" s="13">
        <v>0.26600000000000001</v>
      </c>
      <c r="D42" s="13">
        <v>0.113</v>
      </c>
      <c r="E42" s="13">
        <v>2.3439999999999999</v>
      </c>
      <c r="F42" s="14">
        <v>0.020799999999999999</v>
      </c>
    </row>
    <row r="43" spans="1:6" ht="13.2">
      <c r="A43" s="5">
        <f t="shared" si="0"/>
        <v>33</v>
      </c>
      <c r="F43" s="12"/>
    </row>
    <row r="44" spans="1:6" ht="13.2">
      <c r="A44" s="5">
        <f t="shared" si="0"/>
        <v>34</v>
      </c>
      <c r="B44" s="15" t="s">
        <v>53</v>
      </c>
      <c r="F44" s="11"/>
    </row>
    <row r="45" spans="1:6" ht="13.2">
      <c r="A45" s="5">
        <f t="shared" si="0"/>
        <v>35</v>
      </c>
      <c r="B45" t="s">
        <v>25</v>
      </c>
      <c r="C45" s="20">
        <v>139</v>
      </c>
      <c r="F45" s="8"/>
    </row>
    <row r="46" spans="1:6" ht="13.2">
      <c r="A46" s="5">
        <f t="shared" si="0"/>
        <v>36</v>
      </c>
      <c r="B46" t="s">
        <v>8</v>
      </c>
      <c r="C46" s="20">
        <v>113</v>
      </c>
      <c r="F46" s="8"/>
    </row>
    <row r="47" spans="1:6" ht="13.2">
      <c r="A47" s="5">
        <f t="shared" si="0"/>
        <v>37</v>
      </c>
      <c r="B47" t="s">
        <v>9</v>
      </c>
      <c r="C47">
        <v>0.97299999999999998</v>
      </c>
      <c r="F47" s="8"/>
    </row>
    <row r="48" spans="1:6" ht="13.2">
      <c r="A48" s="5">
        <f t="shared" si="0"/>
        <v>38</v>
      </c>
      <c r="B48" t="s">
        <v>10</v>
      </c>
      <c r="C48" s="26">
        <v>0.96799999999999997</v>
      </c>
      <c r="D48" s="21"/>
      <c r="F48" s="8"/>
    </row>
    <row r="49" spans="1:6" ht="13.2">
      <c r="A49" s="5">
        <f t="shared" si="0"/>
        <v>39</v>
      </c>
      <c r="B49" t="s">
        <v>12</v>
      </c>
      <c r="C49" s="26">
        <v>165.03</v>
      </c>
      <c r="F49" s="8"/>
    </row>
    <row r="50" spans="1:6" ht="13.2">
      <c r="A50" s="5">
        <f t="shared" si="0"/>
        <v>40</v>
      </c>
      <c r="B50" t="s">
        <v>13</v>
      </c>
      <c r="C50" s="33">
        <v>0</v>
      </c>
      <c r="F50" s="8"/>
    </row>
    <row r="51" spans="1:3" ht="13.2">
      <c r="A51" s="5">
        <f t="shared" si="0"/>
        <v>41</v>
      </c>
      <c r="B51" t="s">
        <v>14</v>
      </c>
      <c r="C51">
        <v>499.99000000000001</v>
      </c>
    </row>
    <row r="52" spans="1:6" ht="13.2">
      <c r="A52" s="5">
        <f t="shared" si="0"/>
        <v>42</v>
      </c>
      <c r="B52" t="s">
        <v>15</v>
      </c>
      <c r="C52" s="21">
        <v>13.65</v>
      </c>
      <c r="F52" s="8"/>
    </row>
    <row r="53" spans="1:6" ht="13.2">
      <c r="A53" s="5">
        <f t="shared" si="0"/>
        <v>43</v>
      </c>
      <c r="B53" t="s">
        <v>16</v>
      </c>
      <c r="C53">
        <v>0.12</v>
      </c>
      <c r="F53" s="8"/>
    </row>
    <row r="54" spans="1:6" ht="13.2">
      <c r="A54" s="5">
        <f t="shared" si="0"/>
        <v>44</v>
      </c>
      <c r="B54" t="s">
        <v>17</v>
      </c>
      <c r="C54">
        <v>0.34999999999999998</v>
      </c>
      <c r="F54" s="8"/>
    </row>
    <row r="55" spans="1:3" ht="13.2">
      <c r="A55" s="5">
        <f t="shared" si="0"/>
        <v>45</v>
      </c>
      <c r="B55" t="s">
        <v>83</v>
      </c>
      <c r="C55">
        <v>0.23999999999999999</v>
      </c>
    </row>
    <row r="56" spans="1:3" ht="13.2">
      <c r="A56" s="5">
        <f t="shared" si="0"/>
        <v>46</v>
      </c>
      <c r="B56" t="s">
        <v>84</v>
      </c>
      <c r="C56" s="8">
        <v>0.013599999999999999</v>
      </c>
    </row>
    <row r="57" spans="1:3" ht="13.2">
      <c r="A57" s="5">
        <f t="shared" si="0"/>
        <v>47</v>
      </c>
      <c r="B57" t="s">
        <v>11</v>
      </c>
      <c r="C57">
        <v>1.9359999999999999</v>
      </c>
    </row>
    <row r="58" spans="1:3" ht="13.2">
      <c r="A58" s="5">
        <f t="shared" si="0"/>
        <v>48</v>
      </c>
      <c r="B58" t="s">
        <v>61</v>
      </c>
      <c r="C58">
        <v>16.280000000000001</v>
      </c>
    </row>
    <row r="59" spans="1:3" ht="13.2">
      <c r="A59" s="5">
        <f t="shared" si="0"/>
        <v>49</v>
      </c>
      <c r="B59" t="s">
        <v>62</v>
      </c>
      <c r="C59">
        <v>0.87760000000000005</v>
      </c>
    </row>
  </sheetData>
  <mergeCells count="7">
    <mergeCell ref="B6:F6"/>
    <mergeCell ref="B9:F9"/>
    <mergeCell ref="B1:F1"/>
    <mergeCell ref="B2:F2"/>
    <mergeCell ref="B3:F3"/>
    <mergeCell ref="B4:F4"/>
    <mergeCell ref="B8:F8"/>
  </mergeCells>
  <pageMargins left="0.7" right="0.7" top="0.75" bottom="0.75" header="0.3" footer="0.3"/>
  <pageSetup orientation="portrait" scale="93" r:id="rId1"/>
  <headerFooter>
    <oddHeader xml:space="preserve">&amp;RSchedule II-H-2.1
Page  &amp;P of  27
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H37"/>
  <sheetViews>
    <sheetView workbookViewId="0" topLeftCell="A1"/>
  </sheetViews>
  <sheetFormatPr defaultRowHeight="13.5"/>
  <cols>
    <col min="2" max="2" width="20.2857142857143" customWidth="1"/>
    <col min="3" max="3" width="17.2857142857143" customWidth="1"/>
    <col min="4" max="4" width="18.7142857142857" customWidth="1"/>
    <col min="5" max="5" width="14.7142857142857" customWidth="1"/>
    <col min="6" max="6" width="15.8571428571429" customWidth="1"/>
    <col min="7" max="7" width="11" customWidth="1"/>
  </cols>
  <sheetData>
    <row r="1" spans="1:8" ht="15.6">
      <c r="A1" s="5"/>
      <c r="B1" s="43" t="str">
        <f>+'RES Model'!B1:F1</f>
        <v xml:space="preserve">PUC DOCKET NO. </v>
      </c>
      <c r="C1" s="41"/>
      <c r="D1" s="41"/>
      <c r="E1" s="41"/>
      <c r="F1" s="41"/>
      <c r="G1" s="41"/>
      <c r="H1" s="41"/>
    </row>
    <row r="2" spans="1:8" ht="15.6">
      <c r="A2" s="5"/>
      <c r="B2" s="39" t="str">
        <f>+'RES Model'!B2:F2</f>
        <v>ONCOR ELECTRIC DELIVERY COMPANY LLC</v>
      </c>
      <c r="C2" s="41"/>
      <c r="D2" s="41"/>
      <c r="E2" s="41"/>
      <c r="F2" s="41"/>
      <c r="G2" s="41"/>
      <c r="H2" s="41"/>
    </row>
    <row r="3" spans="1:8" ht="15.6">
      <c r="A3" s="5"/>
      <c r="B3" s="39" t="str">
        <f>+'RES Model'!B3:F3</f>
        <v>MODEL INFORMATION</v>
      </c>
      <c r="C3" s="41"/>
      <c r="D3" s="41"/>
      <c r="E3" s="41"/>
      <c r="F3" s="41"/>
      <c r="G3" s="41"/>
      <c r="H3" s="41"/>
    </row>
    <row r="4" spans="1:8" ht="15.6">
      <c r="A4" s="5"/>
      <c r="B4" s="39" t="str">
        <f>+'RES Model'!B4:F4</f>
        <v>FOR THE TEST YEAR ENDING DECEMBER 31, 2021</v>
      </c>
      <c r="C4" s="41"/>
      <c r="D4" s="41"/>
      <c r="E4" s="41"/>
      <c r="F4" s="41"/>
      <c r="G4" s="41"/>
      <c r="H4" s="41"/>
    </row>
    <row r="5" spans="1:8" ht="13.2">
      <c r="A5" s="5"/>
      <c r="B5" s="1"/>
      <c r="C5" s="1"/>
      <c r="D5" s="1"/>
      <c r="E5" s="1"/>
      <c r="F5" s="1"/>
      <c r="G5" s="1"/>
      <c r="H5" s="1"/>
    </row>
    <row r="6" spans="1:8" ht="15.6">
      <c r="A6" s="5"/>
      <c r="B6" s="39" t="str">
        <f>+'RES Model'!B6:F6</f>
        <v>SPONSOR: D. E. NELSON</v>
      </c>
      <c r="C6" s="41"/>
      <c r="D6" s="41"/>
      <c r="E6" s="41"/>
      <c r="F6" s="41"/>
      <c r="G6" s="41"/>
      <c r="H6" s="41"/>
    </row>
    <row r="8" spans="1:8" ht="13.2">
      <c r="A8" s="5" t="s">
        <v>18</v>
      </c>
      <c r="B8" s="40"/>
      <c r="C8" s="40"/>
      <c r="D8" s="40"/>
      <c r="E8" s="40"/>
      <c r="F8" s="40"/>
      <c r="G8" s="1"/>
      <c r="H8" s="1"/>
    </row>
    <row r="9" spans="1:8" ht="13.2">
      <c r="A9" s="6" t="s">
        <v>19</v>
      </c>
      <c r="B9" s="7"/>
      <c r="C9" s="7"/>
      <c r="D9" s="7"/>
      <c r="E9" s="7"/>
      <c r="F9" s="7"/>
      <c r="G9" s="1"/>
      <c r="H9" s="1"/>
    </row>
    <row r="10" spans="1:8" ht="13.2">
      <c r="A10" s="5">
        <v>1</v>
      </c>
      <c r="B10" s="40" t="s">
        <v>65</v>
      </c>
      <c r="C10" s="41"/>
      <c r="D10" s="41"/>
      <c r="E10" s="41"/>
      <c r="F10" s="41"/>
      <c r="G10" s="41"/>
      <c r="H10" s="41"/>
    </row>
    <row r="11" spans="1:8" ht="13.2">
      <c r="A11" s="5">
        <f t="shared" si="0" ref="A11:A37">+A10+1</f>
        <v>2</v>
      </c>
      <c r="B11" s="40" t="s">
        <v>44</v>
      </c>
      <c r="C11" s="42"/>
      <c r="D11" s="42"/>
      <c r="E11" s="42"/>
      <c r="F11" s="42"/>
      <c r="G11" s="42"/>
      <c r="H11" s="42"/>
    </row>
    <row r="12" spans="1:8" ht="13.2">
      <c r="A12" s="5">
        <f t="shared" si="0"/>
        <v>3</v>
      </c>
      <c r="B12" s="3"/>
      <c r="C12" s="9"/>
      <c r="D12" s="1"/>
      <c r="E12" s="1"/>
      <c r="F12" s="1"/>
      <c r="G12" s="1"/>
      <c r="H12" s="1"/>
    </row>
    <row r="13" spans="1:8" ht="13.2">
      <c r="A13" s="5">
        <f t="shared" si="0"/>
        <v>4</v>
      </c>
      <c r="B13" s="3"/>
      <c r="C13" s="9"/>
      <c r="D13" s="1"/>
      <c r="E13" s="1"/>
      <c r="F13" s="1"/>
      <c r="G13" s="1"/>
      <c r="H13" s="1"/>
    </row>
    <row r="14" spans="1:8" ht="13.2">
      <c r="A14" s="5">
        <f t="shared" si="0"/>
        <v>5</v>
      </c>
      <c r="B14" s="1"/>
      <c r="C14" s="1"/>
      <c r="D14" s="1"/>
      <c r="E14" s="1"/>
      <c r="F14" s="1"/>
      <c r="G14" s="1"/>
      <c r="H14" s="1"/>
    </row>
    <row r="15" spans="1:8" ht="13.2">
      <c r="A15" s="5">
        <f t="shared" si="0"/>
        <v>6</v>
      </c>
      <c r="B15" s="25"/>
      <c r="C15" s="25"/>
      <c r="D15" s="25"/>
      <c r="E15" s="25"/>
      <c r="F15" s="25"/>
      <c r="G15" s="1"/>
      <c r="H15" s="1"/>
    </row>
    <row r="16" spans="1:6" ht="13.2">
      <c r="A16" s="5">
        <f t="shared" si="0"/>
        <v>7</v>
      </c>
      <c r="F16" s="8"/>
    </row>
    <row r="17" spans="1:6" ht="13.2">
      <c r="A17" s="5">
        <f t="shared" si="0"/>
        <v>8</v>
      </c>
      <c r="F17" s="8"/>
    </row>
    <row r="18" spans="1:6" ht="13.2">
      <c r="A18" s="5">
        <f t="shared" si="0"/>
        <v>9</v>
      </c>
      <c r="F18" s="8"/>
    </row>
    <row r="19" spans="1:6" ht="13.2">
      <c r="A19" s="5">
        <f t="shared" si="0"/>
        <v>10</v>
      </c>
      <c r="F19" s="8"/>
    </row>
    <row r="20" spans="1:6" ht="13.2">
      <c r="A20" s="5">
        <f t="shared" si="0"/>
        <v>11</v>
      </c>
      <c r="F20" s="8"/>
    </row>
    <row r="21" spans="1:6" ht="13.2">
      <c r="A21" s="5">
        <f t="shared" si="0"/>
        <v>12</v>
      </c>
      <c r="F21" s="8"/>
    </row>
    <row r="22" spans="1:6" ht="13.2">
      <c r="A22" s="5">
        <f t="shared" si="0"/>
        <v>13</v>
      </c>
      <c r="F22" s="8"/>
    </row>
    <row r="23" spans="1:6" ht="13.2">
      <c r="A23" s="5">
        <f t="shared" si="0"/>
        <v>14</v>
      </c>
      <c r="F23" s="8"/>
    </row>
    <row r="24" spans="1:6" ht="13.2">
      <c r="A24" s="5">
        <f t="shared" si="0"/>
        <v>15</v>
      </c>
      <c r="F24" s="8"/>
    </row>
    <row r="25" spans="1:6" ht="13.2">
      <c r="A25" s="5">
        <f t="shared" si="0"/>
        <v>16</v>
      </c>
      <c r="F25" s="8"/>
    </row>
    <row r="26" spans="1:6" ht="13.2">
      <c r="A26" s="5">
        <f t="shared" si="0"/>
        <v>17</v>
      </c>
      <c r="F26" s="8"/>
    </row>
    <row r="27" spans="1:6" ht="13.2">
      <c r="A27" s="5">
        <f t="shared" si="0"/>
        <v>18</v>
      </c>
      <c r="F27" s="8"/>
    </row>
    <row r="28" spans="1:6" ht="13.2">
      <c r="A28" s="5">
        <f t="shared" si="0"/>
        <v>19</v>
      </c>
      <c r="F28" s="8"/>
    </row>
    <row r="29" spans="1:6" ht="13.2">
      <c r="A29" s="5">
        <f t="shared" si="0"/>
        <v>20</v>
      </c>
      <c r="F29" s="8"/>
    </row>
    <row r="30" spans="1:6" ht="13.2">
      <c r="A30" s="5">
        <f t="shared" si="0"/>
        <v>21</v>
      </c>
      <c r="F30" s="8"/>
    </row>
    <row r="31" spans="1:6" ht="13.2">
      <c r="A31" s="5">
        <f t="shared" si="0"/>
        <v>22</v>
      </c>
      <c r="F31" s="8"/>
    </row>
    <row r="32" spans="1:6" ht="13.2">
      <c r="A32" s="5">
        <f t="shared" si="0"/>
        <v>23</v>
      </c>
      <c r="F32" s="8"/>
    </row>
    <row r="33" spans="1:6" ht="13.2">
      <c r="A33" s="5">
        <f t="shared" si="0"/>
        <v>24</v>
      </c>
      <c r="F33" s="10"/>
    </row>
    <row r="34" spans="1:1" ht="13.2">
      <c r="A34" s="5">
        <f t="shared" si="0"/>
        <v>25</v>
      </c>
    </row>
    <row r="35" spans="1:1" ht="13.2">
      <c r="A35" s="5">
        <f t="shared" si="0"/>
        <v>26</v>
      </c>
    </row>
    <row r="36" spans="1:1" ht="13.2">
      <c r="A36" s="5">
        <f t="shared" si="0"/>
        <v>27</v>
      </c>
    </row>
    <row r="37" spans="1:1" ht="13.2">
      <c r="A37" s="5">
        <f t="shared" si="0"/>
        <v>28</v>
      </c>
    </row>
  </sheetData>
  <mergeCells count="8">
    <mergeCell ref="B10:H10"/>
    <mergeCell ref="B11:H11"/>
    <mergeCell ref="B8:F8"/>
    <mergeCell ref="B1:H1"/>
    <mergeCell ref="B2:H2"/>
    <mergeCell ref="B3:H3"/>
    <mergeCell ref="B4:H4"/>
    <mergeCell ref="B6:H6"/>
  </mergeCells>
  <pageMargins left="0.7" right="0.7" top="0.75" bottom="0.75" header="0.3" footer="0.3"/>
  <pageSetup orientation="portrait" scale="79" r:id="rId2"/>
  <headerFooter>
    <oddHeader xml:space="preserve">&amp;RSchedule II-H-2.1
Page  &amp;P of  27
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4">
    <pageSetUpPr fitToPage="1"/>
  </sheetPr>
  <dimension ref="A1:F49"/>
  <sheetViews>
    <sheetView workbookViewId="0" topLeftCell="A1"/>
  </sheetViews>
  <sheetFormatPr defaultRowHeight="13.5"/>
  <cols>
    <col min="2" max="2" width="39.1428571428571" bestFit="1" customWidth="1"/>
    <col min="3" max="3" width="13.7142857142857" customWidth="1"/>
  </cols>
  <sheetData>
    <row r="1" spans="1:6" s="1" customFormat="1" ht="15.6">
      <c r="A1" s="5"/>
      <c r="B1" s="39" t="str">
        <f>+'RES Model'!B1:F1</f>
        <v xml:space="preserve">PUC DOCKET NO. </v>
      </c>
      <c r="C1" s="39"/>
      <c r="D1" s="39"/>
      <c r="E1" s="39"/>
      <c r="F1" s="39"/>
    </row>
    <row r="2" spans="1:6" s="1" customFormat="1" ht="15.6">
      <c r="A2" s="5"/>
      <c r="B2" s="39" t="str">
        <f>+'RES Model'!B2:F2</f>
        <v>ONCOR ELECTRIC DELIVERY COMPANY LLC</v>
      </c>
      <c r="C2" s="39"/>
      <c r="D2" s="39"/>
      <c r="E2" s="39"/>
      <c r="F2" s="39"/>
    </row>
    <row r="3" spans="1:6" s="1" customFormat="1" ht="15.6">
      <c r="A3" s="5"/>
      <c r="B3" s="39" t="str">
        <f>+'RES Model'!B3:F3</f>
        <v>MODEL INFORMATION</v>
      </c>
      <c r="C3" s="39"/>
      <c r="D3" s="39"/>
      <c r="E3" s="39"/>
      <c r="F3" s="39"/>
    </row>
    <row r="4" spans="1:6" s="1" customFormat="1" ht="15.6">
      <c r="A4" s="5"/>
      <c r="B4" s="39" t="str">
        <f>+'RES Model'!B4:F4</f>
        <v>FOR THE TEST YEAR ENDING DECEMBER 31, 2021</v>
      </c>
      <c r="C4" s="39"/>
      <c r="D4" s="39"/>
      <c r="E4" s="39"/>
      <c r="F4" s="39"/>
    </row>
    <row r="5" spans="1:1" s="1" customFormat="1" ht="11.4">
      <c r="A5" s="5"/>
    </row>
    <row r="6" spans="1:6" s="1" customFormat="1" ht="15.6">
      <c r="A6" s="5"/>
      <c r="B6" s="39" t="str">
        <f>+'RES Model'!B6:F6</f>
        <v>SPONSOR: D. E. NELSON</v>
      </c>
      <c r="C6" s="39"/>
      <c r="D6" s="39"/>
      <c r="E6" s="39"/>
      <c r="F6" s="39"/>
    </row>
    <row r="8" spans="2:6" ht="15.6">
      <c r="B8" s="39" t="s">
        <v>47</v>
      </c>
      <c r="C8" s="39"/>
      <c r="D8" s="39"/>
      <c r="E8" s="39"/>
      <c r="F8" s="39"/>
    </row>
    <row r="9" spans="1:6" s="1" customFormat="1" ht="12">
      <c r="A9" s="5" t="s">
        <v>18</v>
      </c>
      <c r="B9" s="40"/>
      <c r="C9" s="40"/>
      <c r="D9" s="40"/>
      <c r="E9" s="40"/>
      <c r="F9" s="40"/>
    </row>
    <row r="10" spans="1:6" s="1" customFormat="1" ht="11.4">
      <c r="A10" s="6" t="s">
        <v>19</v>
      </c>
      <c r="B10" s="7" t="s">
        <v>20</v>
      </c>
      <c r="C10" s="7" t="s">
        <v>21</v>
      </c>
      <c r="D10" s="7" t="s">
        <v>24</v>
      </c>
      <c r="E10" s="7" t="s">
        <v>22</v>
      </c>
      <c r="F10" s="7" t="s">
        <v>23</v>
      </c>
    </row>
    <row r="11" spans="1:3" s="1" customFormat="1" ht="12">
      <c r="A11" s="5">
        <v>1</v>
      </c>
      <c r="B11" s="3" t="s">
        <v>44</v>
      </c>
      <c r="C11" s="3"/>
    </row>
    <row r="12" spans="1:3" s="1" customFormat="1" ht="12">
      <c r="A12" s="5">
        <f t="shared" si="0" ref="A12:A49">+A11+1</f>
        <v>2</v>
      </c>
      <c r="B12" s="3" t="s">
        <v>5</v>
      </c>
      <c r="C12" s="3" t="s">
        <v>43</v>
      </c>
    </row>
    <row r="13" spans="1:3" s="1" customFormat="1" ht="12">
      <c r="A13" s="5">
        <f t="shared" si="0"/>
        <v>3</v>
      </c>
      <c r="B13" s="3" t="s">
        <v>6</v>
      </c>
      <c r="C13" s="9">
        <f>+'RES Model'!C13</f>
        <v>40179</v>
      </c>
    </row>
    <row r="14" spans="1:3" s="1" customFormat="1" ht="12">
      <c r="A14" s="5">
        <f t="shared" si="0"/>
        <v>4</v>
      </c>
      <c r="B14" s="3" t="s">
        <v>7</v>
      </c>
      <c r="C14" s="9">
        <f>+'RES Model'!C14</f>
        <v>44378</v>
      </c>
    </row>
    <row r="15" spans="1:1" s="1" customFormat="1" ht="11.4">
      <c r="A15" s="5">
        <f t="shared" si="0"/>
        <v>5</v>
      </c>
    </row>
    <row r="16" spans="1:6" s="1" customFormat="1" ht="11.4">
      <c r="A16" s="5">
        <f t="shared" si="0"/>
        <v>6</v>
      </c>
      <c r="B16" s="4" t="s">
        <v>0</v>
      </c>
      <c r="C16" s="4" t="s">
        <v>1</v>
      </c>
      <c r="D16" s="4" t="s">
        <v>2</v>
      </c>
      <c r="E16" s="4" t="s">
        <v>3</v>
      </c>
      <c r="F16" s="4" t="s">
        <v>4</v>
      </c>
    </row>
    <row r="17" spans="1:6" ht="13.2">
      <c r="A17" s="5">
        <f t="shared" si="0"/>
        <v>7</v>
      </c>
      <c r="B17" t="s">
        <v>89</v>
      </c>
      <c r="C17" s="13">
        <v>5.9450000000000003</v>
      </c>
      <c r="D17" s="13">
        <v>0.63400000000000001</v>
      </c>
      <c r="E17" s="13">
        <v>9.3740000000000006</v>
      </c>
      <c r="F17" s="14">
        <v>0</v>
      </c>
    </row>
    <row r="18" spans="1:6" ht="13.2">
      <c r="A18" s="5">
        <f t="shared" si="0"/>
        <v>8</v>
      </c>
      <c r="B18" t="s">
        <v>90</v>
      </c>
      <c r="C18" s="13">
        <v>11.532</v>
      </c>
      <c r="D18" s="13">
        <v>0.34000000000000002</v>
      </c>
      <c r="E18" s="13">
        <v>33.914000000000001</v>
      </c>
      <c r="F18" s="14">
        <v>0</v>
      </c>
    </row>
    <row r="19" spans="1:6" ht="13.2">
      <c r="A19" s="5">
        <f t="shared" si="0"/>
        <v>9</v>
      </c>
      <c r="B19" t="s">
        <v>79</v>
      </c>
      <c r="C19" s="13">
        <v>1.5269999999999999</v>
      </c>
      <c r="D19" s="13">
        <v>0.019</v>
      </c>
      <c r="E19" s="13">
        <v>78.825000000000003</v>
      </c>
      <c r="F19" s="14">
        <v>0</v>
      </c>
    </row>
    <row r="20" spans="1:6" ht="13.2">
      <c r="A20" s="5">
        <f t="shared" si="0"/>
        <v>10</v>
      </c>
      <c r="B20" t="s">
        <v>28</v>
      </c>
      <c r="C20" s="13">
        <v>-37.667999999999999</v>
      </c>
      <c r="D20" s="13">
        <v>6.6900000000000004</v>
      </c>
      <c r="E20" s="13">
        <v>-5.6310000000000002</v>
      </c>
      <c r="F20" s="14">
        <v>0</v>
      </c>
    </row>
    <row r="21" spans="1:6" ht="13.2">
      <c r="A21" s="5">
        <f t="shared" si="0"/>
        <v>11</v>
      </c>
      <c r="B21" t="s">
        <v>29</v>
      </c>
      <c r="C21" s="13">
        <v>-21.707000000000001</v>
      </c>
      <c r="D21" s="13">
        <v>6.7640000000000002</v>
      </c>
      <c r="E21" s="13">
        <v>-3.2090000000000001</v>
      </c>
      <c r="F21" s="14">
        <v>0.0016999999999999999</v>
      </c>
    </row>
    <row r="22" spans="1:6" ht="13.2">
      <c r="A22" s="5">
        <f t="shared" si="0"/>
        <v>12</v>
      </c>
      <c r="B22" t="s">
        <v>30</v>
      </c>
      <c r="C22" s="13">
        <v>-25.704999999999998</v>
      </c>
      <c r="D22" s="13">
        <v>6.4130000000000003</v>
      </c>
      <c r="E22" s="13">
        <v>-4.008</v>
      </c>
      <c r="F22" s="14">
        <v>0.00010000000000000001</v>
      </c>
    </row>
    <row r="23" spans="1:6" ht="13.2">
      <c r="A23" s="5">
        <f t="shared" si="0"/>
        <v>13</v>
      </c>
      <c r="B23" t="s">
        <v>31</v>
      </c>
      <c r="C23" s="13">
        <v>-36.75</v>
      </c>
      <c r="D23" s="13">
        <v>5.7549999999999999</v>
      </c>
      <c r="E23" s="13">
        <v>-6.3860000000000001</v>
      </c>
      <c r="F23" s="14">
        <v>0</v>
      </c>
    </row>
    <row r="24" spans="1:6" ht="13.2">
      <c r="A24" s="5">
        <f t="shared" si="0"/>
        <v>14</v>
      </c>
      <c r="B24" t="s">
        <v>32</v>
      </c>
      <c r="C24" s="13">
        <v>-27.445</v>
      </c>
      <c r="D24" s="13">
        <v>5.2329999999999997</v>
      </c>
      <c r="E24" s="13">
        <v>-5.2450000000000001</v>
      </c>
      <c r="F24" s="14">
        <v>0</v>
      </c>
    </row>
    <row r="25" spans="1:6" ht="13.2">
      <c r="A25" s="5">
        <f t="shared" si="0"/>
        <v>15</v>
      </c>
      <c r="B25" t="s">
        <v>33</v>
      </c>
      <c r="C25" s="13">
        <v>-24.321999999999999</v>
      </c>
      <c r="D25" s="13">
        <v>4.1550000000000002</v>
      </c>
      <c r="E25" s="13">
        <v>-5.8540000000000001</v>
      </c>
      <c r="F25" s="14">
        <v>0</v>
      </c>
    </row>
    <row r="26" spans="1:6" ht="13.2">
      <c r="A26" s="5">
        <f t="shared" si="0"/>
        <v>16</v>
      </c>
      <c r="B26" t="s">
        <v>34</v>
      </c>
      <c r="C26" s="13">
        <v>-21.542000000000002</v>
      </c>
      <c r="D26" s="13">
        <v>3.766</v>
      </c>
      <c r="E26" s="13">
        <v>-5.7199999999999998</v>
      </c>
      <c r="F26" s="14">
        <v>0</v>
      </c>
    </row>
    <row r="27" spans="1:6" ht="13.2">
      <c r="A27" s="5">
        <f t="shared" si="0"/>
        <v>17</v>
      </c>
      <c r="B27" t="s">
        <v>35</v>
      </c>
      <c r="C27" s="13">
        <v>-10.517</v>
      </c>
      <c r="D27" s="13">
        <v>2.9729999999999999</v>
      </c>
      <c r="E27" s="13">
        <v>-3.5369999999999999</v>
      </c>
      <c r="F27" s="14">
        <v>0.00059999999999999995</v>
      </c>
    </row>
    <row r="28" spans="1:6" ht="13.2">
      <c r="A28" s="5">
        <f t="shared" si="0"/>
        <v>18</v>
      </c>
      <c r="B28" t="s">
        <v>38</v>
      </c>
      <c r="C28" s="13">
        <v>-16.001000000000001</v>
      </c>
      <c r="D28" s="13">
        <v>3.6960000000000002</v>
      </c>
      <c r="E28" s="13">
        <v>-4.3289999999999997</v>
      </c>
      <c r="F28" s="14">
        <v>0</v>
      </c>
    </row>
    <row r="29" spans="1:6" ht="13.2">
      <c r="A29" s="5">
        <f t="shared" si="0"/>
        <v>19</v>
      </c>
      <c r="B29" t="s">
        <v>41</v>
      </c>
      <c r="C29" s="13">
        <v>-33.429000000000002</v>
      </c>
      <c r="D29" s="13">
        <v>5.5750000000000002</v>
      </c>
      <c r="E29" s="13">
        <v>-5.9969999999999999</v>
      </c>
      <c r="F29" s="14">
        <v>0</v>
      </c>
    </row>
    <row r="30" spans="1:6" ht="13.2">
      <c r="A30" s="5">
        <f t="shared" si="0"/>
        <v>20</v>
      </c>
      <c r="B30" t="s">
        <v>42</v>
      </c>
      <c r="C30" s="13">
        <v>0.879</v>
      </c>
      <c r="D30" s="13">
        <v>0.088999999999999996</v>
      </c>
      <c r="E30" s="13">
        <v>9.8550000000000004</v>
      </c>
      <c r="F30" s="14">
        <v>0</v>
      </c>
    </row>
    <row r="31" spans="1:6" ht="13.2">
      <c r="A31" s="5">
        <f t="shared" si="0"/>
        <v>21</v>
      </c>
      <c r="B31" t="s">
        <v>54</v>
      </c>
      <c r="C31" s="13">
        <v>-0.17599999999999999</v>
      </c>
      <c r="D31" s="13">
        <v>0.11799999999999999</v>
      </c>
      <c r="E31" s="13">
        <v>-1.486</v>
      </c>
      <c r="F31" s="14">
        <v>0.13980000000000001</v>
      </c>
    </row>
    <row r="32" spans="1:6" ht="13.2">
      <c r="A32" s="5">
        <f t="shared" si="0"/>
        <v>22</v>
      </c>
      <c r="B32" t="s">
        <v>55</v>
      </c>
      <c r="C32" s="13">
        <v>0.153</v>
      </c>
      <c r="D32" s="13">
        <v>0.088999999999999996</v>
      </c>
      <c r="E32" s="13">
        <v>1.7310000000000001</v>
      </c>
      <c r="F32" s="14">
        <v>0.085999999999999993</v>
      </c>
    </row>
    <row r="33" spans="1:6" ht="13.2">
      <c r="A33" s="5">
        <f t="shared" si="0"/>
        <v>23</v>
      </c>
      <c r="C33" s="13"/>
      <c r="D33" s="13"/>
      <c r="E33" s="13"/>
      <c r="F33" s="14"/>
    </row>
    <row r="34" spans="1:6" ht="13.2">
      <c r="A34" s="5">
        <f t="shared" si="0"/>
        <v>24</v>
      </c>
      <c r="B34" s="15" t="s">
        <v>53</v>
      </c>
      <c r="C34" s="13"/>
      <c r="D34" s="13"/>
      <c r="E34" s="13"/>
      <c r="F34" s="14"/>
    </row>
    <row r="35" spans="1:6" ht="13.2">
      <c r="A35" s="5">
        <f t="shared" si="0"/>
        <v>25</v>
      </c>
      <c r="B35" t="s">
        <v>25</v>
      </c>
      <c r="C35">
        <v>136</v>
      </c>
      <c r="F35" s="8"/>
    </row>
    <row r="36" spans="1:6" ht="13.2">
      <c r="A36" s="5">
        <f t="shared" si="0"/>
        <v>26</v>
      </c>
      <c r="B36" t="s">
        <v>8</v>
      </c>
      <c r="C36">
        <v>120</v>
      </c>
      <c r="F36" s="8"/>
    </row>
    <row r="37" spans="1:6" ht="13.2">
      <c r="A37" s="5">
        <f t="shared" si="0"/>
        <v>27</v>
      </c>
      <c r="B37" t="s">
        <v>9</v>
      </c>
      <c r="C37" s="22">
        <v>0.98999999999999999</v>
      </c>
      <c r="F37" s="8"/>
    </row>
    <row r="38" spans="1:6" ht="13.2">
      <c r="A38" s="5">
        <f t="shared" si="0"/>
        <v>28</v>
      </c>
      <c r="B38" t="s">
        <v>10</v>
      </c>
      <c r="C38" s="22">
        <v>0.98899999999999999</v>
      </c>
      <c r="F38" s="8"/>
    </row>
    <row r="39" spans="1:6" ht="13.2">
      <c r="A39" s="5">
        <f t="shared" si="0"/>
        <v>29</v>
      </c>
      <c r="B39" t="s">
        <v>12</v>
      </c>
      <c r="C39" s="34">
        <v>728.51900000000001</v>
      </c>
      <c r="F39" s="8"/>
    </row>
    <row r="40" spans="1:6" ht="13.2">
      <c r="A40" s="5">
        <f t="shared" si="0"/>
        <v>30</v>
      </c>
      <c r="B40" t="s">
        <v>13</v>
      </c>
      <c r="C40" s="33">
        <v>0</v>
      </c>
      <c r="F40" s="8"/>
    </row>
    <row r="41" spans="1:3" ht="13.2">
      <c r="A41" s="5">
        <f t="shared" si="0"/>
        <v>31</v>
      </c>
      <c r="B41" t="s">
        <v>14</v>
      </c>
      <c r="C41" s="23">
        <v>959080.58999999997</v>
      </c>
    </row>
    <row r="42" spans="1:6" ht="13.2">
      <c r="A42" s="5">
        <f t="shared" si="0"/>
        <v>32</v>
      </c>
      <c r="B42" t="s">
        <v>15</v>
      </c>
      <c r="C42" s="21">
        <v>9886.5200000000004</v>
      </c>
      <c r="F42" s="8"/>
    </row>
    <row r="43" spans="1:6" ht="13.2">
      <c r="A43" s="5">
        <f t="shared" si="0"/>
        <v>33</v>
      </c>
      <c r="B43" t="s">
        <v>16</v>
      </c>
      <c r="C43" s="21">
        <v>82.390000000000001</v>
      </c>
      <c r="F43" s="8"/>
    </row>
    <row r="44" spans="1:6" ht="13.2">
      <c r="A44" s="5">
        <f t="shared" si="0"/>
        <v>34</v>
      </c>
      <c r="B44" t="s">
        <v>17</v>
      </c>
      <c r="C44">
        <v>9.0800000000000001</v>
      </c>
      <c r="F44" s="8"/>
    </row>
    <row r="45" spans="1:3" ht="13.2">
      <c r="A45" s="5">
        <f t="shared" si="0"/>
        <v>35</v>
      </c>
      <c r="B45" t="s">
        <v>83</v>
      </c>
      <c r="C45">
        <v>5.9900000000000002</v>
      </c>
    </row>
    <row r="46" spans="1:3" ht="13.2">
      <c r="A46" s="5">
        <f t="shared" si="0"/>
        <v>36</v>
      </c>
      <c r="B46" t="s">
        <v>84</v>
      </c>
      <c r="C46" s="8">
        <v>0.0095999999999999992</v>
      </c>
    </row>
    <row r="47" spans="1:3" ht="13.2">
      <c r="A47" s="5">
        <f t="shared" si="0"/>
        <v>37</v>
      </c>
      <c r="B47" t="s">
        <v>11</v>
      </c>
      <c r="C47">
        <v>2.012</v>
      </c>
    </row>
    <row r="48" spans="1:3" ht="13.2">
      <c r="A48" s="5">
        <f t="shared" si="0"/>
        <v>38</v>
      </c>
      <c r="B48" t="s">
        <v>61</v>
      </c>
      <c r="C48">
        <v>16.989999999999998</v>
      </c>
    </row>
    <row r="49" spans="1:3" ht="13.2">
      <c r="A49" s="5">
        <f t="shared" si="0"/>
        <v>39</v>
      </c>
      <c r="B49" t="s">
        <v>62</v>
      </c>
      <c r="C49">
        <v>0.84889999999999999</v>
      </c>
    </row>
  </sheetData>
  <mergeCells count="7">
    <mergeCell ref="B6:F6"/>
    <mergeCell ref="B9:F9"/>
    <mergeCell ref="B1:F1"/>
    <mergeCell ref="B2:F2"/>
    <mergeCell ref="B3:F3"/>
    <mergeCell ref="B4:F4"/>
    <mergeCell ref="B8:F8"/>
  </mergeCells>
  <pageMargins left="0.7" right="0.7" top="0.75" bottom="0.75" header="0.3" footer="0.3"/>
  <pageSetup orientation="portrait" r:id="rId1"/>
  <headerFooter>
    <oddHeader xml:space="preserve">&amp;RSchedule II-H-2.1
Page  &amp;P of  27
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H37"/>
  <sheetViews>
    <sheetView workbookViewId="0" topLeftCell="A1"/>
  </sheetViews>
  <sheetFormatPr defaultRowHeight="13.5"/>
  <cols>
    <col min="2" max="2" width="20.2857142857143" customWidth="1"/>
    <col min="3" max="3" width="17.2857142857143" customWidth="1"/>
    <col min="4" max="4" width="18.7142857142857" customWidth="1"/>
    <col min="5" max="5" width="14.7142857142857" customWidth="1"/>
    <col min="6" max="6" width="15.8571428571429" customWidth="1"/>
    <col min="7" max="7" width="11" customWidth="1"/>
  </cols>
  <sheetData>
    <row r="1" spans="1:8" ht="15.6">
      <c r="A1" s="5"/>
      <c r="B1" s="43" t="str">
        <f>+'RES Model'!B1:F1</f>
        <v xml:space="preserve">PUC DOCKET NO. </v>
      </c>
      <c r="C1" s="41"/>
      <c r="D1" s="41"/>
      <c r="E1" s="41"/>
      <c r="F1" s="41"/>
      <c r="G1" s="41"/>
      <c r="H1" s="41"/>
    </row>
    <row r="2" spans="1:8" ht="15.6">
      <c r="A2" s="5"/>
      <c r="B2" s="39" t="str">
        <f>+'RES Model'!B2:F2</f>
        <v>ONCOR ELECTRIC DELIVERY COMPANY LLC</v>
      </c>
      <c r="C2" s="41"/>
      <c r="D2" s="41"/>
      <c r="E2" s="41"/>
      <c r="F2" s="41"/>
      <c r="G2" s="41"/>
      <c r="H2" s="41"/>
    </row>
    <row r="3" spans="1:8" ht="15.6">
      <c r="A3" s="5"/>
      <c r="B3" s="39" t="str">
        <f>+'RES Model'!B3:F3</f>
        <v>MODEL INFORMATION</v>
      </c>
      <c r="C3" s="41"/>
      <c r="D3" s="41"/>
      <c r="E3" s="41"/>
      <c r="F3" s="41"/>
      <c r="G3" s="41"/>
      <c r="H3" s="41"/>
    </row>
    <row r="4" spans="1:8" ht="15.6">
      <c r="A4" s="5"/>
      <c r="B4" s="39" t="str">
        <f>+'RES Model'!B4:F4</f>
        <v>FOR THE TEST YEAR ENDING DECEMBER 31, 2021</v>
      </c>
      <c r="C4" s="41"/>
      <c r="D4" s="41"/>
      <c r="E4" s="41"/>
      <c r="F4" s="41"/>
      <c r="G4" s="41"/>
      <c r="H4" s="41"/>
    </row>
    <row r="5" spans="1:8" ht="13.2">
      <c r="A5" s="5"/>
      <c r="B5" s="1"/>
      <c r="C5" s="1"/>
      <c r="D5" s="1"/>
      <c r="E5" s="1"/>
      <c r="F5" s="1"/>
      <c r="G5" s="1"/>
      <c r="H5" s="1"/>
    </row>
    <row r="6" spans="1:8" ht="15.6">
      <c r="A6" s="5"/>
      <c r="B6" s="39" t="str">
        <f>+'RES Model'!B6:F6</f>
        <v>SPONSOR: D. E. NELSON</v>
      </c>
      <c r="C6" s="41"/>
      <c r="D6" s="41"/>
      <c r="E6" s="41"/>
      <c r="F6" s="41"/>
      <c r="G6" s="41"/>
      <c r="H6" s="41"/>
    </row>
    <row r="8" spans="1:8" ht="13.2">
      <c r="A8" s="5" t="s">
        <v>18</v>
      </c>
      <c r="B8" s="40"/>
      <c r="C8" s="40"/>
      <c r="D8" s="40"/>
      <c r="E8" s="40"/>
      <c r="F8" s="40"/>
      <c r="G8" s="1"/>
      <c r="H8" s="1"/>
    </row>
    <row r="9" spans="1:8" ht="13.2">
      <c r="A9" s="6" t="s">
        <v>19</v>
      </c>
      <c r="B9" s="7"/>
      <c r="C9" s="7"/>
      <c r="D9" s="7"/>
      <c r="E9" s="7"/>
      <c r="F9" s="7"/>
      <c r="G9" s="1"/>
      <c r="H9" s="1"/>
    </row>
    <row r="10" spans="1:8" ht="13.2">
      <c r="A10" s="5">
        <v>1</v>
      </c>
      <c r="B10" s="40" t="s">
        <v>67</v>
      </c>
      <c r="C10" s="41"/>
      <c r="D10" s="41"/>
      <c r="E10" s="41"/>
      <c r="F10" s="41"/>
      <c r="G10" s="41"/>
      <c r="H10" s="41"/>
    </row>
    <row r="11" spans="1:8" ht="13.2">
      <c r="A11" s="5">
        <f t="shared" si="0" ref="A11:A37">+A10+1</f>
        <v>2</v>
      </c>
      <c r="B11" s="40" t="s">
        <v>44</v>
      </c>
      <c r="C11" s="42"/>
      <c r="D11" s="42"/>
      <c r="E11" s="42"/>
      <c r="F11" s="42"/>
      <c r="G11" s="42"/>
      <c r="H11" s="42"/>
    </row>
    <row r="12" spans="1:8" ht="13.2">
      <c r="A12" s="5">
        <f t="shared" si="0"/>
        <v>3</v>
      </c>
      <c r="B12" s="3"/>
      <c r="C12" s="9"/>
      <c r="D12" s="1"/>
      <c r="E12" s="1"/>
      <c r="F12" s="1"/>
      <c r="G12" s="1"/>
      <c r="H12" s="1"/>
    </row>
    <row r="13" spans="1:8" ht="13.2">
      <c r="A13" s="5">
        <f t="shared" si="0"/>
        <v>4</v>
      </c>
      <c r="B13" s="3"/>
      <c r="C13" s="9"/>
      <c r="D13" s="1"/>
      <c r="E13" s="1"/>
      <c r="F13" s="1"/>
      <c r="G13" s="1"/>
      <c r="H13" s="1"/>
    </row>
    <row r="14" spans="1:8" ht="13.2">
      <c r="A14" s="5">
        <f t="shared" si="0"/>
        <v>5</v>
      </c>
      <c r="B14" s="1"/>
      <c r="C14" s="1"/>
      <c r="D14" s="1"/>
      <c r="E14" s="1"/>
      <c r="F14" s="1"/>
      <c r="G14" s="1"/>
      <c r="H14" s="1"/>
    </row>
    <row r="15" spans="1:8" ht="13.2">
      <c r="A15" s="5">
        <f t="shared" si="0"/>
        <v>6</v>
      </c>
      <c r="B15" s="25"/>
      <c r="C15" s="25"/>
      <c r="D15" s="25"/>
      <c r="E15" s="25"/>
      <c r="F15" s="25"/>
      <c r="G15" s="1"/>
      <c r="H15" s="1"/>
    </row>
    <row r="16" spans="1:6" ht="13.2">
      <c r="A16" s="5">
        <f t="shared" si="0"/>
        <v>7</v>
      </c>
      <c r="F16" s="8"/>
    </row>
    <row r="17" spans="1:6" ht="13.2">
      <c r="A17" s="5">
        <f t="shared" si="0"/>
        <v>8</v>
      </c>
      <c r="F17" s="8"/>
    </row>
    <row r="18" spans="1:6" ht="13.2">
      <c r="A18" s="5">
        <f t="shared" si="0"/>
        <v>9</v>
      </c>
      <c r="F18" s="8"/>
    </row>
    <row r="19" spans="1:6" ht="13.2">
      <c r="A19" s="5">
        <f t="shared" si="0"/>
        <v>10</v>
      </c>
      <c r="F19" s="8"/>
    </row>
    <row r="20" spans="1:6" ht="13.2">
      <c r="A20" s="5">
        <f t="shared" si="0"/>
        <v>11</v>
      </c>
      <c r="F20" s="8"/>
    </row>
    <row r="21" spans="1:6" ht="13.2">
      <c r="A21" s="5">
        <f t="shared" si="0"/>
        <v>12</v>
      </c>
      <c r="F21" s="8"/>
    </row>
    <row r="22" spans="1:6" ht="13.2">
      <c r="A22" s="5">
        <f t="shared" si="0"/>
        <v>13</v>
      </c>
      <c r="F22" s="8"/>
    </row>
    <row r="23" spans="1:6" ht="13.2">
      <c r="A23" s="5">
        <f t="shared" si="0"/>
        <v>14</v>
      </c>
      <c r="F23" s="8"/>
    </row>
    <row r="24" spans="1:6" ht="13.2">
      <c r="A24" s="5">
        <f t="shared" si="0"/>
        <v>15</v>
      </c>
      <c r="F24" s="8"/>
    </row>
    <row r="25" spans="1:6" ht="13.2">
      <c r="A25" s="5">
        <f t="shared" si="0"/>
        <v>16</v>
      </c>
      <c r="F25" s="8"/>
    </row>
    <row r="26" spans="1:6" ht="13.2">
      <c r="A26" s="5">
        <f t="shared" si="0"/>
        <v>17</v>
      </c>
      <c r="F26" s="8"/>
    </row>
    <row r="27" spans="1:6" ht="13.2">
      <c r="A27" s="5">
        <f t="shared" si="0"/>
        <v>18</v>
      </c>
      <c r="F27" s="8"/>
    </row>
    <row r="28" spans="1:6" ht="13.2">
      <c r="A28" s="5">
        <f t="shared" si="0"/>
        <v>19</v>
      </c>
      <c r="F28" s="8"/>
    </row>
    <row r="29" spans="1:6" ht="13.2">
      <c r="A29" s="5">
        <f t="shared" si="0"/>
        <v>20</v>
      </c>
      <c r="F29" s="8"/>
    </row>
    <row r="30" spans="1:6" ht="13.2">
      <c r="A30" s="5">
        <f t="shared" si="0"/>
        <v>21</v>
      </c>
      <c r="F30" s="8"/>
    </row>
    <row r="31" spans="1:6" ht="13.2">
      <c r="A31" s="5">
        <f t="shared" si="0"/>
        <v>22</v>
      </c>
      <c r="F31" s="8"/>
    </row>
    <row r="32" spans="1:6" ht="13.2">
      <c r="A32" s="5">
        <f t="shared" si="0"/>
        <v>23</v>
      </c>
      <c r="F32" s="8"/>
    </row>
    <row r="33" spans="1:6" ht="13.2">
      <c r="A33" s="5">
        <f t="shared" si="0"/>
        <v>24</v>
      </c>
      <c r="F33" s="10"/>
    </row>
    <row r="34" spans="1:1" ht="13.2">
      <c r="A34" s="5">
        <f t="shared" si="0"/>
        <v>25</v>
      </c>
    </row>
    <row r="35" spans="1:1" ht="13.2">
      <c r="A35" s="5">
        <f t="shared" si="0"/>
        <v>26</v>
      </c>
    </row>
    <row r="36" spans="1:1" ht="13.2">
      <c r="A36" s="5">
        <f t="shared" si="0"/>
        <v>27</v>
      </c>
    </row>
    <row r="37" spans="1:1" ht="13.2">
      <c r="A37" s="5">
        <f t="shared" si="0"/>
        <v>28</v>
      </c>
    </row>
  </sheetData>
  <mergeCells count="8">
    <mergeCell ref="B10:H10"/>
    <mergeCell ref="B11:H11"/>
    <mergeCell ref="B8:F8"/>
    <mergeCell ref="B1:H1"/>
    <mergeCell ref="B2:H2"/>
    <mergeCell ref="B3:H3"/>
    <mergeCell ref="B4:H4"/>
    <mergeCell ref="B6:H6"/>
  </mergeCells>
  <pageMargins left="0.7" right="0.7" top="0.75" bottom="0.75" header="0.3" footer="0.3"/>
  <pageSetup orientation="portrait" scale="79" r:id="rId2"/>
  <headerFooter>
    <oddHeader xml:space="preserve">&amp;RSchedule II-H-2.1
Page  &amp;P of  27
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F41"/>
  <sheetViews>
    <sheetView workbookViewId="0" topLeftCell="A1"/>
  </sheetViews>
  <sheetFormatPr defaultRowHeight="13.5"/>
  <cols>
    <col min="2" max="2" width="29" customWidth="1"/>
    <col min="3" max="3" width="15.1428571428571" customWidth="1"/>
    <col min="4" max="4" width="12.4285714285714" customWidth="1"/>
    <col min="5" max="5" width="12.7142857142857" customWidth="1"/>
    <col min="6" max="6" width="12.5714285714286" customWidth="1"/>
  </cols>
  <sheetData>
    <row r="1" spans="1:6" s="1" customFormat="1" ht="15.6">
      <c r="A1" s="5"/>
      <c r="B1" s="39" t="str">
        <f>+'RES Model'!B1:F1</f>
        <v xml:space="preserve">PUC DOCKET NO. </v>
      </c>
      <c r="C1" s="39"/>
      <c r="D1" s="39"/>
      <c r="E1" s="39"/>
      <c r="F1" s="39"/>
    </row>
    <row r="2" spans="1:6" s="1" customFormat="1" ht="15.6">
      <c r="A2" s="5"/>
      <c r="B2" s="39" t="str">
        <f>+'RES Model'!B2:F2</f>
        <v>ONCOR ELECTRIC DELIVERY COMPANY LLC</v>
      </c>
      <c r="C2" s="39"/>
      <c r="D2" s="39"/>
      <c r="E2" s="39"/>
      <c r="F2" s="39"/>
    </row>
    <row r="3" spans="1:6" s="1" customFormat="1" ht="15.6">
      <c r="A3" s="5"/>
      <c r="B3" s="39" t="str">
        <f>+'RES Model'!B3:F3</f>
        <v>MODEL INFORMATION</v>
      </c>
      <c r="C3" s="39"/>
      <c r="D3" s="39"/>
      <c r="E3" s="39"/>
      <c r="F3" s="39"/>
    </row>
    <row r="4" spans="1:6" s="1" customFormat="1" ht="15.6">
      <c r="A4" s="5"/>
      <c r="B4" s="39" t="str">
        <f>+'RES Model'!B4:F4</f>
        <v>FOR THE TEST YEAR ENDING DECEMBER 31, 2021</v>
      </c>
      <c r="C4" s="39"/>
      <c r="D4" s="39"/>
      <c r="E4" s="39"/>
      <c r="F4" s="39"/>
    </row>
    <row r="5" spans="1:1" s="1" customFormat="1" ht="11.4">
      <c r="A5" s="5"/>
    </row>
    <row r="6" spans="1:6" s="1" customFormat="1" ht="15.6">
      <c r="A6" s="5"/>
      <c r="B6" s="39" t="str">
        <f>+'RES Model'!B6:F6</f>
        <v>SPONSOR: D. E. NELSON</v>
      </c>
      <c r="C6" s="39"/>
      <c r="D6" s="39"/>
      <c r="E6" s="39"/>
      <c r="F6" s="39"/>
    </row>
    <row r="8" spans="2:6" ht="15.6">
      <c r="B8" s="39" t="s">
        <v>107</v>
      </c>
      <c r="C8" s="39"/>
      <c r="D8" s="39"/>
      <c r="E8" s="39"/>
      <c r="F8" s="39"/>
    </row>
    <row r="9" spans="1:6" s="1" customFormat="1" ht="12">
      <c r="A9" s="5" t="s">
        <v>18</v>
      </c>
      <c r="B9" s="40"/>
      <c r="C9" s="40"/>
      <c r="D9" s="40"/>
      <c r="E9" s="40"/>
      <c r="F9" s="40"/>
    </row>
    <row r="10" spans="1:6" s="1" customFormat="1" ht="11.4">
      <c r="A10" s="6" t="s">
        <v>19</v>
      </c>
      <c r="B10" s="7" t="s">
        <v>20</v>
      </c>
      <c r="C10" s="7" t="s">
        <v>21</v>
      </c>
      <c r="D10" s="7" t="s">
        <v>24</v>
      </c>
      <c r="E10" s="7" t="s">
        <v>22</v>
      </c>
      <c r="F10" s="7" t="s">
        <v>23</v>
      </c>
    </row>
    <row r="11" spans="1:3" s="1" customFormat="1" ht="12">
      <c r="A11" s="5">
        <v>1</v>
      </c>
      <c r="B11" s="3" t="s">
        <v>45</v>
      </c>
      <c r="C11" s="3"/>
    </row>
    <row r="12" spans="1:3" s="1" customFormat="1" ht="12">
      <c r="A12" s="5">
        <f t="shared" si="0" ref="A12:A41">+A11+1</f>
        <v>2</v>
      </c>
      <c r="B12" s="3" t="s">
        <v>5</v>
      </c>
      <c r="C12" s="3" t="s">
        <v>69</v>
      </c>
    </row>
    <row r="13" spans="1:3" s="1" customFormat="1" ht="12">
      <c r="A13" s="5">
        <f t="shared" si="0"/>
        <v>3</v>
      </c>
      <c r="B13" s="3" t="s">
        <v>6</v>
      </c>
      <c r="C13" s="9">
        <f>+'RES Model'!C13</f>
        <v>40179</v>
      </c>
    </row>
    <row r="14" spans="1:3" s="1" customFormat="1" ht="12">
      <c r="A14" s="5">
        <f t="shared" si="0"/>
        <v>4</v>
      </c>
      <c r="B14" s="3" t="s">
        <v>7</v>
      </c>
      <c r="C14" s="9">
        <f>+'RES Model'!C14</f>
        <v>44378</v>
      </c>
    </row>
    <row r="15" spans="1:1" s="1" customFormat="1" ht="11.4">
      <c r="A15" s="5">
        <f t="shared" si="0"/>
        <v>5</v>
      </c>
    </row>
    <row r="16" spans="1:6" s="1" customFormat="1" ht="11.4">
      <c r="A16" s="5">
        <f t="shared" si="0"/>
        <v>6</v>
      </c>
      <c r="B16" s="4" t="s">
        <v>0</v>
      </c>
      <c r="C16" s="4" t="s">
        <v>1</v>
      </c>
      <c r="D16" s="4" t="s">
        <v>2</v>
      </c>
      <c r="E16" s="4" t="s">
        <v>3</v>
      </c>
      <c r="F16" s="4" t="s">
        <v>4</v>
      </c>
    </row>
    <row r="17" spans="1:6" ht="13.2">
      <c r="A17" s="5">
        <f t="shared" si="0"/>
        <v>7</v>
      </c>
      <c r="B17" t="s">
        <v>91</v>
      </c>
      <c r="C17" s="13">
        <v>194.16999999999999</v>
      </c>
      <c r="D17" s="13">
        <v>19.372</v>
      </c>
      <c r="E17" s="13">
        <v>10.023</v>
      </c>
      <c r="F17" s="14">
        <v>0</v>
      </c>
    </row>
    <row r="18" spans="1:6" ht="13.2">
      <c r="A18" s="5">
        <f t="shared" si="0"/>
        <v>8</v>
      </c>
      <c r="B18" t="s">
        <v>80</v>
      </c>
      <c r="C18" s="13">
        <v>0.087999999999999995</v>
      </c>
      <c r="D18" s="13">
        <v>0.017000000000000001</v>
      </c>
      <c r="E18" s="13">
        <v>5.2949999999999999</v>
      </c>
      <c r="F18" s="14">
        <v>0</v>
      </c>
    </row>
    <row r="19" spans="1:6" ht="13.2">
      <c r="A19" s="5">
        <f t="shared" si="0"/>
        <v>9</v>
      </c>
      <c r="B19" t="s">
        <v>29</v>
      </c>
      <c r="C19" s="13">
        <v>993.06600000000003</v>
      </c>
      <c r="D19" s="13">
        <v>408.07400000000001</v>
      </c>
      <c r="E19" s="13">
        <v>2.4340000000000002</v>
      </c>
      <c r="F19" s="14">
        <v>0.016299999999999999</v>
      </c>
    </row>
    <row r="20" spans="1:6" ht="13.2">
      <c r="A20" s="5">
        <f t="shared" si="0"/>
        <v>10</v>
      </c>
      <c r="B20" t="s">
        <v>31</v>
      </c>
      <c r="C20" s="13">
        <v>520.44899999999996</v>
      </c>
      <c r="D20" s="13">
        <v>391.834</v>
      </c>
      <c r="E20" s="13">
        <v>1.3280000000000001</v>
      </c>
      <c r="F20" s="14">
        <v>0.1865</v>
      </c>
    </row>
    <row r="21" spans="1:6" ht="13.2">
      <c r="A21" s="5">
        <f t="shared" si="0"/>
        <v>11</v>
      </c>
      <c r="B21" t="s">
        <v>37</v>
      </c>
      <c r="C21" s="13">
        <v>1113.479</v>
      </c>
      <c r="D21" s="13">
        <v>404.25099999999998</v>
      </c>
      <c r="E21" s="13">
        <v>2.754</v>
      </c>
      <c r="F21" s="14">
        <v>0.0067000000000000002</v>
      </c>
    </row>
    <row r="22" spans="1:6" ht="13.2">
      <c r="A22" s="5">
        <f t="shared" si="0"/>
        <v>12</v>
      </c>
      <c r="B22" t="s">
        <v>42</v>
      </c>
      <c r="C22" s="13">
        <v>0.48599999999999999</v>
      </c>
      <c r="D22" s="13">
        <v>0.084000000000000005</v>
      </c>
      <c r="E22" s="13">
        <v>5.774</v>
      </c>
      <c r="F22" s="14">
        <v>0</v>
      </c>
    </row>
    <row r="23" spans="1:6" ht="13.2">
      <c r="A23" s="5">
        <f t="shared" si="0"/>
        <v>13</v>
      </c>
      <c r="B23" t="s">
        <v>54</v>
      </c>
      <c r="C23" s="13">
        <v>0.213</v>
      </c>
      <c r="D23" s="13">
        <v>0.091999999999999998</v>
      </c>
      <c r="E23" s="13">
        <v>2.302</v>
      </c>
      <c r="F23" s="14">
        <v>0.023</v>
      </c>
    </row>
    <row r="24" spans="1:6" ht="13.2">
      <c r="A24" s="5">
        <f t="shared" si="0"/>
        <v>14</v>
      </c>
      <c r="B24" t="s">
        <v>55</v>
      </c>
      <c r="C24" s="13">
        <v>0.28199999999999997</v>
      </c>
      <c r="D24" s="13">
        <v>0.084000000000000005</v>
      </c>
      <c r="E24" s="13">
        <v>3.3450000000000002</v>
      </c>
      <c r="F24" s="14">
        <v>0.0011000000000000001</v>
      </c>
    </row>
    <row r="25" spans="1:6" ht="13.2">
      <c r="A25" s="5">
        <f t="shared" si="0"/>
        <v>15</v>
      </c>
      <c r="F25" s="2"/>
    </row>
    <row r="26" spans="1:6" ht="13.2">
      <c r="A26" s="5">
        <f t="shared" si="0"/>
        <v>16</v>
      </c>
      <c r="B26" s="15" t="s">
        <v>53</v>
      </c>
      <c r="C26" s="19"/>
      <c r="F26" s="10"/>
    </row>
    <row r="27" spans="1:6" ht="13.2">
      <c r="A27" s="5">
        <f t="shared" si="0"/>
        <v>17</v>
      </c>
      <c r="B27" t="s">
        <v>25</v>
      </c>
      <c r="C27" s="20">
        <v>136</v>
      </c>
      <c r="F27" s="8"/>
    </row>
    <row r="28" spans="1:6" ht="13.2">
      <c r="A28" s="5">
        <f t="shared" si="0"/>
        <v>18</v>
      </c>
      <c r="B28" t="s">
        <v>8</v>
      </c>
      <c r="C28" s="20">
        <v>128</v>
      </c>
      <c r="F28" s="8"/>
    </row>
    <row r="29" spans="1:6" ht="13.2">
      <c r="A29" s="5">
        <f t="shared" si="0"/>
        <v>19</v>
      </c>
      <c r="B29" t="s">
        <v>9</v>
      </c>
      <c r="C29">
        <v>0.94699999999999995</v>
      </c>
      <c r="F29" s="8"/>
    </row>
    <row r="30" spans="1:6" ht="13.2">
      <c r="A30" s="5">
        <f t="shared" si="0"/>
        <v>20</v>
      </c>
      <c r="B30" t="s">
        <v>10</v>
      </c>
      <c r="C30" s="30">
        <v>0.94499999999999995</v>
      </c>
      <c r="F30" s="8"/>
    </row>
    <row r="31" spans="1:6" ht="13.2">
      <c r="A31" s="5">
        <f t="shared" si="0"/>
        <v>21</v>
      </c>
      <c r="B31" t="s">
        <v>12</v>
      </c>
      <c r="C31" s="35">
        <v>287.08699999999999</v>
      </c>
      <c r="F31" s="8"/>
    </row>
    <row r="32" spans="1:6" ht="13.2">
      <c r="A32" s="5">
        <f t="shared" si="0"/>
        <v>22</v>
      </c>
      <c r="B32" t="s">
        <v>13</v>
      </c>
      <c r="C32" s="36">
        <v>0</v>
      </c>
      <c r="F32" s="8"/>
    </row>
    <row r="33" spans="1:3" ht="13.2">
      <c r="A33" s="5">
        <f t="shared" si="0"/>
        <v>23</v>
      </c>
      <c r="B33" t="s">
        <v>14</v>
      </c>
      <c r="C33" s="23">
        <v>5722234167.3999996</v>
      </c>
    </row>
    <row r="34" spans="1:6" ht="13.2">
      <c r="A34" s="5">
        <f t="shared" si="0"/>
        <v>24</v>
      </c>
      <c r="B34" t="s">
        <v>15</v>
      </c>
      <c r="C34" s="20">
        <v>317274964.31</v>
      </c>
      <c r="F34" s="8"/>
    </row>
    <row r="35" spans="1:6" ht="13.2">
      <c r="A35" s="5">
        <f t="shared" si="0"/>
        <v>25</v>
      </c>
      <c r="B35" t="s">
        <v>16</v>
      </c>
      <c r="C35" s="23">
        <v>2478710.6600000001</v>
      </c>
      <c r="F35" s="8"/>
    </row>
    <row r="36" spans="1:6" ht="13.2">
      <c r="A36" s="5">
        <f t="shared" si="0"/>
        <v>26</v>
      </c>
      <c r="B36" t="s">
        <v>17</v>
      </c>
      <c r="C36" s="27">
        <v>1574.3900000000001</v>
      </c>
      <c r="F36" s="8"/>
    </row>
    <row r="37" spans="1:3" ht="13.2">
      <c r="A37" s="5">
        <f t="shared" si="0"/>
        <v>27</v>
      </c>
      <c r="B37" t="s">
        <v>83</v>
      </c>
      <c r="C37">
        <v>961.96000000000004</v>
      </c>
    </row>
    <row r="38" spans="1:3" ht="13.2">
      <c r="A38" s="5">
        <f t="shared" si="0"/>
        <v>28</v>
      </c>
      <c r="B38" t="s">
        <v>84</v>
      </c>
      <c r="C38" s="8">
        <v>0.0287</v>
      </c>
    </row>
    <row r="39" spans="1:3" ht="13.2">
      <c r="A39" s="5">
        <f t="shared" si="0"/>
        <v>29</v>
      </c>
      <c r="B39" t="s">
        <v>11</v>
      </c>
      <c r="C39">
        <v>2.0739999999999998</v>
      </c>
    </row>
    <row r="40" spans="1:3" ht="13.2">
      <c r="A40" s="5">
        <f t="shared" si="0"/>
        <v>30</v>
      </c>
      <c r="B40" t="s">
        <v>61</v>
      </c>
      <c r="C40">
        <v>15.74</v>
      </c>
    </row>
    <row r="41" spans="1:3" ht="13.2">
      <c r="A41" s="5">
        <f t="shared" si="0"/>
        <v>31</v>
      </c>
      <c r="B41" t="s">
        <v>62</v>
      </c>
      <c r="C41">
        <v>0.8972</v>
      </c>
    </row>
  </sheetData>
  <mergeCells count="7">
    <mergeCell ref="B9:F9"/>
    <mergeCell ref="B1:F1"/>
    <mergeCell ref="B2:F2"/>
    <mergeCell ref="B3:F3"/>
    <mergeCell ref="B4:F4"/>
    <mergeCell ref="B6:F6"/>
    <mergeCell ref="B8:F8"/>
  </mergeCells>
  <pageMargins left="0.7" right="0.7" top="0.75" bottom="0.75" header="0.3" footer="0.3"/>
  <pageSetup orientation="portrait" r:id="rId1"/>
  <headerFooter>
    <oddHeader xml:space="preserve">&amp;RSchedule II-H-2.1
Page  &amp;P of  27
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H37"/>
  <sheetViews>
    <sheetView workbookViewId="0" topLeftCell="A1"/>
  </sheetViews>
  <sheetFormatPr defaultRowHeight="13.5"/>
  <cols>
    <col min="2" max="2" width="20.2857142857143" customWidth="1"/>
    <col min="3" max="3" width="17.2857142857143" customWidth="1"/>
    <col min="4" max="4" width="18.7142857142857" customWidth="1"/>
    <col min="5" max="5" width="14.7142857142857" customWidth="1"/>
    <col min="6" max="6" width="15.8571428571429" customWidth="1"/>
    <col min="7" max="7" width="11" customWidth="1"/>
  </cols>
  <sheetData>
    <row r="1" spans="1:8" ht="15.6">
      <c r="A1" s="5"/>
      <c r="B1" s="43" t="str">
        <f>+'RES Model'!B1:F1</f>
        <v xml:space="preserve">PUC DOCKET NO. </v>
      </c>
      <c r="C1" s="41"/>
      <c r="D1" s="41"/>
      <c r="E1" s="41"/>
      <c r="F1" s="41"/>
      <c r="G1" s="41"/>
      <c r="H1" s="41"/>
    </row>
    <row r="2" spans="1:8" ht="15.6">
      <c r="A2" s="5"/>
      <c r="B2" s="39" t="str">
        <f>+'RES Model'!B2:F2</f>
        <v>ONCOR ELECTRIC DELIVERY COMPANY LLC</v>
      </c>
      <c r="C2" s="41"/>
      <c r="D2" s="41"/>
      <c r="E2" s="41"/>
      <c r="F2" s="41"/>
      <c r="G2" s="41"/>
      <c r="H2" s="41"/>
    </row>
    <row r="3" spans="1:8" ht="15.6">
      <c r="A3" s="5"/>
      <c r="B3" s="39" t="str">
        <f>+'RES Model'!B3:F3</f>
        <v>MODEL INFORMATION</v>
      </c>
      <c r="C3" s="41"/>
      <c r="D3" s="41"/>
      <c r="E3" s="41"/>
      <c r="F3" s="41"/>
      <c r="G3" s="41"/>
      <c r="H3" s="41"/>
    </row>
    <row r="4" spans="1:8" ht="15.6">
      <c r="A4" s="5"/>
      <c r="B4" s="39" t="str">
        <f>+'RES Model'!B4:F4</f>
        <v>FOR THE TEST YEAR ENDING DECEMBER 31, 2021</v>
      </c>
      <c r="C4" s="41"/>
      <c r="D4" s="41"/>
      <c r="E4" s="41"/>
      <c r="F4" s="41"/>
      <c r="G4" s="41"/>
      <c r="H4" s="41"/>
    </row>
    <row r="5" spans="1:8" ht="13.2">
      <c r="A5" s="5"/>
      <c r="B5" s="1"/>
      <c r="C5" s="1"/>
      <c r="D5" s="1"/>
      <c r="E5" s="1"/>
      <c r="F5" s="1"/>
      <c r="G5" s="1"/>
      <c r="H5" s="1"/>
    </row>
    <row r="6" spans="1:8" ht="15.6">
      <c r="A6" s="5"/>
      <c r="B6" s="39" t="str">
        <f>+'RES Model'!B6:F6</f>
        <v>SPONSOR: D. E. NELSON</v>
      </c>
      <c r="C6" s="41"/>
      <c r="D6" s="41"/>
      <c r="E6" s="41"/>
      <c r="F6" s="41"/>
      <c r="G6" s="41"/>
      <c r="H6" s="41"/>
    </row>
    <row r="8" spans="1:8" ht="13.2">
      <c r="A8" s="5" t="s">
        <v>18</v>
      </c>
      <c r="B8" s="40"/>
      <c r="C8" s="40"/>
      <c r="D8" s="40"/>
      <c r="E8" s="40"/>
      <c r="F8" s="40"/>
      <c r="G8" s="1"/>
      <c r="H8" s="1"/>
    </row>
    <row r="9" spans="1:8" ht="13.2">
      <c r="A9" s="6" t="s">
        <v>19</v>
      </c>
      <c r="B9" s="7"/>
      <c r="C9" s="7"/>
      <c r="D9" s="7"/>
      <c r="E9" s="7"/>
      <c r="F9" s="7"/>
      <c r="G9" s="1"/>
      <c r="H9" s="1"/>
    </row>
    <row r="10" spans="1:8" ht="13.2">
      <c r="A10" s="5">
        <v>1</v>
      </c>
      <c r="B10" s="40" t="s">
        <v>101</v>
      </c>
      <c r="C10" s="41"/>
      <c r="D10" s="41"/>
      <c r="E10" s="41"/>
      <c r="F10" s="41"/>
      <c r="G10" s="41"/>
      <c r="H10" s="41"/>
    </row>
    <row r="11" spans="1:8" ht="13.2">
      <c r="A11" s="5">
        <f t="shared" si="0" ref="A11:A37">+A10+1</f>
        <v>2</v>
      </c>
      <c r="B11" s="40" t="s">
        <v>45</v>
      </c>
      <c r="C11" s="42"/>
      <c r="D11" s="42"/>
      <c r="E11" s="42"/>
      <c r="F11" s="42"/>
      <c r="G11" s="42"/>
      <c r="H11" s="42"/>
    </row>
    <row r="12" spans="1:8" ht="13.2">
      <c r="A12" s="5">
        <f t="shared" si="0"/>
        <v>3</v>
      </c>
      <c r="B12" s="3"/>
      <c r="C12" s="9"/>
      <c r="D12" s="1"/>
      <c r="E12" s="1"/>
      <c r="F12" s="1"/>
      <c r="G12" s="1"/>
      <c r="H12" s="1"/>
    </row>
    <row r="13" spans="1:8" ht="13.2">
      <c r="A13" s="5">
        <f t="shared" si="0"/>
        <v>4</v>
      </c>
      <c r="B13" s="3"/>
      <c r="C13" s="9"/>
      <c r="D13" s="1"/>
      <c r="E13" s="1"/>
      <c r="F13" s="1"/>
      <c r="G13" s="1"/>
      <c r="H13" s="1"/>
    </row>
    <row r="14" spans="1:8" ht="13.2">
      <c r="A14" s="5">
        <f t="shared" si="0"/>
        <v>5</v>
      </c>
      <c r="B14" s="1"/>
      <c r="C14" s="1"/>
      <c r="D14" s="1"/>
      <c r="E14" s="1"/>
      <c r="F14" s="1"/>
      <c r="G14" s="1"/>
      <c r="H14" s="1"/>
    </row>
    <row r="15" spans="1:8" ht="13.2">
      <c r="A15" s="5">
        <f t="shared" si="0"/>
        <v>6</v>
      </c>
      <c r="B15" s="25"/>
      <c r="C15" s="25"/>
      <c r="D15" s="25"/>
      <c r="E15" s="25"/>
      <c r="F15" s="25"/>
      <c r="G15" s="1"/>
      <c r="H15" s="1"/>
    </row>
    <row r="16" spans="1:6" ht="13.2">
      <c r="A16" s="5">
        <f t="shared" si="0"/>
        <v>7</v>
      </c>
      <c r="F16" s="8"/>
    </row>
    <row r="17" spans="1:6" ht="13.2">
      <c r="A17" s="5">
        <f t="shared" si="0"/>
        <v>8</v>
      </c>
      <c r="F17" s="8"/>
    </row>
    <row r="18" spans="1:6" ht="13.2">
      <c r="A18" s="5">
        <f t="shared" si="0"/>
        <v>9</v>
      </c>
      <c r="F18" s="8"/>
    </row>
    <row r="19" spans="1:6" ht="13.2">
      <c r="A19" s="5">
        <f t="shared" si="0"/>
        <v>10</v>
      </c>
      <c r="F19" s="8"/>
    </row>
    <row r="20" spans="1:6" ht="13.2">
      <c r="A20" s="5">
        <f t="shared" si="0"/>
        <v>11</v>
      </c>
      <c r="F20" s="8"/>
    </row>
    <row r="21" spans="1:6" ht="13.2">
      <c r="A21" s="5">
        <f t="shared" si="0"/>
        <v>12</v>
      </c>
      <c r="F21" s="8"/>
    </row>
    <row r="22" spans="1:6" ht="13.2">
      <c r="A22" s="5">
        <f t="shared" si="0"/>
        <v>13</v>
      </c>
      <c r="F22" s="8"/>
    </row>
    <row r="23" spans="1:6" ht="13.2">
      <c r="A23" s="5">
        <f t="shared" si="0"/>
        <v>14</v>
      </c>
      <c r="F23" s="8"/>
    </row>
    <row r="24" spans="1:6" ht="13.2">
      <c r="A24" s="5">
        <f t="shared" si="0"/>
        <v>15</v>
      </c>
      <c r="F24" s="8"/>
    </row>
    <row r="25" spans="1:6" ht="13.2">
      <c r="A25" s="5">
        <f t="shared" si="0"/>
        <v>16</v>
      </c>
      <c r="F25" s="8"/>
    </row>
    <row r="26" spans="1:6" ht="13.2">
      <c r="A26" s="5">
        <f t="shared" si="0"/>
        <v>17</v>
      </c>
      <c r="F26" s="8"/>
    </row>
    <row r="27" spans="1:6" ht="13.2">
      <c r="A27" s="5">
        <f t="shared" si="0"/>
        <v>18</v>
      </c>
      <c r="F27" s="8"/>
    </row>
    <row r="28" spans="1:6" ht="13.2">
      <c r="A28" s="5">
        <f t="shared" si="0"/>
        <v>19</v>
      </c>
      <c r="F28" s="8"/>
    </row>
    <row r="29" spans="1:6" ht="13.2">
      <c r="A29" s="5">
        <f t="shared" si="0"/>
        <v>20</v>
      </c>
      <c r="F29" s="8"/>
    </row>
    <row r="30" spans="1:6" ht="13.2">
      <c r="A30" s="5">
        <f t="shared" si="0"/>
        <v>21</v>
      </c>
      <c r="F30" s="8"/>
    </row>
    <row r="31" spans="1:6" ht="13.2">
      <c r="A31" s="5">
        <f t="shared" si="0"/>
        <v>22</v>
      </c>
      <c r="F31" s="8"/>
    </row>
    <row r="32" spans="1:6" ht="13.2">
      <c r="A32" s="5">
        <f t="shared" si="0"/>
        <v>23</v>
      </c>
      <c r="F32" s="8"/>
    </row>
    <row r="33" spans="1:6" ht="13.2">
      <c r="A33" s="5">
        <f t="shared" si="0"/>
        <v>24</v>
      </c>
      <c r="F33" s="10"/>
    </row>
    <row r="34" spans="1:1" ht="13.2">
      <c r="A34" s="5">
        <f t="shared" si="0"/>
        <v>25</v>
      </c>
    </row>
    <row r="35" spans="1:1" ht="13.2">
      <c r="A35" s="5">
        <f t="shared" si="0"/>
        <v>26</v>
      </c>
    </row>
    <row r="36" spans="1:1" ht="13.2">
      <c r="A36" s="5">
        <f t="shared" si="0"/>
        <v>27</v>
      </c>
    </row>
    <row r="37" spans="1:1" ht="13.2">
      <c r="A37" s="5">
        <f t="shared" si="0"/>
        <v>28</v>
      </c>
    </row>
  </sheetData>
  <mergeCells count="8">
    <mergeCell ref="B10:H10"/>
    <mergeCell ref="B11:H11"/>
    <mergeCell ref="B1:H1"/>
    <mergeCell ref="B2:H2"/>
    <mergeCell ref="B3:H3"/>
    <mergeCell ref="B4:H4"/>
    <mergeCell ref="B6:H6"/>
    <mergeCell ref="B8:F8"/>
  </mergeCells>
  <pageMargins left="0.7" right="0.7" top="0.75" bottom="0.75" header="0.3" footer="0.3"/>
  <pageSetup orientation="portrait" scale="79" r:id="rId2"/>
  <headerFooter>
    <oddHeader xml:space="preserve">&amp;RSchedule II-H-2.1
Page  &amp;P of  27
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F48"/>
  <sheetViews>
    <sheetView workbookViewId="0" topLeftCell="A1"/>
  </sheetViews>
  <sheetFormatPr defaultRowHeight="13.5"/>
  <cols>
    <col min="2" max="2" width="30.1428571428571" customWidth="1"/>
    <col min="3" max="3" width="15.2857142857143" customWidth="1"/>
    <col min="4" max="4" width="10.4285714285714" customWidth="1"/>
    <col min="5" max="5" width="10.5714285714286" customWidth="1"/>
    <col min="6" max="6" width="10.1428571428571" customWidth="1"/>
  </cols>
  <sheetData>
    <row r="1" spans="1:6" s="1" customFormat="1" ht="15.6">
      <c r="A1" s="5"/>
      <c r="B1" s="39" t="str">
        <f>+'RES Model'!B1:F1</f>
        <v xml:space="preserve">PUC DOCKET NO. </v>
      </c>
      <c r="C1" s="39"/>
      <c r="D1" s="39"/>
      <c r="E1" s="39"/>
      <c r="F1" s="39"/>
    </row>
    <row r="2" spans="1:6" s="1" customFormat="1" ht="15.6">
      <c r="A2" s="5"/>
      <c r="B2" s="39" t="str">
        <f>+'RES Model'!B2:F2</f>
        <v>ONCOR ELECTRIC DELIVERY COMPANY LLC</v>
      </c>
      <c r="C2" s="39"/>
      <c r="D2" s="39"/>
      <c r="E2" s="39"/>
      <c r="F2" s="39"/>
    </row>
    <row r="3" spans="1:6" s="1" customFormat="1" ht="15.6">
      <c r="A3" s="5"/>
      <c r="B3" s="39" t="str">
        <f>+'RES Model'!B3:F3</f>
        <v>MODEL INFORMATION</v>
      </c>
      <c r="C3" s="39"/>
      <c r="D3" s="39"/>
      <c r="E3" s="39"/>
      <c r="F3" s="39"/>
    </row>
    <row r="4" spans="1:6" s="1" customFormat="1" ht="15.6">
      <c r="A4" s="5"/>
      <c r="B4" s="39" t="str">
        <f>+'RES Model'!B4:F4</f>
        <v>FOR THE TEST YEAR ENDING DECEMBER 31, 2021</v>
      </c>
      <c r="C4" s="39"/>
      <c r="D4" s="39"/>
      <c r="E4" s="39"/>
      <c r="F4" s="39"/>
    </row>
    <row r="5" spans="1:1" s="1" customFormat="1" ht="11.4">
      <c r="A5" s="5"/>
    </row>
    <row r="6" spans="1:6" s="1" customFormat="1" ht="15.6">
      <c r="A6" s="5"/>
      <c r="B6" s="39" t="str">
        <f>+'RES Model'!B6:F6</f>
        <v>SPONSOR: D. E. NELSON</v>
      </c>
      <c r="C6" s="39"/>
      <c r="D6" s="39"/>
      <c r="E6" s="39"/>
      <c r="F6" s="39"/>
    </row>
    <row r="8" spans="2:6" ht="15.6">
      <c r="B8" s="39" t="s">
        <v>103</v>
      </c>
      <c r="C8" s="39"/>
      <c r="D8" s="39"/>
      <c r="E8" s="39"/>
      <c r="F8" s="39"/>
    </row>
    <row r="9" spans="1:6" s="1" customFormat="1" ht="12">
      <c r="A9" s="5" t="s">
        <v>18</v>
      </c>
      <c r="B9" s="40"/>
      <c r="C9" s="40"/>
      <c r="D9" s="40"/>
      <c r="E9" s="40"/>
      <c r="F9" s="40"/>
    </row>
    <row r="10" spans="1:6" s="1" customFormat="1" ht="11.4">
      <c r="A10" s="6" t="s">
        <v>19</v>
      </c>
      <c r="B10" s="7" t="s">
        <v>20</v>
      </c>
      <c r="C10" s="7" t="s">
        <v>21</v>
      </c>
      <c r="D10" s="7" t="s">
        <v>24</v>
      </c>
      <c r="E10" s="7" t="s">
        <v>22</v>
      </c>
      <c r="F10" s="7" t="s">
        <v>23</v>
      </c>
    </row>
    <row r="11" spans="1:3" s="1" customFormat="1" ht="12">
      <c r="A11" s="5">
        <v>1</v>
      </c>
      <c r="B11" s="3" t="s">
        <v>44</v>
      </c>
      <c r="C11" s="3"/>
    </row>
    <row r="12" spans="1:3" s="1" customFormat="1" ht="12">
      <c r="A12" s="5">
        <f t="shared" si="0" ref="A12:A48">+A11+1</f>
        <v>2</v>
      </c>
      <c r="B12" s="3" t="s">
        <v>5</v>
      </c>
      <c r="C12" s="3" t="s">
        <v>70</v>
      </c>
    </row>
    <row r="13" spans="1:3" s="1" customFormat="1" ht="12">
      <c r="A13" s="5">
        <f t="shared" si="0"/>
        <v>3</v>
      </c>
      <c r="B13" s="3" t="s">
        <v>6</v>
      </c>
      <c r="C13" s="37">
        <v>40909</v>
      </c>
    </row>
    <row r="14" spans="1:3" s="1" customFormat="1" ht="12">
      <c r="A14" s="5">
        <f t="shared" si="0"/>
        <v>4</v>
      </c>
      <c r="B14" s="3" t="s">
        <v>7</v>
      </c>
      <c r="C14" s="9">
        <f>+'RES Model'!C14</f>
        <v>44378</v>
      </c>
    </row>
    <row r="15" spans="1:1" s="1" customFormat="1" ht="11.4">
      <c r="A15" s="5">
        <f t="shared" si="0"/>
        <v>5</v>
      </c>
    </row>
    <row r="16" spans="1:6" s="1" customFormat="1" ht="11.4">
      <c r="A16" s="5">
        <f t="shared" si="0"/>
        <v>6</v>
      </c>
      <c r="B16" s="4" t="s">
        <v>0</v>
      </c>
      <c r="C16" s="4" t="s">
        <v>1</v>
      </c>
      <c r="D16" s="4" t="s">
        <v>2</v>
      </c>
      <c r="E16" s="4" t="s">
        <v>3</v>
      </c>
      <c r="F16" s="4" t="s">
        <v>4</v>
      </c>
    </row>
    <row r="17" spans="1:6" ht="13.2">
      <c r="A17" s="5">
        <f t="shared" si="0"/>
        <v>7</v>
      </c>
      <c r="B17" t="s">
        <v>92</v>
      </c>
      <c r="C17" s="13">
        <v>8.8260000000000005</v>
      </c>
      <c r="D17" s="13">
        <v>1.901</v>
      </c>
      <c r="E17" s="13">
        <v>4.6420000000000003</v>
      </c>
      <c r="F17" s="14">
        <v>0</v>
      </c>
    </row>
    <row r="18" spans="1:6" ht="13.2">
      <c r="A18" s="5">
        <f t="shared" si="0"/>
        <v>8</v>
      </c>
      <c r="B18" t="s">
        <v>80</v>
      </c>
      <c r="C18" s="13">
        <v>0.014</v>
      </c>
      <c r="D18" s="13">
        <v>0.0040000000000000001</v>
      </c>
      <c r="E18" s="13">
        <v>3.9319999999999999</v>
      </c>
      <c r="F18" s="14">
        <v>0.00020000000000000001</v>
      </c>
    </row>
    <row r="19" spans="1:6" ht="13.2">
      <c r="A19" s="5">
        <f t="shared" si="0"/>
        <v>9</v>
      </c>
      <c r="B19" t="s">
        <v>28</v>
      </c>
      <c r="C19" s="13">
        <v>-637.84400000000005</v>
      </c>
      <c r="D19" s="13">
        <v>209.49000000000001</v>
      </c>
      <c r="E19" s="13">
        <v>-3.0449999999999999</v>
      </c>
      <c r="F19" s="14">
        <v>0.0030000000000000001</v>
      </c>
    </row>
    <row r="20" spans="1:6" ht="13.2">
      <c r="A20" s="5">
        <f t="shared" si="0"/>
        <v>10</v>
      </c>
      <c r="B20" t="s">
        <v>30</v>
      </c>
      <c r="C20" s="13">
        <v>-865.21299999999997</v>
      </c>
      <c r="D20" s="13">
        <v>196.47900000000001</v>
      </c>
      <c r="E20" s="13">
        <v>-4.4039999999999999</v>
      </c>
      <c r="F20" s="14">
        <v>0</v>
      </c>
    </row>
    <row r="21" spans="1:6" ht="13.2">
      <c r="A21" s="5">
        <f t="shared" si="0"/>
        <v>11</v>
      </c>
      <c r="B21" t="s">
        <v>31</v>
      </c>
      <c r="C21" s="13">
        <v>-426.84899999999999</v>
      </c>
      <c r="D21" s="13">
        <v>188.614</v>
      </c>
      <c r="E21" s="13">
        <v>-2.2629999999999999</v>
      </c>
      <c r="F21" s="14">
        <v>0.025899999999999999</v>
      </c>
    </row>
    <row r="22" spans="1:6" ht="13.2">
      <c r="A22" s="5">
        <f t="shared" si="0"/>
        <v>12</v>
      </c>
      <c r="B22" t="s">
        <v>32</v>
      </c>
      <c r="C22" s="13">
        <v>-574.976</v>
      </c>
      <c r="D22" s="13">
        <v>181.38800000000001</v>
      </c>
      <c r="E22" s="13">
        <v>-3.1699999999999999</v>
      </c>
      <c r="F22" s="14">
        <v>0.0020999999999999999</v>
      </c>
    </row>
    <row r="23" spans="1:6" ht="13.2">
      <c r="A23" s="5">
        <f t="shared" si="0"/>
        <v>13</v>
      </c>
      <c r="B23" t="s">
        <v>33</v>
      </c>
      <c r="C23" s="13">
        <v>-434.66399999999999</v>
      </c>
      <c r="D23" s="13">
        <v>190.184</v>
      </c>
      <c r="E23" s="13">
        <v>-2.2850000000000001</v>
      </c>
      <c r="F23" s="14">
        <v>0.024500000000000001</v>
      </c>
    </row>
    <row r="24" spans="1:6" ht="13.2">
      <c r="A24" s="5">
        <f t="shared" si="0"/>
        <v>14</v>
      </c>
      <c r="B24" t="s">
        <v>34</v>
      </c>
      <c r="C24" s="13">
        <v>-633.12699999999995</v>
      </c>
      <c r="D24" s="13">
        <v>219.16200000000001</v>
      </c>
      <c r="E24" s="13">
        <v>-2.8889999999999998</v>
      </c>
      <c r="F24" s="14">
        <v>0.0047999999999999996</v>
      </c>
    </row>
    <row r="25" spans="1:6" ht="13.2">
      <c r="A25" s="5">
        <f t="shared" si="0"/>
        <v>15</v>
      </c>
      <c r="B25" t="s">
        <v>35</v>
      </c>
      <c r="C25" s="13">
        <v>-299.697</v>
      </c>
      <c r="D25" s="13">
        <v>233.13900000000001</v>
      </c>
      <c r="E25" s="13">
        <v>-1.2849999999999999</v>
      </c>
      <c r="F25" s="14">
        <v>0.20169999999999999</v>
      </c>
    </row>
    <row r="26" spans="1:6" ht="13.2">
      <c r="A26" s="5">
        <f t="shared" si="0"/>
        <v>16</v>
      </c>
      <c r="B26" t="s">
        <v>58</v>
      </c>
      <c r="C26" s="13">
        <v>9336.6700000000001</v>
      </c>
      <c r="D26" s="13">
        <v>550.37199999999996</v>
      </c>
      <c r="E26" s="13">
        <v>16.963999999999999</v>
      </c>
      <c r="F26" s="14">
        <v>0</v>
      </c>
    </row>
    <row r="27" spans="1:6" ht="13.2">
      <c r="A27" s="5">
        <f t="shared" si="0"/>
        <v>17</v>
      </c>
      <c r="B27" t="s">
        <v>42</v>
      </c>
      <c r="C27" s="13">
        <v>0.23999999999999999</v>
      </c>
      <c r="D27" s="13">
        <v>0.10000000000000001</v>
      </c>
      <c r="E27" s="13">
        <v>2.4100000000000001</v>
      </c>
      <c r="F27" s="14">
        <v>0.017899999999999999</v>
      </c>
    </row>
    <row r="28" spans="1:6" ht="13.2">
      <c r="A28" s="5">
        <f t="shared" si="0"/>
        <v>18</v>
      </c>
      <c r="B28" t="s">
        <v>54</v>
      </c>
      <c r="C28" s="13">
        <v>0.214</v>
      </c>
      <c r="D28" s="13">
        <v>0.10100000000000001</v>
      </c>
      <c r="E28" s="13">
        <v>2.129</v>
      </c>
      <c r="F28" s="14">
        <v>0.035799999999999998</v>
      </c>
    </row>
    <row r="29" spans="1:6" ht="13.2">
      <c r="A29" s="5">
        <f t="shared" si="0"/>
        <v>19</v>
      </c>
      <c r="B29" t="s">
        <v>55</v>
      </c>
      <c r="C29" s="13">
        <v>0.23999999999999999</v>
      </c>
      <c r="D29" s="13">
        <v>0.104</v>
      </c>
      <c r="E29" s="13">
        <v>2.2999999999999998</v>
      </c>
      <c r="F29" s="14">
        <v>0.023599999999999999</v>
      </c>
    </row>
    <row r="30" spans="1:6" ht="13.2">
      <c r="A30" s="5">
        <f t="shared" si="0"/>
        <v>20</v>
      </c>
      <c r="B30" t="s">
        <v>56</v>
      </c>
      <c r="C30" s="13">
        <v>0.125</v>
      </c>
      <c r="D30" s="13">
        <v>0.10299999999999999</v>
      </c>
      <c r="E30" s="13">
        <v>1.2130000000000001</v>
      </c>
      <c r="F30" s="14">
        <v>0.22819999999999999</v>
      </c>
    </row>
    <row r="31" spans="1:6" ht="13.2">
      <c r="A31" s="5">
        <f t="shared" si="0"/>
        <v>21</v>
      </c>
      <c r="B31" t="s">
        <v>57</v>
      </c>
      <c r="C31" s="13">
        <v>0.246</v>
      </c>
      <c r="D31" s="13">
        <v>0.11</v>
      </c>
      <c r="E31" s="13">
        <v>2.246</v>
      </c>
      <c r="F31" s="14">
        <v>0.027</v>
      </c>
    </row>
    <row r="32" spans="1:6" ht="13.2">
      <c r="A32" s="5">
        <f>+A31+1</f>
        <v>22</v>
      </c>
      <c r="C32" s="13"/>
      <c r="D32" s="13"/>
      <c r="E32" s="13"/>
      <c r="F32" s="14"/>
    </row>
    <row r="33" spans="1:6" ht="13.2">
      <c r="A33" s="5">
        <f t="shared" si="0"/>
        <v>23</v>
      </c>
      <c r="B33" s="15" t="s">
        <v>53</v>
      </c>
      <c r="C33" s="13"/>
      <c r="D33" s="13"/>
      <c r="E33" s="13"/>
      <c r="F33" s="14"/>
    </row>
    <row r="34" spans="1:6" ht="13.2">
      <c r="A34" s="5">
        <f t="shared" si="0"/>
        <v>24</v>
      </c>
      <c r="B34" t="s">
        <v>25</v>
      </c>
      <c r="C34">
        <v>110</v>
      </c>
      <c r="F34" s="8"/>
    </row>
    <row r="35" spans="1:6" ht="13.2">
      <c r="A35" s="5">
        <f t="shared" si="0"/>
        <v>25</v>
      </c>
      <c r="B35" t="s">
        <v>8</v>
      </c>
      <c r="C35">
        <v>95</v>
      </c>
      <c r="F35" s="8"/>
    </row>
    <row r="36" spans="1:6" ht="13.2">
      <c r="A36" s="5">
        <f t="shared" si="0"/>
        <v>26</v>
      </c>
      <c r="B36" t="s">
        <v>9</v>
      </c>
      <c r="C36" s="22">
        <v>0.94799999999999995</v>
      </c>
      <c r="F36" s="8"/>
    </row>
    <row r="37" spans="1:6" ht="13.2">
      <c r="A37" s="5">
        <f t="shared" si="0"/>
        <v>27</v>
      </c>
      <c r="B37" t="s">
        <v>10</v>
      </c>
      <c r="C37" s="28">
        <v>0.93999999999999995</v>
      </c>
      <c r="F37" s="8"/>
    </row>
    <row r="38" spans="1:6" ht="13.2">
      <c r="A38" s="5">
        <f t="shared" si="0"/>
        <v>28</v>
      </c>
      <c r="B38" t="s">
        <v>12</v>
      </c>
      <c r="C38" s="38">
        <v>115.481</v>
      </c>
      <c r="F38" s="8"/>
    </row>
    <row r="39" spans="1:6" ht="13.2">
      <c r="A39" s="5">
        <f t="shared" si="0"/>
        <v>29</v>
      </c>
      <c r="B39" t="s">
        <v>13</v>
      </c>
      <c r="C39" s="33">
        <v>0</v>
      </c>
      <c r="F39" s="8"/>
    </row>
    <row r="40" spans="1:3" ht="13.2">
      <c r="A40" s="5">
        <f t="shared" si="0"/>
        <v>30</v>
      </c>
      <c r="B40" t="s">
        <v>14</v>
      </c>
      <c r="C40" s="23">
        <v>622782168.84000003</v>
      </c>
    </row>
    <row r="41" spans="1:6" ht="13.2">
      <c r="A41" s="5">
        <f t="shared" si="0"/>
        <v>31</v>
      </c>
      <c r="B41" t="s">
        <v>15</v>
      </c>
      <c r="C41" s="23">
        <v>34179630.939999998</v>
      </c>
      <c r="F41" s="8"/>
    </row>
    <row r="42" spans="1:6" ht="13.2">
      <c r="A42" s="5">
        <f t="shared" si="0"/>
        <v>32</v>
      </c>
      <c r="B42" t="s">
        <v>16</v>
      </c>
      <c r="C42" s="23">
        <v>359785.59000000003</v>
      </c>
      <c r="F42" s="8"/>
    </row>
    <row r="43" spans="1:6" ht="13.2">
      <c r="A43" s="5">
        <f t="shared" si="0"/>
        <v>33</v>
      </c>
      <c r="B43" t="s">
        <v>17</v>
      </c>
      <c r="C43">
        <v>599.82000000000005</v>
      </c>
      <c r="F43" s="8"/>
    </row>
    <row r="44" spans="1:3" ht="13.2">
      <c r="A44" s="5">
        <f t="shared" si="0"/>
        <v>34</v>
      </c>
      <c r="B44" t="s">
        <v>83</v>
      </c>
      <c r="C44">
        <v>395.25</v>
      </c>
    </row>
    <row r="45" spans="1:3" ht="13.2">
      <c r="A45" s="5">
        <f t="shared" si="0"/>
        <v>35</v>
      </c>
      <c r="B45" t="s">
        <v>84</v>
      </c>
      <c r="C45" s="8">
        <v>0.043799999999999999</v>
      </c>
    </row>
    <row r="46" spans="1:3" ht="13.2">
      <c r="A46" s="5">
        <f t="shared" si="0"/>
        <v>36</v>
      </c>
      <c r="B46" t="s">
        <v>11</v>
      </c>
      <c r="C46" s="22">
        <v>2.04</v>
      </c>
    </row>
    <row r="47" spans="1:3" ht="13.2">
      <c r="A47" s="5">
        <f t="shared" si="0"/>
        <v>37</v>
      </c>
      <c r="B47" t="s">
        <v>61</v>
      </c>
      <c r="C47">
        <v>18.940000000000001</v>
      </c>
    </row>
    <row r="48" spans="1:3" ht="13.2">
      <c r="A48" s="5">
        <f t="shared" si="0"/>
        <v>38</v>
      </c>
      <c r="B48" t="s">
        <v>62</v>
      </c>
      <c r="C48">
        <v>0.75509999999999999</v>
      </c>
    </row>
  </sheetData>
  <mergeCells count="7">
    <mergeCell ref="B9:F9"/>
    <mergeCell ref="B1:F1"/>
    <mergeCell ref="B2:F2"/>
    <mergeCell ref="B3:F3"/>
    <mergeCell ref="B4:F4"/>
    <mergeCell ref="B6:F6"/>
    <mergeCell ref="B8:F8"/>
  </mergeCells>
  <pageMargins left="0.7" right="0.7" top="0.75" bottom="0.75" header="0.3" footer="0.3"/>
  <pageSetup orientation="portrait" r:id="rId1"/>
  <headerFooter>
    <oddHeader xml:space="preserve">&amp;RSchedule II-H-2.1
Page  &amp;P of  27
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H37"/>
  <sheetViews>
    <sheetView workbookViewId="0" topLeftCell="A1"/>
  </sheetViews>
  <sheetFormatPr defaultRowHeight="13.5"/>
  <cols>
    <col min="2" max="2" width="20.2857142857143" customWidth="1"/>
    <col min="3" max="3" width="17.2857142857143" customWidth="1"/>
    <col min="4" max="4" width="18.7142857142857" customWidth="1"/>
    <col min="5" max="5" width="14.7142857142857" customWidth="1"/>
    <col min="6" max="6" width="15.8571428571429" customWidth="1"/>
    <col min="7" max="7" width="11" customWidth="1"/>
  </cols>
  <sheetData>
    <row r="1" spans="1:8" ht="15.6">
      <c r="A1" s="5"/>
      <c r="B1" s="43" t="str">
        <f>+'RES Model'!B1:F1</f>
        <v xml:space="preserve">PUC DOCKET NO. </v>
      </c>
      <c r="C1" s="41"/>
      <c r="D1" s="41"/>
      <c r="E1" s="41"/>
      <c r="F1" s="41"/>
      <c r="G1" s="41"/>
      <c r="H1" s="41"/>
    </row>
    <row r="2" spans="1:8" ht="15.6">
      <c r="A2" s="5"/>
      <c r="B2" s="39" t="str">
        <f>+'RES Model'!B2:F2</f>
        <v>ONCOR ELECTRIC DELIVERY COMPANY LLC</v>
      </c>
      <c r="C2" s="41"/>
      <c r="D2" s="41"/>
      <c r="E2" s="41"/>
      <c r="F2" s="41"/>
      <c r="G2" s="41"/>
      <c r="H2" s="41"/>
    </row>
    <row r="3" spans="1:8" ht="15.6">
      <c r="A3" s="5"/>
      <c r="B3" s="39" t="str">
        <f>+'RES Model'!B3:F3</f>
        <v>MODEL INFORMATION</v>
      </c>
      <c r="C3" s="41"/>
      <c r="D3" s="41"/>
      <c r="E3" s="41"/>
      <c r="F3" s="41"/>
      <c r="G3" s="41"/>
      <c r="H3" s="41"/>
    </row>
    <row r="4" spans="1:8" ht="15.6">
      <c r="A4" s="5"/>
      <c r="B4" s="39" t="str">
        <f>+'RES Model'!B4:F4</f>
        <v>FOR THE TEST YEAR ENDING DECEMBER 31, 2021</v>
      </c>
      <c r="C4" s="41"/>
      <c r="D4" s="41"/>
      <c r="E4" s="41"/>
      <c r="F4" s="41"/>
      <c r="G4" s="41"/>
      <c r="H4" s="41"/>
    </row>
    <row r="5" spans="1:8" ht="13.2">
      <c r="A5" s="5"/>
      <c r="B5" s="1"/>
      <c r="C5" s="1"/>
      <c r="D5" s="1"/>
      <c r="E5" s="1"/>
      <c r="F5" s="1"/>
      <c r="G5" s="1"/>
      <c r="H5" s="1"/>
    </row>
    <row r="6" spans="1:8" ht="15.6">
      <c r="A6" s="5"/>
      <c r="B6" s="39" t="str">
        <f>+'RES Model'!B6:F6</f>
        <v>SPONSOR: D. E. NELSON</v>
      </c>
      <c r="C6" s="41"/>
      <c r="D6" s="41"/>
      <c r="E6" s="41"/>
      <c r="F6" s="41"/>
      <c r="G6" s="41"/>
      <c r="H6" s="41"/>
    </row>
    <row r="8" spans="1:8" ht="13.2">
      <c r="A8" s="5" t="s">
        <v>18</v>
      </c>
      <c r="B8" s="40"/>
      <c r="C8" s="40"/>
      <c r="D8" s="40"/>
      <c r="E8" s="40"/>
      <c r="F8" s="40"/>
      <c r="G8" s="1"/>
      <c r="H8" s="1"/>
    </row>
    <row r="9" spans="1:8" ht="13.2">
      <c r="A9" s="6" t="s">
        <v>19</v>
      </c>
      <c r="B9" s="7"/>
      <c r="C9" s="7"/>
      <c r="D9" s="7"/>
      <c r="E9" s="7"/>
      <c r="F9" s="7"/>
      <c r="G9" s="1"/>
      <c r="H9" s="1"/>
    </row>
    <row r="10" spans="1:8" ht="13.2">
      <c r="A10" s="5">
        <v>1</v>
      </c>
      <c r="B10" s="40" t="s">
        <v>102</v>
      </c>
      <c r="C10" s="41"/>
      <c r="D10" s="41"/>
      <c r="E10" s="41"/>
      <c r="F10" s="41"/>
      <c r="G10" s="41"/>
      <c r="H10" s="41"/>
    </row>
    <row r="11" spans="1:8" ht="13.2">
      <c r="A11" s="5">
        <f t="shared" si="0" ref="A11:A37">+A10+1</f>
        <v>2</v>
      </c>
      <c r="B11" s="40" t="s">
        <v>44</v>
      </c>
      <c r="C11" s="42"/>
      <c r="D11" s="42"/>
      <c r="E11" s="42"/>
      <c r="F11" s="42"/>
      <c r="G11" s="42"/>
      <c r="H11" s="42"/>
    </row>
    <row r="12" spans="1:8" ht="13.2">
      <c r="A12" s="5">
        <f t="shared" si="0"/>
        <v>3</v>
      </c>
      <c r="B12" s="3"/>
      <c r="C12" s="9"/>
      <c r="D12" s="1"/>
      <c r="E12" s="1"/>
      <c r="F12" s="1"/>
      <c r="G12" s="1"/>
      <c r="H12" s="1"/>
    </row>
    <row r="13" spans="1:8" ht="13.2">
      <c r="A13" s="5">
        <f t="shared" si="0"/>
        <v>4</v>
      </c>
      <c r="B13" s="3"/>
      <c r="C13" s="9"/>
      <c r="D13" s="1"/>
      <c r="E13" s="1"/>
      <c r="F13" s="1"/>
      <c r="G13" s="1"/>
      <c r="H13" s="1"/>
    </row>
    <row r="14" spans="1:8" ht="13.2">
      <c r="A14" s="5">
        <f t="shared" si="0"/>
        <v>5</v>
      </c>
      <c r="B14" s="1"/>
      <c r="C14" s="1"/>
      <c r="D14" s="1"/>
      <c r="E14" s="1"/>
      <c r="F14" s="1"/>
      <c r="G14" s="1"/>
      <c r="H14" s="1"/>
    </row>
    <row r="15" spans="1:8" ht="13.2">
      <c r="A15" s="5">
        <f t="shared" si="0"/>
        <v>6</v>
      </c>
      <c r="B15" s="25"/>
      <c r="C15" s="25"/>
      <c r="D15" s="25"/>
      <c r="E15" s="25"/>
      <c r="F15" s="25"/>
      <c r="G15" s="1"/>
      <c r="H15" s="1"/>
    </row>
    <row r="16" spans="1:6" ht="13.2">
      <c r="A16" s="5">
        <f t="shared" si="0"/>
        <v>7</v>
      </c>
      <c r="F16" s="8"/>
    </row>
    <row r="17" spans="1:6" ht="13.2">
      <c r="A17" s="5">
        <f t="shared" si="0"/>
        <v>8</v>
      </c>
      <c r="F17" s="8"/>
    </row>
    <row r="18" spans="1:6" ht="13.2">
      <c r="A18" s="5">
        <f t="shared" si="0"/>
        <v>9</v>
      </c>
      <c r="F18" s="8"/>
    </row>
    <row r="19" spans="1:6" ht="13.2">
      <c r="A19" s="5">
        <f t="shared" si="0"/>
        <v>10</v>
      </c>
      <c r="F19" s="8"/>
    </row>
    <row r="20" spans="1:6" ht="13.2">
      <c r="A20" s="5">
        <f t="shared" si="0"/>
        <v>11</v>
      </c>
      <c r="F20" s="8"/>
    </row>
    <row r="21" spans="1:6" ht="13.2">
      <c r="A21" s="5">
        <f t="shared" si="0"/>
        <v>12</v>
      </c>
      <c r="F21" s="8"/>
    </row>
    <row r="22" spans="1:6" ht="13.2">
      <c r="A22" s="5">
        <f t="shared" si="0"/>
        <v>13</v>
      </c>
      <c r="F22" s="8"/>
    </row>
    <row r="23" spans="1:6" ht="13.2">
      <c r="A23" s="5">
        <f t="shared" si="0"/>
        <v>14</v>
      </c>
      <c r="F23" s="8"/>
    </row>
    <row r="24" spans="1:6" ht="13.2">
      <c r="A24" s="5">
        <f t="shared" si="0"/>
        <v>15</v>
      </c>
      <c r="F24" s="8"/>
    </row>
    <row r="25" spans="1:6" ht="13.2">
      <c r="A25" s="5">
        <f t="shared" si="0"/>
        <v>16</v>
      </c>
      <c r="F25" s="8"/>
    </row>
    <row r="26" spans="1:6" ht="13.2">
      <c r="A26" s="5">
        <f t="shared" si="0"/>
        <v>17</v>
      </c>
      <c r="F26" s="8"/>
    </row>
    <row r="27" spans="1:6" ht="13.2">
      <c r="A27" s="5">
        <f t="shared" si="0"/>
        <v>18</v>
      </c>
      <c r="F27" s="8"/>
    </row>
    <row r="28" spans="1:6" ht="13.2">
      <c r="A28" s="5">
        <f t="shared" si="0"/>
        <v>19</v>
      </c>
      <c r="F28" s="8"/>
    </row>
    <row r="29" spans="1:6" ht="13.2">
      <c r="A29" s="5">
        <f t="shared" si="0"/>
        <v>20</v>
      </c>
      <c r="F29" s="8"/>
    </row>
    <row r="30" spans="1:6" ht="13.2">
      <c r="A30" s="5">
        <f t="shared" si="0"/>
        <v>21</v>
      </c>
      <c r="F30" s="8"/>
    </row>
    <row r="31" spans="1:6" ht="13.2">
      <c r="A31" s="5">
        <f t="shared" si="0"/>
        <v>22</v>
      </c>
      <c r="F31" s="8"/>
    </row>
    <row r="32" spans="1:6" ht="13.2">
      <c r="A32" s="5">
        <f t="shared" si="0"/>
        <v>23</v>
      </c>
      <c r="F32" s="8"/>
    </row>
    <row r="33" spans="1:6" ht="13.2">
      <c r="A33" s="5">
        <f t="shared" si="0"/>
        <v>24</v>
      </c>
      <c r="F33" s="10"/>
    </row>
    <row r="34" spans="1:1" ht="13.2">
      <c r="A34" s="5">
        <f t="shared" si="0"/>
        <v>25</v>
      </c>
    </row>
    <row r="35" spans="1:1" ht="13.2">
      <c r="A35" s="5">
        <f t="shared" si="0"/>
        <v>26</v>
      </c>
    </row>
    <row r="36" spans="1:1" ht="13.2">
      <c r="A36" s="5">
        <f t="shared" si="0"/>
        <v>27</v>
      </c>
    </row>
    <row r="37" spans="1:1" ht="13.2">
      <c r="A37" s="5">
        <f t="shared" si="0"/>
        <v>28</v>
      </c>
    </row>
  </sheetData>
  <mergeCells count="8">
    <mergeCell ref="B10:H10"/>
    <mergeCell ref="B11:H11"/>
    <mergeCell ref="B1:H1"/>
    <mergeCell ref="B2:H2"/>
    <mergeCell ref="B3:H3"/>
    <mergeCell ref="B4:H4"/>
    <mergeCell ref="B6:H6"/>
    <mergeCell ref="B8:F8"/>
  </mergeCells>
  <pageMargins left="0.7" right="0.7" top="0.75" bottom="0.75" header="0.3" footer="0.3"/>
  <pageSetup orientation="portrait" scale="79" r:id="rId2"/>
  <headerFooter>
    <oddHeader xml:space="preserve">&amp;RSchedule II-H-2.1
Page  &amp;P of  27
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6">
    <pageSetUpPr fitToPage="1"/>
  </sheetPr>
  <dimension ref="A1:F51"/>
  <sheetViews>
    <sheetView workbookViewId="0" topLeftCell="A1"/>
  </sheetViews>
  <sheetFormatPr defaultRowHeight="13.5"/>
  <cols>
    <col min="1" max="1" width="9.28571428571429" bestFit="1" customWidth="1"/>
    <col min="2" max="2" width="26.8571428571429" bestFit="1" customWidth="1"/>
    <col min="3" max="3" width="12.5714285714286" customWidth="1"/>
    <col min="4" max="5" width="9.28571428571429" bestFit="1" customWidth="1"/>
    <col min="6" max="6" width="9.28571428571429" customWidth="1"/>
  </cols>
  <sheetData>
    <row r="1" spans="1:6" s="1" customFormat="1" ht="15.6">
      <c r="A1" s="5"/>
      <c r="B1" s="39" t="str">
        <f>+'RES Model'!B1:F1</f>
        <v xml:space="preserve">PUC DOCKET NO. </v>
      </c>
      <c r="C1" s="39"/>
      <c r="D1" s="39"/>
      <c r="E1" s="39"/>
      <c r="F1" s="39"/>
    </row>
    <row r="2" spans="1:6" s="1" customFormat="1" ht="15.6">
      <c r="A2" s="5"/>
      <c r="B2" s="39" t="str">
        <f>+'RES Model'!B2:F2</f>
        <v>ONCOR ELECTRIC DELIVERY COMPANY LLC</v>
      </c>
      <c r="C2" s="39"/>
      <c r="D2" s="39"/>
      <c r="E2" s="39"/>
      <c r="F2" s="39"/>
    </row>
    <row r="3" spans="1:6" s="1" customFormat="1" ht="15.6">
      <c r="A3" s="5"/>
      <c r="B3" s="39" t="str">
        <f>+'RES Model'!B3:F3</f>
        <v>MODEL INFORMATION</v>
      </c>
      <c r="C3" s="39"/>
      <c r="D3" s="39"/>
      <c r="E3" s="39"/>
      <c r="F3" s="39"/>
    </row>
    <row r="4" spans="1:6" s="1" customFormat="1" ht="15.6">
      <c r="A4" s="5"/>
      <c r="B4" s="39" t="str">
        <f>+'RES Model'!B4:F4</f>
        <v>FOR THE TEST YEAR ENDING DECEMBER 31, 2021</v>
      </c>
      <c r="C4" s="39"/>
      <c r="D4" s="39"/>
      <c r="E4" s="39"/>
      <c r="F4" s="39"/>
    </row>
    <row r="5" spans="1:1" s="1" customFormat="1" ht="11.4">
      <c r="A5" s="5"/>
    </row>
    <row r="6" spans="1:6" s="1" customFormat="1" ht="15.6">
      <c r="A6" s="5"/>
      <c r="B6" s="39" t="str">
        <f>+'RES Model'!B6:F6</f>
        <v>SPONSOR: D. E. NELSON</v>
      </c>
      <c r="C6" s="39"/>
      <c r="D6" s="39"/>
      <c r="E6" s="39"/>
      <c r="F6" s="39"/>
    </row>
    <row r="8" spans="2:6" ht="15.6">
      <c r="B8" s="39" t="s">
        <v>48</v>
      </c>
      <c r="C8" s="39"/>
      <c r="D8" s="39"/>
      <c r="E8" s="39"/>
      <c r="F8" s="39"/>
    </row>
    <row r="9" spans="1:6" s="1" customFormat="1" ht="12">
      <c r="A9" s="5" t="s">
        <v>18</v>
      </c>
      <c r="B9" s="40"/>
      <c r="C9" s="40"/>
      <c r="D9" s="40"/>
      <c r="E9" s="40"/>
      <c r="F9" s="40"/>
    </row>
    <row r="10" spans="1:6" s="1" customFormat="1" ht="11.4">
      <c r="A10" s="6" t="s">
        <v>19</v>
      </c>
      <c r="B10" s="7" t="s">
        <v>20</v>
      </c>
      <c r="C10" s="7" t="s">
        <v>21</v>
      </c>
      <c r="D10" s="7" t="s">
        <v>24</v>
      </c>
      <c r="E10" s="7" t="s">
        <v>22</v>
      </c>
      <c r="F10" s="7" t="s">
        <v>23</v>
      </c>
    </row>
    <row r="11" spans="1:3" s="1" customFormat="1" ht="12">
      <c r="A11" s="5">
        <v>1</v>
      </c>
      <c r="B11" s="3" t="s">
        <v>45</v>
      </c>
      <c r="C11" s="3"/>
    </row>
    <row r="12" spans="1:3" s="1" customFormat="1" ht="12">
      <c r="A12" s="5">
        <f t="shared" si="0" ref="A12:A51">+A11+1</f>
        <v>2</v>
      </c>
      <c r="B12" s="3" t="s">
        <v>5</v>
      </c>
      <c r="C12" s="3" t="s">
        <v>39</v>
      </c>
    </row>
    <row r="13" spans="1:3" s="1" customFormat="1" ht="12">
      <c r="A13" s="5">
        <f t="shared" si="0"/>
        <v>3</v>
      </c>
      <c r="B13" s="3" t="s">
        <v>6</v>
      </c>
      <c r="C13" s="9">
        <f>+'RES Model'!C13</f>
        <v>40179</v>
      </c>
    </row>
    <row r="14" spans="1:3" s="1" customFormat="1" ht="12">
      <c r="A14" s="5">
        <f t="shared" si="0"/>
        <v>4</v>
      </c>
      <c r="B14" s="3" t="s">
        <v>7</v>
      </c>
      <c r="C14" s="9">
        <f>+'RES Model'!C14</f>
        <v>44378</v>
      </c>
    </row>
    <row r="15" spans="1:1" s="1" customFormat="1" ht="11.4">
      <c r="A15" s="5">
        <f t="shared" si="0"/>
        <v>5</v>
      </c>
    </row>
    <row r="16" spans="1:6" s="1" customFormat="1" ht="13.2">
      <c r="A16" s="5">
        <f t="shared" si="0"/>
        <v>6</v>
      </c>
      <c r="B16" s="18" t="s">
        <v>0</v>
      </c>
      <c r="C16" s="18" t="s">
        <v>1</v>
      </c>
      <c r="D16" s="18" t="s">
        <v>2</v>
      </c>
      <c r="E16" s="18" t="s">
        <v>3</v>
      </c>
      <c r="F16" s="18" t="s">
        <v>4</v>
      </c>
    </row>
    <row r="17" spans="1:6" ht="13.2">
      <c r="A17" s="5">
        <f t="shared" si="0"/>
        <v>7</v>
      </c>
      <c r="B17" t="s">
        <v>82</v>
      </c>
      <c r="C17" s="13">
        <v>2.0779999999999998</v>
      </c>
      <c r="D17" s="13">
        <v>0.081000000000000003</v>
      </c>
      <c r="E17" s="13">
        <v>25.686</v>
      </c>
      <c r="F17" s="14">
        <v>0</v>
      </c>
    </row>
    <row r="18" spans="1:6" ht="13.2">
      <c r="A18" s="5">
        <f t="shared" si="0"/>
        <v>8</v>
      </c>
      <c r="B18" t="s">
        <v>93</v>
      </c>
      <c r="C18" s="13">
        <v>2.3420000000000001</v>
      </c>
      <c r="D18" s="13">
        <v>0.065000000000000002</v>
      </c>
      <c r="E18" s="13">
        <v>35.936999999999998</v>
      </c>
      <c r="F18" s="14">
        <v>0</v>
      </c>
    </row>
    <row r="19" spans="1:6" ht="13.2">
      <c r="A19" s="5">
        <f t="shared" si="0"/>
        <v>9</v>
      </c>
      <c r="B19" t="s">
        <v>52</v>
      </c>
      <c r="C19" s="13">
        <v>0.373</v>
      </c>
      <c r="D19" s="13">
        <v>0.189</v>
      </c>
      <c r="E19" s="13">
        <v>1.9770000000000001</v>
      </c>
      <c r="F19" s="14">
        <v>0.050299999999999997</v>
      </c>
    </row>
    <row r="20" spans="1:6" ht="13.2">
      <c r="A20" s="5">
        <f t="shared" si="0"/>
        <v>10</v>
      </c>
      <c r="B20" t="s">
        <v>28</v>
      </c>
      <c r="C20" s="13">
        <v>17.152999999999999</v>
      </c>
      <c r="D20" s="13">
        <v>4.8319999999999999</v>
      </c>
      <c r="E20" s="13">
        <v>3.5499999999999998</v>
      </c>
      <c r="F20" s="14">
        <v>0.00059999999999999995</v>
      </c>
    </row>
    <row r="21" spans="1:6" ht="13.2">
      <c r="A21" s="5">
        <f t="shared" si="0"/>
        <v>11</v>
      </c>
      <c r="B21" t="s">
        <v>29</v>
      </c>
      <c r="C21" s="13">
        <v>16.593</v>
      </c>
      <c r="D21" s="13">
        <v>4.782</v>
      </c>
      <c r="E21" s="13">
        <v>3.4700000000000002</v>
      </c>
      <c r="F21" s="14">
        <v>0.00069999999999999999</v>
      </c>
    </row>
    <row r="22" spans="1:6" ht="13.2">
      <c r="A22" s="5">
        <f t="shared" si="0"/>
        <v>12</v>
      </c>
      <c r="B22" t="s">
        <v>30</v>
      </c>
      <c r="C22" s="13">
        <v>15.747999999999999</v>
      </c>
      <c r="D22" s="13">
        <v>4.7009999999999996</v>
      </c>
      <c r="E22" s="13">
        <v>3.3500000000000001</v>
      </c>
      <c r="F22" s="14">
        <v>0.0011000000000000001</v>
      </c>
    </row>
    <row r="23" spans="1:6" ht="13.2">
      <c r="A23" s="5">
        <f t="shared" si="0"/>
        <v>13</v>
      </c>
      <c r="B23" t="s">
        <v>31</v>
      </c>
      <c r="C23" s="13">
        <v>15.285</v>
      </c>
      <c r="D23" s="13">
        <v>4.548</v>
      </c>
      <c r="E23" s="13">
        <v>3.3610000000000002</v>
      </c>
      <c r="F23" s="14">
        <v>0.001</v>
      </c>
    </row>
    <row r="24" spans="1:6" ht="13.2">
      <c r="A24" s="5">
        <f t="shared" si="0"/>
        <v>14</v>
      </c>
      <c r="B24" t="s">
        <v>32</v>
      </c>
      <c r="C24" s="13">
        <v>15.917999999999999</v>
      </c>
      <c r="D24" s="13">
        <v>4.4820000000000002</v>
      </c>
      <c r="E24" s="13">
        <v>3.552</v>
      </c>
      <c r="F24" s="14">
        <v>0.00059999999999999995</v>
      </c>
    </row>
    <row r="25" spans="1:6" ht="13.2">
      <c r="A25" s="5">
        <f t="shared" si="0"/>
        <v>15</v>
      </c>
      <c r="B25" t="s">
        <v>33</v>
      </c>
      <c r="C25" s="13">
        <v>17.741</v>
      </c>
      <c r="D25" s="13">
        <v>4.4269999999999996</v>
      </c>
      <c r="E25" s="13">
        <v>4.008</v>
      </c>
      <c r="F25" s="14">
        <v>0.00010000000000000001</v>
      </c>
    </row>
    <row r="26" spans="1:6" ht="13.2">
      <c r="A26" s="5">
        <f t="shared" si="0"/>
        <v>16</v>
      </c>
      <c r="B26" t="s">
        <v>34</v>
      </c>
      <c r="C26" s="13">
        <v>19.215</v>
      </c>
      <c r="D26" s="13">
        <v>4.3300000000000001</v>
      </c>
      <c r="E26" s="13">
        <v>4.4379999999999997</v>
      </c>
      <c r="F26" s="14">
        <v>0</v>
      </c>
    </row>
    <row r="27" spans="1:6" ht="13.2">
      <c r="A27" s="5">
        <f t="shared" si="0"/>
        <v>17</v>
      </c>
      <c r="B27" t="s">
        <v>35</v>
      </c>
      <c r="C27" s="13">
        <v>19.381</v>
      </c>
      <c r="D27" s="13">
        <v>4.3390000000000004</v>
      </c>
      <c r="E27" s="13">
        <v>4.4669999999999996</v>
      </c>
      <c r="F27" s="14">
        <v>0</v>
      </c>
    </row>
    <row r="28" spans="1:6" ht="13.2">
      <c r="A28" s="5">
        <f t="shared" si="0"/>
        <v>18</v>
      </c>
      <c r="B28" t="s">
        <v>36</v>
      </c>
      <c r="C28" s="13">
        <v>18.876999999999999</v>
      </c>
      <c r="D28" s="13">
        <v>4.3869999999999996</v>
      </c>
      <c r="E28" s="13">
        <v>4.3029999999999999</v>
      </c>
      <c r="F28" s="14">
        <v>0</v>
      </c>
    </row>
    <row r="29" spans="1:6" ht="13.2">
      <c r="A29" s="5">
        <f t="shared" si="0"/>
        <v>19</v>
      </c>
      <c r="B29" t="s">
        <v>37</v>
      </c>
      <c r="C29" s="13">
        <v>17.713999999999999</v>
      </c>
      <c r="D29" s="13">
        <v>4.4690000000000003</v>
      </c>
      <c r="E29" s="13">
        <v>3.964</v>
      </c>
      <c r="F29" s="14">
        <v>0.00010000000000000001</v>
      </c>
    </row>
    <row r="30" spans="1:6" ht="13.2">
      <c r="A30" s="5">
        <f t="shared" si="0"/>
        <v>20</v>
      </c>
      <c r="B30" t="s">
        <v>38</v>
      </c>
      <c r="C30" s="13">
        <v>15.298</v>
      </c>
      <c r="D30" s="13">
        <v>4.585</v>
      </c>
      <c r="E30" s="13">
        <v>3.3359999999999999</v>
      </c>
      <c r="F30" s="14">
        <v>0.0011000000000000001</v>
      </c>
    </row>
    <row r="31" spans="1:6" ht="13.2">
      <c r="A31" s="5">
        <f t="shared" si="0"/>
        <v>21</v>
      </c>
      <c r="B31" t="s">
        <v>41</v>
      </c>
      <c r="C31" s="13">
        <v>15.353</v>
      </c>
      <c r="D31" s="13">
        <v>4.7539999999999996</v>
      </c>
      <c r="E31" s="13">
        <v>3.23</v>
      </c>
      <c r="F31" s="14">
        <v>0.0016000000000000001</v>
      </c>
    </row>
    <row r="32" spans="1:6" ht="13.2">
      <c r="A32" s="5">
        <f t="shared" si="0"/>
        <v>22</v>
      </c>
      <c r="B32" t="s">
        <v>85</v>
      </c>
      <c r="C32" s="13">
        <v>-0.0030000000000000001</v>
      </c>
      <c r="D32" s="13">
        <v>0.0070000000000000001</v>
      </c>
      <c r="E32" s="13">
        <v>-0.5</v>
      </c>
      <c r="F32" s="14">
        <v>0.61809999999999998</v>
      </c>
    </row>
    <row r="33" spans="1:6" ht="13.2">
      <c r="A33" s="5">
        <f t="shared" si="0"/>
        <v>23</v>
      </c>
      <c r="B33" t="s">
        <v>86</v>
      </c>
      <c r="C33" s="13">
        <v>-0.0080000000000000002</v>
      </c>
      <c r="D33" s="13">
        <v>0.0050000000000000001</v>
      </c>
      <c r="E33" s="13">
        <v>-1.593</v>
      </c>
      <c r="F33" s="14">
        <v>0.1138</v>
      </c>
    </row>
    <row r="34" spans="1:6" ht="13.2">
      <c r="A34" s="5">
        <f t="shared" si="0"/>
        <v>24</v>
      </c>
      <c r="B34" t="s">
        <v>76</v>
      </c>
      <c r="C34" s="13">
        <v>-0.0080000000000000002</v>
      </c>
      <c r="D34" s="13">
        <v>0.0030000000000000001</v>
      </c>
      <c r="E34" s="13">
        <v>-2.8900000000000001</v>
      </c>
      <c r="F34" s="14">
        <v>0.0045999999999999999</v>
      </c>
    </row>
    <row r="35" spans="1:6" ht="13.2">
      <c r="A35" s="5">
        <f t="shared" si="0"/>
        <v>25</v>
      </c>
      <c r="F35" s="10"/>
    </row>
    <row r="36" spans="1:6" ht="13.2">
      <c r="A36" s="5">
        <f t="shared" si="0"/>
        <v>26</v>
      </c>
      <c r="B36" s="15" t="s">
        <v>53</v>
      </c>
      <c r="F36" s="10"/>
    </row>
    <row r="37" spans="1:6" ht="13.2">
      <c r="A37" s="5">
        <f t="shared" si="0"/>
        <v>27</v>
      </c>
      <c r="B37" t="s">
        <v>25</v>
      </c>
      <c r="C37" s="20">
        <v>139</v>
      </c>
      <c r="F37" s="8"/>
    </row>
    <row r="38" spans="1:6" ht="13.2">
      <c r="A38" s="5">
        <f t="shared" si="0"/>
        <v>28</v>
      </c>
      <c r="B38" t="s">
        <v>8</v>
      </c>
      <c r="C38" s="26">
        <v>121</v>
      </c>
      <c r="F38" s="8"/>
    </row>
    <row r="39" spans="1:6" ht="13.2">
      <c r="A39" s="5">
        <f t="shared" si="0"/>
        <v>29</v>
      </c>
      <c r="B39" t="s">
        <v>9</v>
      </c>
      <c r="C39" s="26">
        <v>0.996</v>
      </c>
      <c r="F39" s="8"/>
    </row>
    <row r="40" spans="1:6" ht="13.2">
      <c r="A40" s="5">
        <f t="shared" si="0"/>
        <v>30</v>
      </c>
      <c r="B40" t="s">
        <v>10</v>
      </c>
      <c r="C40" s="31">
        <v>0.995</v>
      </c>
      <c r="F40" s="8"/>
    </row>
    <row r="41" spans="1:6" ht="13.2">
      <c r="A41" s="5">
        <f t="shared" si="0"/>
        <v>31</v>
      </c>
      <c r="B41" t="s">
        <v>12</v>
      </c>
      <c r="C41" s="32">
        <v>1689.1880000000001</v>
      </c>
      <c r="F41" s="8"/>
    </row>
    <row r="42" spans="1:6" ht="13.2">
      <c r="A42" s="5">
        <f t="shared" si="0"/>
        <v>32</v>
      </c>
      <c r="B42" t="s">
        <v>13</v>
      </c>
      <c r="C42" s="33">
        <v>0</v>
      </c>
      <c r="F42" s="8"/>
    </row>
    <row r="43" spans="1:3" ht="13.2">
      <c r="A43" s="5">
        <f t="shared" si="0"/>
        <v>33</v>
      </c>
      <c r="B43" t="s">
        <v>14</v>
      </c>
      <c r="C43" s="27">
        <v>15523.719999999999</v>
      </c>
    </row>
    <row r="44" spans="1:6" ht="13.2">
      <c r="A44" s="5">
        <f t="shared" si="0"/>
        <v>34</v>
      </c>
      <c r="B44" t="s">
        <v>15</v>
      </c>
      <c r="C44" s="21">
        <v>65.409999999999997</v>
      </c>
      <c r="F44" s="8"/>
    </row>
    <row r="45" spans="1:6" ht="13.2">
      <c r="A45" s="5">
        <f t="shared" si="0"/>
        <v>35</v>
      </c>
      <c r="B45" t="s">
        <v>16</v>
      </c>
      <c r="C45" s="21">
        <v>0.54000000000000004</v>
      </c>
      <c r="F45" s="8"/>
    </row>
    <row r="46" spans="1:6" ht="13.2">
      <c r="A46" s="5">
        <f t="shared" si="0"/>
        <v>36</v>
      </c>
      <c r="B46" t="s">
        <v>17</v>
      </c>
      <c r="C46" s="21">
        <v>0.73999999999999999</v>
      </c>
      <c r="F46" s="8"/>
    </row>
    <row r="47" spans="1:3" ht="13.2">
      <c r="A47" s="5">
        <f t="shared" si="0"/>
        <v>37</v>
      </c>
      <c r="B47" t="s">
        <v>83</v>
      </c>
      <c r="C47" s="21">
        <v>0.55000000000000004</v>
      </c>
    </row>
    <row r="48" spans="1:3" ht="13.2">
      <c r="A48" s="5">
        <f t="shared" si="0"/>
        <v>38</v>
      </c>
      <c r="B48" t="s">
        <v>84</v>
      </c>
      <c r="C48" s="8">
        <v>0.014200000000000001</v>
      </c>
    </row>
    <row r="49" spans="1:3" ht="13.2">
      <c r="A49" s="5">
        <f t="shared" si="0"/>
        <v>39</v>
      </c>
      <c r="B49" t="s">
        <v>11</v>
      </c>
      <c r="C49">
        <v>0.88400000000000001</v>
      </c>
    </row>
    <row r="50" spans="1:3" ht="13.2">
      <c r="A50" s="5">
        <f t="shared" si="0"/>
        <v>40</v>
      </c>
      <c r="B50" t="s">
        <v>61</v>
      </c>
      <c r="C50">
        <v>116.87000000000001</v>
      </c>
    </row>
    <row r="51" spans="1:3" ht="13.2">
      <c r="A51" s="5">
        <f t="shared" si="0"/>
        <v>41</v>
      </c>
      <c r="B51" t="s">
        <v>62</v>
      </c>
      <c r="C51" s="24">
        <v>0</v>
      </c>
    </row>
  </sheetData>
  <mergeCells count="7">
    <mergeCell ref="B6:F6"/>
    <mergeCell ref="B9:F9"/>
    <mergeCell ref="B1:F1"/>
    <mergeCell ref="B2:F2"/>
    <mergeCell ref="B3:F3"/>
    <mergeCell ref="B4:F4"/>
    <mergeCell ref="B8:F8"/>
  </mergeCells>
  <pageMargins left="0.7" right="0.7" top="0.75" bottom="0.75" header="0.3" footer="0.3"/>
  <pageSetup orientation="portrait" r:id="rId1"/>
  <headerFooter>
    <oddHeader xml:space="preserve">&amp;RSchedule II-H-2.1
Page  &amp;P of  27
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H37"/>
  <sheetViews>
    <sheetView workbookViewId="0" topLeftCell="A1"/>
  </sheetViews>
  <sheetFormatPr defaultRowHeight="13.5"/>
  <cols>
    <col min="2" max="2" width="21.8571428571429" customWidth="1"/>
    <col min="3" max="3" width="14.8571428571429" customWidth="1"/>
    <col min="4" max="4" width="17.2857142857143" customWidth="1"/>
    <col min="5" max="5" width="15.2857142857143" customWidth="1"/>
    <col min="6" max="6" width="16.7142857142857" customWidth="1"/>
    <col min="7" max="7" width="11" customWidth="1"/>
  </cols>
  <sheetData>
    <row r="1" spans="1:8" ht="15.6">
      <c r="A1" s="5"/>
      <c r="B1" s="43" t="str">
        <f>+'RES Model'!B1:F1</f>
        <v xml:space="preserve">PUC DOCKET NO. </v>
      </c>
      <c r="C1" s="41"/>
      <c r="D1" s="41"/>
      <c r="E1" s="41"/>
      <c r="F1" s="41"/>
      <c r="G1" s="41"/>
      <c r="H1" s="41"/>
    </row>
    <row r="2" spans="1:8" ht="15.6">
      <c r="A2" s="5"/>
      <c r="B2" s="39" t="str">
        <f>+'RES Model'!B2:F2</f>
        <v>ONCOR ELECTRIC DELIVERY COMPANY LLC</v>
      </c>
      <c r="C2" s="41"/>
      <c r="D2" s="41"/>
      <c r="E2" s="41"/>
      <c r="F2" s="41"/>
      <c r="G2" s="41"/>
      <c r="H2" s="41"/>
    </row>
    <row r="3" spans="1:8" ht="15.6">
      <c r="A3" s="5"/>
      <c r="B3" s="39" t="str">
        <f>+'RES Model'!B3:F3</f>
        <v>MODEL INFORMATION</v>
      </c>
      <c r="C3" s="41"/>
      <c r="D3" s="41"/>
      <c r="E3" s="41"/>
      <c r="F3" s="41"/>
      <c r="G3" s="41"/>
      <c r="H3" s="41"/>
    </row>
    <row r="4" spans="1:8" ht="15.6">
      <c r="A4" s="5"/>
      <c r="B4" s="39" t="str">
        <f>+'RES Model'!B4:F4</f>
        <v>FOR THE TEST YEAR ENDING DECEMBER 31, 2021</v>
      </c>
      <c r="C4" s="41"/>
      <c r="D4" s="41"/>
      <c r="E4" s="41"/>
      <c r="F4" s="41"/>
      <c r="G4" s="41"/>
      <c r="H4" s="41"/>
    </row>
    <row r="5" spans="1:8" ht="13.2">
      <c r="A5" s="5"/>
      <c r="B5" s="1"/>
      <c r="C5" s="1"/>
      <c r="D5" s="1"/>
      <c r="E5" s="1"/>
      <c r="F5" s="1"/>
      <c r="G5" s="1"/>
      <c r="H5" s="1"/>
    </row>
    <row r="6" spans="1:8" ht="15.6">
      <c r="A6" s="5"/>
      <c r="B6" s="39" t="str">
        <f>+'RES Model'!B6:F6</f>
        <v>SPONSOR: D. E. NELSON</v>
      </c>
      <c r="C6" s="41"/>
      <c r="D6" s="41"/>
      <c r="E6" s="41"/>
      <c r="F6" s="41"/>
      <c r="G6" s="41"/>
      <c r="H6" s="41"/>
    </row>
    <row r="8" spans="1:8" ht="13.2">
      <c r="A8" s="5" t="s">
        <v>18</v>
      </c>
      <c r="B8" s="40"/>
      <c r="C8" s="40"/>
      <c r="D8" s="40"/>
      <c r="E8" s="40"/>
      <c r="F8" s="40"/>
      <c r="G8" s="1"/>
      <c r="H8" s="1"/>
    </row>
    <row r="9" spans="1:8" ht="13.2">
      <c r="A9" s="6" t="s">
        <v>19</v>
      </c>
      <c r="B9" s="7"/>
      <c r="C9" s="7"/>
      <c r="D9" s="7"/>
      <c r="E9" s="7"/>
      <c r="F9" s="7"/>
      <c r="G9" s="1"/>
      <c r="H9" s="1"/>
    </row>
    <row r="10" spans="1:8" ht="13.2">
      <c r="A10" s="5">
        <v>1</v>
      </c>
      <c r="B10" s="40" t="s">
        <v>64</v>
      </c>
      <c r="C10" s="41"/>
      <c r="D10" s="41"/>
      <c r="E10" s="41"/>
      <c r="F10" s="41"/>
      <c r="G10" s="41"/>
      <c r="H10" s="41"/>
    </row>
    <row r="11" spans="1:8" ht="13.2">
      <c r="A11" s="5">
        <f t="shared" si="0" ref="A11:A37">+A10+1</f>
        <v>2</v>
      </c>
      <c r="B11" s="40" t="s">
        <v>45</v>
      </c>
      <c r="C11" s="42"/>
      <c r="D11" s="42"/>
      <c r="E11" s="42"/>
      <c r="F11" s="42"/>
      <c r="G11" s="42"/>
      <c r="H11" s="42"/>
    </row>
    <row r="12" spans="1:8" ht="13.2">
      <c r="A12" s="5">
        <f t="shared" si="0"/>
        <v>3</v>
      </c>
      <c r="B12" s="3"/>
      <c r="C12" s="9"/>
      <c r="D12" s="1"/>
      <c r="E12" s="1"/>
      <c r="F12" s="1"/>
      <c r="G12" s="1"/>
      <c r="H12" s="1"/>
    </row>
    <row r="13" spans="1:8" ht="13.2">
      <c r="A13" s="5">
        <f t="shared" si="0"/>
        <v>4</v>
      </c>
      <c r="B13" s="3"/>
      <c r="C13" s="9"/>
      <c r="D13" s="1"/>
      <c r="E13" s="1"/>
      <c r="F13" s="1"/>
      <c r="G13" s="1"/>
      <c r="H13" s="1"/>
    </row>
    <row r="14" spans="1:8" ht="13.2">
      <c r="A14" s="5">
        <f t="shared" si="0"/>
        <v>5</v>
      </c>
      <c r="B14" s="1"/>
      <c r="C14" s="1"/>
      <c r="D14" s="1"/>
      <c r="E14" s="1"/>
      <c r="F14" s="1"/>
      <c r="G14" s="1"/>
      <c r="H14" s="1"/>
    </row>
    <row r="15" spans="1:8" ht="13.2">
      <c r="A15" s="5">
        <f t="shared" si="0"/>
        <v>6</v>
      </c>
      <c r="B15" s="25"/>
      <c r="C15" s="25"/>
      <c r="D15" s="25"/>
      <c r="E15" s="25"/>
      <c r="F15" s="25"/>
      <c r="G15" s="1"/>
      <c r="H15" s="1"/>
    </row>
    <row r="16" spans="1:6" ht="13.2">
      <c r="A16" s="5">
        <f t="shared" si="0"/>
        <v>7</v>
      </c>
      <c r="F16" s="8"/>
    </row>
    <row r="17" spans="1:6" ht="13.2">
      <c r="A17" s="5">
        <f t="shared" si="0"/>
        <v>8</v>
      </c>
      <c r="F17" s="8"/>
    </row>
    <row r="18" spans="1:6" ht="13.2">
      <c r="A18" s="5">
        <f t="shared" si="0"/>
        <v>9</v>
      </c>
      <c r="F18" s="8"/>
    </row>
    <row r="19" spans="1:6" ht="13.2">
      <c r="A19" s="5">
        <f t="shared" si="0"/>
        <v>10</v>
      </c>
      <c r="F19" s="8"/>
    </row>
    <row r="20" spans="1:6" ht="13.2">
      <c r="A20" s="5">
        <f t="shared" si="0"/>
        <v>11</v>
      </c>
      <c r="F20" s="8"/>
    </row>
    <row r="21" spans="1:6" ht="13.2">
      <c r="A21" s="5">
        <f t="shared" si="0"/>
        <v>12</v>
      </c>
      <c r="F21" s="8"/>
    </row>
    <row r="22" spans="1:6" ht="13.2">
      <c r="A22" s="5">
        <f t="shared" si="0"/>
        <v>13</v>
      </c>
      <c r="F22" s="8"/>
    </row>
    <row r="23" spans="1:6" ht="13.2">
      <c r="A23" s="5">
        <f t="shared" si="0"/>
        <v>14</v>
      </c>
      <c r="F23" s="8"/>
    </row>
    <row r="24" spans="1:6" ht="13.2">
      <c r="A24" s="5">
        <f t="shared" si="0"/>
        <v>15</v>
      </c>
      <c r="F24" s="8"/>
    </row>
    <row r="25" spans="1:6" ht="13.2">
      <c r="A25" s="5">
        <f t="shared" si="0"/>
        <v>16</v>
      </c>
      <c r="F25" s="8"/>
    </row>
    <row r="26" spans="1:6" ht="13.2">
      <c r="A26" s="5">
        <f t="shared" si="0"/>
        <v>17</v>
      </c>
      <c r="F26" s="8"/>
    </row>
    <row r="27" spans="1:6" ht="13.2">
      <c r="A27" s="5">
        <f t="shared" si="0"/>
        <v>18</v>
      </c>
      <c r="F27" s="8"/>
    </row>
    <row r="28" spans="1:6" ht="13.2">
      <c r="A28" s="5">
        <f t="shared" si="0"/>
        <v>19</v>
      </c>
      <c r="F28" s="8"/>
    </row>
    <row r="29" spans="1:6" ht="13.2">
      <c r="A29" s="5">
        <f t="shared" si="0"/>
        <v>20</v>
      </c>
      <c r="F29" s="8"/>
    </row>
    <row r="30" spans="1:6" ht="13.2">
      <c r="A30" s="5">
        <f t="shared" si="0"/>
        <v>21</v>
      </c>
      <c r="F30" s="8"/>
    </row>
    <row r="31" spans="1:6" ht="13.2">
      <c r="A31" s="5">
        <f t="shared" si="0"/>
        <v>22</v>
      </c>
      <c r="F31" s="8"/>
    </row>
    <row r="32" spans="1:6" ht="13.2">
      <c r="A32" s="5">
        <f t="shared" si="0"/>
        <v>23</v>
      </c>
      <c r="F32" s="8"/>
    </row>
    <row r="33" spans="1:6" ht="13.2">
      <c r="A33" s="5">
        <f t="shared" si="0"/>
        <v>24</v>
      </c>
      <c r="F33" s="10"/>
    </row>
    <row r="34" spans="1:1" ht="13.2">
      <c r="A34" s="5">
        <f t="shared" si="0"/>
        <v>25</v>
      </c>
    </row>
    <row r="35" spans="1:1" ht="13.2">
      <c r="A35" s="5">
        <f t="shared" si="0"/>
        <v>26</v>
      </c>
    </row>
    <row r="36" spans="1:1" ht="13.2">
      <c r="A36" s="5">
        <f t="shared" si="0"/>
        <v>27</v>
      </c>
    </row>
    <row r="37" spans="1:1" ht="13.2">
      <c r="A37" s="5">
        <f t="shared" si="0"/>
        <v>28</v>
      </c>
    </row>
  </sheetData>
  <mergeCells count="8">
    <mergeCell ref="B10:H10"/>
    <mergeCell ref="B11:H11"/>
    <mergeCell ref="B8:F8"/>
    <mergeCell ref="B1:H1"/>
    <mergeCell ref="B2:H2"/>
    <mergeCell ref="B3:H3"/>
    <mergeCell ref="B4:H4"/>
    <mergeCell ref="B6:H6"/>
  </mergeCells>
  <pageMargins left="0.7" right="0.7" top="0.75" bottom="0.75" header="0.3" footer="0.3"/>
  <pageSetup orientation="portrait" scale="80" r:id="rId2"/>
  <headerFooter>
    <oddHeader xml:space="preserve">&amp;RSchedule II-H-2.1
Page  &amp;P of  27
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F48"/>
  <sheetViews>
    <sheetView workbookViewId="0" topLeftCell="A1"/>
  </sheetViews>
  <sheetFormatPr defaultRowHeight="13.5"/>
  <cols>
    <col min="2" max="2" width="31.7142857142857" customWidth="1"/>
    <col min="3" max="3" width="13.1428571428571" customWidth="1"/>
    <col min="4" max="4" width="12.1428571428571" customWidth="1"/>
    <col min="5" max="5" width="10.4285714285714" customWidth="1"/>
    <col min="6" max="6" width="10.7142857142857" customWidth="1"/>
  </cols>
  <sheetData>
    <row r="1" spans="1:6" s="1" customFormat="1" ht="15.6">
      <c r="A1" s="5"/>
      <c r="B1" s="39" t="str">
        <f>+'RES Model'!B1:F1</f>
        <v xml:space="preserve">PUC DOCKET NO. </v>
      </c>
      <c r="C1" s="39"/>
      <c r="D1" s="39"/>
      <c r="E1" s="39"/>
      <c r="F1" s="39"/>
    </row>
    <row r="2" spans="1:6" s="1" customFormat="1" ht="15.6">
      <c r="A2" s="5"/>
      <c r="B2" s="39" t="str">
        <f>+'RES Model'!B2:F2</f>
        <v>ONCOR ELECTRIC DELIVERY COMPANY LLC</v>
      </c>
      <c r="C2" s="39"/>
      <c r="D2" s="39"/>
      <c r="E2" s="39"/>
      <c r="F2" s="39"/>
    </row>
    <row r="3" spans="1:6" s="1" customFormat="1" ht="15.6">
      <c r="A3" s="5"/>
      <c r="B3" s="39" t="str">
        <f>+'RES Model'!B3:F3</f>
        <v>MODEL INFORMATION</v>
      </c>
      <c r="C3" s="39"/>
      <c r="D3" s="39"/>
      <c r="E3" s="39"/>
      <c r="F3" s="39"/>
    </row>
    <row r="4" spans="1:6" s="1" customFormat="1" ht="15.6">
      <c r="A4" s="5"/>
      <c r="B4" s="39" t="str">
        <f>+'RES Model'!B4:F4</f>
        <v>FOR THE TEST YEAR ENDING DECEMBER 31, 2021</v>
      </c>
      <c r="C4" s="39"/>
      <c r="D4" s="39"/>
      <c r="E4" s="39"/>
      <c r="F4" s="39"/>
    </row>
    <row r="5" spans="1:1" s="1" customFormat="1" ht="11.4">
      <c r="A5" s="5"/>
    </row>
    <row r="6" spans="1:6" s="1" customFormat="1" ht="15.6">
      <c r="A6" s="5"/>
      <c r="B6" s="39" t="str">
        <f>+'RES Model'!B6:F6</f>
        <v>SPONSOR: D. E. NELSON</v>
      </c>
      <c r="C6" s="39"/>
      <c r="D6" s="39"/>
      <c r="E6" s="39"/>
      <c r="F6" s="39"/>
    </row>
    <row r="8" spans="2:6" ht="15.6">
      <c r="B8" s="39" t="s">
        <v>49</v>
      </c>
      <c r="C8" s="39"/>
      <c r="D8" s="39"/>
      <c r="E8" s="39"/>
      <c r="F8" s="39"/>
    </row>
    <row r="9" spans="1:6" s="1" customFormat="1" ht="12">
      <c r="A9" s="5" t="s">
        <v>18</v>
      </c>
      <c r="B9" s="40"/>
      <c r="C9" s="40"/>
      <c r="D9" s="40"/>
      <c r="E9" s="40"/>
      <c r="F9" s="40"/>
    </row>
    <row r="10" spans="1:6" s="1" customFormat="1" ht="11.4">
      <c r="A10" s="6" t="s">
        <v>19</v>
      </c>
      <c r="B10" s="7" t="s">
        <v>20</v>
      </c>
      <c r="C10" s="7" t="s">
        <v>21</v>
      </c>
      <c r="D10" s="7" t="s">
        <v>24</v>
      </c>
      <c r="E10" s="7" t="s">
        <v>22</v>
      </c>
      <c r="F10" s="7" t="s">
        <v>23</v>
      </c>
    </row>
    <row r="11" spans="1:3" s="1" customFormat="1" ht="12">
      <c r="A11" s="5">
        <v>1</v>
      </c>
      <c r="B11" s="3" t="s">
        <v>45</v>
      </c>
      <c r="C11" s="3"/>
    </row>
    <row r="12" spans="1:3" s="1" customFormat="1" ht="12">
      <c r="A12" s="5">
        <f t="shared" si="0" ref="A12:A48">+A11+1</f>
        <v>2</v>
      </c>
      <c r="B12" s="3" t="s">
        <v>5</v>
      </c>
      <c r="C12" s="3" t="s">
        <v>40</v>
      </c>
    </row>
    <row r="13" spans="1:3" s="1" customFormat="1" ht="12">
      <c r="A13" s="5">
        <f t="shared" si="0"/>
        <v>3</v>
      </c>
      <c r="B13" s="3" t="s">
        <v>6</v>
      </c>
      <c r="C13" s="9">
        <f>+'RES Model'!C13</f>
        <v>40179</v>
      </c>
    </row>
    <row r="14" spans="1:3" s="1" customFormat="1" ht="12">
      <c r="A14" s="5">
        <f t="shared" si="0"/>
        <v>4</v>
      </c>
      <c r="B14" s="3" t="s">
        <v>7</v>
      </c>
      <c r="C14" s="9">
        <f>+'RES Model'!C14</f>
        <v>44378</v>
      </c>
    </row>
    <row r="15" spans="1:1" s="1" customFormat="1" ht="11.4">
      <c r="A15" s="5">
        <f t="shared" si="0"/>
        <v>5</v>
      </c>
    </row>
    <row r="16" spans="1:6" s="1" customFormat="1" ht="11.4">
      <c r="A16" s="5">
        <f t="shared" si="0"/>
        <v>6</v>
      </c>
      <c r="B16" s="4" t="s">
        <v>0</v>
      </c>
      <c r="C16" s="4" t="s">
        <v>1</v>
      </c>
      <c r="D16" s="4" t="s">
        <v>2</v>
      </c>
      <c r="E16" s="4" t="s">
        <v>3</v>
      </c>
      <c r="F16" s="4" t="s">
        <v>4</v>
      </c>
    </row>
    <row r="17" spans="1:6" ht="13.2">
      <c r="A17" s="5">
        <f t="shared" si="0"/>
        <v>7</v>
      </c>
      <c r="B17" t="s">
        <v>87</v>
      </c>
      <c r="C17" s="13">
        <v>0.375</v>
      </c>
      <c r="D17" s="13">
        <v>0.044999999999999998</v>
      </c>
      <c r="E17" s="13">
        <v>8.3970000000000002</v>
      </c>
      <c r="F17" s="14">
        <v>0</v>
      </c>
    </row>
    <row r="18" spans="1:6" ht="13.2">
      <c r="A18" s="5">
        <f t="shared" si="0"/>
        <v>8</v>
      </c>
      <c r="B18" t="s">
        <v>88</v>
      </c>
      <c r="C18" s="13">
        <v>0.311</v>
      </c>
      <c r="D18" s="13">
        <v>0.058000000000000003</v>
      </c>
      <c r="E18" s="13">
        <v>5.3689999999999998</v>
      </c>
      <c r="F18" s="14">
        <v>0</v>
      </c>
    </row>
    <row r="19" spans="1:6" ht="13.2">
      <c r="A19" s="5">
        <f t="shared" si="0"/>
        <v>9</v>
      </c>
      <c r="B19" t="s">
        <v>77</v>
      </c>
      <c r="C19" s="13">
        <v>-0.0089999999999999993</v>
      </c>
      <c r="D19" s="13">
        <v>0.0040000000000000001</v>
      </c>
      <c r="E19" s="13">
        <v>-2.5470000000000002</v>
      </c>
      <c r="F19" s="14">
        <v>0.0121</v>
      </c>
    </row>
    <row r="20" spans="1:6" ht="13.2">
      <c r="A20" s="5">
        <f t="shared" si="0"/>
        <v>10</v>
      </c>
      <c r="B20" t="s">
        <v>28</v>
      </c>
      <c r="C20" s="13">
        <v>19.129000000000001</v>
      </c>
      <c r="D20" s="13">
        <v>1.5700000000000001</v>
      </c>
      <c r="E20" s="13">
        <v>12.180999999999999</v>
      </c>
      <c r="F20" s="14">
        <v>0</v>
      </c>
    </row>
    <row r="21" spans="1:6" ht="13.2">
      <c r="A21" s="5">
        <f t="shared" si="0"/>
        <v>11</v>
      </c>
      <c r="B21" t="s">
        <v>29</v>
      </c>
      <c r="C21" s="13">
        <v>19.193000000000001</v>
      </c>
      <c r="D21" s="13">
        <v>1.5629999999999999</v>
      </c>
      <c r="E21" s="13">
        <v>12.279999999999999</v>
      </c>
      <c r="F21" s="14">
        <v>0</v>
      </c>
    </row>
    <row r="22" spans="1:6" ht="13.2">
      <c r="A22" s="5">
        <f t="shared" si="0"/>
        <v>12</v>
      </c>
      <c r="B22" t="s">
        <v>30</v>
      </c>
      <c r="C22" s="13">
        <v>18.902999999999999</v>
      </c>
      <c r="D22" s="13">
        <v>1.534</v>
      </c>
      <c r="E22" s="13">
        <v>12.324</v>
      </c>
      <c r="F22" s="14">
        <v>0</v>
      </c>
    </row>
    <row r="23" spans="1:6" ht="13.2">
      <c r="A23" s="5">
        <f t="shared" si="0"/>
        <v>13</v>
      </c>
      <c r="B23" t="s">
        <v>31</v>
      </c>
      <c r="C23" s="13">
        <v>18.695</v>
      </c>
      <c r="D23" s="13">
        <v>1.5049999999999999</v>
      </c>
      <c r="E23" s="13">
        <v>12.425000000000001</v>
      </c>
      <c r="F23" s="14">
        <v>0</v>
      </c>
    </row>
    <row r="24" spans="1:6" ht="13.2">
      <c r="A24" s="5">
        <f t="shared" si="0"/>
        <v>14</v>
      </c>
      <c r="B24" t="s">
        <v>32</v>
      </c>
      <c r="C24" s="13">
        <v>18.869</v>
      </c>
      <c r="D24" s="13">
        <v>1.518</v>
      </c>
      <c r="E24" s="13">
        <v>12.428000000000001</v>
      </c>
      <c r="F24" s="14">
        <v>0</v>
      </c>
    </row>
    <row r="25" spans="1:6" ht="13.2">
      <c r="A25" s="5">
        <f t="shared" si="0"/>
        <v>15</v>
      </c>
      <c r="B25" t="s">
        <v>33</v>
      </c>
      <c r="C25" s="13">
        <v>19.529</v>
      </c>
      <c r="D25" s="13">
        <v>1.595</v>
      </c>
      <c r="E25" s="13">
        <v>12.244</v>
      </c>
      <c r="F25" s="14">
        <v>0</v>
      </c>
    </row>
    <row r="26" spans="1:6" ht="13.2">
      <c r="A26" s="5">
        <f t="shared" si="0"/>
        <v>16</v>
      </c>
      <c r="B26" t="s">
        <v>34</v>
      </c>
      <c r="C26" s="13">
        <v>20.433</v>
      </c>
      <c r="D26" s="13">
        <v>1.7130000000000001</v>
      </c>
      <c r="E26" s="13">
        <v>11.929</v>
      </c>
      <c r="F26" s="14">
        <v>0</v>
      </c>
    </row>
    <row r="27" spans="1:6" ht="13.2">
      <c r="A27" s="5">
        <f t="shared" si="0"/>
        <v>17</v>
      </c>
      <c r="B27" t="s">
        <v>35</v>
      </c>
      <c r="C27" s="13">
        <v>21.036000000000001</v>
      </c>
      <c r="D27" s="13">
        <v>1.7829999999999999</v>
      </c>
      <c r="E27" s="13">
        <v>11.798</v>
      </c>
      <c r="F27" s="14">
        <v>0</v>
      </c>
    </row>
    <row r="28" spans="1:6" ht="13.2">
      <c r="A28" s="5">
        <f t="shared" si="0"/>
        <v>18</v>
      </c>
      <c r="B28" t="s">
        <v>36</v>
      </c>
      <c r="C28" s="13">
        <v>20.847999999999999</v>
      </c>
      <c r="D28" s="13">
        <v>1.718</v>
      </c>
      <c r="E28" s="13">
        <v>12.135</v>
      </c>
      <c r="F28" s="14">
        <v>0</v>
      </c>
    </row>
    <row r="29" spans="1:6" ht="13.2">
      <c r="A29" s="5">
        <f t="shared" si="0"/>
        <v>19</v>
      </c>
      <c r="B29" t="s">
        <v>37</v>
      </c>
      <c r="C29" s="13">
        <v>20.280999999999999</v>
      </c>
      <c r="D29" s="13">
        <v>1.577</v>
      </c>
      <c r="E29" s="13">
        <v>12.856999999999999</v>
      </c>
      <c r="F29" s="14">
        <v>0</v>
      </c>
    </row>
    <row r="30" spans="1:6" ht="13.2">
      <c r="A30" s="5">
        <f t="shared" si="0"/>
        <v>20</v>
      </c>
      <c r="B30" t="s">
        <v>38</v>
      </c>
      <c r="C30" s="13">
        <v>19.224</v>
      </c>
      <c r="D30" s="13">
        <v>1.5129999999999999</v>
      </c>
      <c r="E30" s="13">
        <v>12.707000000000001</v>
      </c>
      <c r="F30" s="14">
        <v>0</v>
      </c>
    </row>
    <row r="31" spans="1:6" ht="13.2">
      <c r="A31" s="5">
        <f t="shared" si="0"/>
        <v>21</v>
      </c>
      <c r="B31" t="s">
        <v>41</v>
      </c>
      <c r="C31" s="13">
        <v>18.885999999999999</v>
      </c>
      <c r="D31" s="13">
        <v>1.5269999999999999</v>
      </c>
      <c r="E31" s="13">
        <v>12.369</v>
      </c>
      <c r="F31" s="14">
        <v>0</v>
      </c>
    </row>
    <row r="32" spans="1:6" ht="13.2">
      <c r="A32" s="5">
        <f t="shared" si="0"/>
        <v>22</v>
      </c>
      <c r="F32" s="2"/>
    </row>
    <row r="33" spans="1:6" ht="13.2">
      <c r="A33" s="5">
        <f t="shared" si="0"/>
        <v>23</v>
      </c>
      <c r="B33" s="15" t="s">
        <v>53</v>
      </c>
      <c r="F33" s="2"/>
    </row>
    <row r="34" spans="1:6" ht="13.2">
      <c r="A34" s="5">
        <f t="shared" si="0"/>
        <v>24</v>
      </c>
      <c r="B34" t="s">
        <v>25</v>
      </c>
      <c r="C34" s="20">
        <v>139</v>
      </c>
      <c r="F34" s="8"/>
    </row>
    <row r="35" spans="1:6" ht="13.2">
      <c r="A35" s="5">
        <f t="shared" si="0"/>
        <v>25</v>
      </c>
      <c r="B35" t="s">
        <v>8</v>
      </c>
      <c r="C35">
        <v>124</v>
      </c>
      <c r="F35" s="8"/>
    </row>
    <row r="36" spans="1:6" ht="13.2">
      <c r="A36" s="5">
        <f t="shared" si="0"/>
        <v>26</v>
      </c>
      <c r="B36" t="s">
        <v>9</v>
      </c>
      <c r="C36" s="26">
        <v>0.878</v>
      </c>
      <c r="F36" s="8"/>
    </row>
    <row r="37" spans="1:6" ht="13.2">
      <c r="A37" s="5">
        <f t="shared" si="0"/>
        <v>27</v>
      </c>
      <c r="B37" t="s">
        <v>10</v>
      </c>
      <c r="C37" s="26">
        <v>0.86399999999999999</v>
      </c>
      <c r="F37" s="8"/>
    </row>
    <row r="38" spans="1:6" ht="13.2">
      <c r="A38" s="5">
        <f t="shared" si="0"/>
        <v>28</v>
      </c>
      <c r="B38" t="s">
        <v>12</v>
      </c>
      <c r="C38" s="32">
        <v>63.685000000000002</v>
      </c>
      <c r="F38" s="8"/>
    </row>
    <row r="39" spans="1:6" ht="13.2">
      <c r="A39" s="5">
        <f t="shared" si="0"/>
        <v>29</v>
      </c>
      <c r="B39" t="s">
        <v>13</v>
      </c>
      <c r="C39" s="31">
        <v>0</v>
      </c>
      <c r="F39" s="8"/>
    </row>
    <row r="40" spans="1:3" ht="13.2">
      <c r="A40" s="5">
        <f t="shared" si="0"/>
        <v>30</v>
      </c>
      <c r="B40" t="s">
        <v>14</v>
      </c>
      <c r="C40" s="21">
        <v>450.93000000000001</v>
      </c>
    </row>
    <row r="41" spans="1:6" ht="13.2">
      <c r="A41" s="5">
        <f t="shared" si="0"/>
        <v>31</v>
      </c>
      <c r="B41" t="s">
        <v>15</v>
      </c>
      <c r="C41" s="21">
        <v>62.710000000000001</v>
      </c>
      <c r="F41" s="8"/>
    </row>
    <row r="42" spans="1:6" ht="13.2">
      <c r="A42" s="5">
        <f t="shared" si="0"/>
        <v>32</v>
      </c>
      <c r="B42" t="s">
        <v>16</v>
      </c>
      <c r="C42">
        <v>0.51000000000000001</v>
      </c>
      <c r="F42" s="8"/>
    </row>
    <row r="43" spans="1:6" ht="13.2">
      <c r="A43" s="5">
        <f t="shared" si="0"/>
        <v>33</v>
      </c>
      <c r="B43" t="s">
        <v>17</v>
      </c>
      <c r="C43">
        <v>0.70999999999999996</v>
      </c>
      <c r="F43" s="8"/>
    </row>
    <row r="44" spans="1:3" ht="13.2">
      <c r="A44" s="5">
        <f t="shared" si="0"/>
        <v>34</v>
      </c>
      <c r="B44" t="s">
        <v>83</v>
      </c>
      <c r="C44">
        <v>0.56000000000000005</v>
      </c>
    </row>
    <row r="45" spans="1:3" ht="13.2">
      <c r="A45" s="5">
        <f t="shared" si="0"/>
        <v>35</v>
      </c>
      <c r="B45" t="s">
        <v>84</v>
      </c>
      <c r="C45" s="8">
        <v>0.031300000000000001</v>
      </c>
    </row>
    <row r="46" spans="1:3" ht="13.2">
      <c r="A46" s="5">
        <f t="shared" si="0"/>
        <v>36</v>
      </c>
      <c r="B46" t="s">
        <v>11</v>
      </c>
      <c r="C46">
        <v>0.35399999999999998</v>
      </c>
    </row>
    <row r="47" spans="1:3" ht="13.2">
      <c r="A47" s="5">
        <f t="shared" si="0"/>
        <v>37</v>
      </c>
      <c r="B47" t="s">
        <v>61</v>
      </c>
      <c r="C47" s="21">
        <v>590.89999999999998</v>
      </c>
    </row>
    <row r="48" spans="1:3" ht="13.2">
      <c r="A48" s="5">
        <f t="shared" si="0"/>
        <v>38</v>
      </c>
      <c r="B48" t="s">
        <v>62</v>
      </c>
      <c r="C48" s="24">
        <v>0</v>
      </c>
    </row>
  </sheetData>
  <mergeCells count="7">
    <mergeCell ref="B9:F9"/>
    <mergeCell ref="B1:F1"/>
    <mergeCell ref="B2:F2"/>
    <mergeCell ref="B3:F3"/>
    <mergeCell ref="B4:F4"/>
    <mergeCell ref="B6:F6"/>
    <mergeCell ref="B8:F8"/>
  </mergeCells>
  <pageMargins left="0.7" right="0.7" top="0.75" bottom="0.75" header="0.3" footer="0.3"/>
  <pageSetup orientation="portrait" r:id="rId1"/>
  <headerFooter>
    <oddHeader xml:space="preserve">&amp;RSchedule II-H-2.1
Page  &amp;P of  27
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H37"/>
  <sheetViews>
    <sheetView workbookViewId="0" topLeftCell="A1"/>
  </sheetViews>
  <sheetFormatPr defaultRowHeight="13.5"/>
  <cols>
    <col min="2" max="2" width="20.2857142857143" customWidth="1"/>
    <col min="3" max="3" width="17.2857142857143" customWidth="1"/>
    <col min="4" max="4" width="18.7142857142857" customWidth="1"/>
    <col min="5" max="5" width="14.7142857142857" customWidth="1"/>
    <col min="6" max="6" width="15.8571428571429" customWidth="1"/>
    <col min="7" max="7" width="11" customWidth="1"/>
  </cols>
  <sheetData>
    <row r="1" spans="1:8" ht="15.6">
      <c r="A1" s="5"/>
      <c r="B1" s="43" t="str">
        <f>+'RES Model'!B1:F1</f>
        <v xml:space="preserve">PUC DOCKET NO. </v>
      </c>
      <c r="C1" s="41"/>
      <c r="D1" s="41"/>
      <c r="E1" s="41"/>
      <c r="F1" s="41"/>
      <c r="G1" s="41"/>
      <c r="H1" s="41"/>
    </row>
    <row r="2" spans="1:8" ht="15.6">
      <c r="A2" s="5"/>
      <c r="B2" s="39" t="str">
        <f>+'RES Model'!B2:F2</f>
        <v>ONCOR ELECTRIC DELIVERY COMPANY LLC</v>
      </c>
      <c r="C2" s="41"/>
      <c r="D2" s="41"/>
      <c r="E2" s="41"/>
      <c r="F2" s="41"/>
      <c r="G2" s="41"/>
      <c r="H2" s="41"/>
    </row>
    <row r="3" spans="1:8" ht="15.6">
      <c r="A3" s="5"/>
      <c r="B3" s="39" t="str">
        <f>+'RES Model'!B3:F3</f>
        <v>MODEL INFORMATION</v>
      </c>
      <c r="C3" s="41"/>
      <c r="D3" s="41"/>
      <c r="E3" s="41"/>
      <c r="F3" s="41"/>
      <c r="G3" s="41"/>
      <c r="H3" s="41"/>
    </row>
    <row r="4" spans="1:8" ht="15.6">
      <c r="A4" s="5"/>
      <c r="B4" s="39" t="str">
        <f>+'RES Model'!B4:F4</f>
        <v>FOR THE TEST YEAR ENDING DECEMBER 31, 2021</v>
      </c>
      <c r="C4" s="41"/>
      <c r="D4" s="41"/>
      <c r="E4" s="41"/>
      <c r="F4" s="41"/>
      <c r="G4" s="41"/>
      <c r="H4" s="41"/>
    </row>
    <row r="5" spans="1:8" ht="13.2">
      <c r="A5" s="5"/>
      <c r="B5" s="1"/>
      <c r="C5" s="1"/>
      <c r="D5" s="1"/>
      <c r="E5" s="1"/>
      <c r="F5" s="1"/>
      <c r="G5" s="1"/>
      <c r="H5" s="1"/>
    </row>
    <row r="6" spans="1:8" ht="15.6">
      <c r="A6" s="5"/>
      <c r="B6" s="39" t="str">
        <f>+'RES Model'!B6:F6</f>
        <v>SPONSOR: D. E. NELSON</v>
      </c>
      <c r="C6" s="41"/>
      <c r="D6" s="41"/>
      <c r="E6" s="41"/>
      <c r="F6" s="41"/>
      <c r="G6" s="41"/>
      <c r="H6" s="41"/>
    </row>
    <row r="8" spans="1:8" ht="13.2">
      <c r="A8" s="5" t="s">
        <v>18</v>
      </c>
      <c r="B8" s="40"/>
      <c r="C8" s="40"/>
      <c r="D8" s="40"/>
      <c r="E8" s="40"/>
      <c r="F8" s="40"/>
      <c r="G8" s="1"/>
      <c r="H8" s="1"/>
    </row>
    <row r="9" spans="1:8" ht="13.2">
      <c r="A9" s="6" t="s">
        <v>19</v>
      </c>
      <c r="B9" s="7"/>
      <c r="C9" s="7"/>
      <c r="D9" s="7"/>
      <c r="E9" s="7"/>
      <c r="F9" s="7"/>
      <c r="G9" s="1"/>
      <c r="H9" s="1"/>
    </row>
    <row r="10" spans="1:8" ht="13.2">
      <c r="A10" s="5">
        <v>1</v>
      </c>
      <c r="B10" s="40" t="s">
        <v>66</v>
      </c>
      <c r="C10" s="41"/>
      <c r="D10" s="41"/>
      <c r="E10" s="41"/>
      <c r="F10" s="41"/>
      <c r="G10" s="41"/>
      <c r="H10" s="41"/>
    </row>
    <row r="11" spans="1:8" ht="13.2">
      <c r="A11" s="5">
        <f t="shared" si="0" ref="A11:A37">+A10+1</f>
        <v>2</v>
      </c>
      <c r="B11" s="40" t="s">
        <v>45</v>
      </c>
      <c r="C11" s="42"/>
      <c r="D11" s="42"/>
      <c r="E11" s="42"/>
      <c r="F11" s="42"/>
      <c r="G11" s="42"/>
      <c r="H11" s="42"/>
    </row>
    <row r="12" spans="1:8" ht="13.2">
      <c r="A12" s="5">
        <f t="shared" si="0"/>
        <v>3</v>
      </c>
      <c r="B12" s="3"/>
      <c r="C12" s="9"/>
      <c r="D12" s="1"/>
      <c r="E12" s="1"/>
      <c r="F12" s="1"/>
      <c r="G12" s="1"/>
      <c r="H12" s="1"/>
    </row>
    <row r="13" spans="1:8" ht="13.2">
      <c r="A13" s="5">
        <f t="shared" si="0"/>
        <v>4</v>
      </c>
      <c r="B13" s="3"/>
      <c r="C13" s="9"/>
      <c r="D13" s="1"/>
      <c r="E13" s="1"/>
      <c r="F13" s="1"/>
      <c r="G13" s="1"/>
      <c r="H13" s="1"/>
    </row>
    <row r="14" spans="1:8" ht="13.2">
      <c r="A14" s="5">
        <f t="shared" si="0"/>
        <v>5</v>
      </c>
      <c r="B14" s="1"/>
      <c r="C14" s="1"/>
      <c r="D14" s="1"/>
      <c r="E14" s="1"/>
      <c r="F14" s="1"/>
      <c r="G14" s="1"/>
      <c r="H14" s="1"/>
    </row>
    <row r="15" spans="1:8" ht="13.2">
      <c r="A15" s="5">
        <f t="shared" si="0"/>
        <v>6</v>
      </c>
      <c r="B15" s="25"/>
      <c r="C15" s="25"/>
      <c r="D15" s="25"/>
      <c r="E15" s="25"/>
      <c r="F15" s="25"/>
      <c r="G15" s="1"/>
      <c r="H15" s="1"/>
    </row>
    <row r="16" spans="1:6" ht="13.2">
      <c r="A16" s="5">
        <f t="shared" si="0"/>
        <v>7</v>
      </c>
      <c r="F16" s="8"/>
    </row>
    <row r="17" spans="1:6" ht="13.2">
      <c r="A17" s="5">
        <f t="shared" si="0"/>
        <v>8</v>
      </c>
      <c r="F17" s="8"/>
    </row>
    <row r="18" spans="1:6" ht="13.2">
      <c r="A18" s="5">
        <f t="shared" si="0"/>
        <v>9</v>
      </c>
      <c r="F18" s="8"/>
    </row>
    <row r="19" spans="1:6" ht="13.2">
      <c r="A19" s="5">
        <f t="shared" si="0"/>
        <v>10</v>
      </c>
      <c r="F19" s="8"/>
    </row>
    <row r="20" spans="1:6" ht="13.2">
      <c r="A20" s="5">
        <f t="shared" si="0"/>
        <v>11</v>
      </c>
      <c r="F20" s="8"/>
    </row>
    <row r="21" spans="1:6" ht="13.2">
      <c r="A21" s="5">
        <f t="shared" si="0"/>
        <v>12</v>
      </c>
      <c r="F21" s="8"/>
    </row>
    <row r="22" spans="1:6" ht="13.2">
      <c r="A22" s="5">
        <f t="shared" si="0"/>
        <v>13</v>
      </c>
      <c r="F22" s="8"/>
    </row>
    <row r="23" spans="1:6" ht="13.2">
      <c r="A23" s="5">
        <f t="shared" si="0"/>
        <v>14</v>
      </c>
      <c r="F23" s="8"/>
    </row>
    <row r="24" spans="1:6" ht="13.2">
      <c r="A24" s="5">
        <f t="shared" si="0"/>
        <v>15</v>
      </c>
      <c r="F24" s="8"/>
    </row>
    <row r="25" spans="1:6" ht="13.2">
      <c r="A25" s="5">
        <f t="shared" si="0"/>
        <v>16</v>
      </c>
      <c r="F25" s="8"/>
    </row>
    <row r="26" spans="1:6" ht="13.2">
      <c r="A26" s="5">
        <f t="shared" si="0"/>
        <v>17</v>
      </c>
      <c r="F26" s="8"/>
    </row>
    <row r="27" spans="1:6" ht="13.2">
      <c r="A27" s="5">
        <f t="shared" si="0"/>
        <v>18</v>
      </c>
      <c r="F27" s="8"/>
    </row>
    <row r="28" spans="1:6" ht="13.2">
      <c r="A28" s="5">
        <f t="shared" si="0"/>
        <v>19</v>
      </c>
      <c r="F28" s="8"/>
    </row>
    <row r="29" spans="1:6" ht="13.2">
      <c r="A29" s="5">
        <f t="shared" si="0"/>
        <v>20</v>
      </c>
      <c r="F29" s="8"/>
    </row>
    <row r="30" spans="1:6" ht="13.2">
      <c r="A30" s="5">
        <f t="shared" si="0"/>
        <v>21</v>
      </c>
      <c r="F30" s="8"/>
    </row>
    <row r="31" spans="1:6" ht="13.2">
      <c r="A31" s="5">
        <f t="shared" si="0"/>
        <v>22</v>
      </c>
      <c r="F31" s="8"/>
    </row>
    <row r="32" spans="1:6" ht="13.2">
      <c r="A32" s="5">
        <f t="shared" si="0"/>
        <v>23</v>
      </c>
      <c r="F32" s="8"/>
    </row>
    <row r="33" spans="1:6" ht="13.2">
      <c r="A33" s="5">
        <f t="shared" si="0"/>
        <v>24</v>
      </c>
      <c r="F33" s="10"/>
    </row>
    <row r="34" spans="1:1" ht="13.2">
      <c r="A34" s="5">
        <f t="shared" si="0"/>
        <v>25</v>
      </c>
    </row>
    <row r="35" spans="1:1" ht="13.2">
      <c r="A35" s="5">
        <f t="shared" si="0"/>
        <v>26</v>
      </c>
    </row>
    <row r="36" spans="1:1" ht="13.2">
      <c r="A36" s="5">
        <f t="shared" si="0"/>
        <v>27</v>
      </c>
    </row>
    <row r="37" spans="1:1" ht="13.2">
      <c r="A37" s="5">
        <f t="shared" si="0"/>
        <v>28</v>
      </c>
    </row>
  </sheetData>
  <mergeCells count="8">
    <mergeCell ref="B10:H10"/>
    <mergeCell ref="B11:H11"/>
    <mergeCell ref="B1:H1"/>
    <mergeCell ref="B2:H2"/>
    <mergeCell ref="B3:H3"/>
    <mergeCell ref="B4:H4"/>
    <mergeCell ref="B6:H6"/>
    <mergeCell ref="B8:F8"/>
  </mergeCells>
  <pageMargins left="0.7" right="0.7" top="0.75" bottom="0.75" header="0.3" footer="0.3"/>
  <pageSetup orientation="portrait" scale="79" r:id="rId2"/>
  <headerFooter>
    <oddHeader xml:space="preserve">&amp;RSchedule II-H-2.1
Page  &amp;P of  27
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3">
    <pageSetUpPr fitToPage="1"/>
  </sheetPr>
  <dimension ref="A1:F49"/>
  <sheetViews>
    <sheetView workbookViewId="0" topLeftCell="A1"/>
  </sheetViews>
  <sheetFormatPr defaultRowHeight="13.5"/>
  <cols>
    <col min="2" max="2" width="34.5714285714286" customWidth="1"/>
    <col min="3" max="3" width="13.7142857142857" customWidth="1"/>
    <col min="4" max="4" width="9.85714285714286" customWidth="1"/>
    <col min="5" max="5" width="10.1428571428571" customWidth="1"/>
    <col min="6" max="6" width="9.71428571428571" customWidth="1"/>
  </cols>
  <sheetData>
    <row r="1" spans="1:6" s="1" customFormat="1" ht="15.6">
      <c r="A1" s="5"/>
      <c r="B1" s="39" t="str">
        <f>+'RES Model'!B1:F1</f>
        <v xml:space="preserve">PUC DOCKET NO. </v>
      </c>
      <c r="C1" s="39"/>
      <c r="D1" s="39"/>
      <c r="E1" s="39"/>
      <c r="F1" s="39"/>
    </row>
    <row r="2" spans="1:6" s="1" customFormat="1" ht="15.6">
      <c r="A2" s="5"/>
      <c r="B2" s="39" t="str">
        <f>+'RES Model'!B2:F2</f>
        <v>ONCOR ELECTRIC DELIVERY COMPANY LLC</v>
      </c>
      <c r="C2" s="39"/>
      <c r="D2" s="39"/>
      <c r="E2" s="39"/>
      <c r="F2" s="39"/>
    </row>
    <row r="3" spans="1:6" s="1" customFormat="1" ht="15.6">
      <c r="A3" s="5"/>
      <c r="B3" s="39" t="str">
        <f>+'RES Model'!B3:F3</f>
        <v>MODEL INFORMATION</v>
      </c>
      <c r="C3" s="39"/>
      <c r="D3" s="39"/>
      <c r="E3" s="39"/>
      <c r="F3" s="39"/>
    </row>
    <row r="4" spans="1:6" s="1" customFormat="1" ht="15.6">
      <c r="A4" s="5"/>
      <c r="B4" s="39" t="str">
        <f>+'RES Model'!B4:F4</f>
        <v>FOR THE TEST YEAR ENDING DECEMBER 31, 2021</v>
      </c>
      <c r="C4" s="39"/>
      <c r="D4" s="39"/>
      <c r="E4" s="39"/>
      <c r="F4" s="39"/>
    </row>
    <row r="5" spans="1:1" s="1" customFormat="1" ht="11.4">
      <c r="A5" s="5"/>
    </row>
    <row r="6" spans="1:6" s="1" customFormat="1" ht="15.6">
      <c r="A6" s="5"/>
      <c r="B6" s="39" t="str">
        <f>+'RES Model'!B6:F6</f>
        <v>SPONSOR: D. E. NELSON</v>
      </c>
      <c r="C6" s="39"/>
      <c r="D6" s="39"/>
      <c r="E6" s="39"/>
      <c r="F6" s="39"/>
    </row>
    <row r="8" spans="2:6" ht="15.6">
      <c r="B8" s="39" t="s">
        <v>50</v>
      </c>
      <c r="C8" s="39"/>
      <c r="D8" s="39"/>
      <c r="E8" s="39"/>
      <c r="F8" s="39"/>
    </row>
    <row r="9" spans="1:6" s="1" customFormat="1" ht="12">
      <c r="A9" s="5" t="s">
        <v>18</v>
      </c>
      <c r="B9" s="40"/>
      <c r="C9" s="40"/>
      <c r="D9" s="40"/>
      <c r="E9" s="40"/>
      <c r="F9" s="40"/>
    </row>
    <row r="10" spans="1:6" s="1" customFormat="1" ht="11.4">
      <c r="A10" s="6" t="s">
        <v>19</v>
      </c>
      <c r="B10" s="7" t="s">
        <v>20</v>
      </c>
      <c r="C10" s="7" t="s">
        <v>21</v>
      </c>
      <c r="D10" s="7" t="s">
        <v>24</v>
      </c>
      <c r="E10" s="7" t="s">
        <v>22</v>
      </c>
      <c r="F10" s="7" t="s">
        <v>23</v>
      </c>
    </row>
    <row r="11" spans="1:3" s="1" customFormat="1" ht="12">
      <c r="A11" s="5">
        <v>1</v>
      </c>
      <c r="B11" s="3" t="s">
        <v>45</v>
      </c>
      <c r="C11" s="3"/>
    </row>
    <row r="12" spans="1:3" s="1" customFormat="1" ht="12">
      <c r="A12" s="5">
        <f t="shared" si="0" ref="A12:A48">+A11+1</f>
        <v>2</v>
      </c>
      <c r="B12" s="3" t="s">
        <v>5</v>
      </c>
      <c r="C12" s="3" t="s">
        <v>43</v>
      </c>
    </row>
    <row r="13" spans="1:3" s="1" customFormat="1" ht="12">
      <c r="A13" s="5">
        <f t="shared" si="0"/>
        <v>3</v>
      </c>
      <c r="B13" s="3" t="s">
        <v>6</v>
      </c>
      <c r="C13" s="9">
        <f>+'RES Model'!C13</f>
        <v>40179</v>
      </c>
    </row>
    <row r="14" spans="1:3" s="1" customFormat="1" ht="12">
      <c r="A14" s="5">
        <f t="shared" si="0"/>
        <v>4</v>
      </c>
      <c r="B14" s="3" t="s">
        <v>7</v>
      </c>
      <c r="C14" s="9">
        <f>+'RES Model'!C14</f>
        <v>44378</v>
      </c>
    </row>
    <row r="15" spans="1:1" s="1" customFormat="1" ht="11.4">
      <c r="A15" s="5">
        <f t="shared" si="0"/>
        <v>5</v>
      </c>
    </row>
    <row r="16" spans="1:6" s="1" customFormat="1" ht="11.4">
      <c r="A16" s="5">
        <f t="shared" si="0"/>
        <v>6</v>
      </c>
      <c r="B16" s="4" t="s">
        <v>0</v>
      </c>
      <c r="C16" s="4" t="s">
        <v>1</v>
      </c>
      <c r="D16" s="4" t="s">
        <v>2</v>
      </c>
      <c r="E16" s="4" t="s">
        <v>3</v>
      </c>
      <c r="F16" s="4" t="s">
        <v>4</v>
      </c>
    </row>
    <row r="17" spans="1:6" ht="13.2">
      <c r="A17" s="5">
        <f t="shared" si="0"/>
        <v>7</v>
      </c>
      <c r="B17" t="s">
        <v>89</v>
      </c>
      <c r="C17" s="13">
        <v>5.569</v>
      </c>
      <c r="D17" s="13">
        <v>1.232</v>
      </c>
      <c r="E17" s="13">
        <v>4.5220000000000002</v>
      </c>
      <c r="F17" s="14">
        <v>0</v>
      </c>
    </row>
    <row r="18" spans="1:6" ht="13.2">
      <c r="A18" s="5">
        <f t="shared" si="0"/>
        <v>8</v>
      </c>
      <c r="B18" t="s">
        <v>90</v>
      </c>
      <c r="C18" s="13">
        <v>10.65</v>
      </c>
      <c r="D18" s="13">
        <v>1.067</v>
      </c>
      <c r="E18" s="13">
        <v>9.984</v>
      </c>
      <c r="F18" s="14">
        <v>0</v>
      </c>
    </row>
    <row r="19" spans="1:6" ht="13.2">
      <c r="A19" s="5">
        <f t="shared" si="0"/>
        <v>9</v>
      </c>
      <c r="B19" t="s">
        <v>79</v>
      </c>
      <c r="C19" s="13">
        <v>1.8779999999999999</v>
      </c>
      <c r="D19" s="13">
        <v>0.19600000000000001</v>
      </c>
      <c r="E19" s="13">
        <v>9.5839999999999996</v>
      </c>
      <c r="F19" s="14">
        <v>0</v>
      </c>
    </row>
    <row r="20" spans="1:6" ht="13.2">
      <c r="A20" s="5">
        <f t="shared" si="0"/>
        <v>10</v>
      </c>
      <c r="B20" t="s">
        <v>28</v>
      </c>
      <c r="C20" s="13">
        <v>-171.77099999999999</v>
      </c>
      <c r="D20" s="13">
        <v>74.591999999999999</v>
      </c>
      <c r="E20" s="13">
        <v>-2.3029999999999999</v>
      </c>
      <c r="F20" s="14">
        <v>0.0229</v>
      </c>
    </row>
    <row r="21" spans="1:6" ht="13.2">
      <c r="A21" s="5">
        <f t="shared" si="0"/>
        <v>11</v>
      </c>
      <c r="B21" t="s">
        <v>29</v>
      </c>
      <c r="C21" s="13">
        <v>-154.999</v>
      </c>
      <c r="D21" s="13">
        <v>74.549000000000007</v>
      </c>
      <c r="E21" s="13">
        <v>-2.0790000000000002</v>
      </c>
      <c r="F21" s="14">
        <v>0.039699999999999999</v>
      </c>
    </row>
    <row r="22" spans="1:6" ht="13.2">
      <c r="A22" s="5">
        <f t="shared" si="0"/>
        <v>12</v>
      </c>
      <c r="B22" t="s">
        <v>30</v>
      </c>
      <c r="C22" s="13">
        <v>-159.542</v>
      </c>
      <c r="D22" s="13">
        <v>74.444000000000003</v>
      </c>
      <c r="E22" s="13">
        <v>-2.1429999999999998</v>
      </c>
      <c r="F22" s="14">
        <v>0.034000000000000002</v>
      </c>
    </row>
    <row r="23" spans="1:6" ht="13.2">
      <c r="A23" s="5">
        <f t="shared" si="0"/>
        <v>13</v>
      </c>
      <c r="B23" t="s">
        <v>31</v>
      </c>
      <c r="C23" s="13">
        <v>-170.34299999999999</v>
      </c>
      <c r="D23" s="13">
        <v>74.251999999999995</v>
      </c>
      <c r="E23" s="13">
        <v>-2.294</v>
      </c>
      <c r="F23" s="14">
        <v>0.0235</v>
      </c>
    </row>
    <row r="24" spans="1:6" ht="13.2">
      <c r="A24" s="5">
        <f t="shared" si="0"/>
        <v>14</v>
      </c>
      <c r="B24" t="s">
        <v>32</v>
      </c>
      <c r="C24" s="13">
        <v>-158.84999999999999</v>
      </c>
      <c r="D24" s="13">
        <v>73.739000000000004</v>
      </c>
      <c r="E24" s="13">
        <v>-2.1539999999999999</v>
      </c>
      <c r="F24" s="14">
        <v>0.033099999999999997</v>
      </c>
    </row>
    <row r="25" spans="1:6" ht="13.2">
      <c r="A25" s="5">
        <f t="shared" si="0"/>
        <v>15</v>
      </c>
      <c r="B25" t="s">
        <v>33</v>
      </c>
      <c r="C25" s="13">
        <v>-150.226</v>
      </c>
      <c r="D25" s="13">
        <v>72.710999999999999</v>
      </c>
      <c r="E25" s="13">
        <v>-2.0659999999999998</v>
      </c>
      <c r="F25" s="14">
        <v>0.040899999999999999</v>
      </c>
    </row>
    <row r="26" spans="1:6" ht="13.2">
      <c r="A26" s="5">
        <f t="shared" si="0"/>
        <v>16</v>
      </c>
      <c r="B26" t="s">
        <v>34</v>
      </c>
      <c r="C26" s="13">
        <v>-142.084</v>
      </c>
      <c r="D26" s="13">
        <v>72.236000000000004</v>
      </c>
      <c r="E26" s="13">
        <v>-1.9670000000000001</v>
      </c>
      <c r="F26" s="14">
        <v>0.051400000000000001</v>
      </c>
    </row>
    <row r="27" spans="1:6" ht="13.2">
      <c r="A27" s="5">
        <f t="shared" si="0"/>
        <v>17</v>
      </c>
      <c r="B27" t="s">
        <v>35</v>
      </c>
      <c r="C27" s="13">
        <v>-128.38300000000001</v>
      </c>
      <c r="D27" s="13">
        <v>72.442999999999998</v>
      </c>
      <c r="E27" s="13">
        <v>-1.772</v>
      </c>
      <c r="F27" s="14">
        <v>0.078799999999999995</v>
      </c>
    </row>
    <row r="28" spans="1:6" ht="13.2">
      <c r="A28" s="5">
        <f t="shared" si="0"/>
        <v>18</v>
      </c>
      <c r="B28" t="s">
        <v>36</v>
      </c>
      <c r="C28" s="13">
        <v>-119.767</v>
      </c>
      <c r="D28" s="13">
        <v>72.415999999999997</v>
      </c>
      <c r="E28" s="13">
        <v>-1.6539999999999999</v>
      </c>
      <c r="F28" s="14">
        <v>0.1007</v>
      </c>
    </row>
    <row r="29" spans="1:6" ht="13.2">
      <c r="A29" s="5">
        <f t="shared" si="0"/>
        <v>19</v>
      </c>
      <c r="B29" t="s">
        <v>37</v>
      </c>
      <c r="C29" s="13">
        <v>-126.16800000000001</v>
      </c>
      <c r="D29" s="13">
        <v>72.924000000000007</v>
      </c>
      <c r="E29" s="13">
        <v>-1.73</v>
      </c>
      <c r="F29" s="14">
        <v>0.086099999999999996</v>
      </c>
    </row>
    <row r="30" spans="1:6" ht="13.2">
      <c r="A30" s="5">
        <f t="shared" si="0"/>
        <v>20</v>
      </c>
      <c r="B30" t="s">
        <v>38</v>
      </c>
      <c r="C30" s="13">
        <v>-147.577</v>
      </c>
      <c r="D30" s="13">
        <v>74.010000000000005</v>
      </c>
      <c r="E30" s="13">
        <v>-1.994</v>
      </c>
      <c r="F30" s="14">
        <v>0.048300000000000003</v>
      </c>
    </row>
    <row r="31" spans="1:6" ht="13.2">
      <c r="A31" s="5">
        <f t="shared" si="0"/>
        <v>21</v>
      </c>
      <c r="B31" t="s">
        <v>41</v>
      </c>
      <c r="C31" s="13">
        <v>-166.13200000000001</v>
      </c>
      <c r="D31" s="13">
        <v>74.397999999999996</v>
      </c>
      <c r="E31" s="13">
        <v>-2.2330000000000001</v>
      </c>
      <c r="F31" s="14">
        <v>0.027300000000000001</v>
      </c>
    </row>
    <row r="32" spans="1:1" ht="13.2">
      <c r="A32" s="5">
        <f t="shared" si="0"/>
        <v>22</v>
      </c>
    </row>
    <row r="33" spans="1:2" ht="13.2">
      <c r="A33" s="5">
        <f t="shared" si="0"/>
        <v>23</v>
      </c>
      <c r="B33" s="15" t="s">
        <v>53</v>
      </c>
    </row>
    <row r="34" spans="1:6" ht="13.2">
      <c r="A34" s="5">
        <f t="shared" si="0"/>
        <v>24</v>
      </c>
      <c r="B34" t="s">
        <v>25</v>
      </c>
      <c r="C34" s="20">
        <v>139</v>
      </c>
      <c r="F34" s="8"/>
    </row>
    <row r="35" spans="1:6" ht="13.2">
      <c r="A35" s="5">
        <f t="shared" si="0"/>
        <v>25</v>
      </c>
      <c r="B35" t="s">
        <v>8</v>
      </c>
      <c r="C35">
        <v>124</v>
      </c>
      <c r="F35" s="8"/>
    </row>
    <row r="36" spans="1:6" ht="13.2">
      <c r="A36" s="5">
        <f t="shared" si="0"/>
        <v>26</v>
      </c>
      <c r="B36" t="s">
        <v>9</v>
      </c>
      <c r="C36" s="22">
        <v>0.96499999999999997</v>
      </c>
      <c r="F36" s="8"/>
    </row>
    <row r="37" spans="1:6" ht="13.2">
      <c r="A37" s="5">
        <f t="shared" si="0"/>
        <v>27</v>
      </c>
      <c r="B37" t="s">
        <v>10</v>
      </c>
      <c r="C37" s="30">
        <v>0.96099999999999997</v>
      </c>
      <c r="F37" s="8"/>
    </row>
    <row r="38" spans="1:6" ht="13.2">
      <c r="A38" s="5">
        <f t="shared" si="0"/>
        <v>28</v>
      </c>
      <c r="B38" t="s">
        <v>12</v>
      </c>
      <c r="C38" s="35">
        <v>240.69399999999999</v>
      </c>
      <c r="F38" s="8"/>
    </row>
    <row r="39" spans="1:6" ht="13.2">
      <c r="A39" s="5">
        <f t="shared" si="0"/>
        <v>29</v>
      </c>
      <c r="B39" t="s">
        <v>13</v>
      </c>
      <c r="C39" s="33">
        <v>0</v>
      </c>
      <c r="F39" s="8"/>
    </row>
    <row r="40" spans="1:3" ht="13.2">
      <c r="A40" s="5">
        <f t="shared" si="0"/>
        <v>30</v>
      </c>
      <c r="B40" t="s">
        <v>14</v>
      </c>
      <c r="C40" s="23">
        <v>941888.81999999995</v>
      </c>
    </row>
    <row r="41" spans="1:6" ht="13.2">
      <c r="A41" s="5">
        <f t="shared" si="0"/>
        <v>31</v>
      </c>
      <c r="B41" t="s">
        <v>15</v>
      </c>
      <c r="C41" s="21">
        <v>34659.940000000002</v>
      </c>
      <c r="F41" s="8"/>
    </row>
    <row r="42" spans="1:6" ht="13.2">
      <c r="A42" s="5">
        <f t="shared" si="0"/>
        <v>32</v>
      </c>
      <c r="B42" t="s">
        <v>16</v>
      </c>
      <c r="C42">
        <v>279.51999999999998</v>
      </c>
      <c r="F42" s="8"/>
    </row>
    <row r="43" spans="1:6" ht="13.2">
      <c r="A43" s="5">
        <f t="shared" si="0"/>
        <v>33</v>
      </c>
      <c r="B43" t="s">
        <v>17</v>
      </c>
      <c r="C43" s="21">
        <v>16.719999999999999</v>
      </c>
      <c r="F43" s="8"/>
    </row>
    <row r="44" spans="1:3" ht="13.2">
      <c r="A44" s="5">
        <f t="shared" si="0"/>
        <v>34</v>
      </c>
      <c r="B44" t="s">
        <v>83</v>
      </c>
      <c r="C44" s="21">
        <v>13.02</v>
      </c>
    </row>
    <row r="45" spans="1:3" ht="13.2">
      <c r="A45" s="5">
        <f t="shared" si="0"/>
        <v>35</v>
      </c>
      <c r="B45" t="s">
        <v>84</v>
      </c>
      <c r="C45" s="8">
        <v>0.020400000000000001</v>
      </c>
    </row>
    <row r="46" spans="1:3" ht="13.2">
      <c r="A46" s="5">
        <f t="shared" si="0"/>
        <v>36</v>
      </c>
      <c r="B46" t="s">
        <v>11</v>
      </c>
      <c r="C46">
        <v>0.32900000000000001</v>
      </c>
    </row>
    <row r="47" spans="1:3" ht="13.2">
      <c r="A47" s="5">
        <f t="shared" si="0"/>
        <v>37</v>
      </c>
      <c r="B47" t="s">
        <v>61</v>
      </c>
      <c r="C47">
        <v>562.03999999999996</v>
      </c>
    </row>
    <row r="48" spans="1:3" ht="13.2">
      <c r="A48" s="5">
        <f t="shared" si="0"/>
        <v>38</v>
      </c>
      <c r="B48" t="s">
        <v>62</v>
      </c>
      <c r="C48" s="24">
        <v>0</v>
      </c>
    </row>
    <row r="49" spans="1:1" ht="13.2">
      <c r="A49" s="5"/>
    </row>
  </sheetData>
  <mergeCells count="7">
    <mergeCell ref="B6:F6"/>
    <mergeCell ref="B9:F9"/>
    <mergeCell ref="B1:F1"/>
    <mergeCell ref="B2:F2"/>
    <mergeCell ref="B3:F3"/>
    <mergeCell ref="B4:F4"/>
    <mergeCell ref="B8:F8"/>
  </mergeCells>
  <pageMargins left="0.7" right="0.7" top="0.75" bottom="0.75" header="0.3" footer="0.3"/>
  <pageSetup orientation="portrait" r:id="rId1"/>
  <headerFooter>
    <oddHeader xml:space="preserve">&amp;RSchedule II-H-2.1
Page  &amp;P of  27
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H37"/>
  <sheetViews>
    <sheetView workbookViewId="0" topLeftCell="A1"/>
  </sheetViews>
  <sheetFormatPr defaultRowHeight="13.5"/>
  <cols>
    <col min="2" max="2" width="20.2857142857143" customWidth="1"/>
    <col min="3" max="3" width="17.2857142857143" customWidth="1"/>
    <col min="4" max="4" width="18.7142857142857" customWidth="1"/>
    <col min="5" max="5" width="14.7142857142857" customWidth="1"/>
    <col min="6" max="6" width="15.8571428571429" customWidth="1"/>
    <col min="7" max="7" width="11" customWidth="1"/>
  </cols>
  <sheetData>
    <row r="1" spans="1:8" ht="15.6">
      <c r="A1" s="5"/>
      <c r="B1" s="43" t="str">
        <f>+'RES Model'!B1:F1</f>
        <v xml:space="preserve">PUC DOCKET NO. </v>
      </c>
      <c r="C1" s="41"/>
      <c r="D1" s="41"/>
      <c r="E1" s="41"/>
      <c r="F1" s="41"/>
      <c r="G1" s="41"/>
      <c r="H1" s="41"/>
    </row>
    <row r="2" spans="1:8" ht="15.6">
      <c r="A2" s="5"/>
      <c r="B2" s="39" t="str">
        <f>+'RES Model'!B2:F2</f>
        <v>ONCOR ELECTRIC DELIVERY COMPANY LLC</v>
      </c>
      <c r="C2" s="41"/>
      <c r="D2" s="41"/>
      <c r="E2" s="41"/>
      <c r="F2" s="41"/>
      <c r="G2" s="41"/>
      <c r="H2" s="41"/>
    </row>
    <row r="3" spans="1:8" ht="15.6">
      <c r="A3" s="5"/>
      <c r="B3" s="39" t="str">
        <f>+'RES Model'!B3:F3</f>
        <v>MODEL INFORMATION</v>
      </c>
      <c r="C3" s="41"/>
      <c r="D3" s="41"/>
      <c r="E3" s="41"/>
      <c r="F3" s="41"/>
      <c r="G3" s="41"/>
      <c r="H3" s="41"/>
    </row>
    <row r="4" spans="1:8" ht="15.6">
      <c r="A4" s="5"/>
      <c r="B4" s="39" t="str">
        <f>+'RES Model'!B4:F4</f>
        <v>FOR THE TEST YEAR ENDING DECEMBER 31, 2021</v>
      </c>
      <c r="C4" s="41"/>
      <c r="D4" s="41"/>
      <c r="E4" s="41"/>
      <c r="F4" s="41"/>
      <c r="G4" s="41"/>
      <c r="H4" s="41"/>
    </row>
    <row r="5" spans="1:8" ht="13.2">
      <c r="A5" s="5"/>
      <c r="B5" s="1"/>
      <c r="C5" s="1"/>
      <c r="D5" s="1"/>
      <c r="E5" s="1"/>
      <c r="F5" s="1"/>
      <c r="G5" s="1"/>
      <c r="H5" s="1"/>
    </row>
    <row r="6" spans="1:8" ht="15.6">
      <c r="A6" s="5"/>
      <c r="B6" s="39" t="str">
        <f>+'RES Model'!B6:F6</f>
        <v>SPONSOR: D. E. NELSON</v>
      </c>
      <c r="C6" s="41"/>
      <c r="D6" s="41"/>
      <c r="E6" s="41"/>
      <c r="F6" s="41"/>
      <c r="G6" s="41"/>
      <c r="H6" s="41"/>
    </row>
    <row r="8" spans="1:8" ht="13.2">
      <c r="A8" s="5" t="s">
        <v>18</v>
      </c>
      <c r="B8" s="40"/>
      <c r="C8" s="40"/>
      <c r="D8" s="40"/>
      <c r="E8" s="40"/>
      <c r="F8" s="40"/>
      <c r="G8" s="1"/>
      <c r="H8" s="1"/>
    </row>
    <row r="9" spans="1:8" ht="13.2">
      <c r="A9" s="6" t="s">
        <v>19</v>
      </c>
      <c r="B9" s="7"/>
      <c r="C9" s="7"/>
      <c r="D9" s="7"/>
      <c r="E9" s="7"/>
      <c r="F9" s="7"/>
      <c r="G9" s="1"/>
      <c r="H9" s="1"/>
    </row>
    <row r="10" spans="1:8" ht="13.2">
      <c r="A10" s="5">
        <v>1</v>
      </c>
      <c r="B10" s="40" t="s">
        <v>68</v>
      </c>
      <c r="C10" s="41"/>
      <c r="D10" s="41"/>
      <c r="E10" s="41"/>
      <c r="F10" s="41"/>
      <c r="G10" s="41"/>
      <c r="H10" s="41"/>
    </row>
    <row r="11" spans="1:8" ht="13.2">
      <c r="A11" s="5">
        <f t="shared" si="0" ref="A11:A37">+A10+1</f>
        <v>2</v>
      </c>
      <c r="B11" s="40" t="s">
        <v>45</v>
      </c>
      <c r="C11" s="42"/>
      <c r="D11" s="42"/>
      <c r="E11" s="42"/>
      <c r="F11" s="42"/>
      <c r="G11" s="42"/>
      <c r="H11" s="42"/>
    </row>
    <row r="12" spans="1:8" ht="13.2">
      <c r="A12" s="5">
        <f t="shared" si="0"/>
        <v>3</v>
      </c>
      <c r="B12" s="3"/>
      <c r="C12" s="9"/>
      <c r="D12" s="1"/>
      <c r="E12" s="1"/>
      <c r="F12" s="1"/>
      <c r="G12" s="1"/>
      <c r="H12" s="1"/>
    </row>
    <row r="13" spans="1:8" ht="13.2">
      <c r="A13" s="5">
        <f t="shared" si="0"/>
        <v>4</v>
      </c>
      <c r="B13" s="3"/>
      <c r="C13" s="9"/>
      <c r="D13" s="1"/>
      <c r="E13" s="1"/>
      <c r="F13" s="1"/>
      <c r="G13" s="1"/>
      <c r="H13" s="1"/>
    </row>
    <row r="14" spans="1:8" ht="13.2">
      <c r="A14" s="5">
        <f t="shared" si="0"/>
        <v>5</v>
      </c>
      <c r="B14" s="1"/>
      <c r="C14" s="1"/>
      <c r="D14" s="1"/>
      <c r="E14" s="1"/>
      <c r="F14" s="1"/>
      <c r="G14" s="1"/>
      <c r="H14" s="1"/>
    </row>
    <row r="15" spans="1:8" ht="13.2">
      <c r="A15" s="5">
        <f t="shared" si="0"/>
        <v>6</v>
      </c>
      <c r="B15" s="25"/>
      <c r="C15" s="25"/>
      <c r="D15" s="25"/>
      <c r="E15" s="25"/>
      <c r="F15" s="25"/>
      <c r="G15" s="1"/>
      <c r="H15" s="1"/>
    </row>
    <row r="16" spans="1:6" ht="13.2">
      <c r="A16" s="5">
        <f t="shared" si="0"/>
        <v>7</v>
      </c>
      <c r="F16" s="8"/>
    </row>
    <row r="17" spans="1:6" ht="13.2">
      <c r="A17" s="5">
        <f t="shared" si="0"/>
        <v>8</v>
      </c>
      <c r="F17" s="8"/>
    </row>
    <row r="18" spans="1:6" ht="13.2">
      <c r="A18" s="5">
        <f t="shared" si="0"/>
        <v>9</v>
      </c>
      <c r="F18" s="8"/>
    </row>
    <row r="19" spans="1:6" ht="13.2">
      <c r="A19" s="5">
        <f t="shared" si="0"/>
        <v>10</v>
      </c>
      <c r="F19" s="8"/>
    </row>
    <row r="20" spans="1:6" ht="13.2">
      <c r="A20" s="5">
        <f t="shared" si="0"/>
        <v>11</v>
      </c>
      <c r="F20" s="8"/>
    </row>
    <row r="21" spans="1:6" ht="13.2">
      <c r="A21" s="5">
        <f t="shared" si="0"/>
        <v>12</v>
      </c>
      <c r="F21" s="8"/>
    </row>
    <row r="22" spans="1:6" ht="13.2">
      <c r="A22" s="5">
        <f t="shared" si="0"/>
        <v>13</v>
      </c>
      <c r="F22" s="8"/>
    </row>
    <row r="23" spans="1:6" ht="13.2">
      <c r="A23" s="5">
        <f t="shared" si="0"/>
        <v>14</v>
      </c>
      <c r="F23" s="8"/>
    </row>
    <row r="24" spans="1:6" ht="13.2">
      <c r="A24" s="5">
        <f t="shared" si="0"/>
        <v>15</v>
      </c>
      <c r="F24" s="8"/>
    </row>
    <row r="25" spans="1:6" ht="13.2">
      <c r="A25" s="5">
        <f t="shared" si="0"/>
        <v>16</v>
      </c>
      <c r="F25" s="8"/>
    </row>
    <row r="26" spans="1:6" ht="13.2">
      <c r="A26" s="5">
        <f t="shared" si="0"/>
        <v>17</v>
      </c>
      <c r="F26" s="8"/>
    </row>
    <row r="27" spans="1:6" ht="13.2">
      <c r="A27" s="5">
        <f t="shared" si="0"/>
        <v>18</v>
      </c>
      <c r="F27" s="8"/>
    </row>
    <row r="28" spans="1:6" ht="13.2">
      <c r="A28" s="5">
        <f t="shared" si="0"/>
        <v>19</v>
      </c>
      <c r="F28" s="8"/>
    </row>
    <row r="29" spans="1:6" ht="13.2">
      <c r="A29" s="5">
        <f t="shared" si="0"/>
        <v>20</v>
      </c>
      <c r="F29" s="8"/>
    </row>
    <row r="30" spans="1:6" ht="13.2">
      <c r="A30" s="5">
        <f t="shared" si="0"/>
        <v>21</v>
      </c>
      <c r="F30" s="8"/>
    </row>
    <row r="31" spans="1:6" ht="13.2">
      <c r="A31" s="5">
        <f t="shared" si="0"/>
        <v>22</v>
      </c>
      <c r="F31" s="8"/>
    </row>
    <row r="32" spans="1:6" ht="13.2">
      <c r="A32" s="5">
        <f t="shared" si="0"/>
        <v>23</v>
      </c>
      <c r="F32" s="8"/>
    </row>
    <row r="33" spans="1:6" ht="13.2">
      <c r="A33" s="5">
        <f t="shared" si="0"/>
        <v>24</v>
      </c>
      <c r="F33" s="10"/>
    </row>
    <row r="34" spans="1:1" ht="13.2">
      <c r="A34" s="5">
        <f t="shared" si="0"/>
        <v>25</v>
      </c>
    </row>
    <row r="35" spans="1:1" ht="13.2">
      <c r="A35" s="5">
        <f t="shared" si="0"/>
        <v>26</v>
      </c>
    </row>
    <row r="36" spans="1:1" ht="13.2">
      <c r="A36" s="5">
        <f t="shared" si="0"/>
        <v>27</v>
      </c>
    </row>
    <row r="37" spans="1:1" ht="13.2">
      <c r="A37" s="5">
        <f t="shared" si="0"/>
        <v>28</v>
      </c>
    </row>
  </sheetData>
  <mergeCells count="8">
    <mergeCell ref="B10:H10"/>
    <mergeCell ref="B11:H11"/>
    <mergeCell ref="B8:F8"/>
    <mergeCell ref="B1:H1"/>
    <mergeCell ref="B2:H2"/>
    <mergeCell ref="B3:H3"/>
    <mergeCell ref="B4:H4"/>
    <mergeCell ref="B6:H6"/>
  </mergeCells>
  <pageMargins left="0.7" right="0.7" top="0.75" bottom="0.75" header="0.3" footer="0.3"/>
  <pageSetup orientation="portrait" scale="79" r:id="rId2"/>
  <headerFooter>
    <oddHeader xml:space="preserve">&amp;RSchedule II-H-2.1
Page  &amp;P of  27
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5">
    <pageSetUpPr fitToPage="1"/>
  </sheetPr>
  <dimension ref="A1:F47"/>
  <sheetViews>
    <sheetView workbookViewId="0" topLeftCell="A1"/>
  </sheetViews>
  <sheetFormatPr defaultRowHeight="13.5"/>
  <cols>
    <col min="2" max="2" width="29.7142857142857" customWidth="1"/>
    <col min="3" max="3" width="16" customWidth="1"/>
    <col min="4" max="4" width="12.4285714285714" customWidth="1"/>
    <col min="5" max="5" width="12.7142857142857" customWidth="1"/>
    <col min="6" max="6" width="12.4285714285714" customWidth="1"/>
  </cols>
  <sheetData>
    <row r="1" spans="1:6" s="1" customFormat="1" ht="15.6">
      <c r="A1" s="5"/>
      <c r="B1" s="39" t="str">
        <f>+'RES Model'!B1:F1</f>
        <v xml:space="preserve">PUC DOCKET NO. </v>
      </c>
      <c r="C1" s="39"/>
      <c r="D1" s="39"/>
      <c r="E1" s="39"/>
      <c r="F1" s="39"/>
    </row>
    <row r="2" spans="1:6" s="1" customFormat="1" ht="15.6">
      <c r="A2" s="5"/>
      <c r="B2" s="39" t="str">
        <f>+'RES Model'!B2:F2</f>
        <v>ONCOR ELECTRIC DELIVERY COMPANY LLC</v>
      </c>
      <c r="C2" s="39"/>
      <c r="D2" s="39"/>
      <c r="E2" s="39"/>
      <c r="F2" s="39"/>
    </row>
    <row r="3" spans="1:6" s="1" customFormat="1" ht="15.6">
      <c r="A3" s="5"/>
      <c r="B3" s="39" t="str">
        <f>+'RES Model'!B3:F3</f>
        <v>MODEL INFORMATION</v>
      </c>
      <c r="C3" s="39"/>
      <c r="D3" s="39"/>
      <c r="E3" s="39"/>
      <c r="F3" s="39"/>
    </row>
    <row r="4" spans="1:6" s="1" customFormat="1" ht="15.6">
      <c r="A4" s="5"/>
      <c r="B4" s="39" t="str">
        <f>+'RES Model'!B4:F4</f>
        <v>FOR THE TEST YEAR ENDING DECEMBER 31, 2021</v>
      </c>
      <c r="C4" s="39"/>
      <c r="D4" s="39"/>
      <c r="E4" s="39"/>
      <c r="F4" s="39"/>
    </row>
    <row r="5" spans="1:1" s="1" customFormat="1" ht="11.4">
      <c r="A5" s="5"/>
    </row>
    <row r="6" spans="1:6" s="1" customFormat="1" ht="15.6">
      <c r="A6" s="5"/>
      <c r="B6" s="39" t="str">
        <f>+'RES Model'!B6:F6</f>
        <v>SPONSOR: D. E. NELSON</v>
      </c>
      <c r="C6" s="39"/>
      <c r="D6" s="39"/>
      <c r="E6" s="39"/>
      <c r="F6" s="39"/>
    </row>
    <row r="8" spans="2:6" ht="15.6">
      <c r="B8" s="39" t="s">
        <v>100</v>
      </c>
      <c r="C8" s="39"/>
      <c r="D8" s="39"/>
      <c r="E8" s="39"/>
      <c r="F8" s="39"/>
    </row>
    <row r="9" spans="1:6" s="1" customFormat="1" ht="12">
      <c r="A9" s="5" t="s">
        <v>18</v>
      </c>
      <c r="B9" s="40"/>
      <c r="C9" s="40"/>
      <c r="D9" s="40"/>
      <c r="E9" s="40"/>
      <c r="F9" s="40"/>
    </row>
    <row r="10" spans="1:6" s="1" customFormat="1" ht="11.4">
      <c r="A10" s="6" t="s">
        <v>19</v>
      </c>
      <c r="B10" s="7" t="s">
        <v>20</v>
      </c>
      <c r="C10" s="7" t="s">
        <v>21</v>
      </c>
      <c r="D10" s="7" t="s">
        <v>24</v>
      </c>
      <c r="E10" s="7" t="s">
        <v>22</v>
      </c>
      <c r="F10" s="7" t="s">
        <v>23</v>
      </c>
    </row>
    <row r="11" spans="1:3" s="1" customFormat="1" ht="12">
      <c r="A11" s="5">
        <v>1</v>
      </c>
      <c r="B11" s="3" t="s">
        <v>45</v>
      </c>
      <c r="C11" s="3"/>
    </row>
    <row r="12" spans="1:3" s="1" customFormat="1" ht="12">
      <c r="A12" s="5">
        <f t="shared" si="0" ref="A12:A47">+A11+1</f>
        <v>2</v>
      </c>
      <c r="B12" s="3" t="s">
        <v>5</v>
      </c>
      <c r="C12" s="3" t="s">
        <v>69</v>
      </c>
    </row>
    <row r="13" spans="1:3" s="1" customFormat="1" ht="12">
      <c r="A13" s="5">
        <f t="shared" si="0"/>
        <v>3</v>
      </c>
      <c r="B13" s="3" t="s">
        <v>6</v>
      </c>
      <c r="C13" s="9">
        <f>+'RES Model'!C13</f>
        <v>40179</v>
      </c>
    </row>
    <row r="14" spans="1:3" s="1" customFormat="1" ht="12">
      <c r="A14" s="5">
        <f t="shared" si="0"/>
        <v>4</v>
      </c>
      <c r="B14" s="3" t="s">
        <v>7</v>
      </c>
      <c r="C14" s="9">
        <f>+'RES Model'!C14</f>
        <v>44378</v>
      </c>
    </row>
    <row r="15" spans="1:1" s="1" customFormat="1" ht="11.4">
      <c r="A15" s="5">
        <f t="shared" si="0"/>
        <v>5</v>
      </c>
    </row>
    <row r="16" spans="1:6" s="1" customFormat="1" ht="11.4">
      <c r="A16" s="5">
        <f t="shared" si="0"/>
        <v>6</v>
      </c>
      <c r="B16" s="4" t="s">
        <v>0</v>
      </c>
      <c r="C16" s="4" t="s">
        <v>1</v>
      </c>
      <c r="D16" s="4" t="s">
        <v>2</v>
      </c>
      <c r="E16" s="4" t="s">
        <v>3</v>
      </c>
      <c r="F16" s="4" t="s">
        <v>4</v>
      </c>
    </row>
    <row r="17" spans="1:6" ht="13.2">
      <c r="A17" s="5">
        <f t="shared" si="0"/>
        <v>7</v>
      </c>
      <c r="B17" t="s">
        <v>91</v>
      </c>
      <c r="C17" s="13">
        <v>-143.13399999999999</v>
      </c>
      <c r="D17" s="13">
        <v>233.59200000000001</v>
      </c>
      <c r="E17" s="13">
        <v>-0.61299999999999999</v>
      </c>
      <c r="F17" s="14">
        <v>0.54120000000000001</v>
      </c>
    </row>
    <row r="18" spans="1:6" ht="13.2">
      <c r="A18" s="5">
        <f t="shared" si="0"/>
        <v>8</v>
      </c>
      <c r="B18" t="s">
        <v>80</v>
      </c>
      <c r="C18" s="13">
        <v>0.12</v>
      </c>
      <c r="D18" s="13">
        <v>0.0080000000000000002</v>
      </c>
      <c r="E18" s="13">
        <v>15.27</v>
      </c>
      <c r="F18" s="14">
        <v>0</v>
      </c>
    </row>
    <row r="19" spans="1:6" ht="13.2">
      <c r="A19" s="5">
        <f t="shared" si="0"/>
        <v>9</v>
      </c>
      <c r="B19" t="s">
        <v>28</v>
      </c>
      <c r="C19" s="13">
        <v>-18428.84</v>
      </c>
      <c r="D19" s="13">
        <v>3530.5500000000002</v>
      </c>
      <c r="E19" s="13">
        <v>-5.2199999999999998</v>
      </c>
      <c r="F19" s="14">
        <v>0</v>
      </c>
    </row>
    <row r="20" spans="1:6" ht="13.2">
      <c r="A20" s="5">
        <f t="shared" si="0"/>
        <v>10</v>
      </c>
      <c r="B20" t="s">
        <v>29</v>
      </c>
      <c r="C20" s="13">
        <v>-16988.23</v>
      </c>
      <c r="D20" s="13">
        <v>3539.808</v>
      </c>
      <c r="E20" s="13">
        <v>-4.7990000000000004</v>
      </c>
      <c r="F20" s="14">
        <v>0</v>
      </c>
    </row>
    <row r="21" spans="1:6" ht="13.2">
      <c r="A21" s="5">
        <f t="shared" si="0"/>
        <v>11</v>
      </c>
      <c r="B21" t="s">
        <v>30</v>
      </c>
      <c r="C21" s="13">
        <v>-17464.489000000001</v>
      </c>
      <c r="D21" s="13">
        <v>3583.1010000000001</v>
      </c>
      <c r="E21" s="13">
        <v>-4.8739999999999997</v>
      </c>
      <c r="F21" s="14">
        <v>0</v>
      </c>
    </row>
    <row r="22" spans="1:6" ht="13.2">
      <c r="A22" s="5">
        <f t="shared" si="0"/>
        <v>12</v>
      </c>
      <c r="B22" t="s">
        <v>31</v>
      </c>
      <c r="C22" s="13">
        <v>-16157.945</v>
      </c>
      <c r="D22" s="13">
        <v>3776.9209999999998</v>
      </c>
      <c r="E22" s="13">
        <v>-4.2779999999999996</v>
      </c>
      <c r="F22" s="14">
        <v>0</v>
      </c>
    </row>
    <row r="23" spans="1:6" ht="13.2">
      <c r="A23" s="5">
        <f t="shared" si="0"/>
        <v>13</v>
      </c>
      <c r="B23" t="s">
        <v>32</v>
      </c>
      <c r="C23" s="13">
        <v>-15290.636</v>
      </c>
      <c r="D23" s="13">
        <v>4149.0900000000001</v>
      </c>
      <c r="E23" s="13">
        <v>-3.6850000000000001</v>
      </c>
      <c r="F23" s="14">
        <v>0.00029999999999999997</v>
      </c>
    </row>
    <row r="24" spans="1:6" ht="13.2">
      <c r="A24" s="5">
        <f t="shared" si="0"/>
        <v>14</v>
      </c>
      <c r="B24" t="s">
        <v>33</v>
      </c>
      <c r="C24" s="13">
        <v>-13425.705</v>
      </c>
      <c r="D24" s="13">
        <v>5189.0640000000003</v>
      </c>
      <c r="E24" s="13">
        <v>-2.5870000000000002</v>
      </c>
      <c r="F24" s="14">
        <v>0.010800000000000001</v>
      </c>
    </row>
    <row r="25" spans="1:6" ht="13.2">
      <c r="A25" s="5">
        <f t="shared" si="0"/>
        <v>15</v>
      </c>
      <c r="B25" t="s">
        <v>34</v>
      </c>
      <c r="C25" s="13">
        <v>-11347.117</v>
      </c>
      <c r="D25" s="13">
        <v>6212.1629999999996</v>
      </c>
      <c r="E25" s="13">
        <v>-1.827</v>
      </c>
      <c r="F25" s="14">
        <v>0.070099999999999996</v>
      </c>
    </row>
    <row r="26" spans="1:6" ht="13.2">
      <c r="A26" s="5">
        <f t="shared" si="0"/>
        <v>16</v>
      </c>
      <c r="B26" t="s">
        <v>35</v>
      </c>
      <c r="C26" s="13">
        <v>-10576.742</v>
      </c>
      <c r="D26" s="13">
        <v>6675.6139999999996</v>
      </c>
      <c r="E26" s="13">
        <v>-1.5840000000000001</v>
      </c>
      <c r="F26" s="14">
        <v>0.11559999999999999</v>
      </c>
    </row>
    <row r="27" spans="1:6" ht="13.2">
      <c r="A27" s="5">
        <f t="shared" si="0"/>
        <v>17</v>
      </c>
      <c r="B27" t="s">
        <v>36</v>
      </c>
      <c r="C27" s="13">
        <v>-11751.047000000001</v>
      </c>
      <c r="D27" s="13">
        <v>6146.7839999999997</v>
      </c>
      <c r="E27" s="13">
        <v>-1.9119999999999999</v>
      </c>
      <c r="F27" s="14">
        <v>0.058200000000000002</v>
      </c>
    </row>
    <row r="28" spans="1:6" ht="13.2">
      <c r="A28" s="5">
        <f t="shared" si="0"/>
        <v>18</v>
      </c>
      <c r="B28" t="s">
        <v>37</v>
      </c>
      <c r="C28" s="13">
        <v>-13186.566999999999</v>
      </c>
      <c r="D28" s="13">
        <v>4842.1109999999999</v>
      </c>
      <c r="E28" s="13">
        <v>-2.7229999999999999</v>
      </c>
      <c r="F28" s="14">
        <v>0.0074000000000000003</v>
      </c>
    </row>
    <row r="29" spans="1:6" ht="13.2">
      <c r="A29" s="5">
        <f t="shared" si="0"/>
        <v>19</v>
      </c>
      <c r="B29" t="s">
        <v>38</v>
      </c>
      <c r="C29" s="13">
        <v>-16393.293000000001</v>
      </c>
      <c r="D29" s="13">
        <v>3898.6320000000001</v>
      </c>
      <c r="E29" s="13">
        <v>-4.2050000000000001</v>
      </c>
      <c r="F29" s="14">
        <v>0.00010000000000000001</v>
      </c>
    </row>
    <row r="30" spans="1:6" ht="13.2">
      <c r="A30" s="5">
        <f t="shared" si="0"/>
        <v>20</v>
      </c>
      <c r="B30" t="s">
        <v>41</v>
      </c>
      <c r="C30" s="13">
        <v>-17682.968000000001</v>
      </c>
      <c r="D30" s="13">
        <v>3631.5419999999999</v>
      </c>
      <c r="E30" s="13">
        <v>-4.8689999999999998</v>
      </c>
      <c r="F30" s="14">
        <v>0</v>
      </c>
    </row>
    <row r="31" spans="1:6" ht="13.2">
      <c r="A31" s="5">
        <f t="shared" si="0"/>
        <v>21</v>
      </c>
      <c r="F31" s="2"/>
    </row>
    <row r="32" spans="1:6" ht="13.2">
      <c r="A32" s="5">
        <f t="shared" si="0"/>
        <v>22</v>
      </c>
      <c r="B32" s="15" t="s">
        <v>53</v>
      </c>
      <c r="C32" s="19"/>
      <c r="F32" s="10"/>
    </row>
    <row r="33" spans="1:6" ht="13.2">
      <c r="A33" s="5">
        <f t="shared" si="0"/>
        <v>23</v>
      </c>
      <c r="B33" t="s">
        <v>25</v>
      </c>
      <c r="C33" s="20">
        <v>139</v>
      </c>
      <c r="F33" s="8"/>
    </row>
    <row r="34" spans="1:6" ht="13.2">
      <c r="A34" s="5">
        <f t="shared" si="0"/>
        <v>24</v>
      </c>
      <c r="B34" t="s">
        <v>8</v>
      </c>
      <c r="C34">
        <v>125</v>
      </c>
      <c r="F34" s="8"/>
    </row>
    <row r="35" spans="1:6" ht="13.2">
      <c r="A35" s="5">
        <f t="shared" si="0"/>
        <v>25</v>
      </c>
      <c r="B35" t="s">
        <v>9</v>
      </c>
      <c r="C35" s="30">
        <v>0.67700000000000005</v>
      </c>
      <c r="F35" s="8"/>
    </row>
    <row r="36" spans="1:6" ht="13.2">
      <c r="A36" s="5">
        <f t="shared" si="0"/>
        <v>26</v>
      </c>
      <c r="B36" t="s">
        <v>10</v>
      </c>
      <c r="C36" s="30">
        <v>0.64300000000000002</v>
      </c>
      <c r="F36" s="8"/>
    </row>
    <row r="37" spans="1:6" ht="13.2">
      <c r="A37" s="5">
        <f t="shared" si="0"/>
        <v>27</v>
      </c>
      <c r="B37" t="s">
        <v>12</v>
      </c>
      <c r="C37" s="35">
        <v>20.120000000000001</v>
      </c>
      <c r="F37" s="8"/>
    </row>
    <row r="38" spans="1:6" ht="13.2">
      <c r="A38" s="5">
        <f t="shared" si="0"/>
        <v>28</v>
      </c>
      <c r="B38" t="s">
        <v>13</v>
      </c>
      <c r="C38" s="36">
        <v>0</v>
      </c>
      <c r="F38" s="8"/>
    </row>
    <row r="39" spans="1:3" ht="13.2">
      <c r="A39" s="5">
        <f t="shared" si="0"/>
        <v>29</v>
      </c>
      <c r="B39" t="s">
        <v>14</v>
      </c>
      <c r="C39" s="23">
        <v>4234070799.9299998</v>
      </c>
    </row>
    <row r="40" spans="1:6" ht="13.2">
      <c r="A40" s="5">
        <f t="shared" si="0"/>
        <v>30</v>
      </c>
      <c r="B40" t="s">
        <v>15</v>
      </c>
      <c r="C40" s="23">
        <v>2023439535.0599999</v>
      </c>
      <c r="F40" s="8"/>
    </row>
    <row r="41" spans="1:6" ht="13.2">
      <c r="A41" s="5">
        <f t="shared" si="0"/>
        <v>31</v>
      </c>
      <c r="B41" t="s">
        <v>16</v>
      </c>
      <c r="C41" s="23">
        <v>16187516.279999999</v>
      </c>
      <c r="F41" s="8"/>
    </row>
    <row r="42" spans="1:6" ht="13.2">
      <c r="A42" s="5">
        <f t="shared" si="0"/>
        <v>32</v>
      </c>
      <c r="B42" t="s">
        <v>17</v>
      </c>
      <c r="C42" s="21">
        <v>4023.3699999999999</v>
      </c>
      <c r="F42" s="8"/>
    </row>
    <row r="43" spans="1:3" ht="13.2">
      <c r="A43" s="5">
        <f t="shared" si="0"/>
        <v>33</v>
      </c>
      <c r="B43" t="s">
        <v>83</v>
      </c>
      <c r="C43" s="21">
        <v>2959.52</v>
      </c>
    </row>
    <row r="44" spans="1:3" ht="13.2">
      <c r="A44" s="5">
        <f t="shared" si="0"/>
        <v>34</v>
      </c>
      <c r="B44" t="s">
        <v>84</v>
      </c>
      <c r="C44" s="8">
        <v>0.0848</v>
      </c>
    </row>
    <row r="45" spans="1:3" ht="13.2">
      <c r="A45" s="5">
        <f t="shared" si="0"/>
        <v>35</v>
      </c>
      <c r="B45" t="s">
        <v>11</v>
      </c>
      <c r="C45">
        <v>0.214</v>
      </c>
    </row>
    <row r="46" spans="1:3" ht="13.2">
      <c r="A46" s="5">
        <f t="shared" si="0"/>
        <v>36</v>
      </c>
      <c r="B46" t="s">
        <v>61</v>
      </c>
      <c r="C46">
        <v>1226.25</v>
      </c>
    </row>
    <row r="47" spans="1:3" ht="13.2">
      <c r="A47" s="5">
        <f t="shared" si="0"/>
        <v>37</v>
      </c>
      <c r="B47" t="s">
        <v>62</v>
      </c>
      <c r="C47" s="24">
        <v>0</v>
      </c>
    </row>
  </sheetData>
  <mergeCells count="7">
    <mergeCell ref="B6:F6"/>
    <mergeCell ref="B9:F9"/>
    <mergeCell ref="B1:F1"/>
    <mergeCell ref="B2:F2"/>
    <mergeCell ref="B3:F3"/>
    <mergeCell ref="B4:F4"/>
    <mergeCell ref="B8:F8"/>
  </mergeCells>
  <pageMargins left="0.7" right="0.7" top="0.75" bottom="0.75" header="0.3" footer="0.3"/>
  <pageSetup orientation="portrait" r:id="rId1"/>
  <headerFooter>
    <oddHeader xml:space="preserve">&amp;RSchedule II-H-2.1
Page  &amp;P of  27
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H37"/>
  <sheetViews>
    <sheetView workbookViewId="0" topLeftCell="A1"/>
  </sheetViews>
  <sheetFormatPr defaultRowHeight="13.5"/>
  <cols>
    <col min="2" max="2" width="20.2857142857143" customWidth="1"/>
    <col min="3" max="3" width="17.2857142857143" customWidth="1"/>
    <col min="4" max="4" width="18.7142857142857" customWidth="1"/>
    <col min="5" max="5" width="14.7142857142857" customWidth="1"/>
    <col min="6" max="6" width="15.8571428571429" customWidth="1"/>
    <col min="7" max="7" width="11" customWidth="1"/>
  </cols>
  <sheetData>
    <row r="1" spans="1:8" ht="15.6">
      <c r="A1" s="5"/>
      <c r="B1" s="43" t="str">
        <f>+'RES Model'!B1:F1</f>
        <v xml:space="preserve">PUC DOCKET NO. </v>
      </c>
      <c r="C1" s="41"/>
      <c r="D1" s="41"/>
      <c r="E1" s="41"/>
      <c r="F1" s="41"/>
      <c r="G1" s="41"/>
      <c r="H1" s="41"/>
    </row>
    <row r="2" spans="1:8" ht="15.6">
      <c r="A2" s="5"/>
      <c r="B2" s="39" t="str">
        <f>+'RES Model'!B2:F2</f>
        <v>ONCOR ELECTRIC DELIVERY COMPANY LLC</v>
      </c>
      <c r="C2" s="41"/>
      <c r="D2" s="41"/>
      <c r="E2" s="41"/>
      <c r="F2" s="41"/>
      <c r="G2" s="41"/>
      <c r="H2" s="41"/>
    </row>
    <row r="3" spans="1:8" ht="15.6">
      <c r="A3" s="5"/>
      <c r="B3" s="39" t="str">
        <f>+'RES Model'!B3:F3</f>
        <v>MODEL INFORMATION</v>
      </c>
      <c r="C3" s="41"/>
      <c r="D3" s="41"/>
      <c r="E3" s="41"/>
      <c r="F3" s="41"/>
      <c r="G3" s="41"/>
      <c r="H3" s="41"/>
    </row>
    <row r="4" spans="1:8" ht="15.6">
      <c r="A4" s="5"/>
      <c r="B4" s="39" t="str">
        <f>+'RES Model'!B4:F4</f>
        <v>FOR THE TEST YEAR ENDING DECEMBER 31, 2021</v>
      </c>
      <c r="C4" s="41"/>
      <c r="D4" s="41"/>
      <c r="E4" s="41"/>
      <c r="F4" s="41"/>
      <c r="G4" s="41"/>
      <c r="H4" s="41"/>
    </row>
    <row r="5" spans="1:8" ht="13.2">
      <c r="A5" s="5"/>
      <c r="B5" s="1"/>
      <c r="C5" s="1"/>
      <c r="D5" s="1"/>
      <c r="E5" s="1"/>
      <c r="F5" s="1"/>
      <c r="G5" s="1"/>
      <c r="H5" s="1"/>
    </row>
    <row r="6" spans="1:8" ht="15.6">
      <c r="A6" s="5"/>
      <c r="B6" s="39" t="str">
        <f>+'RES Model'!B6:F6</f>
        <v>SPONSOR: D. E. NELSON</v>
      </c>
      <c r="C6" s="41"/>
      <c r="D6" s="41"/>
      <c r="E6" s="41"/>
      <c r="F6" s="41"/>
      <c r="G6" s="41"/>
      <c r="H6" s="41"/>
    </row>
    <row r="8" spans="1:8" ht="13.2">
      <c r="A8" s="5" t="s">
        <v>18</v>
      </c>
      <c r="B8" s="40"/>
      <c r="C8" s="40"/>
      <c r="D8" s="40"/>
      <c r="E8" s="40"/>
      <c r="F8" s="40"/>
      <c r="G8" s="1"/>
      <c r="H8" s="1"/>
    </row>
    <row r="9" spans="1:8" ht="13.2">
      <c r="A9" s="6" t="s">
        <v>19</v>
      </c>
      <c r="B9" s="7"/>
      <c r="C9" s="7"/>
      <c r="D9" s="7"/>
      <c r="E9" s="7"/>
      <c r="F9" s="7"/>
      <c r="G9" s="1"/>
      <c r="H9" s="1"/>
    </row>
    <row r="10" spans="1:8" ht="13.2">
      <c r="A10" s="5">
        <v>1</v>
      </c>
      <c r="B10" s="40" t="s">
        <v>104</v>
      </c>
      <c r="C10" s="41"/>
      <c r="D10" s="41"/>
      <c r="E10" s="41"/>
      <c r="F10" s="41"/>
      <c r="G10" s="41"/>
      <c r="H10" s="41"/>
    </row>
    <row r="11" spans="1:8" ht="13.2">
      <c r="A11" s="5">
        <f t="shared" si="0" ref="A11:A37">+A10+1</f>
        <v>2</v>
      </c>
      <c r="B11" s="40" t="s">
        <v>45</v>
      </c>
      <c r="C11" s="42"/>
      <c r="D11" s="42"/>
      <c r="E11" s="42"/>
      <c r="F11" s="42"/>
      <c r="G11" s="42"/>
      <c r="H11" s="42"/>
    </row>
    <row r="12" spans="1:8" ht="13.2">
      <c r="A12" s="5">
        <f t="shared" si="0"/>
        <v>3</v>
      </c>
      <c r="B12" s="3"/>
      <c r="C12" s="9"/>
      <c r="D12" s="1"/>
      <c r="E12" s="1"/>
      <c r="F12" s="1"/>
      <c r="G12" s="1"/>
      <c r="H12" s="1"/>
    </row>
    <row r="13" spans="1:8" ht="13.2">
      <c r="A13" s="5">
        <f t="shared" si="0"/>
        <v>4</v>
      </c>
      <c r="B13" s="3"/>
      <c r="C13" s="9"/>
      <c r="D13" s="1"/>
      <c r="E13" s="1"/>
      <c r="F13" s="1"/>
      <c r="G13" s="1"/>
      <c r="H13" s="1"/>
    </row>
    <row r="14" spans="1:8" ht="13.2">
      <c r="A14" s="5">
        <f t="shared" si="0"/>
        <v>5</v>
      </c>
      <c r="B14" s="1"/>
      <c r="C14" s="1"/>
      <c r="D14" s="1"/>
      <c r="E14" s="1"/>
      <c r="F14" s="1"/>
      <c r="G14" s="1"/>
      <c r="H14" s="1"/>
    </row>
    <row r="15" spans="1:8" ht="13.2">
      <c r="A15" s="5">
        <f t="shared" si="0"/>
        <v>6</v>
      </c>
      <c r="B15" s="25"/>
      <c r="C15" s="25"/>
      <c r="D15" s="25"/>
      <c r="E15" s="25"/>
      <c r="F15" s="25"/>
      <c r="G15" s="1"/>
      <c r="H15" s="1"/>
    </row>
    <row r="16" spans="1:6" ht="13.2">
      <c r="A16" s="5">
        <f t="shared" si="0"/>
        <v>7</v>
      </c>
      <c r="F16" s="8"/>
    </row>
    <row r="17" spans="1:6" ht="13.2">
      <c r="A17" s="5">
        <f t="shared" si="0"/>
        <v>8</v>
      </c>
      <c r="F17" s="8"/>
    </row>
    <row r="18" spans="1:6" ht="13.2">
      <c r="A18" s="5">
        <f t="shared" si="0"/>
        <v>9</v>
      </c>
      <c r="F18" s="8"/>
    </row>
    <row r="19" spans="1:6" ht="13.2">
      <c r="A19" s="5">
        <f t="shared" si="0"/>
        <v>10</v>
      </c>
      <c r="F19" s="8"/>
    </row>
    <row r="20" spans="1:6" ht="13.2">
      <c r="A20" s="5">
        <f t="shared" si="0"/>
        <v>11</v>
      </c>
      <c r="F20" s="8"/>
    </row>
    <row r="21" spans="1:6" ht="13.2">
      <c r="A21" s="5">
        <f t="shared" si="0"/>
        <v>12</v>
      </c>
      <c r="F21" s="8"/>
    </row>
    <row r="22" spans="1:6" ht="13.2">
      <c r="A22" s="5">
        <f t="shared" si="0"/>
        <v>13</v>
      </c>
      <c r="F22" s="8"/>
    </row>
    <row r="23" spans="1:6" ht="13.2">
      <c r="A23" s="5">
        <f t="shared" si="0"/>
        <v>14</v>
      </c>
      <c r="F23" s="8"/>
    </row>
    <row r="24" spans="1:6" ht="13.2">
      <c r="A24" s="5">
        <f t="shared" si="0"/>
        <v>15</v>
      </c>
      <c r="F24" s="8"/>
    </row>
    <row r="25" spans="1:6" ht="13.2">
      <c r="A25" s="5">
        <f t="shared" si="0"/>
        <v>16</v>
      </c>
      <c r="F25" s="8"/>
    </row>
    <row r="26" spans="1:6" ht="13.2">
      <c r="A26" s="5">
        <f t="shared" si="0"/>
        <v>17</v>
      </c>
      <c r="F26" s="8"/>
    </row>
    <row r="27" spans="1:6" ht="13.2">
      <c r="A27" s="5">
        <f t="shared" si="0"/>
        <v>18</v>
      </c>
      <c r="F27" s="8"/>
    </row>
    <row r="28" spans="1:6" ht="13.2">
      <c r="A28" s="5">
        <f t="shared" si="0"/>
        <v>19</v>
      </c>
      <c r="F28" s="8"/>
    </row>
    <row r="29" spans="1:6" ht="13.2">
      <c r="A29" s="5">
        <f t="shared" si="0"/>
        <v>20</v>
      </c>
      <c r="F29" s="8"/>
    </row>
    <row r="30" spans="1:6" ht="13.2">
      <c r="A30" s="5">
        <f t="shared" si="0"/>
        <v>21</v>
      </c>
      <c r="F30" s="8"/>
    </row>
    <row r="31" spans="1:6" ht="13.2">
      <c r="A31" s="5">
        <f t="shared" si="0"/>
        <v>22</v>
      </c>
      <c r="F31" s="8"/>
    </row>
    <row r="32" spans="1:6" ht="13.2">
      <c r="A32" s="5">
        <f t="shared" si="0"/>
        <v>23</v>
      </c>
      <c r="F32" s="8"/>
    </row>
    <row r="33" spans="1:6" ht="13.2">
      <c r="A33" s="5">
        <f t="shared" si="0"/>
        <v>24</v>
      </c>
      <c r="F33" s="10"/>
    </row>
    <row r="34" spans="1:1" ht="13.2">
      <c r="A34" s="5">
        <f t="shared" si="0"/>
        <v>25</v>
      </c>
    </row>
    <row r="35" spans="1:1" ht="13.2">
      <c r="A35" s="5">
        <f t="shared" si="0"/>
        <v>26</v>
      </c>
    </row>
    <row r="36" spans="1:1" ht="13.2">
      <c r="A36" s="5">
        <f t="shared" si="0"/>
        <v>27</v>
      </c>
    </row>
    <row r="37" spans="1:1" ht="13.2">
      <c r="A37" s="5">
        <f t="shared" si="0"/>
        <v>28</v>
      </c>
    </row>
  </sheetData>
  <mergeCells count="8">
    <mergeCell ref="B10:H10"/>
    <mergeCell ref="B11:H11"/>
    <mergeCell ref="B8:F8"/>
    <mergeCell ref="B1:H1"/>
    <mergeCell ref="B2:H2"/>
    <mergeCell ref="B3:H3"/>
    <mergeCell ref="B4:H4"/>
    <mergeCell ref="B6:H6"/>
  </mergeCells>
  <pageMargins left="0.7" right="0.7" top="0.75" bottom="0.75" header="0.3" footer="0.3"/>
  <pageSetup orientation="portrait" scale="79" r:id="rId2"/>
  <headerFooter>
    <oddHeader xml:space="preserve">&amp;RSchedule II-H-2.1
Page  &amp;P of  27
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F48"/>
  <sheetViews>
    <sheetView workbookViewId="0" topLeftCell="A1"/>
  </sheetViews>
  <sheetFormatPr defaultRowHeight="13.5"/>
  <cols>
    <col min="2" max="2" width="27.7142857142857" customWidth="1"/>
    <col min="3" max="3" width="15.8571428571429" customWidth="1"/>
    <col min="4" max="4" width="10.7142857142857" customWidth="1"/>
    <col min="5" max="5" width="10.4285714285714" customWidth="1"/>
    <col min="6" max="6" width="10.1428571428571" customWidth="1"/>
  </cols>
  <sheetData>
    <row r="1" spans="1:6" s="1" customFormat="1" ht="15.6">
      <c r="A1" s="5"/>
      <c r="B1" s="39" t="str">
        <f>+'RES Model'!B1:F1</f>
        <v xml:space="preserve">PUC DOCKET NO. </v>
      </c>
      <c r="C1" s="39"/>
      <c r="D1" s="39"/>
      <c r="E1" s="39"/>
      <c r="F1" s="39"/>
    </row>
    <row r="2" spans="1:6" s="1" customFormat="1" ht="15.6">
      <c r="A2" s="5"/>
      <c r="B2" s="39" t="str">
        <f>+'RES Model'!B2:F2</f>
        <v>ONCOR ELECTRIC DELIVERY COMPANY LLC</v>
      </c>
      <c r="C2" s="39"/>
      <c r="D2" s="39"/>
      <c r="E2" s="39"/>
      <c r="F2" s="39"/>
    </row>
    <row r="3" spans="1:6" s="1" customFormat="1" ht="15.6">
      <c r="A3" s="5"/>
      <c r="B3" s="39" t="str">
        <f>+'RES Model'!B3:F3</f>
        <v>MODEL INFORMATION</v>
      </c>
      <c r="C3" s="39"/>
      <c r="D3" s="39"/>
      <c r="E3" s="39"/>
      <c r="F3" s="39"/>
    </row>
    <row r="4" spans="1:6" s="1" customFormat="1" ht="15.6">
      <c r="A4" s="5"/>
      <c r="B4" s="39" t="str">
        <f>+'RES Model'!B4:F4</f>
        <v>FOR THE TEST YEAR ENDING DECEMBER 31, 2021</v>
      </c>
      <c r="C4" s="39"/>
      <c r="D4" s="39"/>
      <c r="E4" s="39"/>
      <c r="F4" s="39"/>
    </row>
    <row r="5" spans="1:1" s="1" customFormat="1" ht="11.4">
      <c r="A5" s="5"/>
    </row>
    <row r="6" spans="1:6" s="1" customFormat="1" ht="15.6">
      <c r="A6" s="5"/>
      <c r="B6" s="39" t="str">
        <f>+'RES Model'!B6:F6</f>
        <v>SPONSOR: D. E. NELSON</v>
      </c>
      <c r="C6" s="39"/>
      <c r="D6" s="39"/>
      <c r="E6" s="39"/>
      <c r="F6" s="39"/>
    </row>
    <row r="8" spans="2:6" ht="15.6">
      <c r="B8" s="39" t="s">
        <v>105</v>
      </c>
      <c r="C8" s="39"/>
      <c r="D8" s="39"/>
      <c r="E8" s="39"/>
      <c r="F8" s="39"/>
    </row>
    <row r="9" spans="1:6" s="1" customFormat="1" ht="12">
      <c r="A9" s="5" t="s">
        <v>18</v>
      </c>
      <c r="B9" s="40"/>
      <c r="C9" s="40"/>
      <c r="D9" s="40"/>
      <c r="E9" s="40"/>
      <c r="F9" s="40"/>
    </row>
    <row r="10" spans="1:6" s="1" customFormat="1" ht="11.4">
      <c r="A10" s="6" t="s">
        <v>19</v>
      </c>
      <c r="B10" s="7" t="s">
        <v>20</v>
      </c>
      <c r="C10" s="7" t="s">
        <v>21</v>
      </c>
      <c r="D10" s="7" t="s">
        <v>24</v>
      </c>
      <c r="E10" s="7" t="s">
        <v>22</v>
      </c>
      <c r="F10" s="7" t="s">
        <v>23</v>
      </c>
    </row>
    <row r="11" spans="1:3" s="1" customFormat="1" ht="12">
      <c r="A11" s="5">
        <v>1</v>
      </c>
      <c r="B11" s="3" t="s">
        <v>45</v>
      </c>
      <c r="C11" s="3"/>
    </row>
    <row r="12" spans="1:3" s="1" customFormat="1" ht="12">
      <c r="A12" s="5">
        <f t="shared" si="0" ref="A12:A48">+A11+1</f>
        <v>2</v>
      </c>
      <c r="B12" s="3" t="s">
        <v>5</v>
      </c>
      <c r="C12" s="3" t="s">
        <v>70</v>
      </c>
    </row>
    <row r="13" spans="1:3" s="1" customFormat="1" ht="12">
      <c r="A13" s="5">
        <f t="shared" si="0"/>
        <v>3</v>
      </c>
      <c r="B13" s="3" t="s">
        <v>6</v>
      </c>
      <c r="C13" s="37">
        <v>40909</v>
      </c>
    </row>
    <row r="14" spans="1:3" s="1" customFormat="1" ht="12">
      <c r="A14" s="5">
        <f t="shared" si="0"/>
        <v>4</v>
      </c>
      <c r="B14" s="3" t="s">
        <v>7</v>
      </c>
      <c r="C14" s="9">
        <f>+'RES Model'!C14</f>
        <v>44378</v>
      </c>
    </row>
    <row r="15" spans="1:1" s="1" customFormat="1" ht="11.4">
      <c r="A15" s="5">
        <f t="shared" si="0"/>
        <v>5</v>
      </c>
    </row>
    <row r="16" spans="1:6" s="1" customFormat="1" ht="11.4">
      <c r="A16" s="5">
        <f t="shared" si="0"/>
        <v>6</v>
      </c>
      <c r="B16" s="4" t="s">
        <v>0</v>
      </c>
      <c r="C16" s="4" t="s">
        <v>1</v>
      </c>
      <c r="D16" s="4" t="s">
        <v>2</v>
      </c>
      <c r="E16" s="4" t="s">
        <v>3</v>
      </c>
      <c r="F16" s="4" t="s">
        <v>4</v>
      </c>
    </row>
    <row r="17" spans="1:6" ht="13.2">
      <c r="A17" s="5">
        <f t="shared" si="0"/>
        <v>7</v>
      </c>
      <c r="B17" t="s">
        <v>92</v>
      </c>
      <c r="C17" s="13">
        <v>-29.696999999999999</v>
      </c>
      <c r="D17" s="13">
        <v>22.954999999999998</v>
      </c>
      <c r="E17" s="13">
        <v>-1.294</v>
      </c>
      <c r="F17" s="14">
        <v>0.1988</v>
      </c>
    </row>
    <row r="18" spans="1:6" ht="13.2">
      <c r="A18" s="5">
        <f t="shared" si="0"/>
        <v>8</v>
      </c>
      <c r="B18" t="s">
        <v>80</v>
      </c>
      <c r="C18" s="13">
        <v>0.048000000000000001</v>
      </c>
      <c r="D18" s="13">
        <v>0.0040000000000000001</v>
      </c>
      <c r="E18" s="13">
        <v>11.387000000000001</v>
      </c>
      <c r="F18" s="14">
        <v>0</v>
      </c>
    </row>
    <row r="19" spans="1:6" ht="13.2">
      <c r="A19" s="5">
        <f t="shared" si="0"/>
        <v>9</v>
      </c>
      <c r="B19" t="s">
        <v>28</v>
      </c>
      <c r="C19" s="13">
        <v>-12747.857</v>
      </c>
      <c r="D19" s="13">
        <v>1909.3789999999999</v>
      </c>
      <c r="E19" s="13">
        <v>-6.6760000000000002</v>
      </c>
      <c r="F19" s="14">
        <v>0</v>
      </c>
    </row>
    <row r="20" spans="1:6" ht="13.2">
      <c r="A20" s="5">
        <f t="shared" si="0"/>
        <v>10</v>
      </c>
      <c r="B20" t="s">
        <v>29</v>
      </c>
      <c r="C20" s="13">
        <v>-12113.235000000001</v>
      </c>
      <c r="D20" s="13">
        <v>1916.3800000000001</v>
      </c>
      <c r="E20" s="13">
        <v>-6.3209999999999997</v>
      </c>
      <c r="F20" s="14">
        <v>0</v>
      </c>
    </row>
    <row r="21" spans="1:6" ht="13.2">
      <c r="A21" s="5">
        <f t="shared" si="0"/>
        <v>11</v>
      </c>
      <c r="B21" t="s">
        <v>30</v>
      </c>
      <c r="C21" s="13">
        <v>-12520.017</v>
      </c>
      <c r="D21" s="13">
        <v>1944.0530000000001</v>
      </c>
      <c r="E21" s="13">
        <v>-6.4400000000000004</v>
      </c>
      <c r="F21" s="14">
        <v>0</v>
      </c>
    </row>
    <row r="22" spans="1:6" ht="13.2">
      <c r="A22" s="5">
        <f t="shared" si="0"/>
        <v>12</v>
      </c>
      <c r="B22" t="s">
        <v>31</v>
      </c>
      <c r="C22" s="13">
        <v>-11377.546</v>
      </c>
      <c r="D22" s="13">
        <v>2062.7919999999999</v>
      </c>
      <c r="E22" s="13">
        <v>-5.516</v>
      </c>
      <c r="F22" s="14">
        <v>0</v>
      </c>
    </row>
    <row r="23" spans="1:6" ht="13.2">
      <c r="A23" s="5">
        <f t="shared" si="0"/>
        <v>13</v>
      </c>
      <c r="B23" t="s">
        <v>32</v>
      </c>
      <c r="C23" s="13">
        <v>-10743.771000000001</v>
      </c>
      <c r="D23" s="13">
        <v>2273.442</v>
      </c>
      <c r="E23" s="13">
        <v>-4.726</v>
      </c>
      <c r="F23" s="14">
        <v>0</v>
      </c>
    </row>
    <row r="24" spans="1:6" ht="13.2">
      <c r="A24" s="5">
        <f t="shared" si="0"/>
        <v>14</v>
      </c>
      <c r="B24" t="s">
        <v>33</v>
      </c>
      <c r="C24" s="13">
        <v>-9328.5869999999995</v>
      </c>
      <c r="D24" s="13">
        <v>2757.3429999999998</v>
      </c>
      <c r="E24" s="13">
        <v>-3.383</v>
      </c>
      <c r="F24" s="14">
        <v>0.001</v>
      </c>
    </row>
    <row r="25" spans="1:6" ht="13.2">
      <c r="A25" s="5">
        <f t="shared" si="0"/>
        <v>15</v>
      </c>
      <c r="B25" t="s">
        <v>34</v>
      </c>
      <c r="C25" s="13">
        <v>-8472.1939999999995</v>
      </c>
      <c r="D25" s="13">
        <v>3244.2579999999998</v>
      </c>
      <c r="E25" s="13">
        <v>-2.6110000000000002</v>
      </c>
      <c r="F25" s="14">
        <v>0.0104</v>
      </c>
    </row>
    <row r="26" spans="1:6" ht="13.2">
      <c r="A26" s="5">
        <f t="shared" si="0"/>
        <v>16</v>
      </c>
      <c r="B26" t="s">
        <v>35</v>
      </c>
      <c r="C26" s="13">
        <v>-8156.3410000000003</v>
      </c>
      <c r="D26" s="13">
        <v>3411.9090000000001</v>
      </c>
      <c r="E26" s="13">
        <v>-2.391</v>
      </c>
      <c r="F26" s="14">
        <v>0.018700000000000001</v>
      </c>
    </row>
    <row r="27" spans="1:6" ht="13.2">
      <c r="A27" s="5">
        <f t="shared" si="0"/>
        <v>17</v>
      </c>
      <c r="B27" t="s">
        <v>36</v>
      </c>
      <c r="C27" s="13">
        <v>-8243.2459999999992</v>
      </c>
      <c r="D27" s="13">
        <v>3203.011</v>
      </c>
      <c r="E27" s="13">
        <v>-2.5739999999999998</v>
      </c>
      <c r="F27" s="14">
        <v>0.0115</v>
      </c>
    </row>
    <row r="28" spans="1:6" ht="13.2">
      <c r="A28" s="5">
        <f t="shared" si="0"/>
        <v>18</v>
      </c>
      <c r="B28" t="s">
        <v>37</v>
      </c>
      <c r="C28" s="13">
        <v>-9707.3379999999997</v>
      </c>
      <c r="D28" s="13">
        <v>2635.0700000000002</v>
      </c>
      <c r="E28" s="13">
        <v>-3.6840000000000002</v>
      </c>
      <c r="F28" s="14">
        <v>0.00040000000000000002</v>
      </c>
    </row>
    <row r="29" spans="1:6" ht="13.2">
      <c r="A29" s="5">
        <f t="shared" si="0"/>
        <v>19</v>
      </c>
      <c r="B29" t="s">
        <v>38</v>
      </c>
      <c r="C29" s="13">
        <v>-10957.395</v>
      </c>
      <c r="D29" s="13">
        <v>2146.4299999999998</v>
      </c>
      <c r="E29" s="13">
        <v>-5.1050000000000004</v>
      </c>
      <c r="F29" s="14">
        <v>0</v>
      </c>
    </row>
    <row r="30" spans="1:6" ht="13.2">
      <c r="A30" s="5">
        <f t="shared" si="0"/>
        <v>20</v>
      </c>
      <c r="B30" t="s">
        <v>41</v>
      </c>
      <c r="C30" s="13">
        <v>-11692.210999999999</v>
      </c>
      <c r="D30" s="13">
        <v>1972.692</v>
      </c>
      <c r="E30" s="13">
        <v>-5.9269999999999996</v>
      </c>
      <c r="F30" s="14">
        <v>0</v>
      </c>
    </row>
    <row r="31" spans="1:6" ht="13.2">
      <c r="A31" s="5">
        <f t="shared" si="0"/>
        <v>21</v>
      </c>
      <c r="B31" t="s">
        <v>58</v>
      </c>
      <c r="C31" s="13">
        <v>8674.7729999999992</v>
      </c>
      <c r="D31" s="13">
        <v>1723.547</v>
      </c>
      <c r="E31" s="13">
        <v>5.0330000000000004</v>
      </c>
      <c r="F31" s="14">
        <v>0</v>
      </c>
    </row>
    <row r="32" spans="1:6" ht="13.2">
      <c r="A32" s="5">
        <f t="shared" si="0"/>
        <v>22</v>
      </c>
      <c r="C32" s="13"/>
      <c r="D32" s="13"/>
      <c r="E32" s="13"/>
      <c r="F32" s="14"/>
    </row>
    <row r="33" spans="1:6" ht="13.2">
      <c r="A33" s="5">
        <f t="shared" si="0"/>
        <v>23</v>
      </c>
      <c r="B33" s="15" t="s">
        <v>53</v>
      </c>
      <c r="C33" s="13"/>
      <c r="D33" s="13"/>
      <c r="E33" s="13"/>
      <c r="F33" s="14"/>
    </row>
    <row r="34" spans="1:6" ht="13.2">
      <c r="A34" s="5">
        <f t="shared" si="0"/>
        <v>24</v>
      </c>
      <c r="B34" t="s">
        <v>25</v>
      </c>
      <c r="C34">
        <v>115</v>
      </c>
      <c r="F34" s="8"/>
    </row>
    <row r="35" spans="1:6" ht="13.2">
      <c r="A35" s="5">
        <f t="shared" si="0"/>
        <v>25</v>
      </c>
      <c r="B35" t="s">
        <v>8</v>
      </c>
      <c r="C35">
        <v>100</v>
      </c>
      <c r="F35" s="8"/>
    </row>
    <row r="36" spans="1:6" ht="13.2">
      <c r="A36" s="5">
        <f t="shared" si="0"/>
        <v>26</v>
      </c>
      <c r="B36" t="s">
        <v>9</v>
      </c>
      <c r="C36">
        <v>0.63300000000000001</v>
      </c>
      <c r="F36" s="8"/>
    </row>
    <row r="37" spans="1:6" ht="13.2">
      <c r="A37" s="5">
        <f t="shared" si="0"/>
        <v>27</v>
      </c>
      <c r="B37" t="s">
        <v>10</v>
      </c>
      <c r="C37" s="28">
        <v>0.58099999999999996</v>
      </c>
      <c r="F37" s="8"/>
    </row>
    <row r="38" spans="1:6" ht="13.2">
      <c r="A38" s="5">
        <f t="shared" si="0"/>
        <v>28</v>
      </c>
      <c r="B38" t="s">
        <v>12</v>
      </c>
      <c r="C38" s="35">
        <v>12.314</v>
      </c>
      <c r="F38" s="8"/>
    </row>
    <row r="39" spans="1:6" ht="13.2">
      <c r="A39" s="5">
        <f t="shared" si="0"/>
        <v>29</v>
      </c>
      <c r="B39" t="s">
        <v>13</v>
      </c>
      <c r="C39" s="36">
        <v>0</v>
      </c>
      <c r="F39" s="8"/>
    </row>
    <row r="40" spans="1:3" ht="13.2">
      <c r="A40" s="5">
        <f t="shared" si="0"/>
        <v>30</v>
      </c>
      <c r="B40" t="s">
        <v>14</v>
      </c>
      <c r="C40" s="23">
        <v>453978523.04000002</v>
      </c>
    </row>
    <row r="41" spans="1:6" ht="13.2">
      <c r="A41" s="5">
        <f t="shared" si="0"/>
        <v>31</v>
      </c>
      <c r="B41" t="s">
        <v>15</v>
      </c>
      <c r="C41" s="23">
        <v>263337013.19999999</v>
      </c>
      <c r="F41" s="8"/>
    </row>
    <row r="42" spans="1:6" ht="13.2">
      <c r="A42" s="5">
        <f t="shared" si="0"/>
        <v>32</v>
      </c>
      <c r="B42" t="s">
        <v>16</v>
      </c>
      <c r="C42" s="23">
        <v>2633370.1299999999</v>
      </c>
      <c r="F42" s="8"/>
    </row>
    <row r="43" spans="1:6" ht="13.2">
      <c r="A43" s="5">
        <f t="shared" si="0"/>
        <v>33</v>
      </c>
      <c r="B43" t="s">
        <v>17</v>
      </c>
      <c r="C43" s="27">
        <v>1622.77</v>
      </c>
      <c r="F43" s="8"/>
    </row>
    <row r="44" spans="1:3" ht="13.2">
      <c r="A44" s="5">
        <f t="shared" si="0"/>
        <v>34</v>
      </c>
      <c r="B44" t="s">
        <v>83</v>
      </c>
      <c r="C44" s="21">
        <v>1121.8800000000001</v>
      </c>
    </row>
    <row r="45" spans="1:3" ht="13.2">
      <c r="A45" s="5">
        <f t="shared" si="0"/>
        <v>35</v>
      </c>
      <c r="B45" t="s">
        <v>84</v>
      </c>
      <c r="C45" s="8">
        <v>0.1168</v>
      </c>
    </row>
    <row r="46" spans="1:3" ht="13.2">
      <c r="A46" s="5">
        <f t="shared" si="0"/>
        <v>36</v>
      </c>
      <c r="B46" t="s">
        <v>11</v>
      </c>
      <c r="C46">
        <v>0.25900000000000001</v>
      </c>
    </row>
    <row r="47" spans="1:3" ht="13.2">
      <c r="A47" s="5">
        <f t="shared" si="0"/>
        <v>37</v>
      </c>
      <c r="B47" t="s">
        <v>61</v>
      </c>
      <c r="C47" s="21">
        <v>617.79999999999995</v>
      </c>
    </row>
    <row r="48" spans="1:3" ht="13.2">
      <c r="A48" s="5">
        <f t="shared" si="0"/>
        <v>38</v>
      </c>
      <c r="B48" t="s">
        <v>62</v>
      </c>
      <c r="C48" s="24">
        <v>0</v>
      </c>
    </row>
  </sheetData>
  <mergeCells count="7">
    <mergeCell ref="B9:F9"/>
    <mergeCell ref="B1:F1"/>
    <mergeCell ref="B2:F2"/>
    <mergeCell ref="B3:F3"/>
    <mergeCell ref="B4:F4"/>
    <mergeCell ref="B6:F6"/>
    <mergeCell ref="B8:F8"/>
  </mergeCells>
  <pageMargins left="0.7" right="0.7" top="0.75" bottom="0.75" header="0.3" footer="0.3"/>
  <pageSetup orientation="portrait" r:id="rId1"/>
  <headerFooter>
    <oddHeader xml:space="preserve">&amp;RSchedule II-H-2.1
Page  &amp;P of  27
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H37"/>
  <sheetViews>
    <sheetView workbookViewId="0" topLeftCell="A1"/>
  </sheetViews>
  <sheetFormatPr defaultRowHeight="13.5"/>
  <cols>
    <col min="2" max="2" width="20.2857142857143" customWidth="1"/>
    <col min="3" max="3" width="17.2857142857143" customWidth="1"/>
    <col min="4" max="4" width="18.7142857142857" customWidth="1"/>
    <col min="5" max="5" width="14.7142857142857" customWidth="1"/>
    <col min="6" max="6" width="15.8571428571429" customWidth="1"/>
    <col min="7" max="7" width="11" customWidth="1"/>
  </cols>
  <sheetData>
    <row r="1" spans="1:8" ht="15.6">
      <c r="A1" s="5"/>
      <c r="B1" s="43" t="str">
        <f>+'RES Model'!B1:F1</f>
        <v xml:space="preserve">PUC DOCKET NO. </v>
      </c>
      <c r="C1" s="41"/>
      <c r="D1" s="41"/>
      <c r="E1" s="41"/>
      <c r="F1" s="41"/>
      <c r="G1" s="41"/>
      <c r="H1" s="41"/>
    </row>
    <row r="2" spans="1:8" ht="15.6">
      <c r="A2" s="5"/>
      <c r="B2" s="39" t="str">
        <f>+'RES Model'!B2:F2</f>
        <v>ONCOR ELECTRIC DELIVERY COMPANY LLC</v>
      </c>
      <c r="C2" s="41"/>
      <c r="D2" s="41"/>
      <c r="E2" s="41"/>
      <c r="F2" s="41"/>
      <c r="G2" s="41"/>
      <c r="H2" s="41"/>
    </row>
    <row r="3" spans="1:8" ht="15.6">
      <c r="A3" s="5"/>
      <c r="B3" s="39" t="str">
        <f>+'RES Model'!B3:F3</f>
        <v>MODEL INFORMATION</v>
      </c>
      <c r="C3" s="41"/>
      <c r="D3" s="41"/>
      <c r="E3" s="41"/>
      <c r="F3" s="41"/>
      <c r="G3" s="41"/>
      <c r="H3" s="41"/>
    </row>
    <row r="4" spans="1:8" ht="15.6">
      <c r="A4" s="5"/>
      <c r="B4" s="39" t="str">
        <f>+'RES Model'!B4:F4</f>
        <v>FOR THE TEST YEAR ENDING DECEMBER 31, 2021</v>
      </c>
      <c r="C4" s="41"/>
      <c r="D4" s="41"/>
      <c r="E4" s="41"/>
      <c r="F4" s="41"/>
      <c r="G4" s="41"/>
      <c r="H4" s="41"/>
    </row>
    <row r="5" spans="1:8" ht="13.2">
      <c r="A5" s="5"/>
      <c r="B5" s="1"/>
      <c r="C5" s="1"/>
      <c r="D5" s="1"/>
      <c r="E5" s="1"/>
      <c r="F5" s="1"/>
      <c r="G5" s="1"/>
      <c r="H5" s="1"/>
    </row>
    <row r="6" spans="1:8" ht="15.6">
      <c r="A6" s="5"/>
      <c r="B6" s="39" t="str">
        <f>+'RES Model'!B6:F6</f>
        <v>SPONSOR: D. E. NELSON</v>
      </c>
      <c r="C6" s="41"/>
      <c r="D6" s="41"/>
      <c r="E6" s="41"/>
      <c r="F6" s="41"/>
      <c r="G6" s="41"/>
      <c r="H6" s="41"/>
    </row>
    <row r="8" spans="1:8" ht="13.2">
      <c r="A8" s="5" t="s">
        <v>18</v>
      </c>
      <c r="B8" s="40"/>
      <c r="C8" s="40"/>
      <c r="D8" s="40"/>
      <c r="E8" s="40"/>
      <c r="F8" s="40"/>
      <c r="G8" s="1"/>
      <c r="H8" s="1"/>
    </row>
    <row r="9" spans="1:8" ht="13.2">
      <c r="A9" s="6" t="s">
        <v>19</v>
      </c>
      <c r="B9" s="7"/>
      <c r="C9" s="7"/>
      <c r="D9" s="7"/>
      <c r="E9" s="7"/>
      <c r="F9" s="7"/>
      <c r="G9" s="1"/>
      <c r="H9" s="1"/>
    </row>
    <row r="10" spans="1:8" ht="13.2">
      <c r="A10" s="5">
        <v>1</v>
      </c>
      <c r="B10" s="40" t="s">
        <v>106</v>
      </c>
      <c r="C10" s="41"/>
      <c r="D10" s="41"/>
      <c r="E10" s="41"/>
      <c r="F10" s="41"/>
      <c r="G10" s="41"/>
      <c r="H10" s="41"/>
    </row>
    <row r="11" spans="1:8" ht="13.2">
      <c r="A11" s="5">
        <f t="shared" si="0" ref="A11:A37">+A10+1</f>
        <v>2</v>
      </c>
      <c r="B11" s="40" t="s">
        <v>45</v>
      </c>
      <c r="C11" s="42"/>
      <c r="D11" s="42"/>
      <c r="E11" s="42"/>
      <c r="F11" s="42"/>
      <c r="G11" s="42"/>
      <c r="H11" s="42"/>
    </row>
    <row r="12" spans="1:8" ht="13.2">
      <c r="A12" s="5">
        <f t="shared" si="0"/>
        <v>3</v>
      </c>
      <c r="B12" s="3"/>
      <c r="C12" s="9"/>
      <c r="D12" s="1"/>
      <c r="E12" s="1"/>
      <c r="F12" s="1"/>
      <c r="G12" s="1"/>
      <c r="H12" s="1"/>
    </row>
    <row r="13" spans="1:8" ht="13.2">
      <c r="A13" s="5">
        <f t="shared" si="0"/>
        <v>4</v>
      </c>
      <c r="B13" s="3"/>
      <c r="C13" s="9"/>
      <c r="D13" s="1"/>
      <c r="E13" s="1"/>
      <c r="F13" s="1"/>
      <c r="G13" s="1"/>
      <c r="H13" s="1"/>
    </row>
    <row r="14" spans="1:8" ht="13.2">
      <c r="A14" s="5">
        <f t="shared" si="0"/>
        <v>5</v>
      </c>
      <c r="B14" s="1"/>
      <c r="C14" s="1"/>
      <c r="D14" s="1"/>
      <c r="E14" s="1"/>
      <c r="F14" s="1"/>
      <c r="G14" s="1"/>
      <c r="H14" s="1"/>
    </row>
    <row r="15" spans="1:8" ht="13.2">
      <c r="A15" s="5">
        <f t="shared" si="0"/>
        <v>6</v>
      </c>
      <c r="B15" s="25"/>
      <c r="C15" s="25"/>
      <c r="D15" s="25"/>
      <c r="E15" s="25"/>
      <c r="F15" s="25"/>
      <c r="G15" s="1"/>
      <c r="H15" s="1"/>
    </row>
    <row r="16" spans="1:6" ht="13.2">
      <c r="A16" s="5">
        <f t="shared" si="0"/>
        <v>7</v>
      </c>
      <c r="F16" s="8"/>
    </row>
    <row r="17" spans="1:6" ht="13.2">
      <c r="A17" s="5">
        <f t="shared" si="0"/>
        <v>8</v>
      </c>
      <c r="F17" s="8"/>
    </row>
    <row r="18" spans="1:6" ht="13.2">
      <c r="A18" s="5">
        <f t="shared" si="0"/>
        <v>9</v>
      </c>
      <c r="F18" s="8"/>
    </row>
    <row r="19" spans="1:6" ht="13.2">
      <c r="A19" s="5">
        <f t="shared" si="0"/>
        <v>10</v>
      </c>
      <c r="F19" s="8"/>
    </row>
    <row r="20" spans="1:6" ht="13.2">
      <c r="A20" s="5">
        <f t="shared" si="0"/>
        <v>11</v>
      </c>
      <c r="F20" s="8"/>
    </row>
    <row r="21" spans="1:6" ht="13.2">
      <c r="A21" s="5">
        <f t="shared" si="0"/>
        <v>12</v>
      </c>
      <c r="F21" s="8"/>
    </row>
    <row r="22" spans="1:6" ht="13.2">
      <c r="A22" s="5">
        <f t="shared" si="0"/>
        <v>13</v>
      </c>
      <c r="F22" s="8"/>
    </row>
    <row r="23" spans="1:6" ht="13.2">
      <c r="A23" s="5">
        <f t="shared" si="0"/>
        <v>14</v>
      </c>
      <c r="F23" s="8"/>
    </row>
    <row r="24" spans="1:6" ht="13.2">
      <c r="A24" s="5">
        <f t="shared" si="0"/>
        <v>15</v>
      </c>
      <c r="F24" s="8"/>
    </row>
    <row r="25" spans="1:6" ht="13.2">
      <c r="A25" s="5">
        <f t="shared" si="0"/>
        <v>16</v>
      </c>
      <c r="F25" s="8"/>
    </row>
    <row r="26" spans="1:6" ht="13.2">
      <c r="A26" s="5">
        <f t="shared" si="0"/>
        <v>17</v>
      </c>
      <c r="F26" s="8"/>
    </row>
    <row r="27" spans="1:6" ht="13.2">
      <c r="A27" s="5">
        <f t="shared" si="0"/>
        <v>18</v>
      </c>
      <c r="F27" s="8"/>
    </row>
    <row r="28" spans="1:6" ht="13.2">
      <c r="A28" s="5">
        <f t="shared" si="0"/>
        <v>19</v>
      </c>
      <c r="F28" s="8"/>
    </row>
    <row r="29" spans="1:6" ht="13.2">
      <c r="A29" s="5">
        <f t="shared" si="0"/>
        <v>20</v>
      </c>
      <c r="F29" s="8"/>
    </row>
    <row r="30" spans="1:6" ht="13.2">
      <c r="A30" s="5">
        <f t="shared" si="0"/>
        <v>21</v>
      </c>
      <c r="F30" s="8"/>
    </row>
    <row r="31" spans="1:6" ht="13.2">
      <c r="A31" s="5">
        <f t="shared" si="0"/>
        <v>22</v>
      </c>
      <c r="F31" s="8"/>
    </row>
    <row r="32" spans="1:6" ht="13.2">
      <c r="A32" s="5">
        <f t="shared" si="0"/>
        <v>23</v>
      </c>
      <c r="F32" s="8"/>
    </row>
    <row r="33" spans="1:6" ht="13.2">
      <c r="A33" s="5">
        <f t="shared" si="0"/>
        <v>24</v>
      </c>
      <c r="F33" s="10"/>
    </row>
    <row r="34" spans="1:1" ht="13.2">
      <c r="A34" s="5">
        <f t="shared" si="0"/>
        <v>25</v>
      </c>
    </row>
    <row r="35" spans="1:1" ht="13.2">
      <c r="A35" s="5">
        <f t="shared" si="0"/>
        <v>26</v>
      </c>
    </row>
    <row r="36" spans="1:1" ht="13.2">
      <c r="A36" s="5">
        <f t="shared" si="0"/>
        <v>27</v>
      </c>
    </row>
    <row r="37" spans="1:1" ht="13.2">
      <c r="A37" s="5">
        <f t="shared" si="0"/>
        <v>28</v>
      </c>
    </row>
  </sheetData>
  <mergeCells count="8">
    <mergeCell ref="B10:H10"/>
    <mergeCell ref="B11:H11"/>
    <mergeCell ref="B8:F8"/>
    <mergeCell ref="B1:H1"/>
    <mergeCell ref="B2:H2"/>
    <mergeCell ref="B3:H3"/>
    <mergeCell ref="B4:H4"/>
    <mergeCell ref="B6:H6"/>
  </mergeCells>
  <pageMargins left="0.7" right="0.7" top="0.75" bottom="0.75" header="0.3" footer="0.3"/>
  <pageSetup orientation="portrait" scale="79" r:id="rId2"/>
  <headerFooter>
    <oddHeader xml:space="preserve">&amp;RSchedule II-H-2.1
Page  &amp;P of  27
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RES Model</vt:lpstr>
      <vt:lpstr>RES Model Graph</vt:lpstr>
      <vt:lpstr>SECLE10KW Model</vt:lpstr>
      <vt:lpstr>SECLE10KW Model Graph</vt:lpstr>
      <vt:lpstr>SECGT10KW Model</vt:lpstr>
      <vt:lpstr>SECGT10KW Model Graph</vt:lpstr>
      <vt:lpstr>PRMGT10KWD Model</vt:lpstr>
      <vt:lpstr>PRMGT10KWD Model Graph</vt:lpstr>
      <vt:lpstr>SUB Model</vt:lpstr>
      <vt:lpstr>SUB Model Graph</vt:lpstr>
      <vt:lpstr>RES B Model</vt:lpstr>
      <vt:lpstr>RES B Model Graph</vt:lpstr>
      <vt:lpstr>SECLE10KW B Model</vt:lpstr>
      <vt:lpstr>SECLE10KW B Model Graph</vt:lpstr>
      <vt:lpstr>SECGT10KW B Model</vt:lpstr>
      <vt:lpstr>SECGT10KW B Model Graph</vt:lpstr>
      <vt:lpstr>PRMGT10KWD B Model</vt:lpstr>
      <vt:lpstr>PRMGT10KWD B Model Graph</vt:lpstr>
      <vt:lpstr>SUB B Model</vt:lpstr>
      <vt:lpstr>SUB B Model Graph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