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theme/theme1.xml" ContentType="application/vnd.openxmlformats-officedocument.theme+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Default Extension="bin" ContentType="application/vnd.openxmlformats-officedocument.spreadsheetml.printerSettings"/>
  <Override PartName="/xl/worksheets/sheet1.xml" ContentType="application/vnd.openxmlformats-officedocument.spreadsheetml.worksheet+xml"/>
  <Override PartName="/xl/styles.xml" ContentType="application/vnd.openxmlformats-officedocument.spreadsheetml.styles+xml"/>
  <Override PartName="/xl/sharedStrings.xml" ContentType="application/vnd.openxmlformats-officedocument.spreadsheetml.sharedStrings+xml"/>
  <Override PartName="/xl/externalLinks/externalLink1.xml" ContentType="application/vnd.openxmlformats-officedocument.spreadsheetml.externalLink+xml"/>
  <Override PartName="/xl/calcChain.xml" ContentType="application/vnd.openxmlformats-officedocument.spreadsheetml.calcChain+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4" Type="http://schemas.openxmlformats.org/officeDocument/2006/relationships/custom-properties" Target="docProps/custom.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24226"/>
  <mc:AlternateContent xmlns:mc="http://schemas.openxmlformats.org/markup-compatibility/2006">
    <mc:Choice Requires="x15">
      <x15ac:absPath xmlns:x15ac="http://schemas.microsoft.com/office/spreadsheetml/2010/11/ac" url="E:\Section VI (Other Schedules)\Schedule L (T&amp;D Utility Customer Service)\"/>
    </mc:Choice>
  </mc:AlternateContent>
  <bookViews>
    <workbookView xWindow="0" yWindow="15" windowWidth="15195" windowHeight="8595" activeTab="0"/>
  </bookViews>
  <sheets>
    <sheet name="Schedule" sheetId="1" r:id="rId2"/>
  </sheets>
  <externalReferences>
    <externalReference r:id="rId5"/>
  </externalReferences>
  <definedNames>
    <definedName name="_xlnm.Print_Area" localSheetId="0">Schedule!$A$1:$E$16</definedName>
  </definedNames>
  <calcPr calcId="152511"/>
</workbook>
</file>

<file path=xl/calcChain.xml><?xml version="1.0" encoding="utf-8"?>
<calcChain xmlns="http://schemas.openxmlformats.org/spreadsheetml/2006/main">
  <c r="C14" i="1" l="1"/>
</calcChain>
</file>

<file path=xl/sharedStrings.xml><?xml version="1.0" encoding="utf-8"?>
<sst xmlns="http://schemas.openxmlformats.org/spreadsheetml/2006/main" count="35" uniqueCount="29">
  <si>
    <t>Communications</t>
  </si>
  <si>
    <t>Proactive initiatives to reach key audiences with regulatory requirements, safety and education programs.</t>
  </si>
  <si>
    <t>Corporate</t>
  </si>
  <si>
    <t>Customer Operations</t>
  </si>
  <si>
    <t>Economic Development</t>
  </si>
  <si>
    <t>Energy Efficiency</t>
  </si>
  <si>
    <t>Market Operations</t>
  </si>
  <si>
    <t>Grand Total</t>
  </si>
  <si>
    <t>Direct Assigned and Schedule II-F factors</t>
  </si>
  <si>
    <t>Manage and administer energy efficiency programs pursuant to Section 39.905 of the Public Utility Regulatory Act and Public Utility Commission of Texas Substantive Rule 25.181.</t>
  </si>
  <si>
    <t>Service</t>
  </si>
  <si>
    <t>Description / Justification</t>
  </si>
  <si>
    <t>FERC
Accounts</t>
  </si>
  <si>
    <t>Test Year
Cost</t>
  </si>
  <si>
    <t>Assignment Methodology</t>
  </si>
  <si>
    <t>Provide executive leadership, oversight, and guidance in the management of the Customer Services function goals and objectives.</t>
  </si>
  <si>
    <t>Provide communications to and receive communications from consumers.  Cultivate and sustain effective consumer and community relationships with key stakeholders.</t>
  </si>
  <si>
    <t>Note:  Oncor now recovers all costs for its Energy Efficiency programs through an Energy Efficiency Cost Recovery Factor, as opposed to base rates, pursuant to Rule 25.181(f) and the Commission's authorization in Docket No. 35717.</t>
  </si>
  <si>
    <t>Economic Development activities benefit the Company through an increase in the consumer base, but there also are significant benefits to the communities being served via increased tax revenue, the creation of new employment opportunities, and reinvestment.</t>
  </si>
  <si>
    <t>Interface with Retail Electric Providers (REPS) to ensure accuracy of information provided to REPS and received from REPS and maintain/develop system process improvements.</t>
  </si>
  <si>
    <t>Administrative &amp; General</t>
  </si>
  <si>
    <t>A908,A921,A926</t>
  </si>
  <si>
    <t>Corporate professional services including Finance, Accounting, Human Resources, etc.</t>
  </si>
  <si>
    <t>A920,A921,A923,A926,A930.1,
A930.2,A931</t>
  </si>
  <si>
    <t>A901,A903,A904,A920,A921,
A923,A926,A930.2,A931,A935</t>
  </si>
  <si>
    <t>A580,A588,A903,A908,A920,
A921,A923,A926,A930.1,A930.2,A931</t>
  </si>
  <si>
    <t>A908,A920,A921,A923,A926,
A930.1,A930.2,A931</t>
  </si>
  <si>
    <t>A901,A920,A921,A923,A926,
A930.2,A931,A932,A935</t>
  </si>
  <si>
    <t>A588,A903,A908,A920,A921,
A923,A926,A930.2</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</si>
</sst>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2" formatCode="_(&quot;$&quot;* #,##0_);_(&quot;$&quot;* \(#,##0\);_(&quot;$&quot;* &quot;-&quot;_);_(@_)"/>
    <numFmt numFmtId="41" formatCode="_(* #,##0_);_(* \(#,##0\);_(* &quot;-&quot;_);_(@_)"/>
    <numFmt numFmtId="44" formatCode="_(&quot;$&quot;* #,##0.00_);_(&quot;$&quot;* \(#,##0.00\);_(&quot;$&quot;* &quot;-&quot;??_);_(@_)"/>
  </numFmts>
  <fonts count="5">
    <font>
      <sz val="10"/>
      <name val="Arial"/>
      <family val="2"/>
    </font>
    <font>
      <sz val="10"/>
      <color theme="1"/>
      <name val="Arial"/>
      <family val="2"/>
    </font>
    <font>
      <b/>
      <sz val="10"/>
      <name val="Arial"/>
      <family val="2"/>
    </font>
    <font>
      <vertAlign val="superscript"/>
      <sz val="12"/>
      <name val="Arial"/>
      <family val="2"/>
    </font>
    <font>
      <sz val="12"/>
      <name val="Arial"/>
      <family val="2"/>
    </font>
  </fonts>
  <fills count="3">
    <fill>
      <patternFill patternType="none"/>
    </fill>
    <fill>
      <patternFill patternType="gray125"/>
    </fill>
    <fill>
      <patternFill patternType="solid">
        <fgColor indexed="9"/>
        <bgColor indexed="64"/>
      </patternFill>
    </fill>
  </fills>
  <borders count="5">
    <border>
      <left/>
      <right/>
      <top/>
      <bottom/>
      <diagonal/>
    </border>
    <border>
      <left style="thin">
        <color indexed="8"/>
      </left>
      <right/>
      <top style="thin">
        <color indexed="8"/>
      </top>
      <bottom/>
    </border>
    <border>
      <left style="thin">
        <color indexed="8"/>
      </left>
      <right style="thin">
        <color indexed="8"/>
      </right>
      <top style="thin">
        <color indexed="8"/>
      </top>
      <bottom/>
    </border>
    <border>
      <left/>
      <right/>
      <top style="thin">
        <color indexed="8"/>
      </top>
      <bottom/>
    </border>
    <border>
      <left/>
      <right/>
      <top style="thin">
        <color auto="1"/>
      </top>
      <bottom style="double">
        <color auto="1"/>
      </bottom>
    </border>
  </borders>
  <cellStyleXfs count="20">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0"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cellStyleXfs>
  <cellXfs count="25">
    <xf numFmtId="0" fontId="0" fillId="0" borderId="0" xfId="0"/>
    <xf numFmtId="0" fontId="0" fillId="0" borderId="0" xfId="0" applyAlignment="1">
      <alignment wrapText="1"/>
    </xf>
    <xf numFmtId="4" fontId="0" fillId="0" borderId="0" xfId="0" applyNumberFormat="1"/>
    <xf numFmtId="0" fontId="0" fillId="0" borderId="1" xfId="0" applyBorder="1" applyAlignment="1">
      <alignment wrapText="1"/>
    </xf>
    <xf numFmtId="0" fontId="0" fillId="0" borderId="1" xfId="0" applyBorder="1" applyAlignment="1">
      <alignment horizontal="center"/>
    </xf>
    <xf numFmtId="0" fontId="2" fillId="2" borderId="1" xfId="0" applyFont="1" applyFill="1" applyBorder="1" applyAlignment="1">
      <alignment horizontal="center"/>
    </xf>
    <xf numFmtId="0" fontId="2" fillId="2" borderId="1" xfId="0" applyFont="1" applyFill="1" applyBorder="1" applyAlignment="1">
      <alignment horizontal="center" wrapText="1"/>
    </xf>
    <xf numFmtId="0" fontId="2" fillId="2" borderId="0" xfId="0" applyFont="1" applyFill="1" applyAlignment="1">
      <alignment horizontal="center"/>
    </xf>
    <xf numFmtId="0" fontId="2" fillId="0" borderId="0" xfId="0" applyFont="1"/>
    <xf numFmtId="0" fontId="2" fillId="0" borderId="2" xfId="0" applyFont="1" applyBorder="1" applyAlignment="1">
      <alignment horizontal="center" wrapText="1"/>
    </xf>
    <xf numFmtId="0" fontId="2" fillId="2" borderId="2" xfId="0" applyFont="1" applyFill="1" applyBorder="1" applyAlignment="1">
      <alignment horizontal="center" wrapText="1"/>
    </xf>
    <xf numFmtId="0" fontId="0" fillId="0" borderId="2" xfId="0" applyBorder="1" applyAlignment="1">
      <alignment horizontal="center" wrapText="1"/>
    </xf>
    <xf numFmtId="0" fontId="2" fillId="0" borderId="3" xfId="0" applyFont="1" applyBorder="1"/>
    <xf numFmtId="0" fontId="0" fillId="0" borderId="1" xfId="0" applyFont="1" applyBorder="1" applyAlignment="1">
      <alignment horizontal="center"/>
    </xf>
    <xf numFmtId="41" fontId="0" fillId="0" borderId="2" xfId="0" applyNumberFormat="1" applyBorder="1"/>
    <xf numFmtId="42" fontId="0" fillId="0" borderId="2" xfId="16" applyNumberFormat="1" applyFont="1" applyBorder="1"/>
    <xf numFmtId="42" fontId="2" fillId="0" borderId="4" xfId="16" applyNumberFormat="1" applyFont="1" applyBorder="1"/>
    <xf numFmtId="0" fontId="0" fillId="0" borderId="1" xfId="0" applyFont="1" applyBorder="1" applyAlignment="1">
      <alignment wrapText="1"/>
    </xf>
    <xf numFmtId="0" fontId="0" fillId="0" borderId="1" xfId="0" applyFont="1" applyBorder="1" applyAlignment="1">
      <alignment horizontal="left" wrapText="1"/>
    </xf>
    <xf numFmtId="3" fontId="0" fillId="0" borderId="1" xfId="0" applyNumberFormat="1" applyFont="1" applyBorder="1" applyAlignment="1">
      <alignment horizontal="left" wrapText="1"/>
    </xf>
    <xf numFmtId="3" fontId="0" fillId="0" borderId="1" xfId="0" applyNumberFormat="1" applyFont="1" applyBorder="1" applyAlignment="1" quotePrefix="1">
      <alignment horizontal="left" wrapText="1"/>
    </xf>
    <xf numFmtId="3" fontId="0" fillId="0" borderId="1" xfId="0" applyNumberFormat="1" applyFont="1" applyBorder="1" applyAlignment="1" quotePrefix="1">
      <alignment horizontal="left"/>
    </xf>
    <xf numFmtId="0" fontId="3" fillId="0" borderId="0" xfId="0" applyFont="1" applyAlignment="1">
      <alignment wrapText="1"/>
    </xf>
    <xf numFmtId="0" fontId="4" fillId="0" borderId="0" xfId="0" applyFont="1" applyAlignment="1">
      <alignment wrapText="1"/>
    </xf>
    <xf numFmtId="0" fontId="2" fillId="0" borderId="0" xfId="0" applyFont="1" applyAlignment="1">
      <alignment horizontal="center"/>
    </xf>
  </cellXfs>
  <cellStyles count="6">
    <cellStyle name="Normal" xfId="0" builtinId="0"/>
    <cellStyle name="Percent" xfId="15" builtinId="5"/>
    <cellStyle name="Currency" xfId="16" builtinId="4"/>
    <cellStyle name="Currency [0]" xfId="17" builtinId="7"/>
    <cellStyle name="Comma" xfId="18" builtinId="3"/>
    <cellStyle name="Comma [0]" xfId="19"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5" Type="http://schemas.openxmlformats.org/officeDocument/2006/relationships/externalLink" Target="externalLinks/externalLink1.xml" /><Relationship Id="rId1" Type="http://schemas.openxmlformats.org/officeDocument/2006/relationships/theme" Target="theme/theme1.xml" /><Relationship Id="rId2" Type="http://schemas.openxmlformats.org/officeDocument/2006/relationships/worksheet" Target="worksheets/sheet1.xml" /><Relationship Id="rId4" Type="http://schemas.openxmlformats.org/officeDocument/2006/relationships/sharedStrings" Target="sharedStrings.xml" /><Relationship Id="rId6" Type="http://schemas.openxmlformats.org/officeDocument/2006/relationships/calcChain" Target="calcChain.xml" /><Relationship Id="rId3" Type="http://schemas.openxmlformats.org/officeDocument/2006/relationships/styles" Target="styles.xml" /></Relationships>
</file>

<file path=xl/externalLinks/_rels/externalLink1.xml.rels><?xml version="1.0" encoding="UTF-8" standalone="yes"?><Relationships xmlns="http://schemas.openxmlformats.org/package/2006/relationships"><Relationship Id="rId1" Type="http://schemas.openxmlformats.org/officeDocument/2006/relationships/externalLinkPath" Target="/Schedule%20Headings.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nput Data"/>
      <sheetName val="Schedule Sponsors"/>
    </sheetNames>
    <sheetDataSet>
      <sheetData sheetId="0">
        <row r="2">
          <cell r="A2" t="str">
            <v>ONCOR ELECTRIC DELIVERY COMPANY LLC</v>
          </cell>
        </row>
        <row r="9">
          <cell r="A9" t="str">
            <v>2022 RATE CASE</v>
          </cell>
        </row>
      </sheetData>
      <sheetData sheetId="1">
        <row r="189">
          <cell r="B189" t="str">
            <v>TRANSMISSION &amp; DISTRIBUTION UTILITY CUSTOMER SERVICES</v>
          </cell>
          <cell r="D189" t="str">
            <v>W. ALAN LEDBETTER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printerSettings" Target="../printerSettings/printerSettings1.bin"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m="http://schemas.microsoft.com/office/excel/2006/main" xmlns:x14ac="http://schemas.microsoft.com/office/spreadsheetml/2009/9/ac" mc:Ignorable="x14ac">
  <sheetPr>
    <pageSetUpPr fitToPage="1"/>
  </sheetPr>
  <dimension ref="A1:E16"/>
  <sheetViews>
    <sheetView tabSelected="1" workbookViewId="0" topLeftCell="A1">
      <selection pane="topLeft" activeCell="D19" sqref="D19"/>
    </sheetView>
  </sheetViews>
  <sheetFormatPr defaultRowHeight="12.75"/>
  <cols>
    <col min="1" max="1" width="23.5714285714286" bestFit="1" customWidth="1"/>
    <col min="2" max="2" width="60.7142857142857" style="1" customWidth="1"/>
    <col min="3" max="3" width="20.5714285714286" style="2" bestFit="1" customWidth="1"/>
    <col min="4" max="4" width="27.5714285714286" style="1" customWidth="1"/>
    <col min="5" max="5" width="60" style="1" customWidth="1"/>
  </cols>
  <sheetData>
    <row r="1" spans="1:5" ht="12.75">
      <c r="A1" s="24" t="str">
        <f>+'[1]Input Data'!$A$9</f>
        <v>2022 RATE CASE</v>
      </c>
      <c r="B1" s="24"/>
      <c r="C1" s="24"/>
      <c r="D1" s="24"/>
      <c r="E1" s="24"/>
    </row>
    <row r="2" spans="1:5" ht="12.75">
      <c r="A2" s="24" t="str">
        <f>+'[1]Input Data'!$A$2</f>
        <v>ONCOR ELECTRIC DELIVERY COMPANY LLC</v>
      </c>
      <c r="B2" s="24"/>
      <c r="C2" s="24"/>
      <c r="D2" s="24"/>
      <c r="E2" s="24"/>
    </row>
    <row r="3" spans="1:5" ht="12.75">
      <c r="A3" s="24" t="str">
        <f>+'[1]Schedule Sponsors'!$B$189</f>
        <v>TRANSMISSION &amp; DISTRIBUTION UTILITY CUSTOMER SERVICES</v>
      </c>
      <c r="B3" s="24"/>
      <c r="C3" s="24"/>
      <c r="D3" s="24"/>
      <c r="E3" s="24"/>
    </row>
    <row r="4" spans="1:5" ht="12.75">
      <c r="A4" s="24" t="str">
        <f>CONCATENATE("SPONSORS: ",'[1]Schedule Sponsors'!$D$189)</f>
        <v>SPONSORS: W. ALAN LEDBETTER</v>
      </c>
      <c r="B4" s="24"/>
      <c r="C4" s="24"/>
      <c r="D4" s="24"/>
      <c r="E4" s="24"/>
    </row>
    <row r="6" spans="1:5" s="7" customFormat="1" ht="25.5">
      <c r="A6" s="5" t="s">
        <v>10</v>
      </c>
      <c r="B6" s="6" t="s">
        <v>11</v>
      </c>
      <c r="C6" s="9" t="s">
        <v>13</v>
      </c>
      <c r="D6" s="6" t="s">
        <v>12</v>
      </c>
      <c r="E6" s="10" t="s">
        <v>14</v>
      </c>
    </row>
    <row r="7" spans="1:5" ht="25.5">
      <c r="A7" s="4" t="s">
        <v>0</v>
      </c>
      <c r="B7" s="3" t="s">
        <v>1</v>
      </c>
      <c r="C7" s="15">
        <v>4212556.46</v>
      </c>
      <c r="D7" s="18" t="s">
        <v>23</v>
      </c>
      <c r="E7" s="11" t="s">
        <v>8</v>
      </c>
    </row>
    <row r="8" spans="1:5" ht="25.5">
      <c r="A8" s="4" t="s">
        <v>2</v>
      </c>
      <c r="B8" s="3" t="s">
        <v>15</v>
      </c>
      <c r="C8" s="14">
        <v>5201788.9999999907</v>
      </c>
      <c r="D8" s="18" t="s">
        <v>24</v>
      </c>
      <c r="E8" s="11" t="s">
        <v>8</v>
      </c>
    </row>
    <row r="9" spans="1:5" ht="38.25">
      <c r="A9" s="4" t="s">
        <v>3</v>
      </c>
      <c r="B9" s="3" t="s">
        <v>16</v>
      </c>
      <c r="C9" s="14">
        <v>16729355.4</v>
      </c>
      <c r="D9" s="19" t="s">
        <v>25</v>
      </c>
      <c r="E9" s="11" t="s">
        <v>8</v>
      </c>
    </row>
    <row r="10" spans="1:5" ht="51">
      <c r="A10" s="4" t="s">
        <v>4</v>
      </c>
      <c r="B10" s="3" t="s">
        <v>18</v>
      </c>
      <c r="C10" s="14">
        <v>911310.66000000003</v>
      </c>
      <c r="D10" s="19" t="s">
        <v>26</v>
      </c>
      <c r="E10" s="11" t="s">
        <v>8</v>
      </c>
    </row>
    <row r="11" spans="1:5" ht="38.25">
      <c r="A11" s="4" t="s">
        <v>5</v>
      </c>
      <c r="B11" s="3" t="s">
        <v>9</v>
      </c>
      <c r="C11" s="14">
        <v>46332491.310000002</v>
      </c>
      <c r="D11" s="21" t="s">
        <v>21</v>
      </c>
      <c r="E11" s="11" t="s">
        <v>8</v>
      </c>
    </row>
    <row r="12" spans="1:5" ht="25.5">
      <c r="A12" s="13" t="s">
        <v>20</v>
      </c>
      <c r="B12" s="17" t="s">
        <v>22</v>
      </c>
      <c r="C12" s="14">
        <v>3344112.4300000011</v>
      </c>
      <c r="D12" s="18" t="s">
        <v>27</v>
      </c>
      <c r="E12" s="11" t="s">
        <v>8</v>
      </c>
    </row>
    <row r="13" spans="1:5" ht="38.25">
      <c r="A13" s="4" t="s">
        <v>6</v>
      </c>
      <c r="B13" s="3" t="s">
        <v>19</v>
      </c>
      <c r="C13" s="14">
        <v>17594038.32</v>
      </c>
      <c r="D13" s="20" t="s">
        <v>28</v>
      </c>
      <c r="E13" s="11" t="s">
        <v>8</v>
      </c>
    </row>
    <row r="14" spans="1:5" s="8" customFormat="1" ht="13.5" thickBot="1">
      <c r="A14" s="12" t="s">
        <v>7</v>
      </c>
      <c r="B14" s="12"/>
      <c r="C14" s="16">
        <f>SUM(C7:C13)</f>
        <v>94325653.580000013</v>
      </c>
      <c r="D14" s="12"/>
      <c r="E14" s="12"/>
    </row>
    <row r="15" ht="13.5" thickTop="1"/>
    <row r="16" spans="1:5" ht="35.25" customHeight="1">
      <c r="A16" s="22" t="s">
        <v>17</v>
      </c>
      <c r="B16" s="23"/>
      <c r="C16" s="23"/>
      <c r="D16" s="23"/>
      <c r="E16" s="23"/>
    </row>
  </sheetData>
  <mergeCells count="5">
    <mergeCell ref="A16:E16"/>
    <mergeCell ref="A1:E1"/>
    <mergeCell ref="A2:E2"/>
    <mergeCell ref="A3:E3"/>
    <mergeCell ref="A4:E4"/>
  </mergeCells>
  <printOptions horizontalCentered="1"/>
  <pageMargins left="0.5" right="0.5" top="2" bottom="0.5" header="1.5" footer="0.5"/>
  <pageSetup orientation="landscape" scale="67" r:id="rId1"/>
  <headerFooter alignWithMargins="0">
    <oddHeader>&amp;R&amp;"Arial,Bold"Schedule L
Page &amp;P of &amp;N</oddHeader>
  </headerFooter>
</worksheet>
</file>

<file path=docProps/app.xml><?xml version="1.0" encoding="utf-8"?>
<Properties xmlns="http://schemas.openxmlformats.org/officeDocument/2006/extended-properties" xmlns:vt="http://schemas.openxmlformats.org/officeDocument/2006/docPropsVTypes">
  <Application>Microsoft Excel</Application>
  <AppVersion>15.0300</AppVersion>
  <DocSecurity>0</DocSecurity>
  <ScaleCrop>false</ScaleCrop>
  <HeadingPairs>
    <vt:vector size="2" baseType="variant">
      <vt:variant>
        <vt:lpstr>Worksheets</vt:lpstr>
      </vt:variant>
      <vt:variant>
        <vt:i4>1</vt:i4>
      </vt:variant>
    </vt:vector>
  </HeadingPairs>
  <TitlesOfParts>
    <vt:vector size="1" baseType="lpstr">
      <vt:lpstr>Schedule</vt:lpstr>
    </vt:vector>
  </TitlesOfParts>
  <Template/>
  <Manager/>
  <Company/>
  <LinksUpToDate>false</LinksUpToDate>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