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2022 Rate Case\WP\"/>
    </mc:Choice>
  </mc:AlternateContent>
  <bookViews>
    <workbookView xWindow="480" yWindow="255" windowWidth="19410" windowHeight="10230" activeTab="0"/>
  </bookViews>
  <sheets>
    <sheet name="Summary" sheetId="2" r:id="rId2"/>
    <sheet name="Poles" sheetId="4" r:id="rId3"/>
    <sheet name="Conductors" sheetId="3" r:id="rId4"/>
    <sheet name="Other 365-368" sheetId="5" r:id="rId5"/>
  </sheets>
  <definedNames>
    <definedName name="_xlnm.Print_Area" localSheetId="2">Conductors!$A$1:$F$21</definedName>
    <definedName name="_xlnm.Print_Area" localSheetId="3">'Other 365-368'!$A$1:$J$44</definedName>
    <definedName name="_xlnm.Print_Area" localSheetId="1">Poles!$A$1:$F$18</definedName>
    <definedName name="_xlnm.Print_Area" localSheetId="0">Summary!$A$1:$H$58</definedName>
    <definedName name="_xlnm.Print_Titles" localSheetId="0">Summary!$1:$9</definedName>
  </definedNames>
  <calcPr calcId="152511"/>
</workbook>
</file>

<file path=xl/calcChain.xml><?xml version="1.0" encoding="utf-8"?>
<calcChain xmlns="http://schemas.openxmlformats.org/spreadsheetml/2006/main">
  <c r="F58" i="2" l="1"/>
</calcChain>
</file>

<file path=xl/sharedStrings.xml><?xml version="1.0" encoding="utf-8"?>
<sst xmlns="http://schemas.openxmlformats.org/spreadsheetml/2006/main" count="176" uniqueCount="92">
  <si>
    <t>line</t>
  </si>
  <si>
    <t>Account 364</t>
  </si>
  <si>
    <t>Total</t>
  </si>
  <si>
    <t>Primary</t>
  </si>
  <si>
    <t>Secondary</t>
  </si>
  <si>
    <t>Other</t>
  </si>
  <si>
    <t>Comment</t>
  </si>
  <si>
    <t>(a)</t>
  </si>
  <si>
    <t>(b)</t>
  </si>
  <si>
    <t>(c)</t>
  </si>
  <si>
    <t>(d)</t>
  </si>
  <si>
    <t>(e)</t>
  </si>
  <si>
    <t>Primary Only</t>
  </si>
  <si>
    <t>Secondary Only</t>
  </si>
  <si>
    <t>Primary and Secondary</t>
  </si>
  <si>
    <t>Total Percentage</t>
  </si>
  <si>
    <t>Description</t>
  </si>
  <si>
    <t>Account 365</t>
  </si>
  <si>
    <t>Neutral</t>
  </si>
  <si>
    <t>Devices</t>
  </si>
  <si>
    <t>Total Account</t>
  </si>
  <si>
    <t>Account 367</t>
  </si>
  <si>
    <t>Devices such as switchgear are generally primary</t>
  </si>
  <si>
    <t>Network</t>
  </si>
  <si>
    <t>Account 366</t>
  </si>
  <si>
    <t>Conduit</t>
  </si>
  <si>
    <t>Split on the basis of account 367</t>
  </si>
  <si>
    <t>Pads</t>
  </si>
  <si>
    <t>Primary Box</t>
  </si>
  <si>
    <t>Secondary Box</t>
  </si>
  <si>
    <t>Account 368</t>
  </si>
  <si>
    <t>Capacitors</t>
  </si>
  <si>
    <t>Other transformers are related to secondary</t>
  </si>
  <si>
    <t>Primary Poles</t>
  </si>
  <si>
    <t>Secondary Poles</t>
  </si>
  <si>
    <t>Primary &amp; Secondary Poles</t>
  </si>
  <si>
    <t>Guardlights</t>
  </si>
  <si>
    <t>Network Manholes</t>
  </si>
  <si>
    <t>Other Manholes</t>
  </si>
  <si>
    <t>Auto Transformers</t>
  </si>
  <si>
    <t>Regulators</t>
  </si>
  <si>
    <t>Auto Transformers are related to Primary</t>
  </si>
  <si>
    <t>Regulators are related to Primary</t>
  </si>
  <si>
    <t>Vaults</t>
  </si>
  <si>
    <t>Conductor subtotal</t>
  </si>
  <si>
    <t>Conductor Percentage</t>
  </si>
  <si>
    <t>Primary Conductor Only</t>
  </si>
  <si>
    <t>Secondary Conductor Only</t>
  </si>
  <si>
    <t>Non-Network manholes are usually primary</t>
  </si>
  <si>
    <t>Pads are usually secondary</t>
  </si>
  <si>
    <t>Split proportionately between primary and secondary</t>
  </si>
  <si>
    <t>Primary OH Conductor</t>
  </si>
  <si>
    <t>Primary UG Conductor</t>
  </si>
  <si>
    <t>Neutral Conductor</t>
  </si>
  <si>
    <t>Secondary OH Conductor</t>
  </si>
  <si>
    <t>Secondary UG Conductor</t>
  </si>
  <si>
    <t>Street Light OH Conductor</t>
  </si>
  <si>
    <t>Street Light UG Conductor</t>
  </si>
  <si>
    <t>Plant Acct</t>
  </si>
  <si>
    <t>ONCOR ELECTRIC DELIVERY COMPANY LLC</t>
  </si>
  <si>
    <t>&lt;&lt;&lt;   &lt;&lt;&lt;   &lt;&lt;&lt;</t>
  </si>
  <si>
    <t>Neutral is split equally between primary and secondary</t>
  </si>
  <si>
    <t>Network customers are secondary</t>
  </si>
  <si>
    <t>Conduit is split on the basis of account 367 Conductor</t>
  </si>
  <si>
    <t>WORKPAPER - PRIMARY / SECONDARY SPLIT</t>
  </si>
  <si>
    <t>WORKPAPER - Summary of Poles</t>
  </si>
  <si>
    <t>WORKPAPER - Summary of Conductors</t>
  </si>
  <si>
    <t>Account</t>
  </si>
  <si>
    <t>Investment</t>
  </si>
  <si>
    <t>Key</t>
  </si>
  <si>
    <t>Device</t>
  </si>
  <si>
    <t xml:space="preserve">Wire </t>
  </si>
  <si>
    <t>Grand Total</t>
  </si>
  <si>
    <t>Manhole</t>
  </si>
  <si>
    <t>Pad</t>
  </si>
  <si>
    <t>Vault</t>
  </si>
  <si>
    <t>Cable</t>
  </si>
  <si>
    <t>Auto Transformer</t>
  </si>
  <si>
    <t>Capacitor Total</t>
  </si>
  <si>
    <t>Other Total</t>
  </si>
  <si>
    <t>Regulator Total</t>
  </si>
  <si>
    <t>check:</t>
  </si>
  <si>
    <t>365</t>
  </si>
  <si>
    <t>367</t>
  </si>
  <si>
    <t>Devices such as switches are generally primary</t>
  </si>
  <si>
    <t>Network Manholes:</t>
  </si>
  <si>
    <t>Non-Network Manholes:</t>
  </si>
  <si>
    <t>WORKPAPER - SUMMARY OF KEY ACCOUNTS</t>
  </si>
  <si>
    <t>CLASS ALLOCATION FACTORS</t>
  </si>
  <si>
    <t>SPONSOR:  MATTHEW A. TROXLE</t>
  </si>
  <si>
    <t>2022 RATE CASE</t>
  </si>
  <si>
    <t>FOR THE TEST YEAR ENDING 12/31/2021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</si>
</sst>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0.0000%"/>
    <numFmt numFmtId="167" formatCode="&quot;$&quot;#,##0"/>
    <numFmt numFmtId="168" formatCode="_(* #,##0_);_(* \(#,##0\);_(* &quot;-&quot;??_);_(@_)"/>
    <numFmt numFmtId="169" formatCode="_(* #,##0.00000_);_(* \(#,##0.00000\);_(* &quot;-&quot;??_);_(@_)"/>
  </numFmts>
  <fonts count="30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u val="single"/>
      <sz val="11"/>
      <name val="Arial"/>
      <family val="2"/>
    </font>
    <font>
      <sz val="11"/>
      <color theme="7" tint="-0.24997"/>
      <name val="Calibri"/>
      <family val="2"/>
      <scheme val="minor"/>
    </font>
    <font>
      <sz val="9"/>
      <color theme="7" tint="-0.24997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name val="Arial Unicode MS"/>
      <family val="2"/>
    </font>
    <font>
      <sz val="11"/>
      <name val="Calibri"/>
      <family val="2"/>
      <scheme val="minor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3" tint="0.39998"/>
      <name val="Calibri"/>
      <family val="2"/>
      <scheme val="minor"/>
    </font>
    <font>
      <sz val="10"/>
      <color theme="3" tint="0.39998"/>
      <name val="Arial"/>
      <family val="2"/>
    </font>
    <font>
      <sz val="11"/>
      <color theme="3" tint="0.39998"/>
      <name val="Arial"/>
      <family val="2"/>
    </font>
    <font>
      <sz val="9"/>
      <color theme="4" tint="-0.49997"/>
      <name val="Arial"/>
      <family val="2"/>
    </font>
    <font>
      <sz val="12"/>
      <color theme="3" tint="0.39998"/>
      <name val="Arial"/>
      <family val="2"/>
    </font>
    <font>
      <u val="single"/>
      <sz val="11"/>
      <name val="Arial"/>
      <family val="2"/>
    </font>
    <font>
      <u val="singleAccounting"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</border>
  </borders>
  <cellStyleXfs count="3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>
      <alignment/>
      <protection/>
    </xf>
    <xf numFmtId="0" fontId="5" fillId="0" borderId="0">
      <alignment/>
      <protection/>
    </xf>
    <xf numFmtId="0" fontId="2" fillId="0" borderId="0">
      <alignment/>
      <protection/>
    </xf>
    <xf numFmtId="43" fontId="2" fillId="0" borderId="0" applyFon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43" fontId="2" fillId="0" borderId="0" applyFont="0" applyFill="0" applyBorder="0" applyAlignment="0" applyProtection="0"/>
    <xf numFmtId="0" fontId="2" fillId="0" borderId="0">
      <alignment/>
      <protection/>
    </xf>
    <xf numFmtId="43" fontId="2" fillId="0" borderId="0" applyFont="0" applyFill="0" applyBorder="0" applyAlignment="0" applyProtection="0"/>
    <xf numFmtId="0" fontId="17" fillId="0" borderId="0">
      <alignment/>
      <protection/>
    </xf>
  </cellStyleXfs>
  <cellXfs count="136">
    <xf numFmtId="0" fontId="0" fillId="0" borderId="0" xfId="0"/>
    <xf numFmtId="0" fontId="4" fillId="0" borderId="0" xfId="0" applyFont="1" applyFill="1"/>
    <xf numFmtId="40" fontId="4" fillId="0" borderId="0" xfId="0" applyNumberFormat="1" applyFont="1" applyFill="1"/>
    <xf numFmtId="40" fontId="5" fillId="0" borderId="0" xfId="20" applyNumberFormat="1">
      <alignment/>
      <protection/>
    </xf>
    <xf numFmtId="0" fontId="5" fillId="0" borderId="0" xfId="20">
      <alignment/>
      <protection/>
    </xf>
    <xf numFmtId="40" fontId="5" fillId="0" borderId="0" xfId="21" applyNumberFormat="1">
      <alignment/>
      <protection/>
    </xf>
    <xf numFmtId="0" fontId="5" fillId="0" borderId="0" xfId="21">
      <alignment/>
      <protection/>
    </xf>
    <xf numFmtId="0" fontId="6" fillId="0" borderId="0" xfId="20" applyFont="1">
      <alignment/>
      <protection/>
    </xf>
    <xf numFmtId="40" fontId="6" fillId="0" borderId="0" xfId="20" applyNumberFormat="1" applyFont="1">
      <alignment/>
      <protection/>
    </xf>
    <xf numFmtId="0" fontId="7" fillId="0" borderId="0" xfId="0" applyFont="1" applyFill="1"/>
    <xf numFmtId="40" fontId="7" fillId="0" borderId="0" xfId="0" applyNumberFormat="1" applyFont="1" applyFill="1"/>
    <xf numFmtId="0" fontId="8" fillId="0" borderId="0" xfId="0" applyFont="1" applyAlignment="1">
      <alignment horizontal="center"/>
    </xf>
    <xf numFmtId="40" fontId="8" fillId="0" borderId="1" xfId="0" applyNumberFormat="1" applyFont="1" applyFill="1" applyBorder="1" applyAlignment="1">
      <alignment horizontal="center"/>
    </xf>
    <xf numFmtId="40" fontId="7" fillId="0" borderId="0" xfId="0" applyNumberFormat="1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165" fontId="7" fillId="0" borderId="0" xfId="16" applyNumberFormat="1" applyFont="1" applyFill="1"/>
    <xf numFmtId="38" fontId="7" fillId="0" borderId="0" xfId="0" applyNumberFormat="1" applyFont="1" applyFill="1" applyBorder="1"/>
    <xf numFmtId="40" fontId="7" fillId="0" borderId="0" xfId="0" applyNumberFormat="1" applyFont="1" applyFill="1" applyAlignment="1">
      <alignment horizontal="left" indent="2"/>
    </xf>
    <xf numFmtId="38" fontId="7" fillId="0" borderId="0" xfId="0" applyNumberFormat="1" applyFont="1" applyFill="1"/>
    <xf numFmtId="164" fontId="8" fillId="0" borderId="0" xfId="15" applyNumberFormat="1" applyFont="1" applyFill="1"/>
    <xf numFmtId="164" fontId="8" fillId="0" borderId="0" xfId="15" applyNumberFormat="1" applyFont="1" applyFill="1" applyBorder="1"/>
    <xf numFmtId="40" fontId="7" fillId="0" borderId="0" xfId="0" applyNumberFormat="1" applyFont="1" applyFill="1" applyAlignment="1">
      <alignment horizontal="left"/>
    </xf>
    <xf numFmtId="49" fontId="7" fillId="0" borderId="0" xfId="0" applyNumberFormat="1" applyFont="1" applyFill="1" applyAlignment="1">
      <alignment horizontal="left" indent="2"/>
    </xf>
    <xf numFmtId="164" fontId="7" fillId="0" borderId="0" xfId="15" applyNumberFormat="1" applyFont="1" applyFill="1"/>
    <xf numFmtId="164" fontId="7" fillId="0" borderId="0" xfId="15" applyNumberFormat="1" applyFont="1" applyFill="1" applyBorder="1"/>
    <xf numFmtId="40" fontId="7" fillId="0" borderId="0" xfId="0" applyNumberFormat="1" applyFont="1"/>
    <xf numFmtId="0" fontId="7" fillId="0" borderId="0" xfId="0" applyFont="1" applyFill="1" applyBorder="1"/>
    <xf numFmtId="0" fontId="7" fillId="0" borderId="0" xfId="0" applyFont="1" applyFill="1" applyAlignment="1">
      <alignment horizontal="left"/>
    </xf>
    <xf numFmtId="165" fontId="7" fillId="0" borderId="0" xfId="16" applyNumberFormat="1" applyFont="1" applyFill="1" applyAlignment="1">
      <alignment horizontal="right"/>
    </xf>
    <xf numFmtId="0" fontId="7" fillId="0" borderId="0" xfId="21" applyFont="1">
      <alignment/>
      <protection/>
    </xf>
    <xf numFmtId="40" fontId="7" fillId="0" borderId="0" xfId="21" applyNumberFormat="1" applyFont="1">
      <alignment/>
      <protection/>
    </xf>
    <xf numFmtId="0" fontId="8" fillId="0" borderId="0" xfId="21" applyFont="1">
      <alignment/>
      <protection/>
    </xf>
    <xf numFmtId="40" fontId="8" fillId="0" borderId="0" xfId="21" applyNumberFormat="1" applyFont="1" applyAlignment="1">
      <alignment horizontal="center"/>
      <protection/>
    </xf>
    <xf numFmtId="0" fontId="8" fillId="0" borderId="0" xfId="21" applyFont="1" applyAlignment="1">
      <alignment horizontal="center"/>
      <protection/>
    </xf>
    <xf numFmtId="0" fontId="9" fillId="0" borderId="0" xfId="21" applyNumberFormat="1" applyFont="1" applyAlignment="1">
      <alignment horizontal="center"/>
      <protection/>
    </xf>
    <xf numFmtId="0" fontId="7" fillId="0" borderId="0" xfId="20" applyFont="1">
      <alignment/>
      <protection/>
    </xf>
    <xf numFmtId="40" fontId="7" fillId="0" borderId="0" xfId="20" applyNumberFormat="1" applyFont="1">
      <alignment/>
      <protection/>
    </xf>
    <xf numFmtId="0" fontId="8" fillId="0" borderId="0" xfId="20" applyFont="1">
      <alignment/>
      <protection/>
    </xf>
    <xf numFmtId="40" fontId="8" fillId="0" borderId="0" xfId="20" applyNumberFormat="1" applyFont="1" applyAlignment="1">
      <alignment horizontal="center"/>
      <protection/>
    </xf>
    <xf numFmtId="0" fontId="8" fillId="0" borderId="0" xfId="20" applyFont="1" applyAlignment="1">
      <alignment horizontal="center"/>
      <protection/>
    </xf>
    <xf numFmtId="0" fontId="8" fillId="0" borderId="0" xfId="20" applyFont="1" applyBorder="1" applyAlignment="1">
      <alignment horizontal="center"/>
      <protection/>
    </xf>
    <xf numFmtId="40" fontId="9" fillId="0" borderId="0" xfId="20" applyNumberFormat="1" applyFont="1" applyBorder="1" applyAlignment="1">
      <alignment horizontal="center"/>
      <protection/>
    </xf>
    <xf numFmtId="0" fontId="12" fillId="0" borderId="0" xfId="0" applyFont="1"/>
    <xf numFmtId="0" fontId="0" fillId="0" borderId="0" xfId="0" applyFont="1"/>
    <xf numFmtId="168" fontId="5" fillId="0" borderId="0" xfId="20" applyNumberFormat="1">
      <alignment/>
      <protection/>
    </xf>
    <xf numFmtId="168" fontId="10" fillId="0" borderId="0" xfId="23" applyNumberFormat="1" applyFont="1" applyFill="1" applyBorder="1"/>
    <xf numFmtId="168" fontId="11" fillId="0" borderId="0" xfId="20" applyNumberFormat="1" applyFont="1" applyFill="1" applyBorder="1">
      <alignment/>
      <protection/>
    </xf>
    <xf numFmtId="0" fontId="11" fillId="0" borderId="0" xfId="20" applyFont="1" applyFill="1" applyBorder="1">
      <alignment/>
      <protection/>
    </xf>
    <xf numFmtId="40" fontId="8" fillId="0" borderId="0" xfId="20" applyNumberFormat="1" applyFont="1" applyAlignment="1">
      <alignment horizontal="center"/>
      <protection/>
    </xf>
    <xf numFmtId="0" fontId="14" fillId="0" borderId="0" xfId="20" applyFont="1">
      <alignment/>
      <protection/>
    </xf>
    <xf numFmtId="0" fontId="15" fillId="0" borderId="0" xfId="27" applyFont="1">
      <alignment/>
      <protection/>
    </xf>
    <xf numFmtId="0" fontId="16" fillId="0" borderId="0" xfId="27" applyFont="1">
      <alignment/>
      <protection/>
    </xf>
    <xf numFmtId="0" fontId="1" fillId="0" borderId="0" xfId="27" applyFont="1">
      <alignment/>
      <protection/>
    </xf>
    <xf numFmtId="40" fontId="1" fillId="0" borderId="0" xfId="27" applyNumberFormat="1" applyFont="1">
      <alignment/>
      <protection/>
    </xf>
    <xf numFmtId="3" fontId="1" fillId="0" borderId="0" xfId="27" applyNumberFormat="1" applyFont="1">
      <alignment/>
      <protection/>
    </xf>
    <xf numFmtId="40" fontId="0" fillId="0" borderId="0" xfId="0" applyNumberFormat="1" applyFont="1"/>
    <xf numFmtId="0" fontId="15" fillId="0" borderId="0" xfId="27" applyFont="1" applyBorder="1">
      <alignment/>
      <protection/>
    </xf>
    <xf numFmtId="40" fontId="1" fillId="0" borderId="0" xfId="27" applyNumberFormat="1" applyFont="1" applyBorder="1">
      <alignment/>
      <protection/>
    </xf>
    <xf numFmtId="0" fontId="12" fillId="0" borderId="0" xfId="0" applyFont="1" applyBorder="1"/>
    <xf numFmtId="0" fontId="1" fillId="0" borderId="0" xfId="27" applyFont="1" applyBorder="1">
      <alignment/>
      <protection/>
    </xf>
    <xf numFmtId="0" fontId="8" fillId="0" borderId="0" xfId="0" applyFont="1" applyFill="1" applyBorder="1" applyAlignment="1">
      <alignment horizontal="centerContinuous"/>
    </xf>
    <xf numFmtId="0" fontId="19" fillId="0" borderId="0" xfId="0" applyFont="1"/>
    <xf numFmtId="0" fontId="20" fillId="0" borderId="0" xfId="27" applyFont="1">
      <alignment/>
      <protection/>
    </xf>
    <xf numFmtId="40" fontId="21" fillId="0" borderId="0" xfId="27" applyNumberFormat="1" applyFont="1">
      <alignment/>
      <protection/>
    </xf>
    <xf numFmtId="0" fontId="21" fillId="0" borderId="0" xfId="27" applyFont="1">
      <alignment/>
      <protection/>
    </xf>
    <xf numFmtId="3" fontId="21" fillId="0" borderId="0" xfId="27" applyNumberFormat="1" applyFont="1">
      <alignment/>
      <protection/>
    </xf>
    <xf numFmtId="40" fontId="8" fillId="0" borderId="0" xfId="0" applyNumberFormat="1" applyFont="1" applyFill="1" applyAlignment="1">
      <alignment horizontal="center"/>
    </xf>
    <xf numFmtId="0" fontId="22" fillId="0" borderId="0" xfId="27" applyFont="1">
      <alignment/>
      <protection/>
    </xf>
    <xf numFmtId="0" fontId="0" fillId="0" borderId="0" xfId="0" applyFont="1" applyBorder="1"/>
    <xf numFmtId="0" fontId="22" fillId="0" borderId="0" xfId="27" applyFont="1" applyBorder="1">
      <alignment/>
      <protection/>
    </xf>
    <xf numFmtId="0" fontId="0" fillId="0" borderId="0" xfId="0" applyFont="1" applyFill="1"/>
    <xf numFmtId="40" fontId="12" fillId="0" borderId="0" xfId="0" applyNumberFormat="1" applyFont="1" applyFill="1" applyAlignment="1">
      <alignment horizontal="center"/>
    </xf>
    <xf numFmtId="40" fontId="0" fillId="0" borderId="0" xfId="0" applyNumberFormat="1" applyFont="1" applyFill="1"/>
    <xf numFmtId="40" fontId="5" fillId="0" borderId="0" xfId="20" applyNumberFormat="1" applyAlignment="1">
      <alignment horizontal="center"/>
      <protection/>
    </xf>
    <xf numFmtId="40" fontId="7" fillId="0" borderId="0" xfId="20" applyNumberFormat="1" applyFont="1" applyAlignment="1">
      <alignment horizontal="center"/>
      <protection/>
    </xf>
    <xf numFmtId="40" fontId="6" fillId="0" borderId="0" xfId="20" applyNumberFormat="1" applyFont="1" applyAlignment="1">
      <alignment horizontal="center"/>
      <protection/>
    </xf>
    <xf numFmtId="0" fontId="9" fillId="0" borderId="0" xfId="20" applyNumberFormat="1" applyFont="1" applyBorder="1" applyAlignment="1">
      <alignment horizontal="right"/>
      <protection/>
    </xf>
    <xf numFmtId="0" fontId="26" fillId="0" borderId="0" xfId="21" applyFont="1">
      <alignment/>
      <protection/>
    </xf>
    <xf numFmtId="168" fontId="26" fillId="0" borderId="0" xfId="21" applyNumberFormat="1" applyFont="1">
      <alignment/>
      <protection/>
    </xf>
    <xf numFmtId="42" fontId="26" fillId="0" borderId="0" xfId="21" applyNumberFormat="1" applyFont="1">
      <alignment/>
      <protection/>
    </xf>
    <xf numFmtId="38" fontId="27" fillId="0" borderId="0" xfId="0" applyNumberFormat="1" applyFont="1" applyFill="1" applyBorder="1"/>
    <xf numFmtId="40" fontId="27" fillId="0" borderId="0" xfId="0" applyNumberFormat="1" applyFont="1" applyFill="1"/>
    <xf numFmtId="0" fontId="27" fillId="0" borderId="0" xfId="0" applyFont="1" applyFill="1"/>
    <xf numFmtId="40" fontId="25" fillId="0" borderId="0" xfId="0" applyNumberFormat="1" applyFont="1" applyFill="1" quotePrefix="1"/>
    <xf numFmtId="164" fontId="8" fillId="0" borderId="0" xfId="15" applyNumberFormat="1" applyFont="1" applyFill="1" applyAlignment="1">
      <alignment horizontal="center"/>
    </xf>
    <xf numFmtId="166" fontId="8" fillId="0" borderId="0" xfId="15" applyNumberFormat="1" applyFont="1" applyFill="1" applyAlignment="1">
      <alignment horizontal="center"/>
    </xf>
    <xf numFmtId="0" fontId="8" fillId="0" borderId="0" xfId="20" applyFont="1" applyFill="1">
      <alignment/>
      <protection/>
    </xf>
    <xf numFmtId="168" fontId="0" fillId="0" borderId="0" xfId="18" applyNumberFormat="1" applyFont="1" applyFill="1" applyBorder="1"/>
    <xf numFmtId="43" fontId="0" fillId="0" borderId="0" xfId="18" applyFont="1" applyFill="1"/>
    <xf numFmtId="42" fontId="7" fillId="0" borderId="0" xfId="21" applyNumberFormat="1" applyFont="1" applyFill="1">
      <alignment/>
      <protection/>
    </xf>
    <xf numFmtId="0" fontId="9" fillId="0" borderId="0" xfId="20" applyNumberFormat="1" applyFont="1" applyFill="1" applyBorder="1" applyAlignment="1">
      <alignment horizontal="right"/>
      <protection/>
    </xf>
    <xf numFmtId="168" fontId="18" fillId="0" borderId="0" xfId="23" applyNumberFormat="1" applyFont="1" applyFill="1" applyBorder="1" applyAlignment="1">
      <alignment horizontal="right"/>
    </xf>
    <xf numFmtId="38" fontId="5" fillId="0" borderId="0" xfId="20" applyNumberFormat="1" applyFont="1" applyFill="1" applyAlignment="1">
      <alignment horizontal="right"/>
      <protection/>
    </xf>
    <xf numFmtId="0" fontId="9" fillId="0" borderId="0" xfId="20" applyNumberFormat="1" applyFont="1" applyFill="1" applyBorder="1" applyAlignment="1">
      <alignment horizontal="center"/>
      <protection/>
    </xf>
    <xf numFmtId="168" fontId="18" fillId="0" borderId="0" xfId="18" applyNumberFormat="1" applyFont="1" applyFill="1" applyBorder="1"/>
    <xf numFmtId="168" fontId="0" fillId="0" borderId="0" xfId="18" applyNumberFormat="1" applyFont="1" applyFill="1"/>
    <xf numFmtId="168" fontId="18" fillId="0" borderId="0" xfId="18" applyNumberFormat="1" applyFont="1" applyFill="1" applyBorder="1" applyAlignment="1">
      <alignment horizontal="right"/>
    </xf>
    <xf numFmtId="42" fontId="18" fillId="0" borderId="0" xfId="20" applyNumberFormat="1" applyFont="1" applyFill="1" applyBorder="1" applyAlignment="1">
      <alignment horizontal="right"/>
      <protection/>
    </xf>
    <xf numFmtId="168" fontId="18" fillId="0" borderId="0" xfId="18" applyNumberFormat="1" applyFont="1" applyFill="1" applyAlignment="1">
      <alignment horizontal="right"/>
    </xf>
    <xf numFmtId="169" fontId="10" fillId="0" borderId="0" xfId="23" applyNumberFormat="1" applyFont="1" applyFill="1" applyBorder="1"/>
    <xf numFmtId="169" fontId="11" fillId="0" borderId="0" xfId="20" applyNumberFormat="1" applyFont="1" applyFill="1" applyBorder="1">
      <alignment/>
      <protection/>
    </xf>
    <xf numFmtId="42" fontId="13" fillId="0" borderId="0" xfId="20" applyNumberFormat="1" applyFont="1" applyFill="1" applyBorder="1" applyAlignment="1">
      <alignment horizontal="right"/>
      <protection/>
    </xf>
    <xf numFmtId="0" fontId="13" fillId="0" borderId="0" xfId="20" applyFont="1" applyFill="1" applyBorder="1" applyAlignment="1">
      <alignment horizontal="right"/>
      <protection/>
    </xf>
    <xf numFmtId="168" fontId="18" fillId="0" borderId="0" xfId="26" applyNumberFormat="1" applyFont="1" applyFill="1"/>
    <xf numFmtId="168" fontId="0" fillId="0" borderId="0" xfId="23" applyNumberFormat="1" applyFont="1" applyFill="1"/>
    <xf numFmtId="168" fontId="24" fillId="0" borderId="0" xfId="23" applyNumberFormat="1" applyFont="1" applyFill="1"/>
    <xf numFmtId="38" fontId="0" fillId="0" borderId="0" xfId="29" applyNumberFormat="1" applyFont="1" applyFill="1" applyBorder="1">
      <alignment/>
      <protection/>
    </xf>
    <xf numFmtId="38" fontId="0" fillId="0" borderId="0" xfId="0" applyNumberFormat="1" applyFill="1"/>
    <xf numFmtId="38" fontId="0" fillId="0" borderId="0" xfId="0" applyNumberFormat="1" applyFont="1" applyFill="1"/>
    <xf numFmtId="167" fontId="28" fillId="0" borderId="0" xfId="0" applyNumberFormat="1" applyFont="1" applyFill="1" applyBorder="1" applyAlignment="1">
      <alignment horizontal="right"/>
    </xf>
    <xf numFmtId="167" fontId="9" fillId="0" borderId="0" xfId="0" applyNumberFormat="1" applyFont="1" applyFill="1" applyBorder="1" applyAlignment="1">
      <alignment horizontal="center"/>
    </xf>
    <xf numFmtId="42" fontId="7" fillId="0" borderId="0" xfId="0" applyNumberFormat="1" applyFont="1" applyFill="1" applyBorder="1"/>
    <xf numFmtId="42" fontId="28" fillId="0" borderId="0" xfId="0" applyNumberFormat="1" applyFont="1" applyFill="1" applyBorder="1"/>
    <xf numFmtId="42" fontId="7" fillId="0" borderId="0" xfId="0" applyNumberFormat="1" applyFont="1" applyFill="1"/>
    <xf numFmtId="42" fontId="7" fillId="0" borderId="0" xfId="16" applyNumberFormat="1" applyFont="1" applyFill="1"/>
    <xf numFmtId="42" fontId="7" fillId="0" borderId="0" xfId="18" applyNumberFormat="1" applyFont="1" applyFill="1"/>
    <xf numFmtId="42" fontId="28" fillId="0" borderId="0" xfId="18" applyNumberFormat="1" applyFont="1" applyFill="1" applyBorder="1"/>
    <xf numFmtId="42" fontId="7" fillId="0" borderId="0" xfId="16" applyNumberFormat="1" applyFont="1" applyFill="1" applyAlignment="1">
      <alignment horizontal="right"/>
    </xf>
    <xf numFmtId="42" fontId="29" fillId="0" borderId="0" xfId="16" applyNumberFormat="1" applyFont="1" applyFill="1"/>
    <xf numFmtId="42" fontId="28" fillId="0" borderId="0" xfId="0" applyNumberFormat="1" applyFont="1" applyFill="1" applyBorder="1" applyAlignment="1">
      <alignment horizontal="right"/>
    </xf>
    <xf numFmtId="167" fontId="7" fillId="0" borderId="0" xfId="16" applyNumberFormat="1" applyFont="1" applyFill="1"/>
    <xf numFmtId="167" fontId="7" fillId="0" borderId="0" xfId="0" applyNumberFormat="1" applyFont="1" applyFill="1" applyBorder="1"/>
    <xf numFmtId="167" fontId="28" fillId="0" borderId="0" xfId="0" applyNumberFormat="1" applyFont="1" applyFill="1" applyBorder="1"/>
    <xf numFmtId="167" fontId="7" fillId="0" borderId="0" xfId="0" applyNumberFormat="1" applyFont="1" applyFill="1"/>
    <xf numFmtId="167" fontId="7" fillId="0" borderId="0" xfId="0" applyNumberFormat="1" applyFont="1" applyFill="1" applyAlignment="1">
      <alignment horizontal="right"/>
    </xf>
    <xf numFmtId="167" fontId="28" fillId="0" borderId="0" xfId="0" applyNumberFormat="1" applyFont="1" applyFill="1"/>
    <xf numFmtId="0" fontId="8" fillId="0" borderId="0" xfId="0" applyFont="1" applyAlignment="1">
      <alignment horizontal="center"/>
    </xf>
    <xf numFmtId="0" fontId="8" fillId="0" borderId="0" xfId="0" applyFont="1" applyFill="1" applyAlignment="1">
      <alignment horizontal="center"/>
    </xf>
    <xf numFmtId="0" fontId="8" fillId="0" borderId="0" xfId="21" applyFont="1" applyAlignment="1">
      <alignment horizontal="center"/>
      <protection/>
    </xf>
    <xf numFmtId="0" fontId="8" fillId="0" borderId="0" xfId="20" applyFont="1" applyAlignment="1">
      <alignment horizontal="center"/>
      <protection/>
    </xf>
    <xf numFmtId="0" fontId="12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168" fontId="23" fillId="0" borderId="0" xfId="18" applyNumberFormat="1" applyFont="1" applyFill="1" applyBorder="1" applyAlignment="1">
      <alignment horizontal="right"/>
    </xf>
    <xf numFmtId="168" fontId="18" fillId="0" borderId="0" xfId="18" applyNumberFormat="1" applyFont="1" applyFill="1" applyAlignment="1">
      <alignment horizontal="center"/>
    </xf>
    <xf numFmtId="168" fontId="18" fillId="0" borderId="0" xfId="18" applyNumberFormat="1" applyFont="1" applyFill="1"/>
    <xf numFmtId="40" fontId="0" fillId="0" borderId="0" xfId="0" applyNumberFormat="1" applyFill="1"/>
  </cellXfs>
  <cellStyles count="1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Conductor Priced 12-31-06" xfId="20"/>
    <cellStyle name="Normal_Poles Priced 12-31-06" xfId="21"/>
    <cellStyle name="Normal 2" xfId="22"/>
    <cellStyle name="Comma 2" xfId="23"/>
    <cellStyle name="Normal 3" xfId="24"/>
    <cellStyle name="Normal 4" xfId="25"/>
    <cellStyle name="Comma 3" xfId="26"/>
    <cellStyle name="Normal 5" xfId="27"/>
    <cellStyle name="Comma 4" xfId="28"/>
    <cellStyle name="Normal 6" xfId="2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4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alcChain" Target="calcChain.xml" /><Relationship Id="rId4" Type="http://schemas.openxmlformats.org/officeDocument/2006/relationships/worksheet" Target="worksheets/sheet3.xml" /><Relationship Id="rId6" Type="http://schemas.openxmlformats.org/officeDocument/2006/relationships/styles" Target="styles.xml" /><Relationship Id="rId3" Type="http://schemas.openxmlformats.org/officeDocument/2006/relationships/worksheet" Target="worksheets/sheet2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K59"/>
  <sheetViews>
    <sheetView tabSelected="1" view="pageBreakPreview" zoomScaleNormal="100" zoomScaleSheetLayoutView="100" workbookViewId="0" topLeftCell="A1">
      <selection pane="topLeft" activeCell="B4" sqref="B4:H4"/>
    </sheetView>
  </sheetViews>
  <sheetFormatPr defaultColWidth="9.14428571428571" defaultRowHeight="15"/>
  <cols>
    <col min="1" max="1" width="5.14285714285714" style="1" bestFit="1" customWidth="1"/>
    <col min="2" max="2" width="27" style="2" bestFit="1" customWidth="1"/>
    <col min="3" max="3" width="17.4285714285714" style="2" bestFit="1" customWidth="1"/>
    <col min="4" max="4" width="17.4285714285714" style="2" customWidth="1"/>
    <col min="5" max="5" width="17.4285714285714" style="2" bestFit="1" customWidth="1"/>
    <col min="6" max="6" width="15.5714285714286" style="1" bestFit="1" customWidth="1"/>
    <col min="7" max="7" width="2.71428571428571" style="1" customWidth="1"/>
    <col min="8" max="8" width="53.8571428571429" style="1" bestFit="1" customWidth="1"/>
    <col min="9" max="9" width="9.14285714285714" style="1"/>
    <col min="10" max="10" width="16" style="2" bestFit="1" customWidth="1"/>
    <col min="11" max="11" width="23.8571428571429" style="1" customWidth="1"/>
    <col min="12" max="16384" width="9.14285714285714" style="1"/>
  </cols>
  <sheetData>
    <row r="1" spans="1:8" ht="15.75" customHeight="1">
      <c r="A1" s="60"/>
      <c r="B1" s="126" t="s">
        <v>90</v>
      </c>
      <c r="C1" s="126"/>
      <c r="D1" s="126"/>
      <c r="E1" s="126"/>
      <c r="F1" s="126"/>
      <c r="G1" s="126"/>
      <c r="H1" s="126"/>
    </row>
    <row r="2" spans="1:8" ht="15.75" customHeight="1">
      <c r="A2" s="60"/>
      <c r="B2" s="126" t="s">
        <v>59</v>
      </c>
      <c r="C2" s="126"/>
      <c r="D2" s="126"/>
      <c r="E2" s="126"/>
      <c r="F2" s="126"/>
      <c r="G2" s="126"/>
      <c r="H2" s="126"/>
    </row>
    <row r="3" spans="1:8" ht="15" customHeight="1">
      <c r="A3" s="9"/>
      <c r="B3" s="126" t="s">
        <v>88</v>
      </c>
      <c r="C3" s="126"/>
      <c r="D3" s="126"/>
      <c r="E3" s="126"/>
      <c r="F3" s="126"/>
      <c r="G3" s="126"/>
      <c r="H3" s="126"/>
    </row>
    <row r="4" spans="1:8" ht="15" customHeight="1">
      <c r="A4" s="9"/>
      <c r="B4" s="127" t="s">
        <v>91</v>
      </c>
      <c r="C4" s="127"/>
      <c r="D4" s="127"/>
      <c r="E4" s="127"/>
      <c r="F4" s="127"/>
      <c r="G4" s="127"/>
      <c r="H4" s="127"/>
    </row>
    <row r="5" spans="1:8" ht="15" customHeight="1">
      <c r="A5" s="9"/>
      <c r="B5" s="126" t="s">
        <v>89</v>
      </c>
      <c r="C5" s="126"/>
      <c r="D5" s="126"/>
      <c r="E5" s="126"/>
      <c r="F5" s="126"/>
      <c r="G5" s="126"/>
      <c r="H5" s="126"/>
    </row>
    <row r="6" spans="1:8" ht="15.75">
      <c r="A6" s="9"/>
      <c r="B6" s="10"/>
      <c r="C6" s="10"/>
      <c r="D6" s="10"/>
      <c r="E6" s="11"/>
      <c r="F6" s="9"/>
      <c r="H6" s="9"/>
    </row>
    <row r="7" spans="1:8" ht="15.75">
      <c r="A7" s="9"/>
      <c r="B7" s="10"/>
      <c r="C7" s="83"/>
      <c r="D7" s="10"/>
      <c r="E7" s="11"/>
      <c r="F7" s="9"/>
      <c r="H7" s="9"/>
    </row>
    <row r="8" spans="1:8" ht="15" customHeight="1">
      <c r="A8" s="9"/>
      <c r="B8" s="126" t="s">
        <v>64</v>
      </c>
      <c r="C8" s="126"/>
      <c r="D8" s="126"/>
      <c r="E8" s="126"/>
      <c r="F8" s="126"/>
      <c r="G8" s="126"/>
      <c r="H8" s="126"/>
    </row>
    <row r="9" spans="1:8" ht="15">
      <c r="A9" s="9"/>
      <c r="B9" s="10"/>
      <c r="C9" s="10"/>
      <c r="D9" s="10"/>
      <c r="E9" s="10"/>
      <c r="F9" s="9"/>
      <c r="G9" s="9"/>
      <c r="H9" s="9"/>
    </row>
    <row r="10" spans="1:8" ht="15">
      <c r="A10" s="9"/>
      <c r="B10" s="10"/>
      <c r="C10" s="10"/>
      <c r="D10" s="10"/>
      <c r="E10" s="10"/>
      <c r="F10" s="9"/>
      <c r="G10" s="9"/>
      <c r="H10" s="9"/>
    </row>
    <row r="11" spans="1:8" ht="15.75">
      <c r="A11" s="12" t="s">
        <v>0</v>
      </c>
      <c r="B11" s="12" t="s">
        <v>1</v>
      </c>
      <c r="C11" s="12" t="s">
        <v>2</v>
      </c>
      <c r="D11" s="12" t="s">
        <v>3</v>
      </c>
      <c r="E11" s="12" t="s">
        <v>4</v>
      </c>
      <c r="F11" s="9"/>
      <c r="G11" s="12"/>
      <c r="H11" s="12" t="s">
        <v>6</v>
      </c>
    </row>
    <row r="12" spans="1:8" ht="15">
      <c r="A12" s="9"/>
      <c r="B12" s="13" t="s">
        <v>7</v>
      </c>
      <c r="C12" s="13" t="s">
        <v>8</v>
      </c>
      <c r="D12" s="13" t="s">
        <v>9</v>
      </c>
      <c r="E12" s="13" t="s">
        <v>10</v>
      </c>
      <c r="F12" s="9"/>
      <c r="G12" s="13"/>
      <c r="H12" s="13"/>
    </row>
    <row r="13" spans="1:8" ht="15">
      <c r="A13" s="14">
        <v>1</v>
      </c>
      <c r="B13" s="10" t="s">
        <v>12</v>
      </c>
      <c r="C13" s="120">
        <f>Poles!C13</f>
        <v>1408285793.8697593</v>
      </c>
      <c r="D13" s="120">
        <f>C13</f>
        <v>1408285793.8697593</v>
      </c>
      <c r="E13" s="120"/>
      <c r="F13" s="9"/>
      <c r="G13" s="15"/>
      <c r="H13" s="9"/>
    </row>
    <row r="14" spans="1:8" ht="15">
      <c r="A14" s="14">
        <f>A13+1</f>
        <v>2</v>
      </c>
      <c r="B14" s="10" t="s">
        <v>13</v>
      </c>
      <c r="C14" s="120">
        <f>D14+E14</f>
        <v>289145709.69001365</v>
      </c>
      <c r="D14" s="121"/>
      <c r="E14" s="121">
        <f>Poles!$C$14</f>
        <v>289145709.69001365</v>
      </c>
      <c r="F14" s="9"/>
      <c r="G14" s="16"/>
      <c r="H14" s="9"/>
    </row>
    <row r="15" spans="1:8" ht="15">
      <c r="A15" s="14">
        <f t="shared" si="0" ref="A15:A58">A14+1</f>
        <v>3</v>
      </c>
      <c r="B15" s="10" t="s">
        <v>14</v>
      </c>
      <c r="C15" s="120">
        <f>Poles!$C$15</f>
        <v>525841231.02985471</v>
      </c>
      <c r="D15" s="122">
        <f>C15*C13/(C13+C14)</f>
        <v>436267816.3668555</v>
      </c>
      <c r="E15" s="122">
        <f>C15-D15</f>
        <v>89573414.662999213</v>
      </c>
      <c r="F15" s="14" t="s">
        <v>60</v>
      </c>
      <c r="G15" s="16"/>
      <c r="H15" s="9" t="s">
        <v>50</v>
      </c>
    </row>
    <row r="16" spans="1:8" ht="15">
      <c r="A16" s="14">
        <f t="shared" si="0"/>
        <v>4</v>
      </c>
      <c r="B16" s="17" t="s">
        <v>2</v>
      </c>
      <c r="C16" s="123">
        <f>SUM(C13:C15)</f>
        <v>2223272734.5896277</v>
      </c>
      <c r="D16" s="123">
        <f>SUM(D13:D15)</f>
        <v>1844553610.2366147</v>
      </c>
      <c r="E16" s="123">
        <f>SUM(E13:E15)</f>
        <v>378719124.35301286</v>
      </c>
      <c r="F16" s="9"/>
      <c r="G16" s="18"/>
      <c r="H16" s="9"/>
    </row>
    <row r="17" spans="1:8" ht="15.75">
      <c r="A17" s="14">
        <f t="shared" si="0"/>
        <v>5</v>
      </c>
      <c r="B17" s="17" t="s">
        <v>15</v>
      </c>
      <c r="C17" s="84">
        <f>SUM(D17:F17)</f>
        <v>0.99999999999999989</v>
      </c>
      <c r="D17" s="85">
        <f>D16/$C$16</f>
        <v>0.82965692042145378</v>
      </c>
      <c r="E17" s="85">
        <f>E16/$C$16</f>
        <v>0.17034307957854614</v>
      </c>
      <c r="F17" s="9"/>
      <c r="G17" s="19"/>
      <c r="H17" s="9"/>
    </row>
    <row r="18" spans="1:8" ht="15.75">
      <c r="A18" s="14">
        <f t="shared" si="0"/>
        <v>6</v>
      </c>
      <c r="B18" s="10"/>
      <c r="C18" s="18"/>
      <c r="D18" s="19"/>
      <c r="E18" s="19"/>
      <c r="F18" s="9"/>
      <c r="G18" s="20"/>
      <c r="H18" s="9"/>
    </row>
    <row r="19" spans="1:8" ht="15.75">
      <c r="A19" s="14">
        <f t="shared" si="0"/>
        <v>7</v>
      </c>
      <c r="B19" s="12" t="s">
        <v>17</v>
      </c>
      <c r="C19" s="12" t="s">
        <v>2</v>
      </c>
      <c r="D19" s="12" t="s">
        <v>3</v>
      </c>
      <c r="E19" s="12" t="s">
        <v>4</v>
      </c>
      <c r="F19" s="9"/>
      <c r="G19" s="12"/>
      <c r="H19" s="12" t="s">
        <v>6</v>
      </c>
    </row>
    <row r="20" spans="1:8" ht="15">
      <c r="A20" s="14">
        <f t="shared" si="0"/>
        <v>8</v>
      </c>
      <c r="B20" s="13" t="s">
        <v>7</v>
      </c>
      <c r="C20" s="13" t="s">
        <v>8</v>
      </c>
      <c r="D20" s="13" t="s">
        <v>9</v>
      </c>
      <c r="E20" s="13" t="s">
        <v>10</v>
      </c>
      <c r="F20" s="9"/>
      <c r="G20" s="13"/>
      <c r="H20" s="13"/>
    </row>
    <row r="21" spans="1:8" ht="15">
      <c r="A21" s="14">
        <f t="shared" si="0"/>
        <v>9</v>
      </c>
      <c r="B21" s="10" t="s">
        <v>12</v>
      </c>
      <c r="C21" s="120">
        <f>Conductors!C13</f>
        <v>919800778.31149232</v>
      </c>
      <c r="D21" s="120">
        <f>C21</f>
        <v>919800778.31149232</v>
      </c>
      <c r="E21" s="120"/>
      <c r="F21" s="9"/>
      <c r="G21" s="16"/>
      <c r="H21" s="9"/>
    </row>
    <row r="22" spans="1:8" ht="15">
      <c r="A22" s="14">
        <f t="shared" si="0"/>
        <v>10</v>
      </c>
      <c r="B22" s="10" t="s">
        <v>13</v>
      </c>
      <c r="C22" s="123">
        <f>Conductors!C16</f>
        <v>89856566.156058758</v>
      </c>
      <c r="D22" s="123"/>
      <c r="E22" s="124">
        <f>C22</f>
        <v>89856566.156058758</v>
      </c>
      <c r="F22" s="9"/>
      <c r="G22" s="16"/>
      <c r="H22" s="9"/>
    </row>
    <row r="23" spans="1:8" ht="15">
      <c r="A23" s="14">
        <f t="shared" si="0"/>
        <v>11</v>
      </c>
      <c r="B23" s="10" t="s">
        <v>18</v>
      </c>
      <c r="C23" s="123">
        <f>Conductors!C15</f>
        <v>370141863.53396761</v>
      </c>
      <c r="D23" s="123">
        <f>$C$23/2</f>
        <v>185070931.76698381</v>
      </c>
      <c r="E23" s="125">
        <f>$C$23/2</f>
        <v>185070931.76698381</v>
      </c>
      <c r="F23" s="14" t="s">
        <v>60</v>
      </c>
      <c r="G23" s="16"/>
      <c r="H23" s="9" t="s">
        <v>61</v>
      </c>
    </row>
    <row r="24" spans="1:8" ht="15.75">
      <c r="A24" s="14">
        <f t="shared" si="0"/>
        <v>12</v>
      </c>
      <c r="B24" s="21" t="s">
        <v>19</v>
      </c>
      <c r="C24" s="109">
        <f>'Other 365-368'!$D$13</f>
        <v>446394005.87000012</v>
      </c>
      <c r="D24" s="109">
        <f>C24</f>
        <v>446394005.87000012</v>
      </c>
      <c r="E24" s="110"/>
      <c r="F24" s="14" t="s">
        <v>60</v>
      </c>
      <c r="G24" s="16"/>
      <c r="H24" s="9" t="s">
        <v>84</v>
      </c>
    </row>
    <row r="25" spans="1:8" ht="15">
      <c r="A25" s="14">
        <f t="shared" si="0"/>
        <v>13</v>
      </c>
      <c r="B25" s="22" t="s">
        <v>20</v>
      </c>
      <c r="C25" s="120">
        <f>SUM(C21:C24)</f>
        <v>1826193213.8715189</v>
      </c>
      <c r="D25" s="120">
        <f>SUM(D21:D24)</f>
        <v>1551265715.9484763</v>
      </c>
      <c r="E25" s="120">
        <f>SUM(E21:E24)</f>
        <v>274927497.92304254</v>
      </c>
      <c r="F25" s="9"/>
      <c r="G25" s="16"/>
      <c r="H25" s="9"/>
    </row>
    <row r="26" spans="1:8" ht="15.75">
      <c r="A26" s="14">
        <f t="shared" si="0"/>
        <v>14</v>
      </c>
      <c r="B26" s="22" t="s">
        <v>15</v>
      </c>
      <c r="C26" s="84">
        <f>SUM(D26:E26)</f>
        <v>1</v>
      </c>
      <c r="D26" s="85">
        <f>D25/$C$25</f>
        <v>0.84945322552141245</v>
      </c>
      <c r="E26" s="85">
        <f>E25/$C$25</f>
        <v>0.15054677447858755</v>
      </c>
      <c r="F26" s="9"/>
      <c r="G26" s="23"/>
      <c r="H26" s="9"/>
    </row>
    <row r="27" spans="1:8" ht="15">
      <c r="A27" s="14">
        <f t="shared" si="0"/>
        <v>15</v>
      </c>
      <c r="B27" s="10"/>
      <c r="C27" s="10"/>
      <c r="D27" s="23"/>
      <c r="E27" s="23"/>
      <c r="F27" s="9"/>
      <c r="G27" s="24"/>
      <c r="H27" s="9"/>
    </row>
    <row r="28" spans="1:8" ht="15.75">
      <c r="A28" s="14">
        <f t="shared" si="0"/>
        <v>16</v>
      </c>
      <c r="B28" s="12" t="s">
        <v>21</v>
      </c>
      <c r="C28" s="12" t="s">
        <v>2</v>
      </c>
      <c r="D28" s="12" t="s">
        <v>3</v>
      </c>
      <c r="E28" s="12" t="s">
        <v>4</v>
      </c>
      <c r="F28" s="9"/>
      <c r="G28" s="12"/>
      <c r="H28" s="12" t="s">
        <v>6</v>
      </c>
    </row>
    <row r="29" spans="1:8" ht="15">
      <c r="A29" s="14">
        <f t="shared" si="0"/>
        <v>17</v>
      </c>
      <c r="B29" s="13" t="s">
        <v>7</v>
      </c>
      <c r="C29" s="13" t="s">
        <v>8</v>
      </c>
      <c r="D29" s="13" t="s">
        <v>9</v>
      </c>
      <c r="E29" s="13" t="s">
        <v>10</v>
      </c>
      <c r="F29" s="9"/>
      <c r="G29" s="13"/>
      <c r="H29" s="13"/>
    </row>
    <row r="30" spans="1:8" ht="17.25">
      <c r="A30" s="14">
        <f t="shared" si="0"/>
        <v>18</v>
      </c>
      <c r="B30" s="10" t="s">
        <v>46</v>
      </c>
      <c r="C30" s="114">
        <f>Conductors!$D$14</f>
        <v>1409662379.355263</v>
      </c>
      <c r="D30" s="118">
        <f>C30</f>
        <v>1409662379.355263</v>
      </c>
      <c r="E30" s="114"/>
      <c r="F30" s="9"/>
      <c r="G30" s="16"/>
      <c r="H30" s="9"/>
    </row>
    <row r="31" spans="1:8" ht="15">
      <c r="A31" s="14">
        <f t="shared" si="0"/>
        <v>19</v>
      </c>
      <c r="B31" s="10" t="s">
        <v>47</v>
      </c>
      <c r="C31" s="112">
        <f>Conductors!$D$17</f>
        <v>409419272.60613638</v>
      </c>
      <c r="D31" s="112"/>
      <c r="E31" s="112">
        <f>C31</f>
        <v>409419272.60613638</v>
      </c>
      <c r="F31" s="9"/>
      <c r="G31" s="16"/>
      <c r="H31" s="9"/>
    </row>
    <row r="32" spans="1:8" ht="15">
      <c r="A32" s="14">
        <f t="shared" si="0"/>
        <v>20</v>
      </c>
      <c r="B32" s="17" t="s">
        <v>44</v>
      </c>
      <c r="C32" s="111">
        <f>SUM(C30:C31)</f>
        <v>1819081651.9613993</v>
      </c>
      <c r="D32" s="111">
        <f>SUM(D30:D31)</f>
        <v>1409662379.355263</v>
      </c>
      <c r="E32" s="111">
        <f>SUM(E30:E31)</f>
        <v>409419272.60613638</v>
      </c>
      <c r="F32" s="9"/>
      <c r="G32" s="16"/>
      <c r="H32" s="9"/>
    </row>
    <row r="33" spans="1:8" ht="15">
      <c r="A33" s="14">
        <f t="shared" si="0"/>
        <v>21</v>
      </c>
      <c r="B33" s="21" t="s">
        <v>19</v>
      </c>
      <c r="C33" s="111">
        <f>'Other 365-368'!$D$28</f>
        <v>390928147.05000001</v>
      </c>
      <c r="D33" s="112">
        <f>C33</f>
        <v>390928147.05000001</v>
      </c>
      <c r="E33" s="111"/>
      <c r="F33" s="14" t="s">
        <v>60</v>
      </c>
      <c r="G33" s="16"/>
      <c r="H33" s="9" t="s">
        <v>22</v>
      </c>
    </row>
    <row r="34" spans="1:8" ht="15">
      <c r="A34" s="14">
        <f t="shared" si="0"/>
        <v>22</v>
      </c>
      <c r="B34" s="10" t="s">
        <v>23</v>
      </c>
      <c r="C34" s="112">
        <f>'Other 365-368'!$D$29</f>
        <v>9421525.1099999994</v>
      </c>
      <c r="D34" s="112"/>
      <c r="E34" s="112">
        <f>C34</f>
        <v>9421525.1099999994</v>
      </c>
      <c r="F34" s="14" t="s">
        <v>60</v>
      </c>
      <c r="G34" s="16"/>
      <c r="H34" s="9" t="s">
        <v>62</v>
      </c>
    </row>
    <row r="35" spans="1:8" ht="15.75" customHeight="1">
      <c r="A35" s="14">
        <f t="shared" si="0"/>
        <v>23</v>
      </c>
      <c r="B35" s="17" t="s">
        <v>20</v>
      </c>
      <c r="C35" s="114">
        <f>SUM(C32:C34)</f>
        <v>2219431324.1213994</v>
      </c>
      <c r="D35" s="114">
        <f>SUM(D32:D34)</f>
        <v>1800590526.405263</v>
      </c>
      <c r="E35" s="114">
        <f>SUM(E32:E34)</f>
        <v>418840797.7161364</v>
      </c>
      <c r="F35" s="9"/>
      <c r="G35" s="16"/>
      <c r="H35" s="9"/>
    </row>
    <row r="36" spans="1:8" ht="15.75" customHeight="1">
      <c r="A36" s="14">
        <f t="shared" si="0"/>
        <v>24</v>
      </c>
      <c r="B36" s="17" t="s">
        <v>45</v>
      </c>
      <c r="C36" s="84">
        <f>SUM(D36:E36)</f>
        <v>1</v>
      </c>
      <c r="D36" s="85">
        <f>D32/$C$32</f>
        <v>0.77493078875008947</v>
      </c>
      <c r="E36" s="85">
        <f>E32/$C$32</f>
        <v>0.22506921124991053</v>
      </c>
      <c r="F36" s="9"/>
      <c r="G36" s="16"/>
      <c r="H36" s="9"/>
    </row>
    <row r="37" spans="1:8" ht="15.75">
      <c r="A37" s="14">
        <f t="shared" si="0"/>
        <v>25</v>
      </c>
      <c r="B37" s="17" t="s">
        <v>15</v>
      </c>
      <c r="C37" s="84">
        <f>SUM(D37:E37)</f>
        <v>1</v>
      </c>
      <c r="D37" s="85">
        <f>D35/$C$35</f>
        <v>0.8112846326155454</v>
      </c>
      <c r="E37" s="85">
        <f>E35/$C$35</f>
        <v>0.18871536738445457</v>
      </c>
      <c r="F37" s="9"/>
      <c r="G37" s="24"/>
      <c r="H37" s="9"/>
    </row>
    <row r="38" spans="1:8" ht="15">
      <c r="A38" s="14">
        <f t="shared" si="0"/>
        <v>26</v>
      </c>
      <c r="B38" s="10"/>
      <c r="C38" s="10"/>
      <c r="D38" s="10"/>
      <c r="E38" s="10"/>
      <c r="F38" s="9"/>
      <c r="G38" s="9"/>
      <c r="H38" s="9"/>
    </row>
    <row r="39" spans="1:8" ht="15.75">
      <c r="A39" s="14">
        <f t="shared" si="0"/>
        <v>27</v>
      </c>
      <c r="B39" s="12" t="s">
        <v>24</v>
      </c>
      <c r="C39" s="12" t="s">
        <v>2</v>
      </c>
      <c r="D39" s="12" t="s">
        <v>3</v>
      </c>
      <c r="E39" s="12" t="s">
        <v>4</v>
      </c>
      <c r="F39" s="9"/>
      <c r="G39" s="12"/>
      <c r="H39" s="12" t="s">
        <v>6</v>
      </c>
    </row>
    <row r="40" spans="1:8" ht="15">
      <c r="A40" s="14">
        <f t="shared" si="0"/>
        <v>28</v>
      </c>
      <c r="B40" s="13" t="s">
        <v>7</v>
      </c>
      <c r="C40" s="13" t="s">
        <v>8</v>
      </c>
      <c r="D40" s="13" t="s">
        <v>9</v>
      </c>
      <c r="E40" s="13" t="s">
        <v>10</v>
      </c>
      <c r="F40" s="9"/>
      <c r="G40" s="13"/>
      <c r="H40" s="13"/>
    </row>
    <row r="41" spans="1:8" ht="15">
      <c r="A41" s="14">
        <f t="shared" si="0"/>
        <v>29</v>
      </c>
      <c r="B41" s="25" t="s">
        <v>25</v>
      </c>
      <c r="C41" s="113">
        <f>'Other 365-368'!$D$18</f>
        <v>605773597.87999988</v>
      </c>
      <c r="D41" s="114">
        <f>$C41*D$36</f>
        <v>469432612.00912786</v>
      </c>
      <c r="E41" s="114">
        <f>$C41*E$36</f>
        <v>136340985.87087205</v>
      </c>
      <c r="F41" s="14" t="s">
        <v>60</v>
      </c>
      <c r="G41" s="16"/>
      <c r="H41" s="9" t="s">
        <v>63</v>
      </c>
    </row>
    <row r="42" spans="1:8" ht="15">
      <c r="A42" s="14">
        <f t="shared" si="0"/>
        <v>30</v>
      </c>
      <c r="B42" s="25" t="s">
        <v>37</v>
      </c>
      <c r="C42" s="113">
        <f>'Other 365-368'!$G$19</f>
        <v>0</v>
      </c>
      <c r="D42" s="113">
        <v>0</v>
      </c>
      <c r="E42" s="115">
        <f>$C42</f>
        <v>0</v>
      </c>
      <c r="F42" s="14" t="s">
        <v>60</v>
      </c>
      <c r="G42" s="16"/>
      <c r="H42" s="9" t="s">
        <v>62</v>
      </c>
    </row>
    <row r="43" spans="1:8" ht="15">
      <c r="A43" s="14">
        <f t="shared" si="0"/>
        <v>31</v>
      </c>
      <c r="B43" s="25" t="s">
        <v>38</v>
      </c>
      <c r="C43" s="113">
        <f>'Other 365-368'!$I$19</f>
        <v>112207917.61999999</v>
      </c>
      <c r="D43" s="115">
        <f>$C$43</f>
        <v>112207917.61999999</v>
      </c>
      <c r="E43" s="115"/>
      <c r="F43" s="14" t="s">
        <v>60</v>
      </c>
      <c r="G43" s="16"/>
      <c r="H43" s="9" t="s">
        <v>48</v>
      </c>
    </row>
    <row r="44" spans="1:8" ht="15">
      <c r="A44" s="14">
        <f t="shared" si="0"/>
        <v>32</v>
      </c>
      <c r="B44" s="25" t="s">
        <v>27</v>
      </c>
      <c r="C44" s="113">
        <f>'Other 365-368'!$D$20</f>
        <v>119780382.16000001</v>
      </c>
      <c r="D44" s="115"/>
      <c r="E44" s="115">
        <f>$C44</f>
        <v>119780382.16000001</v>
      </c>
      <c r="F44" s="14" t="s">
        <v>60</v>
      </c>
      <c r="G44" s="16"/>
      <c r="H44" s="9" t="s">
        <v>49</v>
      </c>
    </row>
    <row r="45" spans="1:8" ht="15">
      <c r="A45" s="14">
        <f t="shared" si="0"/>
        <v>33</v>
      </c>
      <c r="B45" s="25" t="s">
        <v>28</v>
      </c>
      <c r="C45" s="113">
        <f>'Other 365-368'!$D$21</f>
        <v>60461446.149999999</v>
      </c>
      <c r="D45" s="115">
        <f>'Other 365-368'!$D$21</f>
        <v>60461446.149999999</v>
      </c>
      <c r="E45" s="115"/>
      <c r="F45" s="16"/>
      <c r="G45" s="16"/>
      <c r="H45" s="9"/>
    </row>
    <row r="46" spans="1:8" ht="15">
      <c r="A46" s="14">
        <f t="shared" si="0"/>
        <v>34</v>
      </c>
      <c r="B46" s="25" t="s">
        <v>29</v>
      </c>
      <c r="C46" s="113">
        <f>E46</f>
        <v>165545895.47</v>
      </c>
      <c r="D46" s="115"/>
      <c r="E46" s="115">
        <f>'Other 365-368'!$D$22</f>
        <v>165545895.47</v>
      </c>
      <c r="F46" s="16"/>
      <c r="G46" s="16"/>
      <c r="H46" s="9"/>
    </row>
    <row r="47" spans="1:8" ht="15">
      <c r="A47" s="14">
        <f t="shared" si="0"/>
        <v>35</v>
      </c>
      <c r="B47" s="25" t="s">
        <v>43</v>
      </c>
      <c r="C47" s="112">
        <f>'Other 365-368'!$D$23</f>
        <v>18349238.830000002</v>
      </c>
      <c r="D47" s="116">
        <f>$C$47*D37</f>
        <v>14886455.482971452</v>
      </c>
      <c r="E47" s="116">
        <f>$C$47*E37</f>
        <v>3462783.3470285498</v>
      </c>
      <c r="F47" s="14" t="s">
        <v>60</v>
      </c>
      <c r="G47" s="16"/>
      <c r="H47" s="9" t="s">
        <v>26</v>
      </c>
    </row>
    <row r="48" spans="1:8" ht="15">
      <c r="A48" s="14">
        <f t="shared" si="0"/>
        <v>36</v>
      </c>
      <c r="B48" s="17" t="s">
        <v>20</v>
      </c>
      <c r="C48" s="114">
        <f>SUM(C41:C47)</f>
        <v>1082118478.1099999</v>
      </c>
      <c r="D48" s="114">
        <f>SUM(D41:D47)</f>
        <v>656988431.26209927</v>
      </c>
      <c r="E48" s="114">
        <f>SUM(E41:E47)</f>
        <v>425130046.84790057</v>
      </c>
      <c r="F48" s="16"/>
      <c r="G48" s="16"/>
      <c r="H48" s="9"/>
    </row>
    <row r="49" spans="1:11" ht="15.75">
      <c r="A49" s="14">
        <f t="shared" si="0"/>
        <v>37</v>
      </c>
      <c r="B49" s="17" t="s">
        <v>15</v>
      </c>
      <c r="C49" s="84">
        <f>SUM(D49:E49)</f>
        <v>0.99999999999999989</v>
      </c>
      <c r="D49" s="85">
        <f>D48/$C$48</f>
        <v>0.60713170004228945</v>
      </c>
      <c r="E49" s="85">
        <f>E48/$C$48</f>
        <v>0.39286829995771044</v>
      </c>
      <c r="F49" s="24"/>
      <c r="G49" s="24"/>
      <c r="H49" s="9"/>
      <c r="K49" s="2"/>
    </row>
    <row r="50" spans="1:11" ht="15">
      <c r="A50" s="14">
        <f t="shared" si="0"/>
        <v>38</v>
      </c>
      <c r="B50" s="25"/>
      <c r="C50" s="10"/>
      <c r="D50" s="10"/>
      <c r="E50" s="10"/>
      <c r="F50" s="26"/>
      <c r="G50" s="26"/>
      <c r="H50" s="9"/>
      <c r="K50" s="2"/>
    </row>
    <row r="51" spans="1:11" ht="15.75">
      <c r="A51" s="14">
        <f t="shared" si="0"/>
        <v>39</v>
      </c>
      <c r="B51" s="12" t="s">
        <v>30</v>
      </c>
      <c r="C51" s="12" t="s">
        <v>2</v>
      </c>
      <c r="D51" s="12" t="s">
        <v>3</v>
      </c>
      <c r="E51" s="12" t="s">
        <v>4</v>
      </c>
      <c r="F51" s="12" t="s">
        <v>31</v>
      </c>
      <c r="G51" s="12"/>
      <c r="H51" s="12" t="s">
        <v>6</v>
      </c>
      <c r="K51" s="2"/>
    </row>
    <row r="52" spans="1:11" ht="15">
      <c r="A52" s="14">
        <f t="shared" si="0"/>
        <v>40</v>
      </c>
      <c r="B52" s="13" t="s">
        <v>7</v>
      </c>
      <c r="C52" s="13" t="s">
        <v>8</v>
      </c>
      <c r="D52" s="13" t="s">
        <v>9</v>
      </c>
      <c r="E52" s="13" t="s">
        <v>10</v>
      </c>
      <c r="F52" s="13" t="s">
        <v>11</v>
      </c>
      <c r="G52" s="13"/>
      <c r="H52" s="13"/>
      <c r="K52" s="2"/>
    </row>
    <row r="53" spans="1:11" ht="15">
      <c r="A53" s="14">
        <f t="shared" si="0"/>
        <v>41</v>
      </c>
      <c r="B53" s="27" t="s">
        <v>39</v>
      </c>
      <c r="C53" s="117">
        <f>'Other 365-368'!$D$33</f>
        <v>58408559.530000001</v>
      </c>
      <c r="D53" s="114">
        <f>C53</f>
        <v>58408559.530000001</v>
      </c>
      <c r="E53" s="114"/>
      <c r="F53" s="111"/>
      <c r="G53" s="16"/>
      <c r="H53" s="9" t="s">
        <v>41</v>
      </c>
      <c r="K53" s="2"/>
    </row>
    <row r="54" spans="1:8" ht="17.25">
      <c r="A54" s="14">
        <f t="shared" si="0"/>
        <v>42</v>
      </c>
      <c r="B54" s="27" t="s">
        <v>40</v>
      </c>
      <c r="C54" s="113">
        <f>'Other 365-368'!$D$36</f>
        <v>88183543.689999998</v>
      </c>
      <c r="D54" s="118">
        <f>C54</f>
        <v>88183543.689999998</v>
      </c>
      <c r="E54" s="114"/>
      <c r="F54" s="111"/>
      <c r="G54" s="16"/>
      <c r="H54" s="9" t="s">
        <v>42</v>
      </c>
    </row>
    <row r="55" spans="1:8" ht="15">
      <c r="A55" s="14">
        <f t="shared" si="0"/>
        <v>43</v>
      </c>
      <c r="B55" s="27" t="s">
        <v>31</v>
      </c>
      <c r="C55" s="113">
        <f>'Other 365-368'!$D$34</f>
        <v>150190759.81999999</v>
      </c>
      <c r="D55" s="114"/>
      <c r="E55" s="114"/>
      <c r="F55" s="112">
        <f>C55</f>
        <v>150190759.81999999</v>
      </c>
      <c r="G55" s="16"/>
      <c r="H55" s="9"/>
    </row>
    <row r="56" spans="1:8" ht="15">
      <c r="A56" s="14">
        <f t="shared" si="0"/>
        <v>44</v>
      </c>
      <c r="B56" s="27" t="s">
        <v>5</v>
      </c>
      <c r="C56" s="119">
        <f>'Other 365-368'!$D$35</f>
        <v>2196294899.3599992</v>
      </c>
      <c r="D56" s="112"/>
      <c r="E56" s="112">
        <f>C56</f>
        <v>2196294899.3599992</v>
      </c>
      <c r="F56" s="112"/>
      <c r="G56" s="16"/>
      <c r="H56" s="9" t="s">
        <v>32</v>
      </c>
    </row>
    <row r="57" spans="1:8" ht="15">
      <c r="A57" s="14">
        <f t="shared" si="0"/>
        <v>45</v>
      </c>
      <c r="B57" s="17" t="s">
        <v>20</v>
      </c>
      <c r="C57" s="117">
        <f>SUM(C53:C56)</f>
        <v>2493077762.3999991</v>
      </c>
      <c r="D57" s="117">
        <f>SUM(D53:D56)</f>
        <v>146592103.22</v>
      </c>
      <c r="E57" s="117">
        <f>SUM(E53:E56)</f>
        <v>2196294899.3599992</v>
      </c>
      <c r="F57" s="117">
        <f>SUM(F53:F56)</f>
        <v>150190759.81999999</v>
      </c>
      <c r="G57" s="28"/>
      <c r="H57" s="9"/>
    </row>
    <row r="58" spans="1:8" ht="15.75">
      <c r="A58" s="14">
        <f t="shared" si="0"/>
        <v>46</v>
      </c>
      <c r="B58" s="17" t="s">
        <v>15</v>
      </c>
      <c r="C58" s="84">
        <f>SUM(D58:F58)</f>
        <v>0.99999999999999989</v>
      </c>
      <c r="D58" s="85">
        <f>D57/$C$57</f>
        <v>0.058799651350979476</v>
      </c>
      <c r="E58" s="85">
        <f>E57/$C$57</f>
        <v>0.88095723787039137</v>
      </c>
      <c r="F58" s="85">
        <f>F57/$C$57</f>
        <v>0.060243110778629136</v>
      </c>
      <c r="G58" s="19"/>
      <c r="H58" s="9"/>
    </row>
    <row r="59" spans="3:6" ht="15">
      <c r="C59" s="80"/>
      <c r="D59" s="81"/>
      <c r="E59" s="81"/>
      <c r="F59" s="82"/>
    </row>
  </sheetData>
  <mergeCells count="6">
    <mergeCell ref="B8:H8"/>
    <mergeCell ref="B1:H1"/>
    <mergeCell ref="B2:H2"/>
    <mergeCell ref="B3:H3"/>
    <mergeCell ref="B4:H4"/>
    <mergeCell ref="B5:H5"/>
  </mergeCells>
  <printOptions horizontalCentered="1"/>
  <pageMargins left="1.5" right="0.5" top="1.5" bottom="0.5" header="1" footer="0.5"/>
  <pageSetup orientation="portrait" scale="53" r:id="rId1"/>
  <headerFooter alignWithMargins="0">
    <oddHeader>&amp;C                              &amp;RWP/II-I-2.4
Page &amp;P of 4</oddHeader>
  </headerFooter>
  <rowBreaks count="1" manualBreakCount="1">
    <brk id="27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K20"/>
  <sheetViews>
    <sheetView view="pageBreakPreview" zoomScaleNormal="100" zoomScaleSheetLayoutView="100" workbookViewId="0" topLeftCell="A1">
      <selection pane="topLeft" activeCell="D16" sqref="D16"/>
    </sheetView>
  </sheetViews>
  <sheetFormatPr defaultColWidth="9.14428571428571" defaultRowHeight="12"/>
  <cols>
    <col min="1" max="1" width="9.14285714285714" style="6"/>
    <col min="2" max="2" width="29.4285714285714" style="6" customWidth="1"/>
    <col min="3" max="3" width="16.8571428571429" style="5" bestFit="1" customWidth="1"/>
    <col min="4" max="4" width="49.7142857142857" style="5" bestFit="1" customWidth="1"/>
    <col min="5" max="5" width="16.8571428571429" style="5" bestFit="1" customWidth="1"/>
    <col min="6" max="6" width="15.2857142857143" style="6" customWidth="1"/>
    <col min="7" max="7" width="9.14285714285714" style="6"/>
    <col min="8" max="8" width="15.8571428571429" style="6" customWidth="1"/>
    <col min="9" max="10" width="9.85714285714286" style="6" bestFit="1" customWidth="1"/>
    <col min="11" max="11" width="13.5714285714286" style="6" bestFit="1" customWidth="1"/>
    <col min="12" max="16384" width="9.14285714285714" style="6"/>
  </cols>
  <sheetData>
    <row r="1" spans="1:5" ht="15" customHeight="1">
      <c r="A1" s="49"/>
      <c r="B1" s="128" t="str">
        <f>Summary!$B$1</f>
        <v>2022 RATE CASE</v>
      </c>
      <c r="C1" s="128"/>
      <c r="D1" s="128"/>
      <c r="E1" s="128"/>
    </row>
    <row r="2" spans="1:5" ht="15" customHeight="1">
      <c r="A2" s="35"/>
      <c r="B2" s="128" t="str">
        <f>Summary!$B$2</f>
        <v>ONCOR ELECTRIC DELIVERY COMPANY LLC</v>
      </c>
      <c r="C2" s="128"/>
      <c r="D2" s="128"/>
      <c r="E2" s="128"/>
    </row>
    <row r="3" spans="1:5" ht="15" customHeight="1">
      <c r="A3" s="29"/>
      <c r="B3" s="128" t="str">
        <f>Summary!$B$3</f>
        <v>CLASS ALLOCATION FACTORS</v>
      </c>
      <c r="C3" s="128"/>
      <c r="D3" s="128"/>
      <c r="E3" s="128"/>
    </row>
    <row r="4" spans="1:5" ht="15" customHeight="1">
      <c r="A4" s="29"/>
      <c r="B4" s="128" t="str">
        <f>Summary!$B$4</f>
        <v>FOR THE TEST YEAR ENDING 12/31/2021</v>
      </c>
      <c r="C4" s="128"/>
      <c r="D4" s="128"/>
      <c r="E4" s="128"/>
    </row>
    <row r="5" spans="1:5" ht="15" customHeight="1">
      <c r="A5" s="29"/>
      <c r="B5" s="128" t="str">
        <f>Summary!$B$5</f>
        <v>SPONSOR:  MATTHEW A. TROXLE</v>
      </c>
      <c r="C5" s="128"/>
      <c r="D5" s="128"/>
      <c r="E5" s="128"/>
    </row>
    <row r="6" spans="1:5" ht="15">
      <c r="A6" s="29"/>
      <c r="B6" s="29"/>
      <c r="C6" s="66"/>
      <c r="D6" s="30"/>
      <c r="E6" s="30"/>
    </row>
    <row r="7" spans="1:5" ht="14.25">
      <c r="A7" s="29"/>
      <c r="B7" s="29"/>
      <c r="C7" s="30"/>
      <c r="D7" s="30"/>
      <c r="E7" s="30"/>
    </row>
    <row r="8" spans="1:5" ht="15">
      <c r="A8" s="29"/>
      <c r="B8" s="29"/>
      <c r="C8" s="33" t="s">
        <v>65</v>
      </c>
      <c r="D8" s="30"/>
      <c r="E8" s="30"/>
    </row>
    <row r="9" spans="1:5" ht="14.25">
      <c r="A9" s="29"/>
      <c r="D9" s="30"/>
      <c r="E9" s="30"/>
    </row>
    <row r="10" spans="1:5" ht="14.25">
      <c r="A10" s="29"/>
      <c r="B10" s="29"/>
      <c r="C10" s="30"/>
      <c r="D10" s="30"/>
      <c r="E10" s="30"/>
    </row>
    <row r="11" spans="1:11" ht="15">
      <c r="A11" s="29"/>
      <c r="B11" s="29"/>
      <c r="C11" s="32" t="s">
        <v>58</v>
      </c>
      <c r="D11" s="32" t="s">
        <v>58</v>
      </c>
      <c r="E11" s="30"/>
      <c r="H11" s="77"/>
      <c r="I11" s="77"/>
      <c r="J11" s="77"/>
      <c r="K11" s="77"/>
    </row>
    <row r="12" spans="1:11" ht="15">
      <c r="A12" s="29"/>
      <c r="B12" s="33" t="s">
        <v>16</v>
      </c>
      <c r="C12" s="34">
        <v>364</v>
      </c>
      <c r="D12" s="34">
        <v>371</v>
      </c>
      <c r="E12" s="32" t="s">
        <v>2</v>
      </c>
      <c r="H12" s="77"/>
      <c r="I12" s="77"/>
      <c r="J12" s="77"/>
      <c r="K12" s="77"/>
    </row>
    <row r="13" spans="1:11" ht="15">
      <c r="A13" s="29"/>
      <c r="B13" s="31" t="s">
        <v>33</v>
      </c>
      <c r="C13" s="103">
        <v>1408285793.8697593</v>
      </c>
      <c r="D13" s="105"/>
      <c r="E13" s="89">
        <f>SUM(C13:D13)</f>
        <v>1408285793.8697593</v>
      </c>
      <c r="H13" s="77"/>
      <c r="I13" s="77"/>
      <c r="J13" s="77"/>
      <c r="K13" s="77"/>
    </row>
    <row r="14" spans="1:11" ht="15">
      <c r="A14" s="29"/>
      <c r="B14" s="31" t="s">
        <v>34</v>
      </c>
      <c r="C14" s="103">
        <v>289145709.69001365</v>
      </c>
      <c r="D14" s="104">
        <v>1449375.899999999</v>
      </c>
      <c r="E14" s="89">
        <f>SUM(C14:D14)</f>
        <v>290595085.59001362</v>
      </c>
      <c r="H14" s="77"/>
      <c r="I14" s="77"/>
      <c r="J14" s="77"/>
      <c r="K14" s="77"/>
    </row>
    <row r="15" spans="1:11" ht="15">
      <c r="A15" s="29"/>
      <c r="B15" s="31" t="s">
        <v>35</v>
      </c>
      <c r="C15" s="103">
        <v>525841231.02985471</v>
      </c>
      <c r="D15" s="89">
        <v>0</v>
      </c>
      <c r="E15" s="89">
        <f>SUM(C15:D15)</f>
        <v>525841231.02985471</v>
      </c>
      <c r="H15" s="77"/>
      <c r="I15" s="77"/>
      <c r="J15" s="77"/>
      <c r="K15" s="78"/>
    </row>
    <row r="16" spans="1:11" ht="15">
      <c r="A16" s="29"/>
      <c r="B16" s="31" t="s">
        <v>36</v>
      </c>
      <c r="C16" s="104">
        <v>108287282.06000251</v>
      </c>
      <c r="D16" s="104">
        <v>1360824.9799999993</v>
      </c>
      <c r="E16" s="89">
        <f>SUM(C16:D16)</f>
        <v>109648107.04000251</v>
      </c>
      <c r="H16" s="77"/>
      <c r="I16" s="77"/>
      <c r="J16" s="77"/>
      <c r="K16" s="77"/>
    </row>
    <row r="17" spans="1:11" ht="15">
      <c r="A17" s="29"/>
      <c r="B17" s="31"/>
      <c r="C17" s="89"/>
      <c r="D17" s="89"/>
      <c r="E17" s="89"/>
      <c r="H17" s="77"/>
      <c r="I17" s="77"/>
      <c r="J17" s="77"/>
      <c r="K17" s="77"/>
    </row>
    <row r="18" spans="1:11" ht="15">
      <c r="A18" s="29"/>
      <c r="B18" s="33" t="s">
        <v>2</v>
      </c>
      <c r="C18" s="89">
        <f>SUM(C13:C17)</f>
        <v>2331560016.6496301</v>
      </c>
      <c r="D18" s="89">
        <f>SUM(D13:D17)</f>
        <v>2810200.879999998</v>
      </c>
      <c r="E18" s="89">
        <f>SUM(E13:E17)</f>
        <v>2334370217.5296302</v>
      </c>
      <c r="H18" s="79"/>
      <c r="I18" s="77"/>
      <c r="J18" s="77"/>
      <c r="K18" s="77"/>
    </row>
    <row r="20" spans="2:5" ht="12">
      <c r="B20" s="6" t="s">
        <v>81</v>
      </c>
      <c r="C20" s="5" t="b">
        <f>(SUM(C13:C16)-C18)=0</f>
        <v>1</v>
      </c>
      <c r="D20" s="5" t="b">
        <f t="shared" si="0" ref="D20:E20">(SUM(D13:D16)-D18)=0</f>
        <v>1</v>
      </c>
      <c r="E20" s="5" t="b">
        <f t="shared" si="0"/>
        <v>1</v>
      </c>
    </row>
  </sheetData>
  <mergeCells count="5">
    <mergeCell ref="B1:E1"/>
    <mergeCell ref="B2:E2"/>
    <mergeCell ref="B3:E3"/>
    <mergeCell ref="B4:E4"/>
    <mergeCell ref="B5:E5"/>
  </mergeCells>
  <printOptions horizontalCentered="1"/>
  <pageMargins left="1.5" right="0.5" top="1.5" bottom="1" header="1" footer="0.5"/>
  <pageSetup orientation="landscape" scale="85" r:id="rId1"/>
  <headerFooter alignWithMargins="0">
    <oddHeader>&amp;RWP II-I-2.4
Page 2 of 4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L27"/>
  <sheetViews>
    <sheetView view="pageBreakPreview" zoomScaleNormal="100" zoomScaleSheetLayoutView="100" workbookViewId="0" topLeftCell="A1">
      <selection pane="topLeft" activeCell="F13" sqref="F13:F19"/>
    </sheetView>
  </sheetViews>
  <sheetFormatPr defaultColWidth="9.14428571428571" defaultRowHeight="12"/>
  <cols>
    <col min="1" max="1" width="3" style="4" customWidth="1"/>
    <col min="2" max="2" width="28.7142857142857" style="4" bestFit="1" customWidth="1"/>
    <col min="3" max="3" width="20.4285714285714" style="73" bestFit="1" customWidth="1"/>
    <col min="4" max="4" width="22.8571428571429" style="73" bestFit="1" customWidth="1"/>
    <col min="5" max="5" width="17.5714285714286" style="73" customWidth="1"/>
    <col min="6" max="6" width="19.2857142857143" style="3" customWidth="1"/>
    <col min="7" max="8" width="14.8571428571429" style="4" customWidth="1"/>
    <col min="9" max="9" width="16.1428571428571" style="4" customWidth="1"/>
    <col min="10" max="10" width="15.1428571428571" style="4" customWidth="1"/>
    <col min="11" max="16384" width="9.14285714285714" style="4"/>
  </cols>
  <sheetData>
    <row r="1" spans="1:12" ht="15" customHeight="1">
      <c r="A1" s="35"/>
      <c r="B1" s="129" t="str">
        <f>Summary!$B$1</f>
        <v>2022 RATE CASE</v>
      </c>
      <c r="C1" s="129"/>
      <c r="D1" s="129"/>
      <c r="E1" s="129"/>
      <c r="F1" s="129"/>
      <c r="L1" s="4" t="s">
        <v>81</v>
      </c>
    </row>
    <row r="2" spans="1:6" ht="15" customHeight="1">
      <c r="A2" s="35"/>
      <c r="B2" s="129" t="str">
        <f>Summary!$B$2</f>
        <v>ONCOR ELECTRIC DELIVERY COMPANY LLC</v>
      </c>
      <c r="C2" s="129"/>
      <c r="D2" s="129"/>
      <c r="E2" s="129"/>
      <c r="F2" s="129"/>
    </row>
    <row r="3" spans="1:6" ht="15" customHeight="1">
      <c r="A3" s="35"/>
      <c r="B3" s="129" t="str">
        <f>Summary!$B$3</f>
        <v>CLASS ALLOCATION FACTORS</v>
      </c>
      <c r="C3" s="129"/>
      <c r="D3" s="129"/>
      <c r="E3" s="129"/>
      <c r="F3" s="129"/>
    </row>
    <row r="4" spans="1:6" ht="15" customHeight="1">
      <c r="A4" s="35"/>
      <c r="B4" s="129" t="str">
        <f>Summary!$B$4</f>
        <v>FOR THE TEST YEAR ENDING 12/31/2021</v>
      </c>
      <c r="C4" s="129"/>
      <c r="D4" s="129"/>
      <c r="E4" s="129"/>
      <c r="F4" s="129"/>
    </row>
    <row r="5" spans="1:6" ht="15" customHeight="1">
      <c r="A5" s="35"/>
      <c r="B5" s="129" t="str">
        <f>Summary!$B$5</f>
        <v>SPONSOR:  MATTHEW A. TROXLE</v>
      </c>
      <c r="C5" s="129"/>
      <c r="D5" s="129"/>
      <c r="E5" s="129"/>
      <c r="F5" s="129"/>
    </row>
    <row r="6" spans="1:6" ht="15">
      <c r="A6" s="35"/>
      <c r="B6" s="35"/>
      <c r="D6" s="66"/>
      <c r="F6" s="36"/>
    </row>
    <row r="7" spans="1:6" ht="14.25">
      <c r="A7" s="35"/>
      <c r="B7" s="35"/>
      <c r="D7" s="74"/>
      <c r="F7" s="36"/>
    </row>
    <row r="8" spans="1:6" ht="15">
      <c r="A8" s="35"/>
      <c r="B8" s="35"/>
      <c r="D8" s="39" t="s">
        <v>66</v>
      </c>
      <c r="F8" s="36"/>
    </row>
    <row r="9" spans="1:6" ht="14.25">
      <c r="A9" s="35"/>
      <c r="C9" s="74"/>
      <c r="D9" s="74"/>
      <c r="E9" s="74"/>
      <c r="F9" s="36"/>
    </row>
    <row r="10" spans="1:6" ht="14.25">
      <c r="A10" s="35"/>
      <c r="B10" s="35"/>
      <c r="C10" s="74"/>
      <c r="D10" s="74"/>
      <c r="E10" s="74"/>
      <c r="F10" s="36"/>
    </row>
    <row r="11" spans="1:10" ht="15">
      <c r="A11" s="35"/>
      <c r="B11" s="35"/>
      <c r="C11" s="48" t="s">
        <v>67</v>
      </c>
      <c r="D11" s="48" t="s">
        <v>67</v>
      </c>
      <c r="E11" s="48" t="s">
        <v>67</v>
      </c>
      <c r="F11" s="38"/>
      <c r="G11" s="38"/>
      <c r="I11" s="38"/>
      <c r="J11" s="36"/>
    </row>
    <row r="12" spans="1:10" ht="15">
      <c r="A12" s="35"/>
      <c r="B12" s="39" t="s">
        <v>16</v>
      </c>
      <c r="C12" s="90" t="s">
        <v>82</v>
      </c>
      <c r="D12" s="90" t="s">
        <v>83</v>
      </c>
      <c r="E12" s="90">
        <v>373</v>
      </c>
      <c r="F12" s="93" t="s">
        <v>72</v>
      </c>
      <c r="G12" s="40"/>
      <c r="J12" s="41"/>
    </row>
    <row r="13" spans="1:10" ht="15">
      <c r="A13" s="35"/>
      <c r="B13" s="37" t="s">
        <v>51</v>
      </c>
      <c r="C13" s="96">
        <v>919800778.31149232</v>
      </c>
      <c r="D13" s="96"/>
      <c r="E13" s="133">
        <v>235.96246240624961</v>
      </c>
      <c r="F13" s="94">
        <f>SUM(C13:E13)</f>
        <v>919801014.27395475</v>
      </c>
      <c r="G13" s="45"/>
      <c r="J13" s="46"/>
    </row>
    <row r="14" spans="1:10" ht="15">
      <c r="A14" s="35"/>
      <c r="B14" s="86" t="s">
        <v>52</v>
      </c>
      <c r="C14" s="96"/>
      <c r="D14" s="96">
        <v>1409662379.355263</v>
      </c>
      <c r="E14" s="134">
        <v>622.27261720417698</v>
      </c>
      <c r="F14" s="94">
        <f t="shared" si="0" ref="F14:F21">SUM(C14:E14)</f>
        <v>1409663001.6278801</v>
      </c>
      <c r="G14" s="45"/>
      <c r="J14" s="46"/>
    </row>
    <row r="15" spans="1:10" ht="15">
      <c r="A15" s="35"/>
      <c r="B15" s="86" t="s">
        <v>53</v>
      </c>
      <c r="C15" s="96">
        <v>370141863.53396761</v>
      </c>
      <c r="D15" s="96"/>
      <c r="E15" s="98">
        <v>235.96246240624961</v>
      </c>
      <c r="F15" s="94">
        <f t="shared" si="0"/>
        <v>370142099.49643004</v>
      </c>
      <c r="G15" s="47"/>
      <c r="J15" s="46"/>
    </row>
    <row r="16" spans="1:10" ht="15">
      <c r="A16" s="35"/>
      <c r="B16" s="86" t="s">
        <v>54</v>
      </c>
      <c r="C16" s="96">
        <v>89856566.156058758</v>
      </c>
      <c r="D16" s="96"/>
      <c r="E16" s="98">
        <v>4009937.6874930821</v>
      </c>
      <c r="F16" s="94">
        <f t="shared" si="0"/>
        <v>93866503.843551844</v>
      </c>
      <c r="G16" s="99"/>
      <c r="H16" s="99"/>
      <c r="I16" s="99"/>
      <c r="J16" s="100"/>
    </row>
    <row r="17" spans="1:10" ht="15">
      <c r="A17" s="35"/>
      <c r="B17" s="86" t="s">
        <v>55</v>
      </c>
      <c r="C17" s="132"/>
      <c r="D17" s="96">
        <v>409419272.60613638</v>
      </c>
      <c r="E17" s="98">
        <v>4797017.9907154068</v>
      </c>
      <c r="F17" s="94">
        <f t="shared" si="0"/>
        <v>414216290.59685177</v>
      </c>
      <c r="G17" s="45"/>
      <c r="J17" s="46"/>
    </row>
    <row r="18" spans="1:10" ht="15">
      <c r="A18" s="35"/>
      <c r="B18" s="86" t="s">
        <v>56</v>
      </c>
      <c r="C18" s="96">
        <v>2007.0478292212727</v>
      </c>
      <c r="D18" s="132"/>
      <c r="E18" s="98">
        <v>17513444.095371429</v>
      </c>
      <c r="F18" s="94">
        <f t="shared" si="0"/>
        <v>17515451.143200651</v>
      </c>
      <c r="G18" s="45"/>
      <c r="J18" s="46"/>
    </row>
    <row r="19" spans="1:10" ht="15">
      <c r="A19" s="35"/>
      <c r="B19" s="86" t="s">
        <v>57</v>
      </c>
      <c r="C19" s="134">
        <v>626.87838476518868</v>
      </c>
      <c r="D19" s="96">
        <v>1323.0852544890813</v>
      </c>
      <c r="E19" s="98">
        <v>41505012.249978915</v>
      </c>
      <c r="F19" s="94">
        <f t="shared" si="0"/>
        <v>41506962.213618167</v>
      </c>
      <c r="G19" s="45"/>
      <c r="J19" s="46"/>
    </row>
    <row r="20" spans="1:10" ht="15">
      <c r="A20" s="35"/>
      <c r="B20" s="37"/>
      <c r="C20" s="101"/>
      <c r="D20" s="101"/>
      <c r="E20" s="102"/>
      <c r="F20" s="94">
        <f t="shared" si="0"/>
        <v>0</v>
      </c>
      <c r="G20" s="47"/>
      <c r="H20" s="4" t="s">
        <v>81</v>
      </c>
      <c r="J20" s="47"/>
    </row>
    <row r="21" spans="1:12" ht="15">
      <c r="A21" s="35"/>
      <c r="B21" s="39" t="s">
        <v>2</v>
      </c>
      <c r="C21" s="91">
        <f>SUM(C13:C20)</f>
        <v>1379801841.9277327</v>
      </c>
      <c r="D21" s="97">
        <f>SUM(D13:D20)</f>
        <v>1819082975.0466538</v>
      </c>
      <c r="E21" s="92">
        <f>SUM(E14:E20)</f>
        <v>67826270.258638442</v>
      </c>
      <c r="F21" s="94">
        <f t="shared" si="0"/>
        <v>3266711087.2330246</v>
      </c>
      <c r="G21" s="45"/>
      <c r="H21" s="4" t="str">
        <f>IF((C21+D21+E21)-SUM(F13:F19)=0,TRUE,"check math")</f>
        <v>check math</v>
      </c>
      <c r="J21" s="46"/>
      <c r="L21" s="44"/>
    </row>
    <row r="22" spans="1:6" ht="15">
      <c r="A22" s="7"/>
      <c r="B22" s="7"/>
      <c r="C22" s="75"/>
      <c r="D22" s="75"/>
      <c r="E22" s="75"/>
      <c r="F22" s="8"/>
    </row>
    <row r="23" spans="1:6" ht="15">
      <c r="A23" s="7"/>
      <c r="B23" s="7"/>
      <c r="C23" s="75"/>
      <c r="D23" s="75"/>
      <c r="E23" s="75"/>
      <c r="F23" s="8"/>
    </row>
    <row r="27" spans="3:5" ht="15">
      <c r="C27" s="76" t="s">
        <v>82</v>
      </c>
      <c r="D27" s="76" t="s">
        <v>83</v>
      </c>
      <c r="E27" s="76">
        <v>373</v>
      </c>
    </row>
  </sheetData>
  <mergeCells count="5">
    <mergeCell ref="B1:F1"/>
    <mergeCell ref="B2:F2"/>
    <mergeCell ref="B3:F3"/>
    <mergeCell ref="B4:F4"/>
    <mergeCell ref="B5:F5"/>
  </mergeCells>
  <printOptions horizontalCentered="1"/>
  <pageMargins left="0.75" right="0.75" top="1.5" bottom="1" header="1" footer="0.5"/>
  <pageSetup orientation="landscape" r:id="rId1"/>
  <headerFooter alignWithMargins="0">
    <oddHeader>&amp;RWP II-I-2.4
Page 3 of 4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B1:N46"/>
  <sheetViews>
    <sheetView view="pageBreakPreview" zoomScale="150" zoomScaleNormal="100" zoomScaleSheetLayoutView="150" workbookViewId="0" topLeftCell="A1">
      <selection pane="topLeft" activeCell="G35" sqref="G35"/>
    </sheetView>
  </sheetViews>
  <sheetFormatPr defaultColWidth="9.14428571428571" defaultRowHeight="21.75" customHeight="1"/>
  <cols>
    <col min="1" max="1" width="1.42857142857143" style="61" customWidth="1"/>
    <col min="2" max="3" width="9.14285714285714" style="61"/>
    <col min="4" max="4" width="26.2857142857143" style="61" customWidth="1"/>
    <col min="5" max="5" width="9.14285714285714" style="61"/>
    <col min="6" max="6" width="18.5714285714286" style="61" customWidth="1"/>
    <col min="7" max="7" width="25.7142857142857" style="61" customWidth="1"/>
    <col min="8" max="8" width="1.85714285714286" style="61" customWidth="1"/>
    <col min="9" max="9" width="28.8571428571429" style="61" customWidth="1"/>
    <col min="10" max="10" width="1.28571428571429" style="61" customWidth="1"/>
    <col min="11" max="11" width="19" style="61" customWidth="1"/>
    <col min="12" max="12" width="18.7142857142857" style="61" customWidth="1"/>
    <col min="13" max="16384" width="9.14285714285714" style="61"/>
  </cols>
  <sheetData>
    <row r="1" spans="2:13" s="70" customFormat="1" ht="21.75" customHeight="1">
      <c r="B1" s="131" t="str">
        <f>Summary!$B$1</f>
        <v>2022 RATE CASE</v>
      </c>
      <c r="C1" s="131"/>
      <c r="D1" s="131"/>
      <c r="E1" s="131"/>
      <c r="F1" s="131" t="str">
        <f>Summary!$B$1</f>
        <v>2022 RATE CASE</v>
      </c>
      <c r="G1" s="131"/>
      <c r="H1" s="131"/>
      <c r="I1" s="131"/>
      <c r="M1" s="72"/>
    </row>
    <row r="2" spans="2:13" s="70" customFormat="1" ht="21.75" customHeight="1">
      <c r="B2" s="131" t="str">
        <f>Summary!$B$2</f>
        <v>ONCOR ELECTRIC DELIVERY COMPANY LLC</v>
      </c>
      <c r="C2" s="131"/>
      <c r="D2" s="131"/>
      <c r="E2" s="131"/>
      <c r="F2" s="131" t="str">
        <f>Summary!$B$2</f>
        <v>ONCOR ELECTRIC DELIVERY COMPANY LLC</v>
      </c>
      <c r="G2" s="131"/>
      <c r="H2" s="131"/>
      <c r="I2" s="131"/>
      <c r="M2" s="72"/>
    </row>
    <row r="3" spans="2:13" s="70" customFormat="1" ht="21.75" customHeight="1">
      <c r="B3" s="131" t="str">
        <f>Summary!$B$3</f>
        <v>CLASS ALLOCATION FACTORS</v>
      </c>
      <c r="C3" s="131"/>
      <c r="D3" s="131"/>
      <c r="E3" s="131"/>
      <c r="F3" s="131" t="str">
        <f>Summary!$B$3</f>
        <v>CLASS ALLOCATION FACTORS</v>
      </c>
      <c r="G3" s="131"/>
      <c r="H3" s="131"/>
      <c r="I3" s="131"/>
      <c r="M3" s="72"/>
    </row>
    <row r="4" spans="2:13" s="70" customFormat="1" ht="21.75" customHeight="1">
      <c r="B4" s="131" t="str">
        <f>Summary!$B$4</f>
        <v>FOR THE TEST YEAR ENDING 12/31/2021</v>
      </c>
      <c r="C4" s="131"/>
      <c r="D4" s="131"/>
      <c r="E4" s="131"/>
      <c r="F4" s="131" t="str">
        <f>Summary!$B$4</f>
        <v>FOR THE TEST YEAR ENDING 12/31/2021</v>
      </c>
      <c r="G4" s="131"/>
      <c r="H4" s="131"/>
      <c r="I4" s="131"/>
      <c r="M4" s="72"/>
    </row>
    <row r="5" spans="2:13" s="70" customFormat="1" ht="21.75" customHeight="1">
      <c r="B5" s="131" t="str">
        <f>Summary!$B$5</f>
        <v>SPONSOR:  MATTHEW A. TROXLE</v>
      </c>
      <c r="C5" s="131"/>
      <c r="D5" s="131"/>
      <c r="E5" s="131"/>
      <c r="F5" s="131" t="str">
        <f>Summary!$B$5</f>
        <v>SPONSOR:  MATTHEW A. TROXLE</v>
      </c>
      <c r="G5" s="131"/>
      <c r="H5" s="131"/>
      <c r="I5" s="131"/>
      <c r="M5" s="72"/>
    </row>
    <row r="6" spans="4:13" s="70" customFormat="1" ht="21.75" customHeight="1">
      <c r="D6" s="71"/>
      <c r="E6" s="72"/>
      <c r="F6" s="72"/>
      <c r="G6" s="72"/>
      <c r="M6" s="72"/>
    </row>
    <row r="7" s="43" customFormat="1" ht="21.75" customHeight="1"/>
    <row r="8" spans="2:9" s="43" customFormat="1" ht="21.75" customHeight="1">
      <c r="B8" s="130" t="s">
        <v>87</v>
      </c>
      <c r="C8" s="130"/>
      <c r="D8" s="130"/>
      <c r="E8" s="130"/>
      <c r="F8" s="130"/>
      <c r="G8" s="130"/>
      <c r="H8" s="130"/>
      <c r="I8" s="130"/>
    </row>
    <row r="9" s="43" customFormat="1" ht="21.75" customHeight="1"/>
    <row r="10" s="43" customFormat="1" ht="21.75" customHeight="1"/>
    <row r="11" s="43" customFormat="1" ht="21.75" customHeight="1"/>
    <row r="12" spans="3:6" s="43" customFormat="1" ht="21.75" customHeight="1">
      <c r="C12" s="42" t="s">
        <v>67</v>
      </c>
      <c r="D12" s="42" t="s">
        <v>68</v>
      </c>
      <c r="E12" s="42" t="s">
        <v>69</v>
      </c>
      <c r="F12" s="42"/>
    </row>
    <row r="13" spans="3:6" s="43" customFormat="1" ht="21.75" customHeight="1">
      <c r="C13" s="43">
        <v>365</v>
      </c>
      <c r="D13" s="106">
        <v>446394005.87000012</v>
      </c>
      <c r="E13" s="43" t="s">
        <v>70</v>
      </c>
      <c r="F13" s="70"/>
    </row>
    <row r="14" spans="3:5" s="43" customFormat="1" ht="21.75" customHeight="1">
      <c r="C14" s="43">
        <v>365</v>
      </c>
      <c r="D14" s="106">
        <v>1229016852.25</v>
      </c>
      <c r="E14" s="43" t="s">
        <v>71</v>
      </c>
    </row>
    <row r="15" spans="3:5" s="43" customFormat="1" ht="21.75" customHeight="1">
      <c r="C15" s="43">
        <v>365</v>
      </c>
      <c r="D15" s="106">
        <f>SUM(D13:D14)</f>
        <v>1675410858.1200001</v>
      </c>
      <c r="E15" s="43" t="s">
        <v>72</v>
      </c>
    </row>
    <row r="16" s="43" customFormat="1" ht="21.75" customHeight="1"/>
    <row r="17" spans="3:5" s="42" customFormat="1" ht="21.75" customHeight="1">
      <c r="C17" s="42" t="s">
        <v>67</v>
      </c>
      <c r="D17" s="42" t="s">
        <v>68</v>
      </c>
      <c r="E17" s="42" t="s">
        <v>69</v>
      </c>
    </row>
    <row r="18" spans="3:9" s="43" customFormat="1" ht="21.75" customHeight="1">
      <c r="C18" s="43">
        <v>366</v>
      </c>
      <c r="D18" s="95">
        <v>605773597.87999988</v>
      </c>
      <c r="E18" s="43" t="s">
        <v>25</v>
      </c>
      <c r="G18" s="43" t="s">
        <v>85</v>
      </c>
      <c r="I18" s="43" t="s">
        <v>86</v>
      </c>
    </row>
    <row r="19" spans="3:11" s="43" customFormat="1" ht="21.75" customHeight="1">
      <c r="C19" s="43">
        <v>366</v>
      </c>
      <c r="D19" s="87">
        <v>112207917.61999999</v>
      </c>
      <c r="E19" s="70" t="s">
        <v>73</v>
      </c>
      <c r="F19" s="70"/>
      <c r="G19" s="88">
        <v>0</v>
      </c>
      <c r="H19" s="70"/>
      <c r="I19" s="87">
        <v>112207917.61999999</v>
      </c>
      <c r="K19" s="55"/>
    </row>
    <row r="20" spans="3:5" s="43" customFormat="1" ht="21.75" customHeight="1">
      <c r="C20" s="43">
        <v>366</v>
      </c>
      <c r="D20" s="87">
        <v>119780382.16000001</v>
      </c>
      <c r="E20" s="43" t="s">
        <v>74</v>
      </c>
    </row>
    <row r="21" spans="3:5" s="43" customFormat="1" ht="21.75" customHeight="1">
      <c r="C21" s="43">
        <v>366</v>
      </c>
      <c r="D21" s="87">
        <v>60461446.149999999</v>
      </c>
      <c r="E21" s="43" t="s">
        <v>3</v>
      </c>
    </row>
    <row r="22" spans="3:5" s="43" customFormat="1" ht="21.75" customHeight="1">
      <c r="C22" s="43">
        <v>366</v>
      </c>
      <c r="D22" s="87">
        <v>165545895.47</v>
      </c>
      <c r="E22" s="43" t="s">
        <v>4</v>
      </c>
    </row>
    <row r="23" spans="3:12" s="43" customFormat="1" ht="21.75" customHeight="1">
      <c r="C23" s="43">
        <v>366</v>
      </c>
      <c r="D23" s="107">
        <v>18349238.830000002</v>
      </c>
      <c r="E23" s="43" t="s">
        <v>75</v>
      </c>
      <c r="K23" s="51"/>
      <c r="L23" s="67"/>
    </row>
    <row r="24" spans="3:5" s="43" customFormat="1" ht="21.75" customHeight="1">
      <c r="C24" s="43">
        <v>366</v>
      </c>
      <c r="D24" s="87">
        <f>SUM(D18:D23)</f>
        <v>1082118478.1099999</v>
      </c>
      <c r="E24" s="43" t="s">
        <v>72</v>
      </c>
    </row>
    <row r="25" spans="11:12" s="43" customFormat="1" ht="21.75" customHeight="1">
      <c r="K25" s="50"/>
      <c r="L25" s="53"/>
    </row>
    <row r="26" spans="3:12" s="42" customFormat="1" ht="21.75" customHeight="1">
      <c r="C26" s="42" t="s">
        <v>67</v>
      </c>
      <c r="D26" s="42" t="s">
        <v>68</v>
      </c>
      <c r="E26" s="42" t="s">
        <v>69</v>
      </c>
      <c r="K26" s="50"/>
      <c r="L26" s="53"/>
    </row>
    <row r="27" spans="3:12" s="43" customFormat="1" ht="21.75" customHeight="1">
      <c r="C27" s="43">
        <v>367</v>
      </c>
      <c r="D27" s="106">
        <v>2153577855.8099999</v>
      </c>
      <c r="E27" s="43" t="s">
        <v>76</v>
      </c>
      <c r="K27" s="50"/>
      <c r="L27" s="53"/>
    </row>
    <row r="28" spans="3:13" s="43" customFormat="1" ht="21.75" customHeight="1">
      <c r="C28" s="43">
        <v>367</v>
      </c>
      <c r="D28" s="106">
        <v>390928147.05000001</v>
      </c>
      <c r="E28" s="43" t="s">
        <v>70</v>
      </c>
      <c r="H28" s="55"/>
      <c r="K28" s="56"/>
      <c r="L28" s="57"/>
      <c r="M28" s="68"/>
    </row>
    <row r="29" spans="3:13" s="43" customFormat="1" ht="21.75" customHeight="1">
      <c r="C29" s="43">
        <v>367</v>
      </c>
      <c r="D29" s="108">
        <v>9421525.1099999994</v>
      </c>
      <c r="E29" s="43" t="s">
        <v>23</v>
      </c>
      <c r="K29" s="56"/>
      <c r="L29" s="57"/>
      <c r="M29" s="68"/>
    </row>
    <row r="30" spans="3:13" s="43" customFormat="1" ht="21.75" customHeight="1">
      <c r="C30" s="43">
        <v>367</v>
      </c>
      <c r="D30" s="108">
        <f>SUM(D27:D29)</f>
        <v>2553927527.9700003</v>
      </c>
      <c r="E30" s="43" t="s">
        <v>72</v>
      </c>
      <c r="K30" s="56"/>
      <c r="L30" s="57"/>
      <c r="M30" s="68"/>
    </row>
    <row r="31" spans="11:13" s="43" customFormat="1" ht="21.75" customHeight="1">
      <c r="K31" s="56"/>
      <c r="L31" s="57"/>
      <c r="M31" s="68"/>
    </row>
    <row r="32" spans="3:13" s="42" customFormat="1" ht="21.75" customHeight="1">
      <c r="C32" s="42" t="s">
        <v>67</v>
      </c>
      <c r="D32" s="42" t="s">
        <v>68</v>
      </c>
      <c r="E32" s="42" t="s">
        <v>69</v>
      </c>
      <c r="K32" s="58"/>
      <c r="L32" s="58"/>
      <c r="M32" s="58"/>
    </row>
    <row r="33" spans="3:13" s="43" customFormat="1" ht="21.75" customHeight="1">
      <c r="C33" s="43">
        <v>368</v>
      </c>
      <c r="D33" s="108">
        <v>58408559.530000001</v>
      </c>
      <c r="E33" s="43" t="s">
        <v>77</v>
      </c>
      <c r="K33" s="69"/>
      <c r="L33" s="57"/>
      <c r="M33" s="68"/>
    </row>
    <row r="34" spans="3:13" s="43" customFormat="1" ht="21.75" customHeight="1">
      <c r="C34" s="43">
        <v>368</v>
      </c>
      <c r="D34" s="108">
        <v>150190759.81999999</v>
      </c>
      <c r="E34" s="43" t="s">
        <v>78</v>
      </c>
      <c r="K34" s="68"/>
      <c r="L34" s="68"/>
      <c r="M34" s="68"/>
    </row>
    <row r="35" spans="3:13" s="43" customFormat="1" ht="21.75" customHeight="1">
      <c r="C35" s="43">
        <v>368</v>
      </c>
      <c r="D35" s="108">
        <v>2196294899.3599992</v>
      </c>
      <c r="E35" s="43" t="s">
        <v>79</v>
      </c>
      <c r="K35" s="68"/>
      <c r="L35" s="68"/>
      <c r="M35" s="68"/>
    </row>
    <row r="36" spans="3:14" s="43" customFormat="1" ht="21.75" customHeight="1">
      <c r="C36" s="43">
        <v>368</v>
      </c>
      <c r="D36" s="135">
        <v>88183543.689999998</v>
      </c>
      <c r="E36" s="43" t="s">
        <v>80</v>
      </c>
      <c r="K36" s="59"/>
      <c r="L36" s="69"/>
      <c r="M36" s="69"/>
      <c r="N36" s="52"/>
    </row>
    <row r="37" spans="3:14" s="43" customFormat="1" ht="21.75" customHeight="1">
      <c r="C37" s="43">
        <v>368</v>
      </c>
      <c r="D37" s="108">
        <f>SUM(D33:D36)</f>
        <v>2493077762.3999991</v>
      </c>
      <c r="E37" s="43" t="s">
        <v>72</v>
      </c>
      <c r="K37" s="67"/>
      <c r="L37" s="52"/>
      <c r="M37" s="54"/>
      <c r="N37" s="53"/>
    </row>
    <row r="38" spans="11:14" ht="21.75" customHeight="1">
      <c r="K38" s="62"/>
      <c r="L38" s="64"/>
      <c r="M38" s="65"/>
      <c r="N38" s="63"/>
    </row>
    <row r="39" spans="11:14" ht="21.75" customHeight="1">
      <c r="K39" s="62"/>
      <c r="L39" s="64"/>
      <c r="M39" s="65"/>
      <c r="N39" s="63"/>
    </row>
    <row r="40" spans="11:14" ht="21.75" customHeight="1">
      <c r="K40" s="62"/>
      <c r="L40" s="62"/>
      <c r="M40" s="62"/>
      <c r="N40" s="63"/>
    </row>
    <row r="41" spans="11:14" ht="21.75" customHeight="1">
      <c r="K41" s="62"/>
      <c r="L41" s="62"/>
      <c r="M41" s="65"/>
      <c r="N41" s="63"/>
    </row>
    <row r="42" spans="11:14" ht="21.75" customHeight="1">
      <c r="K42" s="62"/>
      <c r="L42" s="62"/>
      <c r="M42" s="62"/>
      <c r="N42" s="63"/>
    </row>
    <row r="43" spans="11:14" ht="21.75" customHeight="1">
      <c r="K43" s="64"/>
      <c r="L43" s="62"/>
      <c r="M43" s="62"/>
      <c r="N43" s="63"/>
    </row>
    <row r="44" spans="11:14" ht="21.75" customHeight="1">
      <c r="K44" s="62"/>
      <c r="L44" s="62"/>
      <c r="M44" s="65"/>
      <c r="N44" s="63"/>
    </row>
    <row r="45" spans="11:14" ht="21.75" customHeight="1">
      <c r="K45" s="62"/>
      <c r="L45" s="62"/>
      <c r="M45" s="65"/>
      <c r="N45" s="63"/>
    </row>
    <row r="46" spans="11:14" ht="21.75" customHeight="1">
      <c r="K46" s="64"/>
      <c r="L46" s="62"/>
      <c r="M46" s="65"/>
      <c r="N46" s="63"/>
    </row>
  </sheetData>
  <mergeCells count="6">
    <mergeCell ref="B8:I8"/>
    <mergeCell ref="B1:I1"/>
    <mergeCell ref="B2:I2"/>
    <mergeCell ref="B3:I3"/>
    <mergeCell ref="B4:I4"/>
    <mergeCell ref="B5:I5"/>
  </mergeCells>
  <pageMargins left="1.5" right="0.5" top="1.5" bottom="0.75" header="1" footer="0.3"/>
  <pageSetup orientation="portrait" scale="64" r:id="rId1"/>
  <headerFooter>
    <oddHeader>&amp;RWP II-I-2.4
Page 4 of 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Poles</vt:lpstr>
      <vt:lpstr>Conductors</vt:lpstr>
      <vt:lpstr>Other 365-368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