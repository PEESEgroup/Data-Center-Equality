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ction II (Test Year Data)\Schedule I (Class Allocation)\Schedule II-I WP\"/>
    </mc:Choice>
  </mc:AlternateContent>
  <bookViews>
    <workbookView xWindow="195" yWindow="180" windowWidth="19410" windowHeight="8385" activeTab="0"/>
  </bookViews>
  <sheets>
    <sheet name="Sheet1" sheetId="1" r:id="rId2"/>
  </sheets>
  <externalReferences>
    <externalReference r:id="rId5"/>
    <externalReference r:id="rId6"/>
  </externalReferences>
  <definedNames>
    <definedName name="_xlnm.Print_Area" localSheetId="0">Sheet1!$B$2:$O$23</definedName>
  </definedNames>
  <calcPr calcId="152511"/>
</workbook>
</file>

<file path=xl/calcChain.xml><?xml version="1.0" encoding="utf-8"?>
<calcChain xmlns="http://schemas.openxmlformats.org/spreadsheetml/2006/main">
  <c r="K23" i="1" l="1"/>
</calcChain>
</file>

<file path=xl/sharedStrings.xml><?xml version="1.0" encoding="utf-8"?>
<sst xmlns="http://schemas.openxmlformats.org/spreadsheetml/2006/main" count="35" uniqueCount="35">
  <si>
    <t xml:space="preserve"> </t>
  </si>
  <si>
    <t>Line</t>
  </si>
  <si>
    <t>RES</t>
  </si>
  <si>
    <t>SEC &lt;10</t>
  </si>
  <si>
    <t>SEC &gt; 10</t>
  </si>
  <si>
    <t>PRI &lt;10</t>
  </si>
  <si>
    <t>Pri Subst</t>
  </si>
  <si>
    <t>PRI &gt;10 DLS</t>
  </si>
  <si>
    <t>TRAN</t>
  </si>
  <si>
    <t>LIGHT</t>
  </si>
  <si>
    <t>TOTAL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</si>
  <si>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</si>
  <si>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</si>
  <si>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</si>
  <si>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</si>
  <si>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</si>
  <si>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</si>
  <si>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</si>
  <si>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</si>
  <si>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</si>
  <si>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AVERAGE</t>
  </si>
  <si>
    <t>WORKPAPER - RETAIL 4CP DEMAND COINCIDENT WITH ERCOT PEAK</t>
  </si>
  <si>
    <t>Class kW at Source</t>
  </si>
  <si>
    <t>Total</t>
  </si>
  <si>
    <t>II-H-1.3, col(g)</t>
  </si>
  <si>
    <t>%</t>
  </si>
  <si>
    <t>ONCOR ELECTRIC DELIVERY COMPANY LLC</t>
  </si>
  <si>
    <t>II-I-2:  CLASS ALLOCATION FACTORS</t>
  </si>
  <si>
    <t>TEST YEAR ENDING 12/31/2021</t>
  </si>
  <si>
    <t xml:space="preserve">PUC DOCKET NO. </t>
  </si>
  <si>
    <t>SPONSOR:  MATTHEW A. TROXLE</t>
  </si>
  <si>
    <t>JUN 2021</t>
  </si>
  <si>
    <t>JUL 2021</t>
  </si>
  <si>
    <t>AUG 2021</t>
  </si>
  <si>
    <t>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</si>
</sst>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000%"/>
    <numFmt numFmtId="166" formatCode="0.0000000"/>
    <numFmt numFmtId="167" formatCode="0.00000000%"/>
  </numFmts>
  <fonts count="10">
    <font>
      <sz val="11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sz val="9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Times New Roman"/>
      <family val="1"/>
    </font>
    <font>
      <u val="singleAccounting"/>
      <sz val="11"/>
      <name val="Arial"/>
      <family val="2"/>
    </font>
    <font>
      <sz val="8"/>
      <name val="Arial"/>
      <family val="2"/>
    </font>
    <font>
      <sz val="11"/>
      <color theme="6" tint="-0.4999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49" fontId="4" fillId="0" borderId="0" xfId="0" applyNumberFormat="1" applyFont="1" applyFill="1" applyBorder="1" applyAlignment="1">
      <alignment horizontal="centerContinuous"/>
    </xf>
    <xf numFmtId="49" fontId="3" fillId="0" borderId="0" xfId="0" applyNumberFormat="1" applyFont="1" applyAlignment="1">
      <alignment horizontal="centerContinuous"/>
    </xf>
    <xf numFmtId="49" fontId="5" fillId="0" borderId="0" xfId="0" applyNumberFormat="1" applyFont="1" applyAlignment="1">
      <alignment horizontal="centerContinuous"/>
    </xf>
    <xf numFmtId="49" fontId="6" fillId="0" borderId="0" xfId="0" applyNumberFormat="1" applyFont="1" applyAlignment="1">
      <alignment horizontal="centerContinuous"/>
    </xf>
    <xf numFmtId="0" fontId="0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3" fontId="4" fillId="0" borderId="0" xfId="0" applyNumberFormat="1" applyFont="1" applyFill="1" applyBorder="1" applyAlignment="1">
      <alignment horizontal="center"/>
    </xf>
    <xf numFmtId="0" fontId="0" fillId="0" borderId="0" xfId="0" applyFont="1" applyBorder="1" applyAlignment="1" quotePrefix="1">
      <alignment horizontal="right" indent="1"/>
    </xf>
    <xf numFmtId="0" fontId="0" fillId="0" borderId="0" xfId="0" applyFont="1" applyAlignment="1">
      <alignment horizontal="left" indent="1"/>
    </xf>
    <xf numFmtId="165" fontId="0" fillId="0" borderId="0" xfId="15" applyNumberFormat="1" applyFont="1"/>
    <xf numFmtId="9" fontId="4" fillId="0" borderId="0" xfId="15" applyFont="1" applyFill="1" applyBorder="1" applyAlignment="1">
      <alignment horizontal="center"/>
    </xf>
    <xf numFmtId="17" fontId="0" fillId="0" borderId="0" xfId="0" applyNumberFormat="1" applyFont="1" applyBorder="1" applyAlignment="1" quotePrefix="1">
      <alignment horizontal="right" indent="1"/>
    </xf>
    <xf numFmtId="0" fontId="0" fillId="0" borderId="0" xfId="0" applyFont="1" applyFill="1" applyBorder="1" applyAlignment="1">
      <alignment horizontal="right" indent="1"/>
    </xf>
    <xf numFmtId="0" fontId="0" fillId="0" borderId="0" xfId="0" applyFont="1" applyBorder="1"/>
    <xf numFmtId="166" fontId="0" fillId="0" borderId="0" xfId="0" applyNumberFormat="1" applyFont="1" applyBorder="1"/>
    <xf numFmtId="0" fontId="4" fillId="0" borderId="0" xfId="0" applyFont="1" applyFill="1" applyBorder="1" applyAlignment="1">
      <alignment horizontal="right" indent="1"/>
    </xf>
    <xf numFmtId="0" fontId="0" fillId="0" borderId="0" xfId="0" applyBorder="1"/>
    <xf numFmtId="0" fontId="7" fillId="0" borderId="0" xfId="0" applyFont="1" applyBorder="1" applyAlignment="1">
      <alignment horizontal="center"/>
    </xf>
    <xf numFmtId="164" fontId="0" fillId="0" borderId="0" xfId="18" applyNumberFormat="1" applyFont="1" applyBorder="1"/>
    <xf numFmtId="0" fontId="4" fillId="0" borderId="0" xfId="0" applyFont="1" applyBorder="1" applyAlignment="1">
      <alignment horizontal="left" indent="1"/>
    </xf>
    <xf numFmtId="164" fontId="4" fillId="0" borderId="0" xfId="18" applyNumberFormat="1" applyFont="1" applyFill="1" applyBorder="1"/>
    <xf numFmtId="164" fontId="9" fillId="0" borderId="0" xfId="18" applyNumberFormat="1" applyFont="1" applyFill="1" applyBorder="1"/>
    <xf numFmtId="0" fontId="0" fillId="0" borderId="0" xfId="0" applyFont="1" applyAlignment="1">
      <alignment horizontal="left" indent="1"/>
    </xf>
    <xf numFmtId="0" fontId="0" fillId="0" borderId="0" xfId="0" applyFont="1"/>
    <xf numFmtId="167" fontId="0" fillId="0" borderId="0" xfId="0" applyNumberFormat="1"/>
    <xf numFmtId="0" fontId="4" fillId="0" borderId="0" xfId="0" applyFont="1" applyFill="1" applyBorder="1" applyAlignment="1">
      <alignment horizontal="centerContinuous"/>
    </xf>
    <xf numFmtId="0" fontId="0" fillId="0" borderId="0" xfId="0" applyFont="1" applyBorder="1" applyAlignment="1" quotePrefix="1">
      <alignment horizontal="right" indent="1"/>
    </xf>
    <xf numFmtId="164" fontId="0" fillId="0" borderId="0" xfId="18" applyNumberFormat="1" applyFont="1" applyFill="1" applyBorder="1"/>
    <xf numFmtId="3" fontId="0" fillId="0" borderId="0" xfId="0" applyNumberFormat="1" applyFont="1"/>
    <xf numFmtId="49" fontId="4" fillId="0" borderId="0" xfId="0" applyNumberFormat="1" applyFont="1" applyFill="1" applyBorder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6" Type="http://schemas.openxmlformats.org/officeDocument/2006/relationships/externalLink" Target="externalLinks/externalLink2.xml" /><Relationship Id="rId3" Type="http://schemas.openxmlformats.org/officeDocument/2006/relationships/styles" Target="styles.xml" /><Relationship Id="rId7" Type="http://schemas.openxmlformats.org/officeDocument/2006/relationships/calcChain" Target="calcChain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Section%20II%20(Test%20Year%20Data)/Schedule%20H%20(Historic%20Billing%20Determinants)/II-H-1.3.xlsx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Section%20II%20(Test%20Year%20Data)/Schedule%20H%20(Historic%20Billing%20Determinants)/II-H-1.4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SIDENTIAL"/>
      <sheetName val="SEC &lt; 10kW"/>
      <sheetName val="SEC &gt; 10kW "/>
      <sheetName val="PRIMARY  &lt; 10kW"/>
      <sheetName val="PRIMARY  &gt; 10kW DLS"/>
      <sheetName val="PRIMARY  SUBSTATIONS"/>
      <sheetName val="TRANSMISSION"/>
      <sheetName val="STREET LIGHTING"/>
      <sheetName val="WHOLESALE SUB"/>
      <sheetName val="WHOLESALE DLS"/>
      <sheetName val="36-MO LF-RES"/>
      <sheetName val="36 MO LF-SGS"/>
      <sheetName val="36 MO LF - LGS"/>
      <sheetName val="36 MO LF - SGP "/>
      <sheetName val="36 MO LF - LGP_SUBST"/>
      <sheetName val="36 MO LF - LGP_DLS"/>
      <sheetName val="36 MO LF -  HV"/>
      <sheetName val="36 MO LF -  WHLS SUB"/>
      <sheetName val="36 MO LF -  WHLS DLS"/>
    </sheetNames>
    <sheetDataSet>
      <sheetData sheetId="0">
        <row r="27">
          <cell r="P27">
            <v>10604321.1318632</v>
          </cell>
        </row>
        <row r="28">
          <cell r="P28">
            <v>12242893.3547849</v>
          </cell>
        </row>
        <row r="29">
          <cell r="P29">
            <v>11811515.143542</v>
          </cell>
        </row>
        <row r="30">
          <cell r="P30">
            <v>12050483.1671487</v>
          </cell>
        </row>
      </sheetData>
      <sheetData sheetId="1">
        <row r="27">
          <cell r="P27">
            <v>312995.666276939</v>
          </cell>
        </row>
        <row r="28">
          <cell r="P28">
            <v>330716.180442898</v>
          </cell>
        </row>
        <row r="29">
          <cell r="P29">
            <v>326156.044574255</v>
          </cell>
        </row>
        <row r="30">
          <cell r="P30">
            <v>335732.024477902</v>
          </cell>
        </row>
      </sheetData>
      <sheetData sheetId="2">
        <row r="27">
          <cell r="P27">
            <v>8138709.16614065</v>
          </cell>
        </row>
        <row r="28">
          <cell r="P28">
            <v>8479979.77742595</v>
          </cell>
        </row>
        <row r="29">
          <cell r="P29">
            <v>8584121.9107123</v>
          </cell>
        </row>
        <row r="30">
          <cell r="P30">
            <v>8753100.873184</v>
          </cell>
        </row>
      </sheetData>
      <sheetData sheetId="3">
        <row r="27">
          <cell r="P27">
            <v>3368.7779201796</v>
          </cell>
        </row>
        <row r="28">
          <cell r="P28">
            <v>3219.11494343814</v>
          </cell>
        </row>
        <row r="29">
          <cell r="P29">
            <v>3248.18241128625</v>
          </cell>
        </row>
        <row r="30">
          <cell r="P30">
            <v>3667.79373361528</v>
          </cell>
        </row>
      </sheetData>
      <sheetData sheetId="4">
        <row r="27">
          <cell r="P27">
            <v>2108470.46558571</v>
          </cell>
        </row>
        <row r="28">
          <cell r="P28">
            <v>2111173.87476166</v>
          </cell>
        </row>
        <row r="29">
          <cell r="P29">
            <v>2152715.19163273</v>
          </cell>
        </row>
        <row r="30">
          <cell r="P30">
            <v>2164466.44291116</v>
          </cell>
        </row>
      </sheetData>
      <sheetData sheetId="5">
        <row r="27">
          <cell r="P27">
            <v>706629.6193256</v>
          </cell>
        </row>
        <row r="28">
          <cell r="P28">
            <v>660050.7902456</v>
          </cell>
        </row>
        <row r="29">
          <cell r="P29">
            <v>698350.2435267</v>
          </cell>
        </row>
        <row r="30">
          <cell r="P30">
            <v>730931.2408116</v>
          </cell>
        </row>
      </sheetData>
      <sheetData sheetId="6">
        <row r="27">
          <cell r="P27">
            <v>2151578.72</v>
          </cell>
        </row>
        <row r="28">
          <cell r="P28">
            <v>2069336.16</v>
          </cell>
        </row>
        <row r="29">
          <cell r="P29">
            <v>2123270</v>
          </cell>
        </row>
        <row r="30">
          <cell r="P30">
            <v>2144658.59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SIDENTIAL"/>
      <sheetName val="SEC &lt; 10kW"/>
      <sheetName val="SEC &gt; 10kW "/>
      <sheetName val="PRIMARY  &lt; 10kW"/>
      <sheetName val="PRIMARY  &gt; 10kW DLS"/>
      <sheetName val="PRIMARY  SUBSTATIONS"/>
      <sheetName val="TRANSMISSION"/>
      <sheetName val="STREET LIGHTING"/>
      <sheetName val="WHOLESALE SUB"/>
      <sheetName val="WHOLESALE D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7">
          <cell r="P27">
            <v>0</v>
          </cell>
        </row>
        <row r="28">
          <cell r="P28">
            <v>0</v>
          </cell>
        </row>
        <row r="29">
          <cell r="P29">
            <v>0</v>
          </cell>
        </row>
        <row r="30">
          <cell r="P30">
            <v>0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O23"/>
  <sheetViews>
    <sheetView tabSelected="1" view="pageBreakPreview" zoomScale="75" zoomScaleNormal="75" zoomScaleSheetLayoutView="75" workbookViewId="0" topLeftCell="A1">
      <selection pane="topLeft" activeCell="C28" sqref="C28"/>
    </sheetView>
  </sheetViews>
  <sheetFormatPr defaultRowHeight="14.25"/>
  <cols>
    <col min="1" max="1" width="1.5" customWidth="1"/>
    <col min="2" max="2" width="5.25" customWidth="1"/>
    <col min="3" max="3" width="20.625" bestFit="1" customWidth="1"/>
    <col min="4" max="4" width="1.5" customWidth="1"/>
    <col min="5" max="5" width="14" customWidth="1"/>
    <col min="6" max="7" width="14.375" customWidth="1"/>
    <col min="8" max="8" width="15.375" customWidth="1"/>
    <col min="9" max="9" width="14.125" customWidth="1"/>
    <col min="10" max="10" width="14.875" customWidth="1"/>
    <col min="11" max="11" width="15.875" customWidth="1"/>
    <col min="12" max="12" width="11.5" customWidth="1"/>
    <col min="13" max="13" width="1.5" customWidth="1"/>
    <col min="14" max="14" width="14.75" bestFit="1" customWidth="1"/>
    <col min="15" max="15" width="1.5" customWidth="1"/>
  </cols>
  <sheetData>
    <row r="1" spans="1:15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.75">
      <c r="A3" s="1"/>
      <c r="B3" s="35" t="s">
        <v>29</v>
      </c>
      <c r="C3" s="4"/>
      <c r="D3" s="4"/>
      <c r="E3" s="4"/>
      <c r="F3" s="4"/>
      <c r="G3" s="5"/>
      <c r="H3" s="4"/>
      <c r="I3" s="4"/>
      <c r="J3" s="4"/>
      <c r="K3" s="4"/>
      <c r="L3" s="4"/>
      <c r="M3" s="4"/>
      <c r="N3" s="4"/>
      <c r="O3" s="4"/>
    </row>
    <row r="4" spans="1:15" ht="15.75">
      <c r="A4" s="1"/>
      <c r="B4" s="35" t="s">
        <v>26</v>
      </c>
      <c r="C4" s="4"/>
      <c r="D4" s="4"/>
      <c r="E4" s="4"/>
      <c r="F4" s="4"/>
      <c r="G4" s="5"/>
      <c r="H4" s="4"/>
      <c r="I4" s="4"/>
      <c r="J4" s="4"/>
      <c r="K4" s="4"/>
      <c r="L4" s="4"/>
      <c r="M4" s="4"/>
      <c r="N4" s="4"/>
      <c r="O4" s="4"/>
    </row>
    <row r="5" spans="1:15" ht="15.75">
      <c r="A5" s="1"/>
      <c r="B5" s="35" t="s">
        <v>27</v>
      </c>
      <c r="C5" s="4"/>
      <c r="D5" s="4"/>
      <c r="E5" s="4"/>
      <c r="F5" s="4"/>
      <c r="G5" s="5"/>
      <c r="H5" s="4"/>
      <c r="I5" s="4"/>
      <c r="J5" s="4"/>
      <c r="K5" s="4"/>
      <c r="L5" s="4"/>
      <c r="M5" s="4"/>
      <c r="N5" s="4"/>
      <c r="O5" s="4"/>
    </row>
    <row r="6" spans="1:15" ht="15.75">
      <c r="A6" s="1"/>
      <c r="B6" s="35" t="s">
        <v>28</v>
      </c>
      <c r="C6" s="4"/>
      <c r="D6" s="4"/>
      <c r="E6" s="4"/>
      <c r="F6" s="4"/>
      <c r="G6" s="5"/>
      <c r="H6" s="4"/>
      <c r="I6" s="4"/>
      <c r="J6" s="4"/>
      <c r="K6" s="4"/>
      <c r="L6" s="4"/>
      <c r="M6" s="4"/>
      <c r="N6" s="4"/>
      <c r="O6" s="4"/>
    </row>
    <row r="7" spans="1:15" ht="15.75">
      <c r="A7" s="1"/>
      <c r="B7" s="35" t="s">
        <v>30</v>
      </c>
      <c r="C7" s="4"/>
      <c r="D7" s="4"/>
      <c r="E7" s="4"/>
      <c r="F7" s="4"/>
      <c r="G7" s="3"/>
      <c r="H7" s="4"/>
      <c r="I7" s="4"/>
      <c r="J7" s="4"/>
      <c r="K7" s="4"/>
      <c r="L7" s="4"/>
      <c r="M7" s="4"/>
      <c r="N7" s="4"/>
      <c r="O7" s="4"/>
    </row>
    <row r="8" spans="1:15" ht="15.75">
      <c r="A8" s="1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</row>
    <row r="9" spans="1:15" ht="15">
      <c r="A9" s="1"/>
      <c r="B9" s="4"/>
      <c r="C9" s="4"/>
      <c r="D9" s="4"/>
      <c r="E9" s="4"/>
      <c r="F9" s="4"/>
      <c r="G9" s="6"/>
      <c r="H9" s="4"/>
      <c r="I9" s="4"/>
      <c r="J9" s="4"/>
      <c r="K9" s="4"/>
      <c r="L9" s="4"/>
      <c r="M9" s="4"/>
      <c r="N9" s="4"/>
      <c r="O9" s="4"/>
    </row>
    <row r="10" spans="1:15" ht="15.75">
      <c r="A10" s="1"/>
      <c r="B10" s="3" t="s">
        <v>21</v>
      </c>
      <c r="C10" s="4"/>
      <c r="D10" s="4"/>
      <c r="E10" s="4"/>
      <c r="F10" s="4"/>
      <c r="G10" s="5"/>
      <c r="H10" s="4"/>
      <c r="I10" s="4"/>
      <c r="J10" s="4"/>
      <c r="K10" s="4"/>
      <c r="L10" s="4"/>
      <c r="M10" s="4"/>
      <c r="N10" s="4"/>
      <c r="O10" s="4"/>
    </row>
    <row r="11" spans="1:15" ht="15.75">
      <c r="A11" s="1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</row>
    <row r="12" spans="1:15" ht="15.75">
      <c r="A12" s="1"/>
      <c r="B12" s="9" t="s">
        <v>1</v>
      </c>
      <c r="C12" s="10"/>
      <c r="D12" s="10"/>
      <c r="E12" s="11" t="s">
        <v>2</v>
      </c>
      <c r="F12" s="11" t="s">
        <v>3</v>
      </c>
      <c r="G12" s="11" t="s">
        <v>4</v>
      </c>
      <c r="H12" s="11" t="s">
        <v>5</v>
      </c>
      <c r="I12" s="11" t="s">
        <v>7</v>
      </c>
      <c r="J12" s="11" t="s">
        <v>6</v>
      </c>
      <c r="K12" s="11" t="s">
        <v>8</v>
      </c>
      <c r="L12" s="11" t="s">
        <v>9</v>
      </c>
      <c r="M12" s="11"/>
      <c r="N12" s="11" t="s">
        <v>10</v>
      </c>
      <c r="O12" s="11"/>
    </row>
    <row r="13" spans="1:15" ht="15">
      <c r="A13" s="1"/>
      <c r="B13" s="12"/>
      <c r="C13" s="12"/>
      <c r="D13" s="13"/>
      <c r="E13" s="14" t="s">
        <v>11</v>
      </c>
      <c r="F13" s="14" t="s">
        <v>12</v>
      </c>
      <c r="G13" s="14" t="s">
        <v>13</v>
      </c>
      <c r="H13" s="14" t="s">
        <v>14</v>
      </c>
      <c r="I13" s="14" t="s">
        <v>15</v>
      </c>
      <c r="J13" s="14" t="s">
        <v>16</v>
      </c>
      <c r="K13" s="14" t="s">
        <v>17</v>
      </c>
      <c r="L13" s="14" t="s">
        <v>18</v>
      </c>
      <c r="N13" s="14" t="s">
        <v>19</v>
      </c>
      <c r="O13" s="13"/>
    </row>
    <row r="14" spans="1:15" ht="15.75">
      <c r="A14" s="1"/>
      <c r="B14" s="15"/>
      <c r="C14" s="32" t="s">
        <v>24</v>
      </c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20"/>
      <c r="O14" s="20"/>
    </row>
    <row r="15" spans="1:15" ht="15.75">
      <c r="A15" s="1"/>
      <c r="B15" s="15">
        <v>1</v>
      </c>
      <c r="C15" s="29" t="s">
        <v>22</v>
      </c>
      <c r="D15" s="29"/>
      <c r="E15" s="11"/>
      <c r="F15" s="11"/>
      <c r="G15" s="11"/>
      <c r="H15" s="11"/>
      <c r="I15" s="11"/>
      <c r="J15" s="11"/>
      <c r="K15" s="11"/>
      <c r="L15" s="11"/>
      <c r="M15" s="10"/>
      <c r="N15" s="10"/>
      <c r="O15" s="10"/>
    </row>
    <row r="16" spans="1:15" ht="15.75">
      <c r="A16" s="1"/>
      <c r="B16" s="15">
        <f t="shared" si="0" ref="B16:B23">B15+1</f>
        <v>2</v>
      </c>
      <c r="C16" s="36" t="s">
        <v>31</v>
      </c>
      <c r="D16" s="21"/>
      <c r="E16" s="37">
        <f>[1]RESIDENTIAL!P27</f>
        <v>10604321.131863246</v>
      </c>
      <c r="F16" s="37">
        <f>'[1]SEC &lt; 10kW'!P27</f>
        <v>312995.66627693904</v>
      </c>
      <c r="G16" s="37">
        <f>'[1]SEC &gt; 10kW '!P27</f>
        <v>8138709.1661406504</v>
      </c>
      <c r="H16" s="37">
        <f>'[1]PRIMARY  &lt; 10kW'!P27</f>
        <v>3368.7779201795993</v>
      </c>
      <c r="I16" s="37">
        <f>'[1]PRIMARY  &gt; 10kW DLS'!P27</f>
        <v>2108470.4655857091</v>
      </c>
      <c r="J16" s="37">
        <f>'[1]PRIMARY  SUBSTATIONS'!P27</f>
        <v>706629.61932559998</v>
      </c>
      <c r="K16" s="38">
        <f>[1]TRANSMISSION!P27</f>
        <v>2151578.7200000002</v>
      </c>
      <c r="L16" s="31">
        <f>'[2]STREET LIGHTING'!$P$27</f>
        <v>0</v>
      </c>
      <c r="M16" s="15"/>
      <c r="N16" s="30">
        <f>SUM(D16:M16)</f>
        <v>24026073.547112323</v>
      </c>
      <c r="O16" s="16"/>
    </row>
    <row r="17" spans="1:15" ht="15.75">
      <c r="A17" s="1"/>
      <c r="B17" s="15">
        <f t="shared" si="0"/>
        <v>3</v>
      </c>
      <c r="C17" s="36" t="s">
        <v>32</v>
      </c>
      <c r="D17" s="17"/>
      <c r="E17" s="37">
        <f>[1]RESIDENTIAL!P28</f>
        <v>12242893.354784923</v>
      </c>
      <c r="F17" s="37">
        <f>'[1]SEC &lt; 10kW'!P28</f>
        <v>330716.18044289778</v>
      </c>
      <c r="G17" s="37">
        <f>'[1]SEC &gt; 10kW '!P28</f>
        <v>8479979.7774259523</v>
      </c>
      <c r="H17" s="37">
        <f>'[1]PRIMARY  &lt; 10kW'!P28</f>
        <v>3219.1149434381396</v>
      </c>
      <c r="I17" s="37">
        <f>'[1]PRIMARY  &gt; 10kW DLS'!P28</f>
        <v>2111173.8747616564</v>
      </c>
      <c r="J17" s="37">
        <f>'[1]PRIMARY  SUBSTATIONS'!P28</f>
        <v>660050.79024560004</v>
      </c>
      <c r="K17" s="38">
        <f>[1]TRANSMISSION!P28</f>
        <v>2069336.1599999999</v>
      </c>
      <c r="L17" s="31">
        <f>'[2]STREET LIGHTING'!$P$28</f>
        <v>0</v>
      </c>
      <c r="M17" s="15"/>
      <c r="N17" s="30">
        <v>21200935.500246447</v>
      </c>
      <c r="O17" s="16"/>
    </row>
    <row r="18" spans="1:15" ht="15.75">
      <c r="A18" s="1"/>
      <c r="B18" s="15">
        <f t="shared" si="0"/>
        <v>4</v>
      </c>
      <c r="C18" s="36" t="s">
        <v>33</v>
      </c>
      <c r="D18" s="17"/>
      <c r="E18" s="37">
        <f>[1]RESIDENTIAL!P29</f>
        <v>11811515.143542029</v>
      </c>
      <c r="F18" s="37">
        <f>'[1]SEC &lt; 10kW'!P29</f>
        <v>326156.04457425518</v>
      </c>
      <c r="G18" s="37">
        <f>'[1]SEC &gt; 10kW '!P29</f>
        <v>8584121.9107123017</v>
      </c>
      <c r="H18" s="37">
        <f>'[1]PRIMARY  &lt; 10kW'!P29</f>
        <v>3248.1824112862491</v>
      </c>
      <c r="I18" s="37">
        <f>'[1]PRIMARY  &gt; 10kW DLS'!P29</f>
        <v>2152715.1916327258</v>
      </c>
      <c r="J18" s="37">
        <f>'[1]PRIMARY  SUBSTATIONS'!P29</f>
        <v>698350.24352670007</v>
      </c>
      <c r="K18" s="38">
        <f>[1]TRANSMISSION!P29</f>
        <v>2123270</v>
      </c>
      <c r="L18" s="31">
        <f>'[2]STREET LIGHTING'!$P$29</f>
        <v>0</v>
      </c>
      <c r="M18" s="15"/>
      <c r="N18" s="30">
        <v>22300713.221985441</v>
      </c>
      <c r="O18" s="16"/>
    </row>
    <row r="19" spans="1:15" ht="17.25">
      <c r="A19" s="1"/>
      <c r="B19" s="15">
        <f t="shared" si="0"/>
        <v>5</v>
      </c>
      <c r="C19" s="36" t="s">
        <v>34</v>
      </c>
      <c r="D19" s="17"/>
      <c r="E19" s="37">
        <f>[1]RESIDENTIAL!P30</f>
        <v>12050483.167148745</v>
      </c>
      <c r="F19" s="37">
        <f>'[1]SEC &lt; 10kW'!P30</f>
        <v>335732.02447790239</v>
      </c>
      <c r="G19" s="37">
        <f>'[1]SEC &gt; 10kW '!P30</f>
        <v>8753100.8731840048</v>
      </c>
      <c r="H19" s="37">
        <f>'[1]PRIMARY  &lt; 10kW'!P30</f>
        <v>3667.7937336152841</v>
      </c>
      <c r="I19" s="37">
        <f>'[1]PRIMARY  &gt; 10kW DLS'!P30</f>
        <v>2164466.4429111588</v>
      </c>
      <c r="J19" s="37">
        <f>'[1]PRIMARY  SUBSTATIONS'!P30</f>
        <v>730931.2408116</v>
      </c>
      <c r="K19" s="38">
        <f>[1]TRANSMISSION!P30</f>
        <v>2144658.5899999999</v>
      </c>
      <c r="L19" s="31">
        <f>'[2]STREET LIGHTING'!$P$30</f>
        <v>0</v>
      </c>
      <c r="M19" s="27"/>
      <c r="N19" s="30">
        <v>19793791.263540782</v>
      </c>
      <c r="O19" s="16"/>
    </row>
    <row r="20" spans="1:15" ht="15.75">
      <c r="A20" s="1"/>
      <c r="B20" s="15">
        <f t="shared" si="0"/>
        <v>6</v>
      </c>
      <c r="C20" s="22" t="s">
        <v>23</v>
      </c>
      <c r="D20" s="22"/>
      <c r="E20" s="28">
        <f>SUM(E16:E19)</f>
        <v>46709212.79733894</v>
      </c>
      <c r="F20" s="28">
        <f t="shared" si="1" ref="F20:L20">SUM(F16:F19)</f>
        <v>1305599.9157719943</v>
      </c>
      <c r="G20" s="28">
        <f t="shared" si="1"/>
        <v>33955911.72746291</v>
      </c>
      <c r="H20" s="28">
        <f t="shared" si="1"/>
        <v>13503.869008519272</v>
      </c>
      <c r="I20" s="28">
        <f t="shared" si="1"/>
        <v>8536825.974891251</v>
      </c>
      <c r="J20" s="28">
        <f>SUM(J16:J19)</f>
        <v>2795961.8939095</v>
      </c>
      <c r="K20" s="28">
        <f t="shared" si="1"/>
        <v>8488843.4699999988</v>
      </c>
      <c r="L20" s="28">
        <f t="shared" si="1"/>
        <v>0</v>
      </c>
      <c r="M20" s="23"/>
      <c r="N20" s="30">
        <f>SUM(N16:N19)</f>
        <v>87321513.532884985</v>
      </c>
      <c r="O20" s="10"/>
    </row>
    <row r="21" spans="1:15" ht="15.75">
      <c r="A21" s="1"/>
      <c r="B21" s="15">
        <f t="shared" si="0"/>
        <v>7</v>
      </c>
      <c r="C21" s="22"/>
      <c r="D21" s="22"/>
      <c r="E21" s="24"/>
      <c r="F21" s="24"/>
      <c r="G21" s="24"/>
      <c r="H21" s="24"/>
      <c r="I21" s="24"/>
      <c r="J21" s="10"/>
      <c r="K21" s="24"/>
      <c r="L21" s="24"/>
      <c r="M21" s="23"/>
      <c r="N21" s="30"/>
      <c r="O21" s="10"/>
    </row>
    <row r="22" spans="1:15" ht="15.75">
      <c r="A22" s="1"/>
      <c r="B22" s="15">
        <f t="shared" si="0"/>
        <v>8</v>
      </c>
      <c r="C22" s="25" t="s">
        <v>20</v>
      </c>
      <c r="D22" s="25"/>
      <c r="E22" s="30">
        <f>E20/4</f>
        <v>11677303.199334735</v>
      </c>
      <c r="F22" s="30">
        <f t="shared" si="2" ref="F22:L22">F20/4</f>
        <v>326399.97894299857</v>
      </c>
      <c r="G22" s="30">
        <f t="shared" si="2"/>
        <v>8488977.9318657275</v>
      </c>
      <c r="H22" s="30">
        <f t="shared" si="2"/>
        <v>3375.967252129818</v>
      </c>
      <c r="I22" s="30">
        <f t="shared" si="2"/>
        <v>2134206.4937228127</v>
      </c>
      <c r="J22" s="30">
        <f t="shared" si="2"/>
        <v>698990.473477375</v>
      </c>
      <c r="K22" s="30">
        <f t="shared" si="2"/>
        <v>2122210.8674999997</v>
      </c>
      <c r="L22" s="30">
        <f t="shared" si="2"/>
        <v>0</v>
      </c>
      <c r="M22" s="26"/>
      <c r="N22" s="30">
        <f>SUM(E22:K22)</f>
        <v>25451464.912095778</v>
      </c>
      <c r="O22" s="16"/>
    </row>
    <row r="23" spans="2:11" ht="14.25">
      <c r="B23" s="15">
        <f t="shared" si="0"/>
        <v>9</v>
      </c>
      <c r="C23" s="33" t="s">
        <v>25</v>
      </c>
      <c r="E23" s="34">
        <f>E22/$N$22</f>
        <v>0.45880672250755639</v>
      </c>
      <c r="F23" s="34">
        <f t="shared" si="3" ref="F23:K23">F22/$N$22</f>
        <v>0.012824408342322071</v>
      </c>
      <c r="G23" s="34">
        <f t="shared" si="3"/>
        <v>0.33353592656394998</v>
      </c>
      <c r="H23" s="34">
        <f t="shared" si="3"/>
        <v>0.00013264333757564555</v>
      </c>
      <c r="I23" s="34">
        <f t="shared" si="3"/>
        <v>0.08385397465701605</v>
      </c>
      <c r="J23" s="34">
        <f t="shared" si="3"/>
        <v>0.027463663718043225</v>
      </c>
      <c r="K23" s="34">
        <f t="shared" si="3"/>
        <v>0.083382660873536657</v>
      </c>
    </row>
  </sheetData>
  <mergeCells count="1">
    <mergeCell ref="B8:O8"/>
  </mergeCells>
  <printOptions horizontalCentered="1"/>
  <pageMargins left="0.5" right="0.5" top="1.5" bottom="0.75" header="1.5" footer="0.5"/>
  <pageSetup orientation="landscape" scale="73" r:id="rId1"/>
  <headerFooter alignWithMargins="0">
    <oddHeader>&amp;RWP/ II-I-2.8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