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ection II (Test Year Data)\Schedule I (Class Allocation)\Schedule II-I WP\"/>
    </mc:Choice>
  </mc:AlternateContent>
  <bookViews>
    <workbookView xWindow="135" yWindow="30" windowWidth="15840" windowHeight="8850" activeTab="0"/>
  </bookViews>
  <sheets>
    <sheet name="page1" sheetId="19" r:id="rId2"/>
  </sheets>
  <externalReferences>
    <externalReference r:id="rId5"/>
  </externalReferences>
  <definedNames/>
  <calcPr calcId="152511"/>
</workbook>
</file>

<file path=xl/calcChain.xml><?xml version="1.0" encoding="utf-8"?>
<calcChain xmlns="http://schemas.openxmlformats.org/spreadsheetml/2006/main">
  <c r="F35" i="19" l="1"/>
</calcChain>
</file>

<file path=xl/sharedStrings.xml><?xml version="1.0" encoding="utf-8"?>
<sst xmlns="http://schemas.openxmlformats.org/spreadsheetml/2006/main" count="30" uniqueCount="30">
  <si>
    <t>Residential</t>
  </si>
  <si>
    <t>Transmission</t>
  </si>
  <si>
    <t>Lighting</t>
  </si>
  <si>
    <t>CLASS ALLOCATION FACTORS</t>
  </si>
  <si>
    <t>Line</t>
  </si>
  <si>
    <t>Factor</t>
  </si>
  <si>
    <t>Primary Substation</t>
  </si>
  <si>
    <t>Wholesale DLS</t>
  </si>
  <si>
    <t>Secondary LE 10 kW</t>
  </si>
  <si>
    <t>Secondary GT 10 kW</t>
  </si>
  <si>
    <t>Primary LE 10 kW</t>
  </si>
  <si>
    <t>Total</t>
  </si>
  <si>
    <t>Primary GT 10 kW DLS</t>
  </si>
  <si>
    <t>(a)</t>
  </si>
  <si>
    <t>(b)</t>
  </si>
  <si>
    <t>Rate Class</t>
  </si>
  <si>
    <t>Wholesale Sub XMFR</t>
  </si>
  <si>
    <t>Revenue</t>
  </si>
  <si>
    <t>Requirement</t>
  </si>
  <si>
    <t>Less RCE Expense</t>
  </si>
  <si>
    <t>( c )</t>
  </si>
  <si>
    <t xml:space="preserve">REV_RCE </t>
  </si>
  <si>
    <t xml:space="preserve">Allocation </t>
  </si>
  <si>
    <t>WORKPAPER - REV_RCE ALLOCATION FACTOR CALCULATIONS</t>
  </si>
  <si>
    <t>ONCOR ELECTRIC DELIVERY COMPANY LLC</t>
  </si>
  <si>
    <t xml:space="preserve"> Revenue Requirements totals used to calculate the REV_RCE Allocation Factor. </t>
  </si>
  <si>
    <t>PUC DOCKET NO.</t>
  </si>
  <si>
    <t>FOR THE TEST YEAR ENDING 12/31/2021</t>
  </si>
  <si>
    <t>SPONSOR: MATTHEW A. TROXLE</t>
  </si>
  <si>
    <t xml:space="preserve">*Note:  Regulatory Commission Expense of $1,646,626 was removed from Cost Based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</si>
</sst>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0"/>
    <numFmt numFmtId="165" formatCode="_(* #,##0_);_(* \(#,##0\);_(* &quot;-&quot;??_);_(@_)"/>
    <numFmt numFmtId="166" formatCode="_(* #,##0.000000_);_(* \(#,##0.000000\);_(* &quot;-&quot;??????_);_(@_)"/>
    <numFmt numFmtId="167" formatCode="0.0000000000"/>
  </numFmts>
  <fonts count="10">
    <font>
      <sz val="10"/>
      <name val="Arial"/>
      <family val="2"/>
    </font>
    <font>
      <sz val="10"/>
      <color theme="1"/>
      <name val="Arial"/>
      <family val="2"/>
    </font>
    <font>
      <u val="single"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 val="single"/>
      <sz val="11"/>
      <name val="Arial"/>
      <family val="2"/>
    </font>
    <font>
      <b/>
      <u val="single"/>
      <sz val="11"/>
      <name val="Arial"/>
      <family val="2"/>
    </font>
    <font>
      <b/>
      <sz val="11"/>
      <color indexed="12"/>
      <name val="Arial"/>
      <family val="2"/>
    </font>
    <font>
      <b/>
      <sz val="10"/>
      <name val="Arial"/>
      <family val="2"/>
    </font>
    <font>
      <u val="singleAccounting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Fill="1"/>
    <xf numFmtId="0" fontId="4" fillId="0" borderId="0" xfId="0" applyFont="1"/>
    <xf numFmtId="3" fontId="4" fillId="0" borderId="0" xfId="0" applyNumberFormat="1" applyFont="1" applyAlignment="1">
      <alignment horizontal="centerContinuous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44" fontId="3" fillId="0" borderId="0" xfId="0" applyNumberFormat="1" applyFont="1" applyFill="1"/>
    <xf numFmtId="3" fontId="5" fillId="0" borderId="0" xfId="0" applyNumberFormat="1" applyFont="1" applyFill="1"/>
    <xf numFmtId="0" fontId="4" fillId="0" borderId="0" xfId="0" applyFont="1" applyFill="1"/>
    <xf numFmtId="3" fontId="4" fillId="0" borderId="0" xfId="0" applyNumberFormat="1" applyFont="1" applyFill="1"/>
    <xf numFmtId="0" fontId="0" fillId="0" borderId="0" xfId="0" applyFont="1"/>
    <xf numFmtId="3" fontId="7" fillId="0" borderId="0" xfId="0" applyNumberFormat="1" applyFont="1" applyFill="1"/>
    <xf numFmtId="3" fontId="6" fillId="0" borderId="0" xfId="0" applyNumberFormat="1" applyFont="1" applyFill="1"/>
    <xf numFmtId="164" fontId="0" fillId="0" borderId="0" xfId="0" applyNumberFormat="1" applyFont="1"/>
    <xf numFmtId="164" fontId="0" fillId="0" borderId="0" xfId="0" applyNumberFormat="1"/>
    <xf numFmtId="43" fontId="0" fillId="0" borderId="0" xfId="0" applyNumberFormat="1"/>
    <xf numFmtId="164" fontId="2" fillId="0" borderId="0" xfId="0" applyNumberFormat="1" applyFont="1" applyAlignment="1">
      <alignment horizontal="center"/>
    </xf>
    <xf numFmtId="0" fontId="4" fillId="0" borderId="0" xfId="0" applyFont="1" applyAlignment="1" quotePrefix="1">
      <alignment horizontal="center"/>
    </xf>
    <xf numFmtId="166" fontId="3" fillId="0" borderId="0" xfId="0" applyNumberFormat="1" applyFont="1"/>
    <xf numFmtId="167" fontId="0" fillId="0" borderId="0" xfId="0" applyNumberFormat="1"/>
    <xf numFmtId="0" fontId="8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8" fillId="0" borderId="0" xfId="0" applyNumberFormat="1" applyFont="1" applyAlignment="1">
      <alignment horizontal="center"/>
    </xf>
    <xf numFmtId="165" fontId="3" fillId="0" borderId="0" xfId="18" applyNumberFormat="1" applyFont="1" applyFill="1" applyBorder="1" applyAlignment="1">
      <alignment/>
    </xf>
    <xf numFmtId="3" fontId="5" fillId="0" borderId="0" xfId="0" applyNumberFormat="1" applyFont="1" applyFill="1" applyAlignment="1">
      <alignment horizontal="center"/>
    </xf>
    <xf numFmtId="3" fontId="4" fillId="0" borderId="0" xfId="0" applyNumberFormat="1" applyFont="1" applyFill="1" applyAlignment="1">
      <alignment horizontal="center"/>
    </xf>
    <xf numFmtId="165" fontId="3" fillId="0" borderId="0" xfId="18" applyNumberFormat="1" applyFont="1" applyFill="1" applyBorder="1" applyAlignment="1">
      <alignment horizontal="left"/>
    </xf>
    <xf numFmtId="165" fontId="7" fillId="0" borderId="0" xfId="18" applyNumberFormat="1" applyFont="1" applyFill="1" applyAlignment="1">
      <alignment horizontal="left"/>
    </xf>
    <xf numFmtId="165" fontId="9" fillId="0" borderId="0" xfId="18" applyNumberFormat="1" applyFont="1" applyAlignment="1">
      <alignment horizontal="left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externalLink" Target="externalLinks/externalLink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6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Section%20II%20(Test%20Year%20Data)/Schedule%20I%20(Class%20Allocation)/II-I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nkSheet"/>
      <sheetName val="II-I-1"/>
      <sheetName val="WP II-I-1.1"/>
      <sheetName val="changes"/>
      <sheetName val=" WP II-I-1.4"/>
      <sheetName val="II-I-DIST"/>
      <sheetName val="II-I-MET"/>
      <sheetName val="II-I-TBILLTDCS"/>
      <sheetName val="II-I-Total"/>
      <sheetName val="II-I Summary"/>
      <sheetName val="WP II-I-1.9 "/>
      <sheetName val="WP II-I-2.2"/>
      <sheetName val="WP II-I-1.5"/>
      <sheetName val="WP II-I-1.6"/>
      <sheetName val="WP II-I-1.7"/>
      <sheetName val="WP II-I-1.2"/>
      <sheetName val="WP II-I-2.1"/>
      <sheetName val="II-I-2.1f"/>
      <sheetName val="II-I-3.1"/>
    </sheetNames>
    <sheetDataSet>
      <sheetData sheetId="0">
        <row r="8">
          <cell r="G8">
            <v>1207545357.72834</v>
          </cell>
          <cell r="H8">
            <v>41122596.1973847</v>
          </cell>
          <cell r="I8">
            <v>818254176.406343</v>
          </cell>
          <cell r="J8">
            <v>295364.150684271</v>
          </cell>
          <cell r="K8">
            <v>133694018.941024</v>
          </cell>
          <cell r="L8">
            <v>13404714.9969303</v>
          </cell>
          <cell r="M8">
            <v>24606814.6001601</v>
          </cell>
          <cell r="N8">
            <v>59672372.3651067</v>
          </cell>
          <cell r="O8">
            <v>1480635.43280717</v>
          </cell>
          <cell r="P8">
            <v>6549864.03979056</v>
          </cell>
        </row>
        <row r="10">
          <cell r="G10">
            <v>111684992.498786</v>
          </cell>
          <cell r="H10">
            <v>17198916.7074931</v>
          </cell>
          <cell r="I10">
            <v>53110885.9345788</v>
          </cell>
          <cell r="J10">
            <v>744278.789788863</v>
          </cell>
          <cell r="K10">
            <v>15544460.2776359</v>
          </cell>
          <cell r="L10">
            <v>532402.953983412</v>
          </cell>
          <cell r="M10">
            <v>1172829.32162671</v>
          </cell>
          <cell r="N10">
            <v>142786.016920277</v>
          </cell>
          <cell r="O10">
            <v>62823.4411830049</v>
          </cell>
          <cell r="P10">
            <v>146686.456142142</v>
          </cell>
        </row>
        <row r="12">
          <cell r="G12">
            <v>57205974.7390978</v>
          </cell>
          <cell r="H12">
            <v>8455436.73093085</v>
          </cell>
          <cell r="I12">
            <v>27857670.4798173</v>
          </cell>
          <cell r="J12">
            <v>359398.346338822</v>
          </cell>
          <cell r="K12">
            <v>7883822.92337986</v>
          </cell>
          <cell r="L12">
            <v>305330.923145431</v>
          </cell>
          <cell r="M12">
            <v>741936.812662258</v>
          </cell>
          <cell r="N12">
            <v>1471849.00809959</v>
          </cell>
          <cell r="O12">
            <v>29390.5935282848</v>
          </cell>
          <cell r="P12">
            <v>68580.7649614955</v>
          </cell>
        </row>
        <row r="46">
          <cell r="G46">
            <v>758188212.528448</v>
          </cell>
          <cell r="H46">
            <v>21192617.1976261</v>
          </cell>
          <cell r="I46">
            <v>551175463.588322</v>
          </cell>
          <cell r="J46">
            <v>219196.036341054</v>
          </cell>
          <cell r="K46">
            <v>138570539.705991</v>
          </cell>
          <cell r="L46">
            <v>45384309.0834892</v>
          </cell>
          <cell r="M46">
            <v>137791683.299783</v>
          </cell>
          <cell r="N46">
            <v>0</v>
          </cell>
          <cell r="O46">
            <v>0</v>
          </cell>
          <cell r="P4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2:R40"/>
  <sheetViews>
    <sheetView tabSelected="1" workbookViewId="0" topLeftCell="A8">
      <selection pane="topLeft" activeCell="J17" sqref="J17:J23"/>
    </sheetView>
  </sheetViews>
  <sheetFormatPr defaultRowHeight="12.75"/>
  <cols>
    <col min="1" max="1" width="7.28571428571429" customWidth="1"/>
    <col min="2" max="2" width="23.5714285714286" bestFit="1" customWidth="1"/>
    <col min="3" max="3" width="2.28571428571429" customWidth="1"/>
    <col min="4" max="4" width="20.1428571428571" customWidth="1"/>
    <col min="5" max="5" width="1.85714285714286" customWidth="1"/>
    <col min="6" max="6" width="21.8571428571429" customWidth="1"/>
    <col min="7" max="7" width="2.14285714285714" customWidth="1"/>
    <col min="8" max="8" width="15.7142857142857" style="18" customWidth="1"/>
    <col min="9" max="9" width="1.85714285714286" customWidth="1"/>
    <col min="10" max="10" width="26.5714285714286" customWidth="1"/>
    <col min="12" max="12" width="15.5714285714286" customWidth="1"/>
  </cols>
  <sheetData>
    <row r="2" spans="1:7" ht="15">
      <c r="A2" s="34" t="s">
        <v>26</v>
      </c>
      <c r="B2" s="34"/>
      <c r="C2" s="34"/>
      <c r="D2" s="34"/>
      <c r="E2" s="34"/>
      <c r="F2" s="34"/>
      <c r="G2" s="34"/>
    </row>
    <row r="3" spans="1:7" ht="15">
      <c r="A3" s="34" t="s">
        <v>24</v>
      </c>
      <c r="B3" s="34"/>
      <c r="C3" s="34"/>
      <c r="D3" s="34"/>
      <c r="E3" s="34"/>
      <c r="F3" s="34"/>
      <c r="G3" s="34"/>
    </row>
    <row r="4" spans="1:7" ht="15">
      <c r="A4" s="34" t="s">
        <v>3</v>
      </c>
      <c r="B4" s="34"/>
      <c r="C4" s="34"/>
      <c r="D4" s="34"/>
      <c r="E4" s="34"/>
      <c r="F4" s="34"/>
      <c r="G4" s="34"/>
    </row>
    <row r="5" spans="1:7" ht="15">
      <c r="A5" s="35" t="s">
        <v>27</v>
      </c>
      <c r="B5" s="35"/>
      <c r="C5" s="35"/>
      <c r="D5" s="35"/>
      <c r="E5" s="35"/>
      <c r="F5" s="35"/>
      <c r="G5" s="35"/>
    </row>
    <row r="6" spans="1:7" ht="15">
      <c r="A6" s="33" t="s">
        <v>28</v>
      </c>
      <c r="B6" s="33"/>
      <c r="C6" s="33"/>
      <c r="D6" s="33"/>
      <c r="E6" s="33"/>
      <c r="F6" s="33"/>
      <c r="G6" s="33"/>
    </row>
    <row r="7" spans="1:8" ht="15">
      <c r="A7" s="4"/>
      <c r="H7" s="17"/>
    </row>
    <row r="8" spans="1:7" ht="15">
      <c r="A8" s="33" t="s">
        <v>23</v>
      </c>
      <c r="B8" s="33"/>
      <c r="C8" s="33"/>
      <c r="D8" s="33"/>
      <c r="E8" s="33"/>
      <c r="F8" s="33"/>
      <c r="G8" s="33"/>
    </row>
    <row r="9" spans="1:7" ht="15">
      <c r="A9" s="4"/>
      <c r="B9" s="5"/>
      <c r="C9" s="5"/>
      <c r="D9" s="5"/>
      <c r="E9" s="5"/>
      <c r="F9" s="5"/>
      <c r="G9" s="5"/>
    </row>
    <row r="10" spans="1:18" ht="15">
      <c r="A10" s="4"/>
      <c r="B10" s="6" t="s">
        <v>13</v>
      </c>
      <c r="C10" s="4"/>
      <c r="D10" s="6" t="s">
        <v>14</v>
      </c>
      <c r="E10" s="6"/>
      <c r="F10" s="21" t="s">
        <v>20</v>
      </c>
      <c r="G10" s="6"/>
      <c r="J10" s="14"/>
      <c r="K10" s="14"/>
      <c r="L10" s="14"/>
      <c r="M10" s="14"/>
      <c r="N10" s="14"/>
      <c r="O10" s="14"/>
      <c r="P10" s="14"/>
      <c r="Q10" s="14"/>
      <c r="R10" s="14"/>
    </row>
    <row r="11" spans="1:12" ht="15">
      <c r="A11" s="4"/>
      <c r="B11" s="6"/>
      <c r="C11" s="4"/>
      <c r="D11" s="6" t="s">
        <v>17</v>
      </c>
      <c r="E11" s="6"/>
      <c r="F11" s="24" t="s">
        <v>21</v>
      </c>
      <c r="G11" s="6"/>
      <c r="I11" s="1"/>
      <c r="L11" s="19"/>
    </row>
    <row r="12" spans="1:9" ht="15">
      <c r="A12" s="4"/>
      <c r="B12" s="6"/>
      <c r="C12" s="4"/>
      <c r="D12" s="6" t="s">
        <v>18</v>
      </c>
      <c r="E12" s="6"/>
      <c r="F12" s="6" t="s">
        <v>22</v>
      </c>
      <c r="G12" s="6"/>
      <c r="I12" s="1"/>
    </row>
    <row r="13" spans="1:12" ht="15">
      <c r="A13" s="7" t="s">
        <v>4</v>
      </c>
      <c r="B13" s="7" t="s">
        <v>15</v>
      </c>
      <c r="C13" s="8"/>
      <c r="D13" s="7" t="s">
        <v>19</v>
      </c>
      <c r="E13" s="7"/>
      <c r="F13" s="7" t="s">
        <v>5</v>
      </c>
      <c r="G13" s="7"/>
      <c r="I13" s="1"/>
      <c r="L13" s="19"/>
    </row>
    <row r="14" spans="1:12" ht="17.25" customHeight="1">
      <c r="A14" s="4"/>
      <c r="B14" s="4"/>
      <c r="C14" s="4"/>
      <c r="D14" s="7"/>
      <c r="E14" s="7"/>
      <c r="F14" s="20"/>
      <c r="G14" s="7"/>
      <c r="I14" s="1"/>
      <c r="L14" s="23"/>
    </row>
    <row r="15" spans="1:12" ht="15">
      <c r="A15" s="9">
        <v>1</v>
      </c>
      <c r="B15" s="2" t="s">
        <v>0</v>
      </c>
      <c r="C15" s="2"/>
      <c r="D15" s="27">
        <f>[1]LinkSheet!$G$8+[1]LinkSheet!$G$10+[1]LinkSheet!$G$12+[1]LinkSheet!$G$46</f>
        <v>2134624537.4946723</v>
      </c>
      <c r="E15" s="13"/>
      <c r="F15" s="25">
        <f>ROUND(D15/$D$35,6)</f>
        <v>0.50063100000000005</v>
      </c>
      <c r="G15" s="10"/>
      <c r="J15" s="22"/>
      <c r="L15" s="23"/>
    </row>
    <row r="16" spans="1:12" ht="15">
      <c r="A16" s="9"/>
      <c r="B16" s="2"/>
      <c r="C16" s="2"/>
      <c r="D16" s="31"/>
      <c r="E16" s="15"/>
      <c r="F16" s="25"/>
      <c r="G16" s="10"/>
      <c r="L16" s="23"/>
    </row>
    <row r="17" spans="1:12" ht="15">
      <c r="A17" s="9">
        <v>2</v>
      </c>
      <c r="B17" s="2" t="s">
        <v>8</v>
      </c>
      <c r="C17" s="2"/>
      <c r="D17" s="30">
        <f>[1]LinkSheet!H$8+[1]LinkSheet!H$10+[1]LinkSheet!H$12+[1]LinkSheet!H$46</f>
        <v>87969566.833434731</v>
      </c>
      <c r="E17" s="13"/>
      <c r="F17" s="25">
        <f t="shared" si="0" ref="F17:F33">ROUND(D17/$D$35,6)</f>
        <v>0.020631</v>
      </c>
      <c r="G17" s="10"/>
      <c r="J17" s="22"/>
      <c r="L17" s="23"/>
    </row>
    <row r="18" spans="1:12" ht="15">
      <c r="A18" s="9"/>
      <c r="B18" s="2"/>
      <c r="C18" s="2"/>
      <c r="E18" s="15"/>
      <c r="F18" s="25"/>
      <c r="G18" s="10"/>
      <c r="L18" s="23"/>
    </row>
    <row r="19" spans="1:12" ht="15">
      <c r="A19" s="9">
        <v>3</v>
      </c>
      <c r="B19" s="2" t="s">
        <v>9</v>
      </c>
      <c r="C19" s="2"/>
      <c r="D19" s="30">
        <f>[1]LinkSheet!I$8+[1]LinkSheet!I$10+[1]LinkSheet!I$12+[1]LinkSheet!I$46</f>
        <v>1450398196.4090614</v>
      </c>
      <c r="E19" s="13"/>
      <c r="F19" s="25">
        <f t="shared" si="0"/>
        <v>0.34016000000000002</v>
      </c>
      <c r="G19" s="10"/>
      <c r="J19" s="22"/>
      <c r="L19" s="23"/>
    </row>
    <row r="20" spans="1:12" ht="15">
      <c r="A20" s="9"/>
      <c r="B20" s="2"/>
      <c r="C20" s="2"/>
      <c r="D20" s="31"/>
      <c r="E20" s="15"/>
      <c r="F20" s="25"/>
      <c r="G20" s="10"/>
      <c r="J20" s="19"/>
      <c r="L20" s="23"/>
    </row>
    <row r="21" spans="1:12" ht="15">
      <c r="A21" s="9">
        <v>4</v>
      </c>
      <c r="B21" s="2" t="s">
        <v>10</v>
      </c>
      <c r="C21" s="2"/>
      <c r="D21" s="30">
        <f>[1]LinkSheet!J$8+[1]LinkSheet!J$10+[1]LinkSheet!J$12+[1]LinkSheet!J$46</f>
        <v>1618237.3231530099</v>
      </c>
      <c r="E21" s="13"/>
      <c r="F21" s="25">
        <f t="shared" si="0"/>
        <v>0.00038000000000000002</v>
      </c>
      <c r="G21" s="10"/>
      <c r="J21" s="22"/>
      <c r="L21" s="23"/>
    </row>
    <row r="22" spans="1:12" ht="15">
      <c r="A22" s="9"/>
      <c r="B22" s="2"/>
      <c r="C22" s="2"/>
      <c r="D22" s="31"/>
      <c r="E22" s="15"/>
      <c r="F22" s="25"/>
      <c r="G22" s="10"/>
      <c r="L22" s="23"/>
    </row>
    <row r="23" spans="1:12" ht="15">
      <c r="A23" s="9">
        <v>5</v>
      </c>
      <c r="B23" s="2" t="s">
        <v>12</v>
      </c>
      <c r="C23" s="2"/>
      <c r="D23" s="30">
        <f>[1]LinkSheet!K$8+[1]LinkSheet!K$10+[1]LinkSheet!K$12+[1]LinkSheet!K$46</f>
        <v>295692841.84803057</v>
      </c>
      <c r="E23" s="13"/>
      <c r="F23" s="25">
        <f t="shared" si="0"/>
        <v>0.069348000000000007</v>
      </c>
      <c r="G23" s="10"/>
      <c r="J23" s="22"/>
      <c r="L23" s="23"/>
    </row>
    <row r="24" spans="1:12" ht="15">
      <c r="A24" s="9"/>
      <c r="B24" s="2"/>
      <c r="C24" s="2"/>
      <c r="D24" s="31"/>
      <c r="E24" s="15"/>
      <c r="F24" s="25"/>
      <c r="G24" s="10"/>
      <c r="L24" s="23"/>
    </row>
    <row r="25" spans="1:12" ht="15">
      <c r="A25" s="9">
        <v>6</v>
      </c>
      <c r="B25" s="2" t="s">
        <v>6</v>
      </c>
      <c r="C25" s="2"/>
      <c r="D25" s="30">
        <f>[1]LinkSheet!L$8+[1]LinkSheet!L$10+[1]LinkSheet!L$12+[1]LinkSheet!L$46</f>
        <v>59626757.95754829</v>
      </c>
      <c r="E25" s="13"/>
      <c r="F25" s="25">
        <f t="shared" si="0"/>
        <v>0.013984</v>
      </c>
      <c r="G25" s="10"/>
      <c r="J25" s="22"/>
      <c r="L25" s="23"/>
    </row>
    <row r="26" spans="1:12" ht="15">
      <c r="A26" s="9"/>
      <c r="B26" s="2"/>
      <c r="C26" s="2"/>
      <c r="D26" s="31"/>
      <c r="E26" s="15"/>
      <c r="F26" s="25"/>
      <c r="G26" s="10"/>
      <c r="L26" s="23"/>
    </row>
    <row r="27" spans="1:12" ht="15">
      <c r="A27" s="9">
        <v>7</v>
      </c>
      <c r="B27" s="2" t="s">
        <v>1</v>
      </c>
      <c r="C27" s="2"/>
      <c r="D27" s="30">
        <f>[1]LinkSheet!$M$8+[1]LinkSheet!$M$10+[1]LinkSheet!$M$12+[1]LinkSheet!$M$46</f>
        <v>164313264.03423187</v>
      </c>
      <c r="E27" s="13"/>
      <c r="F27" s="25">
        <f t="shared" si="0"/>
        <v>0.038536000000000001</v>
      </c>
      <c r="G27" s="10"/>
      <c r="J27" s="22"/>
      <c r="L27" s="23"/>
    </row>
    <row r="28" spans="1:12" ht="15">
      <c r="A28" s="9"/>
      <c r="B28" s="2"/>
      <c r="C28" s="2"/>
      <c r="D28" s="31"/>
      <c r="E28" s="15"/>
      <c r="F28" s="25"/>
      <c r="G28" s="10"/>
      <c r="L28" s="23"/>
    </row>
    <row r="29" spans="1:12" ht="15">
      <c r="A29" s="9">
        <v>8</v>
      </c>
      <c r="B29" s="2" t="s">
        <v>2</v>
      </c>
      <c r="C29" s="2"/>
      <c r="D29" s="30">
        <f>[1]LinkSheet!$N$8+[1]LinkSheet!$N$10+[1]LinkSheet!$N$12+[1]LinkSheet!$N$46</f>
        <v>61287007.390126586</v>
      </c>
      <c r="E29" s="13"/>
      <c r="F29" s="25">
        <f t="shared" si="0"/>
        <v>0.014374</v>
      </c>
      <c r="G29" s="10"/>
      <c r="J29" s="22"/>
      <c r="L29" s="23"/>
    </row>
    <row r="30" spans="1:12" ht="15">
      <c r="A30" s="9"/>
      <c r="B30" s="2"/>
      <c r="C30" s="2"/>
      <c r="D30" s="31"/>
      <c r="E30" s="15"/>
      <c r="F30" s="25"/>
      <c r="G30" s="10"/>
      <c r="L30" s="23"/>
    </row>
    <row r="31" spans="1:12" ht="15">
      <c r="A31" s="9">
        <v>9</v>
      </c>
      <c r="B31" s="2" t="s">
        <v>16</v>
      </c>
      <c r="C31" s="2"/>
      <c r="D31" s="30">
        <f>[1]LinkSheet!$O$8+[1]LinkSheet!$O$10+[1]LinkSheet!$O$12+[1]LinkSheet!$O$46</f>
        <v>1572849.4675184621</v>
      </c>
      <c r="E31" s="13"/>
      <c r="F31" s="25">
        <f t="shared" si="0"/>
        <v>0.00036900000000000002</v>
      </c>
      <c r="G31" s="10"/>
      <c r="J31" s="22"/>
      <c r="L31" s="23"/>
    </row>
    <row r="32" spans="1:12" ht="15">
      <c r="A32" s="9"/>
      <c r="C32" s="2"/>
      <c r="D32" s="31"/>
      <c r="E32" s="13"/>
      <c r="F32" s="25"/>
      <c r="G32" s="10"/>
      <c r="L32" s="23"/>
    </row>
    <row r="33" spans="1:12" ht="16.5">
      <c r="A33" s="9">
        <v>10</v>
      </c>
      <c r="B33" s="2" t="s">
        <v>7</v>
      </c>
      <c r="C33" s="2"/>
      <c r="D33" s="32">
        <f>[1]LinkSheet!$P$8+[1]LinkSheet!$P$10+[1]LinkSheet!$P$12+[1]LinkSheet!$P$46</f>
        <v>6765131.2608941942</v>
      </c>
      <c r="E33" s="16"/>
      <c r="F33" s="25">
        <f t="shared" si="0"/>
        <v>0.0015870000000000001</v>
      </c>
      <c r="G33" s="10"/>
      <c r="J33" s="22"/>
      <c r="L33" s="23"/>
    </row>
    <row r="34" spans="1:12" ht="14.25">
      <c r="A34" s="9"/>
      <c r="B34" s="2"/>
      <c r="C34" s="2"/>
      <c r="D34" s="28"/>
      <c r="E34" s="11"/>
      <c r="F34" s="25"/>
      <c r="G34" s="3"/>
      <c r="L34" s="23"/>
    </row>
    <row r="35" spans="1:12" ht="15">
      <c r="A35" s="9">
        <v>11</v>
      </c>
      <c r="B35" s="4" t="s">
        <v>11</v>
      </c>
      <c r="C35" s="4"/>
      <c r="D35" s="29">
        <f>SUM(D15:D34)</f>
        <v>4263868390.018671</v>
      </c>
      <c r="E35" s="13"/>
      <c r="F35" s="26">
        <f>SUM(F15:F33)</f>
        <v>1</v>
      </c>
      <c r="G35" s="12"/>
      <c r="L35" s="23"/>
    </row>
    <row r="37" spans="1:7" ht="15">
      <c r="A37" s="14" t="s">
        <v>29</v>
      </c>
      <c r="D37" s="4"/>
      <c r="E37" s="4"/>
      <c r="F37" s="4"/>
      <c r="G37" s="4"/>
    </row>
    <row r="38" spans="1:7" ht="15">
      <c r="A38" s="14" t="s">
        <v>25</v>
      </c>
      <c r="D38" s="4"/>
      <c r="E38" s="4"/>
      <c r="F38" s="4"/>
      <c r="G38" s="4"/>
    </row>
    <row r="39" spans="4:7" ht="15">
      <c r="D39" s="4"/>
      <c r="E39" s="4"/>
      <c r="F39" s="4"/>
      <c r="G39" s="4"/>
    </row>
    <row r="40" spans="4:7" ht="15">
      <c r="D40" s="4"/>
      <c r="E40" s="4"/>
      <c r="F40" s="4"/>
      <c r="G40" s="4"/>
    </row>
  </sheetData>
  <mergeCells count="6">
    <mergeCell ref="A8:G8"/>
    <mergeCell ref="A2:G2"/>
    <mergeCell ref="A3:G3"/>
    <mergeCell ref="A4:G4"/>
    <mergeCell ref="A6:G6"/>
    <mergeCell ref="A5:G5"/>
  </mergeCells>
  <pageMargins left="1.5" right="0.5" top="1.25" bottom="0.75" header="1" footer="0.3"/>
  <pageSetup orientation="portrait" r:id="rId1"/>
  <headerFooter>
    <oddHeader>&amp;RWP/II-I-2.9
&amp;N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