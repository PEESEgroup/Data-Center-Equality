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2022 Rate Case\Section II (Test Year Data)\Schedule B (Rate Base)\Sch II-B WP\"/>
    </mc:Choice>
  </mc:AlternateContent>
  <bookViews>
    <workbookView xWindow="120" yWindow="180" windowWidth="12390" windowHeight="7970" activeTab="0"/>
  </bookViews>
  <sheets>
    <sheet name="Lead Lag" sheetId="1" r:id="rId2"/>
  </sheets>
  <definedNames>
    <definedName name="_xlnm.Print_Area" localSheetId="0">'Lead Lag'!$A$1:$T$69</definedName>
  </definedNames>
  <calcPr calcId="152511"/>
  <fileRecoveryPr autoRecover="0"/>
</workbook>
</file>

<file path=xl/calcChain.xml><?xml version="1.0" encoding="utf-8"?>
<calcChain xmlns="http://schemas.openxmlformats.org/spreadsheetml/2006/main">
  <c r="U67" i="1" l="1"/>
</calcChain>
</file>

<file path=xl/sharedStrings.xml><?xml version="1.0" encoding="utf-8"?>
<sst xmlns="http://schemas.openxmlformats.org/spreadsheetml/2006/main" count="121" uniqueCount="101">
  <si>
    <t>Line</t>
  </si>
  <si>
    <t>Adjusted Test</t>
  </si>
  <si>
    <t>Avg. Daily</t>
  </si>
  <si>
    <t>Revenue</t>
  </si>
  <si>
    <t>Expense</t>
  </si>
  <si>
    <t>Net</t>
  </si>
  <si>
    <t>Working Capital</t>
  </si>
  <si>
    <t>No.</t>
  </si>
  <si>
    <t>Description</t>
  </si>
  <si>
    <t>Year Amount</t>
  </si>
  <si>
    <t>Prepayments</t>
  </si>
  <si>
    <t>Lag Days</t>
  </si>
  <si>
    <t>Lead Days</t>
  </si>
  <si>
    <t>(Lead)/Lag</t>
  </si>
  <si>
    <t>Requirement</t>
  </si>
  <si>
    <t>(a)</t>
  </si>
  <si>
    <t>(b)</t>
  </si>
  <si>
    <t>(c)</t>
  </si>
  <si>
    <t>(d)</t>
  </si>
  <si>
    <t xml:space="preserve">(e) </t>
  </si>
  <si>
    <t>(f)</t>
  </si>
  <si>
    <t>(g)</t>
  </si>
  <si>
    <t>Federal Income Taxes</t>
  </si>
  <si>
    <t>Taxes Other Than Income Taxes</t>
  </si>
  <si>
    <t>Depreciation Expense</t>
  </si>
  <si>
    <t>Return</t>
  </si>
  <si>
    <t>Average Daily Bank Balances</t>
  </si>
  <si>
    <t>Working Funds and Other</t>
  </si>
  <si>
    <t>Operation &amp; Maintenance Expenses</t>
  </si>
  <si>
    <t>Labor</t>
  </si>
  <si>
    <t>Payroll</t>
  </si>
  <si>
    <t>Non-Labor</t>
  </si>
  <si>
    <t>Current</t>
  </si>
  <si>
    <t>Payroll Taxes</t>
  </si>
  <si>
    <t>State Gross Margin Taxes</t>
  </si>
  <si>
    <t>Local Franchise Taxes</t>
  </si>
  <si>
    <t>Ad Valorem Taxes</t>
  </si>
  <si>
    <t>Total O&amp;M</t>
  </si>
  <si>
    <t>Total FIT</t>
  </si>
  <si>
    <t>Total Taxes Other Than Income Taxes</t>
  </si>
  <si>
    <t>Subtotal</t>
  </si>
  <si>
    <t>Total Cash Working Capital Requirement</t>
  </si>
  <si>
    <t>Incentive Comp</t>
  </si>
  <si>
    <t>(h)</t>
  </si>
  <si>
    <t>Deferred FIT &amp; ITC</t>
  </si>
  <si>
    <t>Amortized O&amp;M Expenses</t>
  </si>
  <si>
    <t>Other Third-Party O&amp;M</t>
  </si>
  <si>
    <t>Amortization of Rate Case Expenses</t>
  </si>
  <si>
    <t>Amortization of Deferred OPEB</t>
  </si>
  <si>
    <t>Amortization of Deferred Pension</t>
  </si>
  <si>
    <t>Amortization of Insurance Reserve</t>
  </si>
  <si>
    <t>Amortization of</t>
  </si>
  <si>
    <t>TCOS</t>
  </si>
  <si>
    <t>Oncor</t>
  </si>
  <si>
    <t>Non-Oncor</t>
  </si>
  <si>
    <t>Other O&amp;M</t>
  </si>
  <si>
    <t xml:space="preserve">              Pension &amp; Supplemental Retirement Benefits </t>
  </si>
  <si>
    <t xml:space="preserve">              Other Post-Employment Benefits </t>
  </si>
  <si>
    <t>Amortization of Defaulted REPs</t>
  </si>
  <si>
    <t>Amortization of AMS Related Expenses</t>
  </si>
  <si>
    <t>Affiliate Charges - Sempra</t>
  </si>
  <si>
    <t>Affiliate Charges - Other</t>
  </si>
  <si>
    <t>Wholesale Distribution Substation Service (NTU to Oncor)</t>
  </si>
  <si>
    <t>Factor</t>
  </si>
  <si>
    <t>NTU</t>
  </si>
  <si>
    <t>DC</t>
  </si>
  <si>
    <t>Consol</t>
  </si>
  <si>
    <t>TRAN</t>
  </si>
  <si>
    <t>TIE</t>
  </si>
  <si>
    <t>DIST</t>
  </si>
  <si>
    <t>MET</t>
  </si>
  <si>
    <t>TDCS</t>
  </si>
  <si>
    <t>Total</t>
  </si>
  <si>
    <t>TOMXFP</t>
  </si>
  <si>
    <t>PLTSVC-N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</si>
  <si>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</si>
  <si>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</si>
  <si>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</si>
  <si>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</si>
  <si>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</si>
  <si>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</si>
  <si>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</si>
  <si>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</si>
  <si>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</si>
  <si>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</si>
  <si>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</si>
  <si>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>Amortization of WDSS Reg Asset</t>
  </si>
  <si>
    <t>Amortization of NTU Study Cost/Transition to Completion</t>
  </si>
  <si>
    <t>Amortization of Capital Structure Refund</t>
  </si>
  <si>
    <t>Amortization of Docket 48325 Tax Refund</t>
  </si>
  <si>
    <t>Amortization of HB 2483 Mobile Gen &amp; Relocation Costs</t>
  </si>
  <si>
    <t>Amortization of Power Line Safety Act PURA 36066</t>
  </si>
  <si>
    <t>Amortization of COVID19 Incremental Expense</t>
  </si>
  <si>
    <t>Amoritzation of Sharyland Residential Interim Rates</t>
  </si>
  <si>
    <t>Amortization of Non-Standard Metering Service</t>
  </si>
  <si>
    <t>HB 2483 Mobile generator capital leases</t>
  </si>
  <si>
    <t xml:space="preserve">2022 RATE CASE </t>
  </si>
  <si>
    <t>ONCOR ELECTRIC DELIVERY COMPANY LLC</t>
  </si>
  <si>
    <t xml:space="preserve"> ITERATION</t>
  </si>
  <si>
    <t>FOR THE TEST YEAR ENDING DECEMBER 31, 2021</t>
  </si>
  <si>
    <t>SPONSOR:  A. THENMADATHIL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</si>
</sst>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00_);_(* \(#,##0.000\);_(* &quot;-&quot;??_);_(@_)"/>
  </numFmts>
  <fonts count="27">
    <font>
      <sz val="10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u val="single"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n">
        <color auto="1"/>
      </bottom>
    </border>
    <border>
      <left/>
      <right/>
      <top/>
      <bottom style="double">
        <color auto="1"/>
      </bottom>
    </border>
    <border>
      <left/>
      <right/>
      <top style="thin">
        <color auto="1"/>
      </top>
      <bottom/>
    </border>
  </borders>
  <cellStyleXfs count="6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" fillId="0" borderId="0" applyNumberFormat="0" applyFont="0" applyFill="0" applyBorder="0" applyProtection="0">
      <alignment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3" fillId="0" borderId="9">
      <alignment horizontal="center"/>
      <protection/>
    </xf>
    <xf numFmtId="3" fontId="2" fillId="0" borderId="0" applyFont="0" applyFill="0" applyBorder="0" applyAlignment="0" applyProtection="0"/>
    <xf numFmtId="0" fontId="2" fillId="24" borderId="0" applyNumberFormat="0" applyFont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 quotePrefix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/>
    <xf numFmtId="165" fontId="0" fillId="0" borderId="0" xfId="16" applyNumberFormat="1" applyFont="1" applyFill="1" applyProtection="1">
      <protection locked="0"/>
    </xf>
    <xf numFmtId="6" fontId="0" fillId="0" borderId="0" xfId="0" applyNumberFormat="1" applyFont="1"/>
    <xf numFmtId="166" fontId="6" fillId="0" borderId="0" xfId="18" applyNumberFormat="1" applyFont="1" applyFill="1"/>
    <xf numFmtId="166" fontId="6" fillId="0" borderId="0" xfId="18" applyNumberFormat="1" applyFont="1"/>
    <xf numFmtId="166" fontId="0" fillId="0" borderId="0" xfId="18" applyNumberFormat="1" applyFont="1" applyAlignment="1">
      <alignment horizontal="center"/>
    </xf>
    <xf numFmtId="164" fontId="6" fillId="0" borderId="0" xfId="18" applyNumberFormat="1" applyFont="1" applyFill="1" applyProtection="1">
      <protection locked="0"/>
    </xf>
    <xf numFmtId="166" fontId="0" fillId="0" borderId="0" xfId="18" applyNumberFormat="1" applyFont="1"/>
    <xf numFmtId="164" fontId="7" fillId="0" borderId="0" xfId="18" applyNumberFormat="1" applyFont="1" applyFill="1" applyProtection="1">
      <protection/>
    </xf>
    <xf numFmtId="164" fontId="0" fillId="0" borderId="0" xfId="18" applyNumberFormat="1" applyFont="1" applyFill="1" applyProtection="1">
      <protection locked="0"/>
    </xf>
    <xf numFmtId="38" fontId="0" fillId="0" borderId="0" xfId="0" applyNumberFormat="1" applyFont="1" applyFill="1"/>
    <xf numFmtId="40" fontId="0" fillId="0" borderId="0" xfId="0" applyNumberFormat="1" applyFont="1" applyFill="1"/>
    <xf numFmtId="165" fontId="6" fillId="0" borderId="0" xfId="16" applyNumberFormat="1" applyFont="1" applyFill="1" applyProtection="1">
      <protection locked="0"/>
    </xf>
    <xf numFmtId="0" fontId="8" fillId="0" borderId="0" xfId="0" applyFont="1" applyAlignment="1">
      <alignment horizontal="left" indent="1"/>
    </xf>
    <xf numFmtId="0" fontId="0" fillId="0" borderId="0" xfId="0" applyFont="1" applyAlignment="1">
      <alignment horizontal="left" indent="2"/>
    </xf>
    <xf numFmtId="0" fontId="0" fillId="0" borderId="0" xfId="0" applyFont="1" applyAlignment="1">
      <alignment horizontal="left" indent="4"/>
    </xf>
    <xf numFmtId="164" fontId="0" fillId="0" borderId="0" xfId="18" applyNumberFormat="1" applyFont="1" applyFill="1" applyBorder="1" applyProtection="1">
      <protection locked="0"/>
    </xf>
    <xf numFmtId="164" fontId="6" fillId="0" borderId="0" xfId="18" applyNumberFormat="1" applyFont="1" applyFill="1" applyBorder="1" applyProtection="1">
      <protection locked="0"/>
    </xf>
    <xf numFmtId="38" fontId="7" fillId="0" borderId="0" xfId="0" applyNumberFormat="1" applyFont="1" applyFill="1" applyBorder="1" applyProtection="1">
      <protection locked="0"/>
    </xf>
    <xf numFmtId="165" fontId="0" fillId="0" borderId="0" xfId="16" applyNumberFormat="1" applyFont="1" applyFill="1" applyBorder="1"/>
    <xf numFmtId="38" fontId="0" fillId="0" borderId="0" xfId="0" applyNumberFormat="1" applyFont="1" applyFill="1" applyBorder="1"/>
    <xf numFmtId="164" fontId="0" fillId="0" borderId="0" xfId="18" applyNumberFormat="1" applyFont="1" applyFill="1" applyBorder="1"/>
    <xf numFmtId="164" fontId="0" fillId="0" borderId="11" xfId="18" applyNumberFormat="1" applyFont="1" applyFill="1" applyBorder="1"/>
    <xf numFmtId="164" fontId="0" fillId="0" borderId="0" xfId="0" applyNumberFormat="1" applyFont="1" applyFill="1"/>
    <xf numFmtId="164" fontId="0" fillId="0" borderId="0" xfId="0" applyNumberFormat="1" applyFon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 indent="2"/>
    </xf>
    <xf numFmtId="164" fontId="0" fillId="0" borderId="11" xfId="18" applyNumberFormat="1" applyFont="1" applyFill="1" applyBorder="1" applyProtection="1">
      <protection locked="0"/>
    </xf>
    <xf numFmtId="164" fontId="0" fillId="0" borderId="0" xfId="18" applyNumberFormat="1" applyFont="1" applyFill="1"/>
    <xf numFmtId="166" fontId="0" fillId="0" borderId="0" xfId="18" applyNumberFormat="1" applyFont="1" applyFill="1" applyAlignment="1">
      <alignment horizontal="center"/>
    </xf>
    <xf numFmtId="43" fontId="0" fillId="0" borderId="0" xfId="0" applyNumberFormat="1" applyFont="1" applyFill="1"/>
    <xf numFmtId="43" fontId="0" fillId="0" borderId="0" xfId="18" applyNumberFormat="1" applyFont="1" applyFill="1"/>
    <xf numFmtId="43" fontId="0" fillId="0" borderId="0" xfId="18" applyNumberFormat="1" applyFont="1" applyFill="1" applyAlignment="1">
      <alignment horizontal="center"/>
    </xf>
    <xf numFmtId="43" fontId="6" fillId="0" borderId="0" xfId="18" applyNumberFormat="1" applyFont="1" applyFill="1"/>
    <xf numFmtId="43" fontId="7" fillId="0" borderId="0" xfId="18" applyNumberFormat="1" applyFont="1" applyFill="1" applyAlignment="1" applyProtection="1">
      <alignment horizontal="center"/>
      <protection locked="0"/>
    </xf>
    <xf numFmtId="166" fontId="0" fillId="0" borderId="0" xfId="18" applyNumberFormat="1" applyFont="1" applyFill="1"/>
    <xf numFmtId="164" fontId="6" fillId="0" borderId="0" xfId="18" applyNumberFormat="1" applyFont="1" applyFill="1" applyBorder="1"/>
    <xf numFmtId="0" fontId="0" fillId="0" borderId="0" xfId="0" applyFill="1" applyBorder="1"/>
    <xf numFmtId="8" fontId="0" fillId="0" borderId="0" xfId="0" applyNumberFormat="1" applyFont="1" applyFill="1"/>
    <xf numFmtId="9" fontId="0" fillId="0" borderId="0" xfId="0" applyNumberFormat="1" applyFont="1" applyFill="1" applyBorder="1"/>
    <xf numFmtId="164" fontId="0" fillId="0" borderId="12" xfId="0" applyNumberFormat="1" applyFont="1" applyFill="1" applyBorder="1"/>
    <xf numFmtId="0" fontId="0" fillId="0" borderId="0" xfId="0" applyFont="1" applyAlignment="1">
      <alignment horizontal="left" indent="6"/>
    </xf>
    <xf numFmtId="0" fontId="0" fillId="0" borderId="0" xfId="0" applyFont="1"/>
    <xf numFmtId="0" fontId="0" fillId="0" borderId="0" xfId="0" applyFont="1" applyAlignment="1">
      <alignment horizontal="left" indent="4"/>
    </xf>
    <xf numFmtId="0" fontId="0" fillId="0" borderId="0" xfId="0" applyFont="1" applyAlignment="1">
      <alignment horizontal="left" indent="2"/>
    </xf>
    <xf numFmtId="41" fontId="0" fillId="0" borderId="0" xfId="0" applyNumberFormat="1" applyFont="1"/>
    <xf numFmtId="41" fontId="5" fillId="0" borderId="0" xfId="0" applyNumberFormat="1" applyFont="1"/>
    <xf numFmtId="41" fontId="0" fillId="0" borderId="0" xfId="0" applyNumberFormat="1" applyFont="1"/>
    <xf numFmtId="0" fontId="0" fillId="0" borderId="0" xfId="0" applyFont="1" applyFill="1" applyBorder="1" applyAlignment="1">
      <alignment horizontal="center"/>
    </xf>
    <xf numFmtId="164" fontId="26" fillId="0" borderId="0" xfId="18" applyNumberFormat="1" applyFont="1" applyFill="1" applyBorder="1" applyProtection="1">
      <protection locked="0"/>
    </xf>
    <xf numFmtId="164" fontId="6" fillId="0" borderId="13" xfId="18" applyNumberFormat="1" applyFont="1" applyFill="1" applyBorder="1"/>
    <xf numFmtId="43" fontId="0" fillId="25" borderId="0" xfId="18" applyNumberFormat="1" applyFont="1" applyFill="1"/>
    <xf numFmtId="164" fontId="0" fillId="0" borderId="0" xfId="18" applyNumberFormat="1" applyFont="1" applyFill="1" applyProtection="1">
      <protection locked="0"/>
    </xf>
    <xf numFmtId="164" fontId="0" fillId="0" borderId="0" xfId="18" applyNumberFormat="1" applyFont="1" applyFill="1" applyBorder="1" applyProtection="1">
      <protection locked="0"/>
    </xf>
    <xf numFmtId="0" fontId="0" fillId="0" borderId="0" xfId="0" applyFont="1" applyFill="1" applyAlignment="1">
      <alignment horizontal="left" indent="2"/>
    </xf>
    <xf numFmtId="0" fontId="0" fillId="0" borderId="0" xfId="0" applyFont="1" applyFill="1"/>
    <xf numFmtId="41" fontId="0" fillId="0" borderId="0" xfId="0" applyNumberFormat="1" applyFont="1" applyFill="1"/>
    <xf numFmtId="41" fontId="5" fillId="0" borderId="0" xfId="0" applyNumberFormat="1" applyFont="1" applyFill="1"/>
    <xf numFmtId="0" fontId="0" fillId="0" borderId="0" xfId="0" applyFont="1" applyFill="1" applyAlignment="1">
      <alignment horizontal="left" indent="4"/>
    </xf>
    <xf numFmtId="43" fontId="5" fillId="0" borderId="0" xfId="0" applyNumberFormat="1" applyFont="1" applyAlignment="1" applyProtection="1">
      <alignment/>
      <protection locked="0"/>
    </xf>
    <xf numFmtId="0" fontId="5" fillId="0" borderId="0" xfId="0" applyFont="1" applyAlignment="1" applyProtection="1">
      <alignment/>
      <protection locked="0"/>
    </xf>
    <xf numFmtId="0" fontId="5" fillId="0" borderId="0" xfId="0" applyFont="1" applyAlignment="1">
      <alignment/>
    </xf>
    <xf numFmtId="43" fontId="5" fillId="0" borderId="0" xfId="0" applyNumberFormat="1" applyFont="1" applyAlignment="1" applyProtection="1">
      <alignment/>
      <protection locked="0"/>
    </xf>
    <xf numFmtId="0" fontId="5" fillId="0" borderId="0" xfId="0" applyFont="1" applyAlignment="1" applyProtection="1">
      <alignment/>
      <protection locked="0"/>
    </xf>
    <xf numFmtId="14" fontId="5" fillId="0" borderId="0" xfId="0" applyNumberFormat="1" applyFont="1" applyAlignment="1">
      <alignment/>
    </xf>
  </cellXfs>
  <cellStyles count="5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" xfId="20" builtinId="30"/>
    <cellStyle name="20% - Accent2" xfId="21" builtinId="34"/>
    <cellStyle name="20% - Accent3" xfId="22" builtinId="38"/>
    <cellStyle name="20% - Accent4" xfId="23" builtinId="42"/>
    <cellStyle name="20% - Accent5" xfId="24" builtinId="46"/>
    <cellStyle name="20% - Accent6" xfId="25" builtinId="50"/>
    <cellStyle name="40% - Accent1" xfId="26" builtinId="31"/>
    <cellStyle name="40% - Accent2" xfId="27" builtinId="35"/>
    <cellStyle name="40% - Accent3" xfId="28" builtinId="39"/>
    <cellStyle name="40% - Accent4" xfId="29" builtinId="43"/>
    <cellStyle name="40% - Accent5" xfId="30" builtinId="47"/>
    <cellStyle name="40% - Accent6" xfId="31" builtinId="51"/>
    <cellStyle name="60% - Accent1" xfId="32" builtinId="32"/>
    <cellStyle name="60% - Accent2" xfId="33" builtinId="36"/>
    <cellStyle name="60% - Accent3" xfId="34" builtinId="40"/>
    <cellStyle name="60% - Accent4" xfId="35" builtinId="44"/>
    <cellStyle name="60% - Accent5" xfId="36" builtinId="48"/>
    <cellStyle name="60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Bad" xfId="44" builtinId="27"/>
    <cellStyle name="Calculation" xfId="45" builtinId="22"/>
    <cellStyle name="Check Cell" xfId="46" builtinId="23"/>
    <cellStyle name="Explanatory Text" xfId="47" builtinId="53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Input" xfId="53" builtinId="20"/>
    <cellStyle name="Linked Cell" xfId="54" builtinId="24"/>
    <cellStyle name="Neutral" xfId="55" builtinId="28"/>
    <cellStyle name="Note" xfId="56" builtinId="10"/>
    <cellStyle name="Output" xfId="57" builtinId="21"/>
    <cellStyle name="PSChar" xfId="58"/>
    <cellStyle name="PSDate" xfId="59"/>
    <cellStyle name="PSDec" xfId="60"/>
    <cellStyle name="PSHeading" xfId="61"/>
    <cellStyle name="PSInt" xfId="62"/>
    <cellStyle name="PSSpacer" xfId="63"/>
    <cellStyle name="Title" xfId="64" builtinId="15"/>
    <cellStyle name="Total" xfId="65" builtinId="25"/>
    <cellStyle name="Warning Text" xfId="66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U73"/>
  <sheetViews>
    <sheetView tabSelected="1" zoomScale="85" zoomScaleNormal="85" workbookViewId="0" topLeftCell="A1">
      <pane xSplit="2" ySplit="11" topLeftCell="C12" activePane="bottomRight" state="frozen"/>
      <selection pane="topLeft" activeCell="A1" sqref="A1"/>
      <selection pane="bottomLeft" activeCell="A12" sqref="A12"/>
      <selection pane="topRight" activeCell="C1" sqref="C1"/>
      <selection pane="bottomRight" activeCell="A1" sqref="A1:I5"/>
    </sheetView>
  </sheetViews>
  <sheetFormatPr defaultColWidth="9.18428571428571" defaultRowHeight="12.75"/>
  <cols>
    <col min="1" max="1" width="5.71428571428571" style="1" customWidth="1"/>
    <col min="2" max="2" width="56.4285714285714" style="1" bestFit="1" customWidth="1"/>
    <col min="3" max="3" width="14" style="15" bestFit="1" customWidth="1"/>
    <col min="4" max="4" width="17.2857142857143" style="1" customWidth="1"/>
    <col min="5" max="5" width="13.2857142857143" style="1" customWidth="1"/>
    <col min="6" max="7" width="12.4285714285714" style="1" customWidth="1"/>
    <col min="8" max="8" width="13" style="14" customWidth="1"/>
    <col min="9" max="9" width="16.8571428571429" style="1" customWidth="1"/>
    <col min="10" max="10" width="13.4285714285714" style="1" bestFit="1" customWidth="1"/>
    <col min="11" max="11" width="14" style="1" bestFit="1" customWidth="1"/>
    <col min="12" max="12" width="11.8571428571429" style="1" bestFit="1" customWidth="1"/>
    <col min="13" max="13" width="9.14285714285714" style="1"/>
    <col min="14" max="15" width="11.8571428571429" style="1" bestFit="1" customWidth="1"/>
    <col min="16" max="16" width="9.71428571428571" style="1" bestFit="1" customWidth="1"/>
    <col min="17" max="17" width="11.8571428571429" style="1" bestFit="1" customWidth="1"/>
    <col min="18" max="18" width="10.8571428571429" style="1" bestFit="1" customWidth="1"/>
    <col min="19" max="19" width="13.5714285714286" style="1" bestFit="1" customWidth="1"/>
    <col min="20" max="20" width="12.8571428571429" style="1" bestFit="1" customWidth="1"/>
    <col min="21" max="16384" width="9.14285714285714" style="1"/>
  </cols>
  <sheetData>
    <row r="1" spans="1:9" ht="13">
      <c r="A1" s="77" t="s">
        <v>96</v>
      </c>
      <c r="B1" s="78"/>
      <c r="C1" s="78"/>
      <c r="D1" s="78"/>
      <c r="E1" s="78"/>
      <c r="F1" s="78"/>
      <c r="G1" s="78"/>
      <c r="H1" s="78"/>
      <c r="I1" s="78"/>
    </row>
    <row r="2" spans="1:9" ht="13">
      <c r="A2" s="74" t="s">
        <v>97</v>
      </c>
      <c r="B2" s="75"/>
      <c r="C2" s="75"/>
      <c r="D2" s="75"/>
      <c r="E2" s="75"/>
      <c r="F2" s="75"/>
      <c r="G2" s="75"/>
      <c r="H2" s="75"/>
      <c r="I2" s="75"/>
    </row>
    <row r="3" spans="1:9" ht="13">
      <c r="A3" s="76" t="s">
        <v>98</v>
      </c>
      <c r="B3" s="76"/>
      <c r="C3" s="76"/>
      <c r="D3" s="76"/>
      <c r="E3" s="76"/>
      <c r="F3" s="76"/>
      <c r="G3" s="76"/>
      <c r="H3" s="76"/>
      <c r="I3" s="76"/>
    </row>
    <row r="4" spans="1:9" ht="13">
      <c r="A4" s="79" t="s">
        <v>99</v>
      </c>
      <c r="B4" s="76"/>
      <c r="C4" s="76"/>
      <c r="D4" s="76"/>
      <c r="E4" s="76"/>
      <c r="F4" s="76"/>
      <c r="G4" s="76"/>
      <c r="H4" s="76"/>
      <c r="I4" s="76"/>
    </row>
    <row r="5" spans="1:9" ht="13">
      <c r="A5" s="76" t="s">
        <v>100</v>
      </c>
      <c r="B5" s="76"/>
      <c r="C5" s="76"/>
      <c r="D5" s="76"/>
      <c r="E5" s="76"/>
      <c r="F5" s="76"/>
      <c r="G5" s="76"/>
      <c r="H5" s="76"/>
      <c r="I5" s="76"/>
    </row>
    <row r="6" spans="1:9" ht="13">
      <c r="A6" s="2"/>
      <c r="B6" s="2"/>
      <c r="C6" s="3"/>
      <c r="D6" s="2"/>
      <c r="E6" s="2"/>
      <c r="F6" s="2"/>
      <c r="G6" s="2"/>
      <c r="H6" s="2"/>
      <c r="I6" s="2"/>
    </row>
    <row r="7" spans="1:20" ht="12.5">
      <c r="A7" s="4"/>
      <c r="C7" s="5"/>
      <c r="D7" s="4"/>
      <c r="E7" s="4"/>
      <c r="F7" s="4"/>
      <c r="G7" s="4"/>
      <c r="H7" s="6"/>
      <c r="I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3">
      <c r="A8" s="7" t="s">
        <v>0</v>
      </c>
      <c r="B8" s="8"/>
      <c r="C8" s="9" t="s">
        <v>1</v>
      </c>
      <c r="D8" s="7" t="s">
        <v>51</v>
      </c>
      <c r="E8" s="7" t="s">
        <v>2</v>
      </c>
      <c r="F8" s="7" t="s">
        <v>3</v>
      </c>
      <c r="G8" s="7" t="s">
        <v>4</v>
      </c>
      <c r="H8" s="7" t="s">
        <v>5</v>
      </c>
      <c r="I8" s="7" t="s">
        <v>6</v>
      </c>
      <c r="K8" s="7"/>
      <c r="L8" s="7" t="s">
        <v>64</v>
      </c>
      <c r="M8" s="7" t="s">
        <v>65</v>
      </c>
      <c r="N8" s="7" t="s">
        <v>66</v>
      </c>
      <c r="O8" s="7"/>
      <c r="P8" s="7" t="s">
        <v>64</v>
      </c>
      <c r="Q8" s="7" t="s">
        <v>66</v>
      </c>
      <c r="R8" s="7"/>
      <c r="S8" s="7"/>
      <c r="T8" s="7"/>
    </row>
    <row r="9" spans="1:20" ht="13">
      <c r="A9" s="10" t="s">
        <v>7</v>
      </c>
      <c r="B9" s="10" t="s">
        <v>8</v>
      </c>
      <c r="C9" s="11" t="s">
        <v>9</v>
      </c>
      <c r="D9" s="10" t="s">
        <v>10</v>
      </c>
      <c r="E9" s="10" t="s">
        <v>4</v>
      </c>
      <c r="F9" s="10" t="s">
        <v>11</v>
      </c>
      <c r="G9" s="10" t="s">
        <v>12</v>
      </c>
      <c r="H9" s="10" t="s">
        <v>13</v>
      </c>
      <c r="I9" s="10" t="s">
        <v>14</v>
      </c>
      <c r="J9" s="10" t="s">
        <v>63</v>
      </c>
      <c r="K9" s="10" t="s">
        <v>67</v>
      </c>
      <c r="L9" s="10" t="s">
        <v>67</v>
      </c>
      <c r="M9" s="10" t="s">
        <v>68</v>
      </c>
      <c r="N9" s="10" t="s">
        <v>67</v>
      </c>
      <c r="O9" s="10" t="s">
        <v>69</v>
      </c>
      <c r="P9" s="10" t="s">
        <v>69</v>
      </c>
      <c r="Q9" s="10" t="s">
        <v>69</v>
      </c>
      <c r="R9" s="10" t="s">
        <v>70</v>
      </c>
      <c r="S9" s="10" t="s">
        <v>71</v>
      </c>
      <c r="T9" s="10" t="s">
        <v>72</v>
      </c>
    </row>
    <row r="10" spans="1:20" ht="12.5">
      <c r="A10" s="6"/>
      <c r="B10" s="6" t="s">
        <v>15</v>
      </c>
      <c r="C10" s="12" t="s">
        <v>16</v>
      </c>
      <c r="D10" s="6" t="s">
        <v>17</v>
      </c>
      <c r="E10" s="13" t="s">
        <v>18</v>
      </c>
      <c r="F10" s="13" t="s">
        <v>19</v>
      </c>
      <c r="G10" s="6" t="s">
        <v>20</v>
      </c>
      <c r="H10" s="6" t="s">
        <v>21</v>
      </c>
      <c r="I10" s="6" t="s">
        <v>43</v>
      </c>
      <c r="J10" s="63" t="s">
        <v>75</v>
      </c>
      <c r="K10" s="63" t="s">
        <v>76</v>
      </c>
      <c r="L10" s="63" t="s">
        <v>77</v>
      </c>
      <c r="M10" s="63" t="s">
        <v>78</v>
      </c>
      <c r="N10" s="63" t="s">
        <v>79</v>
      </c>
      <c r="O10" s="63" t="s">
        <v>80</v>
      </c>
      <c r="P10" s="63" t="s">
        <v>81</v>
      </c>
      <c r="Q10" s="63" t="s">
        <v>82</v>
      </c>
      <c r="R10" s="63" t="s">
        <v>83</v>
      </c>
      <c r="S10" s="63" t="s">
        <v>84</v>
      </c>
      <c r="T10" s="63" t="s">
        <v>85</v>
      </c>
    </row>
    <row r="11" spans="1:1" ht="12.5">
      <c r="A11" s="14"/>
    </row>
    <row r="12" spans="1:9" ht="12.5">
      <c r="A12" s="14">
        <v>1</v>
      </c>
      <c r="B12" s="1" t="s">
        <v>28</v>
      </c>
      <c r="C12" s="16"/>
      <c r="D12" s="27"/>
      <c r="E12" s="17"/>
      <c r="F12" s="18"/>
      <c r="G12" s="19"/>
      <c r="H12" s="20"/>
      <c r="I12" s="17"/>
    </row>
    <row r="13" spans="1:8" ht="12.5">
      <c r="A13" s="14">
        <v>2</v>
      </c>
      <c r="B13" s="28" t="s">
        <v>29</v>
      </c>
      <c r="C13" s="21"/>
      <c r="D13" s="21"/>
      <c r="F13" s="22"/>
      <c r="G13" s="22"/>
      <c r="H13" s="22"/>
    </row>
    <row r="14" spans="1:21" ht="13">
      <c r="A14" s="14">
        <v>3</v>
      </c>
      <c r="B14" s="29" t="s">
        <v>30</v>
      </c>
      <c r="C14" s="23">
        <v>272201094.74000001</v>
      </c>
      <c r="D14" s="23"/>
      <c r="E14" s="43">
        <f>(C14-D14)/365.25</f>
        <v>745245.98149212869</v>
      </c>
      <c r="F14" s="46">
        <v>52.899999999999999</v>
      </c>
      <c r="G14" s="46">
        <v>-12.109999999999999</v>
      </c>
      <c r="H14" s="47">
        <f>F14+G14</f>
        <v>40.789999999999999</v>
      </c>
      <c r="I14" s="36">
        <f>ROUND(E14*H14,0)</f>
        <v>30398584</v>
      </c>
      <c r="J14" s="57" t="s">
        <v>73</v>
      </c>
      <c r="K14" s="60">
        <v>2640104.0099999998</v>
      </c>
      <c r="L14" s="60">
        <v>0</v>
      </c>
      <c r="M14" s="60">
        <v>0</v>
      </c>
      <c r="N14" s="60">
        <f>SUM(K14:M14)</f>
        <v>2640104.0099999998</v>
      </c>
      <c r="O14" s="60">
        <v>25247158.949999999</v>
      </c>
      <c r="P14" s="60">
        <v>0</v>
      </c>
      <c r="Q14" s="60">
        <f>SUM(O14:P14)</f>
        <v>25247158.949999999</v>
      </c>
      <c r="R14" s="60">
        <v>1386697.49</v>
      </c>
      <c r="S14" s="39">
        <f>+I14-N14-Q14-R14</f>
        <v>1124623.5500000028</v>
      </c>
      <c r="T14" s="61">
        <f>+S14+R14+Q14+N14</f>
        <v>30398584</v>
      </c>
      <c r="U14" s="1" t="b">
        <f>+I14=T14</f>
        <v>1</v>
      </c>
    </row>
    <row r="15" spans="1:21" ht="13">
      <c r="A15" s="14">
        <v>4</v>
      </c>
      <c r="B15" s="29" t="s">
        <v>42</v>
      </c>
      <c r="C15" s="67">
        <v>27578590.259999998</v>
      </c>
      <c r="D15" s="24"/>
      <c r="E15" s="43">
        <f>(C15-D15)/365.25</f>
        <v>75506.065051334692</v>
      </c>
      <c r="F15" s="46">
        <f>+$F$14</f>
        <v>52.899999999999999</v>
      </c>
      <c r="G15" s="66">
        <v>-249.34999999999999</v>
      </c>
      <c r="H15" s="47">
        <f>F15+G15</f>
        <v>-196.44999999999999</v>
      </c>
      <c r="I15" s="36">
        <f>ROUND(E15*H15,0)</f>
        <v>-14833166</v>
      </c>
      <c r="J15" s="57" t="s">
        <v>73</v>
      </c>
      <c r="K15" s="60">
        <v>-1288254.1200000001</v>
      </c>
      <c r="L15" s="60">
        <v>0</v>
      </c>
      <c r="M15" s="60">
        <v>0</v>
      </c>
      <c r="N15" s="60">
        <f>SUM(K15:M15)</f>
        <v>-1288254.1200000001</v>
      </c>
      <c r="O15" s="60">
        <v>-12319498.16</v>
      </c>
      <c r="P15" s="60">
        <v>0</v>
      </c>
      <c r="Q15" s="60">
        <f>SUM(O15:P15)</f>
        <v>-12319498.16</v>
      </c>
      <c r="R15" s="60">
        <v>-676647.10999999999</v>
      </c>
      <c r="S15" s="39">
        <f>+I15-N15-Q15-R15</f>
        <v>-548766.60999999882</v>
      </c>
      <c r="T15" s="61">
        <f>+S15+R15+Q15+N15</f>
        <v>-14833166</v>
      </c>
      <c r="U15" s="1" t="b">
        <f>+I15=T15</f>
        <v>1</v>
      </c>
    </row>
    <row r="16" spans="1:9" ht="12.5">
      <c r="A16" s="14">
        <v>5</v>
      </c>
      <c r="B16" s="28" t="s">
        <v>31</v>
      </c>
      <c r="C16" s="68"/>
      <c r="D16" s="31"/>
      <c r="E16" s="43"/>
      <c r="F16" s="46"/>
      <c r="G16" s="48"/>
      <c r="H16" s="47"/>
      <c r="I16" s="36"/>
    </row>
    <row r="17" spans="1:21" s="15" customFormat="1" ht="13">
      <c r="A17" s="40">
        <v>6</v>
      </c>
      <c r="B17" s="69" t="s">
        <v>60</v>
      </c>
      <c r="C17" s="68">
        <v>115750</v>
      </c>
      <c r="D17" s="31"/>
      <c r="E17" s="43">
        <f>(C17-D17)/365.25</f>
        <v>316.90622861054072</v>
      </c>
      <c r="F17" s="46">
        <f>+$F$14</f>
        <v>52.899999999999999</v>
      </c>
      <c r="G17" s="46">
        <v>-44.960000000000001</v>
      </c>
      <c r="H17" s="47">
        <f>F17+G17</f>
        <v>7.9399999999999977</v>
      </c>
      <c r="I17" s="36">
        <f>ROUND(E17*H17,0)</f>
        <v>2516</v>
      </c>
      <c r="J17" s="70" t="s">
        <v>73</v>
      </c>
      <c r="K17" s="71">
        <v>218.50999999999999</v>
      </c>
      <c r="L17" s="71">
        <v>0</v>
      </c>
      <c r="M17" s="71">
        <v>0</v>
      </c>
      <c r="N17" s="71">
        <f>SUM(K17:M17)</f>
        <v>218.50999999999999</v>
      </c>
      <c r="O17" s="71">
        <v>2089.6300000000001</v>
      </c>
      <c r="P17" s="71">
        <v>0</v>
      </c>
      <c r="Q17" s="71">
        <f>SUM(O17:P17)</f>
        <v>2089.6300000000001</v>
      </c>
      <c r="R17" s="71">
        <v>114.77</v>
      </c>
      <c r="S17" s="38">
        <f>+I17-N17-Q17-R17</f>
        <v>93.089999999999677</v>
      </c>
      <c r="T17" s="72">
        <f>+S17+R17+Q17+N17</f>
        <v>2516</v>
      </c>
      <c r="U17" s="15" t="b">
        <f>+I17=T17</f>
        <v>1</v>
      </c>
    </row>
    <row r="18" spans="1:21" s="15" customFormat="1" ht="13">
      <c r="A18" s="40">
        <v>7</v>
      </c>
      <c r="B18" s="69" t="s">
        <v>61</v>
      </c>
      <c r="C18" s="68">
        <v>3506574</v>
      </c>
      <c r="D18" s="31">
        <v>1108749.01</v>
      </c>
      <c r="E18" s="43">
        <f>(C18-D18)/365.25</f>
        <v>6564.8870362765238</v>
      </c>
      <c r="F18" s="46">
        <f>+$F$14</f>
        <v>52.899999999999999</v>
      </c>
      <c r="G18" s="46">
        <v>-46.93</v>
      </c>
      <c r="H18" s="47">
        <f>F18+G18</f>
        <v>5.9699999999999989</v>
      </c>
      <c r="I18" s="36">
        <f>ROUND(E18*H18,0)</f>
        <v>39192</v>
      </c>
      <c r="J18" s="70" t="s">
        <v>73</v>
      </c>
      <c r="K18" s="71">
        <v>3403.8099999999999</v>
      </c>
      <c r="L18" s="71">
        <v>0</v>
      </c>
      <c r="M18" s="71">
        <v>0</v>
      </c>
      <c r="N18" s="71">
        <f>SUM(K18:M18)</f>
        <v>3403.8099999999999</v>
      </c>
      <c r="O18" s="71">
        <v>32550.419999999998</v>
      </c>
      <c r="P18" s="71">
        <v>0</v>
      </c>
      <c r="Q18" s="71">
        <f>SUM(O18:P18)</f>
        <v>32550.419999999998</v>
      </c>
      <c r="R18" s="71">
        <v>1787.8299999999999</v>
      </c>
      <c r="S18" s="38">
        <f>+I18-N18-Q18-R18</f>
        <v>1449.9400000000042</v>
      </c>
      <c r="T18" s="72">
        <f>+S18+R18+Q18+N18</f>
        <v>39192</v>
      </c>
      <c r="U18" s="15" t="b">
        <f>+I18=T18</f>
        <v>1</v>
      </c>
    </row>
    <row r="19" spans="1:9" ht="12.5">
      <c r="A19" s="14">
        <v>8</v>
      </c>
      <c r="B19" s="29" t="s">
        <v>52</v>
      </c>
      <c r="C19" s="68"/>
      <c r="D19" s="31"/>
      <c r="E19" s="43"/>
      <c r="F19" s="46"/>
      <c r="G19" s="46"/>
      <c r="H19" s="47"/>
      <c r="I19" s="36"/>
    </row>
    <row r="20" spans="1:9" ht="12.5">
      <c r="A20" s="14">
        <v>9</v>
      </c>
      <c r="B20" s="30" t="s">
        <v>53</v>
      </c>
      <c r="C20" s="68">
        <v>517244509.04000002</v>
      </c>
      <c r="D20" s="31"/>
      <c r="E20" s="43">
        <f>(C20-D20)/365.25</f>
        <v>1416138.2862149214</v>
      </c>
      <c r="F20" s="46">
        <v>0</v>
      </c>
      <c r="G20" s="46">
        <v>0</v>
      </c>
      <c r="H20" s="47">
        <f>F20+G20</f>
        <v>0</v>
      </c>
      <c r="I20" s="36">
        <f>ROUND(E20*H20,0)</f>
        <v>0</v>
      </c>
    </row>
    <row r="21" spans="1:21" ht="13">
      <c r="A21" s="14">
        <v>10</v>
      </c>
      <c r="B21" s="30" t="s">
        <v>54</v>
      </c>
      <c r="C21" s="68">
        <v>1135277512.4041209</v>
      </c>
      <c r="D21" s="31"/>
      <c r="E21" s="43">
        <f>(C21-D21)/365.25</f>
        <v>3108220.4309489965</v>
      </c>
      <c r="F21" s="46">
        <f>+F17</f>
        <v>52.899999999999999</v>
      </c>
      <c r="G21" s="46">
        <v>-50.219999999999999</v>
      </c>
      <c r="H21" s="47">
        <f>F21+G21</f>
        <v>2.6799999999999997</v>
      </c>
      <c r="I21" s="36">
        <f>ROUND(E21*H21,0)</f>
        <v>8330031</v>
      </c>
      <c r="J21" s="57" t="s">
        <v>73</v>
      </c>
      <c r="K21" s="60">
        <v>723459.63</v>
      </c>
      <c r="L21" s="60">
        <v>0</v>
      </c>
      <c r="M21" s="60">
        <v>0</v>
      </c>
      <c r="N21" s="60">
        <f>SUM(K21:M21)</f>
        <v>723459.63</v>
      </c>
      <c r="O21" s="60">
        <v>6918401.75</v>
      </c>
      <c r="P21" s="60">
        <v>0</v>
      </c>
      <c r="Q21" s="60">
        <f>SUM(O21:P21)</f>
        <v>6918401.75</v>
      </c>
      <c r="R21" s="60">
        <v>379992.46999999997</v>
      </c>
      <c r="S21" s="39">
        <f>+I21-N21-Q21-R21</f>
        <v>308177.15000000014</v>
      </c>
      <c r="T21" s="61">
        <f>+S21+R21+Q21+N21</f>
        <v>8330031</v>
      </c>
      <c r="U21" s="1" t="b">
        <f>+I21=T21</f>
        <v>1</v>
      </c>
    </row>
    <row r="22" spans="1:9" ht="12.5">
      <c r="A22" s="14">
        <v>11</v>
      </c>
      <c r="B22" s="59" t="s">
        <v>62</v>
      </c>
      <c r="C22" s="68">
        <v>13295686.23</v>
      </c>
      <c r="D22" s="31"/>
      <c r="E22" s="43">
        <f t="shared" si="0" ref="E22">(C22-D22)/365.25</f>
        <v>36401.60501026694</v>
      </c>
      <c r="F22" s="46">
        <v>0</v>
      </c>
      <c r="G22" s="46">
        <v>0</v>
      </c>
      <c r="H22" s="47">
        <f t="shared" si="1" ref="H22">F22+G22</f>
        <v>0</v>
      </c>
      <c r="I22" s="36">
        <f>ROUND(E22*H22,0)</f>
        <v>0</v>
      </c>
    </row>
    <row r="23" spans="1:9" ht="12.5">
      <c r="A23" s="14">
        <v>12</v>
      </c>
      <c r="B23" s="29" t="s">
        <v>45</v>
      </c>
      <c r="C23" s="68"/>
      <c r="D23" s="31"/>
      <c r="E23" s="43"/>
      <c r="F23" s="46"/>
      <c r="G23" s="46"/>
      <c r="H23" s="47"/>
      <c r="I23" s="36"/>
    </row>
    <row r="24" spans="1:9" ht="12.5">
      <c r="A24" s="14">
        <v>13</v>
      </c>
      <c r="B24" s="30" t="s">
        <v>47</v>
      </c>
      <c r="C24" s="68">
        <v>1646625.6899999999</v>
      </c>
      <c r="D24" s="31"/>
      <c r="E24" s="43">
        <f t="shared" si="2" ref="E24:E38">(C24-D24)/365.25</f>
        <v>4508.2154414784391</v>
      </c>
      <c r="F24" s="46">
        <v>0</v>
      </c>
      <c r="G24" s="46">
        <v>0</v>
      </c>
      <c r="H24" s="47">
        <f t="shared" si="3" ref="H24:H43">F24+G24</f>
        <v>0</v>
      </c>
      <c r="I24" s="36">
        <f t="shared" si="4" ref="I24:I38">ROUND(E24*H24,0)</f>
        <v>0</v>
      </c>
    </row>
    <row r="25" spans="1:9" ht="12.5">
      <c r="A25" s="14">
        <v>14</v>
      </c>
      <c r="B25" s="30" t="s">
        <v>48</v>
      </c>
      <c r="C25" s="68">
        <v>-4094646.79</v>
      </c>
      <c r="D25" s="31"/>
      <c r="E25" s="43">
        <f t="shared" si="2"/>
        <v>-11210.531937029433</v>
      </c>
      <c r="F25" s="46">
        <v>0</v>
      </c>
      <c r="G25" s="46">
        <v>0</v>
      </c>
      <c r="H25" s="47">
        <f t="shared" si="3"/>
        <v>0</v>
      </c>
      <c r="I25" s="36">
        <f t="shared" si="4"/>
        <v>0</v>
      </c>
    </row>
    <row r="26" spans="1:9" ht="12.5">
      <c r="A26" s="14">
        <v>15</v>
      </c>
      <c r="B26" s="30" t="s">
        <v>49</v>
      </c>
      <c r="C26" s="68">
        <v>31107534.850000001</v>
      </c>
      <c r="D26" s="31"/>
      <c r="E26" s="43">
        <f t="shared" si="2"/>
        <v>85167.788774811779</v>
      </c>
      <c r="F26" s="46">
        <v>0</v>
      </c>
      <c r="G26" s="46">
        <v>0</v>
      </c>
      <c r="H26" s="47">
        <f t="shared" si="3"/>
        <v>0</v>
      </c>
      <c r="I26" s="36">
        <f t="shared" si="4"/>
        <v>0</v>
      </c>
    </row>
    <row r="27" spans="1:9" ht="12.5">
      <c r="A27" s="14">
        <v>16</v>
      </c>
      <c r="B27" s="58" t="s">
        <v>58</v>
      </c>
      <c r="C27" s="68">
        <v>1671750.798</v>
      </c>
      <c r="D27" s="31"/>
      <c r="E27" s="43">
        <f t="shared" si="2"/>
        <v>4577.004238193018</v>
      </c>
      <c r="F27" s="46">
        <v>0</v>
      </c>
      <c r="G27" s="46">
        <v>0</v>
      </c>
      <c r="H27" s="47">
        <f t="shared" si="5" ref="H27">F27+G27</f>
        <v>0</v>
      </c>
      <c r="I27" s="36">
        <f t="shared" si="4"/>
        <v>0</v>
      </c>
    </row>
    <row r="28" spans="1:9" ht="12.5">
      <c r="A28" s="14">
        <v>17</v>
      </c>
      <c r="B28" s="58" t="s">
        <v>59</v>
      </c>
      <c r="C28" s="68">
        <v>132829.89768419549</v>
      </c>
      <c r="D28" s="31"/>
      <c r="E28" s="43">
        <f t="shared" si="2"/>
        <v>363.66843992935111</v>
      </c>
      <c r="F28" s="46">
        <v>0</v>
      </c>
      <c r="G28" s="46">
        <v>0</v>
      </c>
      <c r="H28" s="47">
        <f t="shared" si="6" ref="H28">F28+G28</f>
        <v>0</v>
      </c>
      <c r="I28" s="36">
        <f t="shared" si="4"/>
        <v>0</v>
      </c>
    </row>
    <row r="29" spans="1:9" ht="12.5">
      <c r="A29" s="14">
        <v>18</v>
      </c>
      <c r="B29" s="58" t="s">
        <v>86</v>
      </c>
      <c r="C29" s="68">
        <v>15053413.869999999</v>
      </c>
      <c r="D29" s="31"/>
      <c r="E29" s="43">
        <f t="shared" si="7" ref="E29:E35">(C29-D29)/365.25</f>
        <v>41214.001013004789</v>
      </c>
      <c r="F29" s="46">
        <v>0</v>
      </c>
      <c r="G29" s="46">
        <v>0</v>
      </c>
      <c r="H29" s="47">
        <f t="shared" si="8" ref="H29:H35">F29+G29</f>
        <v>0</v>
      </c>
      <c r="I29" s="36">
        <f t="shared" si="9" ref="I29:I35">ROUND(E29*H29,0)</f>
        <v>0</v>
      </c>
    </row>
    <row r="30" spans="1:9" ht="12.5">
      <c r="A30" s="14">
        <v>19</v>
      </c>
      <c r="B30" s="58" t="s">
        <v>87</v>
      </c>
      <c r="C30" s="68">
        <v>520569.47999999998</v>
      </c>
      <c r="D30" s="31"/>
      <c r="E30" s="43">
        <f t="shared" si="7"/>
        <v>1425.2415605749486</v>
      </c>
      <c r="F30" s="46">
        <v>0</v>
      </c>
      <c r="G30" s="46">
        <v>0</v>
      </c>
      <c r="H30" s="47">
        <f t="shared" si="8"/>
        <v>0</v>
      </c>
      <c r="I30" s="36">
        <f t="shared" si="9"/>
        <v>0</v>
      </c>
    </row>
    <row r="31" spans="1:9" ht="12.5">
      <c r="A31" s="14">
        <v>20</v>
      </c>
      <c r="B31" s="58" t="s">
        <v>88</v>
      </c>
      <c r="C31" s="68">
        <v>16328.9</v>
      </c>
      <c r="D31" s="31"/>
      <c r="E31" s="43">
        <f t="shared" si="7"/>
        <v>44.706091718001367</v>
      </c>
      <c r="F31" s="46">
        <v>0</v>
      </c>
      <c r="G31" s="46">
        <v>0</v>
      </c>
      <c r="H31" s="47">
        <f t="shared" si="8"/>
        <v>0</v>
      </c>
      <c r="I31" s="36">
        <f t="shared" si="9"/>
        <v>0</v>
      </c>
    </row>
    <row r="32" spans="1:9" ht="12.5">
      <c r="A32" s="14">
        <v>21</v>
      </c>
      <c r="B32" s="58" t="s">
        <v>89</v>
      </c>
      <c r="C32" s="68">
        <v>473660.65999999997</v>
      </c>
      <c r="D32" s="31"/>
      <c r="E32" s="43">
        <f t="shared" si="7"/>
        <v>1296.8122108145105</v>
      </c>
      <c r="F32" s="46">
        <v>0</v>
      </c>
      <c r="G32" s="46">
        <v>0</v>
      </c>
      <c r="H32" s="47">
        <f t="shared" si="8"/>
        <v>0</v>
      </c>
      <c r="I32" s="36">
        <f t="shared" si="9"/>
        <v>0</v>
      </c>
    </row>
    <row r="33" spans="1:9" ht="12.5">
      <c r="A33" s="14">
        <v>22</v>
      </c>
      <c r="B33" s="58" t="s">
        <v>90</v>
      </c>
      <c r="C33" s="68">
        <v>5217.6000000000004</v>
      </c>
      <c r="D33" s="31"/>
      <c r="E33" s="43">
        <f t="shared" si="7"/>
        <v>14.285010266940454</v>
      </c>
      <c r="F33" s="46">
        <v>0</v>
      </c>
      <c r="G33" s="46">
        <v>0</v>
      </c>
      <c r="H33" s="47">
        <f t="shared" si="8"/>
        <v>0</v>
      </c>
      <c r="I33" s="36">
        <f t="shared" si="9"/>
        <v>0</v>
      </c>
    </row>
    <row r="34" spans="1:9" ht="12.5">
      <c r="A34" s="14">
        <v>23</v>
      </c>
      <c r="B34" s="58" t="s">
        <v>91</v>
      </c>
      <c r="C34" s="68">
        <v>1502680.04</v>
      </c>
      <c r="D34" s="31"/>
      <c r="E34" s="43">
        <f t="shared" si="7"/>
        <v>4114.1137303216974</v>
      </c>
      <c r="F34" s="46">
        <v>0</v>
      </c>
      <c r="G34" s="46">
        <v>0</v>
      </c>
      <c r="H34" s="47">
        <f t="shared" si="8"/>
        <v>0</v>
      </c>
      <c r="I34" s="36">
        <f t="shared" si="9"/>
        <v>0</v>
      </c>
    </row>
    <row r="35" spans="1:9" ht="12.5">
      <c r="A35" s="14">
        <v>24</v>
      </c>
      <c r="B35" s="58" t="s">
        <v>92</v>
      </c>
      <c r="C35" s="68">
        <v>6923725.2599999998</v>
      </c>
      <c r="D35" s="31"/>
      <c r="E35" s="43">
        <f t="shared" si="7"/>
        <v>18956.126652977411</v>
      </c>
      <c r="F35" s="46">
        <v>0</v>
      </c>
      <c r="G35" s="46">
        <v>0</v>
      </c>
      <c r="H35" s="47">
        <f t="shared" si="8"/>
        <v>0</v>
      </c>
      <c r="I35" s="36">
        <f t="shared" si="9"/>
        <v>0</v>
      </c>
    </row>
    <row r="36" spans="1:9" ht="12.5">
      <c r="A36" s="14">
        <v>25</v>
      </c>
      <c r="B36" s="58" t="s">
        <v>93</v>
      </c>
      <c r="C36" s="68">
        <v>125472.60000000001</v>
      </c>
      <c r="D36" s="31"/>
      <c r="E36" s="43">
        <f t="shared" si="10" ref="E36:E37">(C36-D36)/365.25</f>
        <v>343.52525667351131</v>
      </c>
      <c r="F36" s="46">
        <v>0</v>
      </c>
      <c r="G36" s="46">
        <v>0</v>
      </c>
      <c r="H36" s="47">
        <f t="shared" si="11" ref="H36:H37">F36+G36</f>
        <v>0</v>
      </c>
      <c r="I36" s="36">
        <f t="shared" si="12" ref="I36:I37">ROUND(E36*H36,0)</f>
        <v>0</v>
      </c>
    </row>
    <row r="37" spans="1:9" ht="12.5">
      <c r="A37" s="14">
        <v>26</v>
      </c>
      <c r="B37" s="58" t="s">
        <v>94</v>
      </c>
      <c r="C37" s="68">
        <v>0</v>
      </c>
      <c r="D37" s="31"/>
      <c r="E37" s="43">
        <f t="shared" si="10"/>
        <v>0</v>
      </c>
      <c r="F37" s="46">
        <v>0</v>
      </c>
      <c r="G37" s="46">
        <v>0</v>
      </c>
      <c r="H37" s="47">
        <f t="shared" si="11"/>
        <v>0</v>
      </c>
      <c r="I37" s="36">
        <f t="shared" si="12"/>
        <v>0</v>
      </c>
    </row>
    <row r="38" spans="1:9" ht="12.5">
      <c r="A38" s="14">
        <v>27</v>
      </c>
      <c r="B38" s="30" t="s">
        <v>50</v>
      </c>
      <c r="C38" s="68">
        <v>117709131.41</v>
      </c>
      <c r="D38" s="31"/>
      <c r="E38" s="43">
        <f t="shared" si="2"/>
        <v>322270.03808350442</v>
      </c>
      <c r="F38" s="46">
        <v>0</v>
      </c>
      <c r="G38" s="46">
        <v>0</v>
      </c>
      <c r="H38" s="47">
        <f t="shared" si="3"/>
        <v>0</v>
      </c>
      <c r="I38" s="36">
        <f t="shared" si="4"/>
        <v>0</v>
      </c>
    </row>
    <row r="39" spans="1:9" ht="12.5">
      <c r="A39" s="14">
        <v>28</v>
      </c>
      <c r="B39" s="29" t="s">
        <v>95</v>
      </c>
      <c r="C39" s="68">
        <v>449449.64000000001</v>
      </c>
      <c r="D39" s="31"/>
      <c r="E39" s="43">
        <f t="shared" si="13" ref="E39">(C39-D39)/365.25</f>
        <v>1230.5260506502395</v>
      </c>
      <c r="F39" s="46">
        <v>0</v>
      </c>
      <c r="G39" s="46">
        <v>0</v>
      </c>
      <c r="H39" s="47">
        <f t="shared" si="14" ref="H39">F39+G39</f>
        <v>0</v>
      </c>
      <c r="I39" s="36">
        <f t="shared" si="15" ref="I39">ROUND(E39*H39,0)</f>
        <v>0</v>
      </c>
    </row>
    <row r="40" spans="1:9" ht="12.5">
      <c r="A40" s="14">
        <v>29</v>
      </c>
      <c r="B40" s="29" t="s">
        <v>46</v>
      </c>
      <c r="C40" s="68"/>
      <c r="D40" s="31"/>
      <c r="E40" s="43"/>
      <c r="F40" s="46"/>
      <c r="G40" s="46"/>
      <c r="H40" s="47"/>
      <c r="I40" s="36"/>
    </row>
    <row r="41" spans="1:21" ht="13">
      <c r="A41" s="14">
        <v>30</v>
      </c>
      <c r="B41" s="1" t="s">
        <v>56</v>
      </c>
      <c r="C41" s="31">
        <v>22359775.880684998</v>
      </c>
      <c r="D41" s="31"/>
      <c r="E41" s="43">
        <f>(C41-D41)/365.25</f>
        <v>61217.729995030793</v>
      </c>
      <c r="F41" s="46">
        <f>+$F$14</f>
        <v>52.899999999999999</v>
      </c>
      <c r="G41" s="46">
        <v>-53.509999999999998</v>
      </c>
      <c r="H41" s="47">
        <f t="shared" si="3"/>
        <v>-0.60999999999999943</v>
      </c>
      <c r="I41" s="36">
        <f>ROUND(E41*H41,0)</f>
        <v>-37343</v>
      </c>
      <c r="J41" s="57" t="s">
        <v>73</v>
      </c>
      <c r="K41" s="60">
        <v>-3243.2199999999998</v>
      </c>
      <c r="L41" s="60">
        <v>0</v>
      </c>
      <c r="M41" s="60">
        <v>0</v>
      </c>
      <c r="N41" s="60">
        <f>SUM(K41:M41)</f>
        <v>-3243.2199999999998</v>
      </c>
      <c r="O41" s="60">
        <v>-31014.759999999998</v>
      </c>
      <c r="P41" s="60">
        <v>0</v>
      </c>
      <c r="Q41" s="60">
        <f>SUM(O41:P41)</f>
        <v>-31014.759999999998</v>
      </c>
      <c r="R41" s="60">
        <v>-1703.48</v>
      </c>
      <c r="S41" s="39">
        <f>+I41-N41-Q41-R41</f>
        <v>-1381.5400000000004</v>
      </c>
      <c r="T41" s="61">
        <f>+S41+R41+Q41+N41</f>
        <v>-37343</v>
      </c>
      <c r="U41" s="1" t="b">
        <f>+I41=T41</f>
        <v>1</v>
      </c>
    </row>
    <row r="42" spans="1:21" ht="13">
      <c r="A42" s="14">
        <v>31</v>
      </c>
      <c r="B42" s="1" t="s">
        <v>57</v>
      </c>
      <c r="C42" s="31">
        <v>8796773.3999999985</v>
      </c>
      <c r="D42" s="31"/>
      <c r="E42" s="43">
        <f>(C42-D42)/365.25</f>
        <v>24084.252977412725</v>
      </c>
      <c r="F42" s="46">
        <f>+$F$14</f>
        <v>52.899999999999999</v>
      </c>
      <c r="G42" s="46">
        <v>10.710000000000001</v>
      </c>
      <c r="H42" s="47">
        <f t="shared" si="3"/>
        <v>63.609999999999999</v>
      </c>
      <c r="I42" s="36">
        <f>ROUND(E42*H42,0)</f>
        <v>1531999</v>
      </c>
      <c r="J42" s="57" t="s">
        <v>73</v>
      </c>
      <c r="K42" s="60">
        <v>133053.45999999999</v>
      </c>
      <c r="L42" s="60">
        <v>0</v>
      </c>
      <c r="M42" s="60">
        <v>0</v>
      </c>
      <c r="N42" s="60">
        <f>SUM(K42:M42)</f>
        <v>133053.45999999999</v>
      </c>
      <c r="O42" s="60">
        <v>1272382.3700000001</v>
      </c>
      <c r="P42" s="60">
        <v>0</v>
      </c>
      <c r="Q42" s="60">
        <f>SUM(O42:P42)</f>
        <v>1272382.3700000001</v>
      </c>
      <c r="R42" s="60">
        <v>69885.460000000006</v>
      </c>
      <c r="S42" s="39">
        <f>+I42-N42-Q42-R42</f>
        <v>56677.709999999919</v>
      </c>
      <c r="T42" s="61">
        <f>+S42+R42+Q42+N42</f>
        <v>1531999</v>
      </c>
      <c r="U42" s="1" t="b">
        <f>+I42=T42</f>
        <v>1</v>
      </c>
    </row>
    <row r="43" spans="1:21" s="15" customFormat="1" ht="13">
      <c r="A43" s="40">
        <v>32</v>
      </c>
      <c r="B43" s="73" t="s">
        <v>55</v>
      </c>
      <c r="C43" s="42">
        <v>620668333.32950974</v>
      </c>
      <c r="D43" s="31">
        <f>46999126.77-1108749.01</f>
        <v>45890377.760000005</v>
      </c>
      <c r="E43" s="43">
        <f>(C43-D43)/365.25</f>
        <v>1573656.2780821621</v>
      </c>
      <c r="F43" s="46">
        <f>+$F$14</f>
        <v>52.899999999999999</v>
      </c>
      <c r="G43" s="46">
        <v>-46.93</v>
      </c>
      <c r="H43" s="47">
        <f t="shared" si="3"/>
        <v>5.9699999999999989</v>
      </c>
      <c r="I43" s="36">
        <f>ROUND(E43*H43,0)</f>
        <v>9394728</v>
      </c>
      <c r="J43" s="70" t="s">
        <v>73</v>
      </c>
      <c r="K43" s="71">
        <v>815928.09999999998</v>
      </c>
      <c r="L43" s="71">
        <v>0</v>
      </c>
      <c r="M43" s="71">
        <v>0</v>
      </c>
      <c r="N43" s="71">
        <f>SUM(K43:M43)</f>
        <v>815928.09999999998</v>
      </c>
      <c r="O43" s="71">
        <v>7802672.3600000003</v>
      </c>
      <c r="P43" s="71">
        <v>0</v>
      </c>
      <c r="Q43" s="71">
        <f>SUM(O43:P43)</f>
        <v>7802672.3600000003</v>
      </c>
      <c r="R43" s="71">
        <v>428560.94</v>
      </c>
      <c r="S43" s="38">
        <f>+I43-N43-Q43-R43</f>
        <v>347566.60000000003</v>
      </c>
      <c r="T43" s="72">
        <f>+S43+R43+Q43+N43</f>
        <v>9394728</v>
      </c>
      <c r="U43" s="15" t="b">
        <f>+I43=T43</f>
        <v>1</v>
      </c>
    </row>
    <row r="44" spans="1:11" ht="12.5">
      <c r="A44" s="14">
        <v>33</v>
      </c>
      <c r="B44" s="56" t="s">
        <v>37</v>
      </c>
      <c r="C44" s="31">
        <f>SUM(C14:C43)</f>
        <v>2794288343.1900001</v>
      </c>
      <c r="D44" s="64"/>
      <c r="E44" s="43"/>
      <c r="F44" s="46"/>
      <c r="G44" s="46"/>
      <c r="H44" s="49"/>
      <c r="I44" s="36"/>
      <c r="K44" s="39"/>
    </row>
    <row r="45" spans="1:9" ht="12.5">
      <c r="A45" s="14">
        <v>34</v>
      </c>
      <c r="C45" s="31"/>
      <c r="D45" s="32"/>
      <c r="E45" s="43"/>
      <c r="F45" s="46"/>
      <c r="G45" s="46"/>
      <c r="H45" s="47"/>
      <c r="I45" s="36"/>
    </row>
    <row r="46" spans="1:9" ht="12.5">
      <c r="A46" s="14">
        <v>35</v>
      </c>
      <c r="B46" s="1" t="s">
        <v>22</v>
      </c>
      <c r="C46" s="31"/>
      <c r="D46" s="31"/>
      <c r="E46" s="43"/>
      <c r="F46" s="46"/>
      <c r="G46" s="45"/>
      <c r="H46" s="49"/>
      <c r="I46" s="36"/>
    </row>
    <row r="47" spans="1:21" ht="13">
      <c r="A47" s="14">
        <v>36</v>
      </c>
      <c r="B47" s="29" t="s">
        <v>32</v>
      </c>
      <c r="C47" s="31">
        <v>95424803.359999999</v>
      </c>
      <c r="D47" s="31"/>
      <c r="E47" s="43">
        <f>(C47-D47)/365.25</f>
        <v>261258.87299110199</v>
      </c>
      <c r="F47" s="46">
        <f>+$F$14</f>
        <v>52.899999999999999</v>
      </c>
      <c r="G47" s="46">
        <v>-36.25</v>
      </c>
      <c r="H47" s="47">
        <f>F47+G47</f>
        <v>16.649999999999999</v>
      </c>
      <c r="I47" s="36">
        <f>ROUND(E47*H47,0)</f>
        <v>4349960</v>
      </c>
      <c r="J47" s="57" t="s">
        <v>73</v>
      </c>
      <c r="K47" s="60">
        <v>377792.15999999997</v>
      </c>
      <c r="L47" s="60">
        <v>0</v>
      </c>
      <c r="M47" s="60">
        <v>0</v>
      </c>
      <c r="N47" s="60">
        <f>SUM(K47:M47)</f>
        <v>377792.15999999997</v>
      </c>
      <c r="O47" s="60">
        <v>3612804.1899999999</v>
      </c>
      <c r="P47" s="60">
        <v>0</v>
      </c>
      <c r="Q47" s="60">
        <f>SUM(O47:P47)</f>
        <v>3612804.1899999999</v>
      </c>
      <c r="R47" s="60">
        <v>198432.88000000001</v>
      </c>
      <c r="S47" s="39">
        <f>+I47-N47-Q47-R47</f>
        <v>160930.7699999999</v>
      </c>
      <c r="T47" s="61">
        <f>+S47+R47+Q47+N47</f>
        <v>4349960</v>
      </c>
      <c r="U47" s="1" t="b">
        <f>+I47=T47</f>
        <v>1</v>
      </c>
    </row>
    <row r="48" spans="1:9" s="15" customFormat="1" ht="12.5">
      <c r="A48" s="14">
        <v>37</v>
      </c>
      <c r="B48" s="41" t="s">
        <v>44</v>
      </c>
      <c r="C48" s="42">
        <v>70675960.790000007</v>
      </c>
      <c r="D48" s="31"/>
      <c r="E48" s="43">
        <f>(C48-D48)/365.25</f>
        <v>193500.23488021904</v>
      </c>
      <c r="F48" s="45">
        <v>0</v>
      </c>
      <c r="G48" s="15">
        <v>0</v>
      </c>
      <c r="H48" s="44">
        <f>F48+G48</f>
        <v>0</v>
      </c>
      <c r="I48" s="36">
        <f>ROUND(E48*H48,0)</f>
        <v>0</v>
      </c>
    </row>
    <row r="49" spans="1:11" ht="12.5">
      <c r="A49" s="14">
        <v>38</v>
      </c>
      <c r="B49" s="30" t="s">
        <v>38</v>
      </c>
      <c r="C49" s="31">
        <f>SUM(C47:C48)</f>
        <v>166100764.15000001</v>
      </c>
      <c r="D49" s="64"/>
      <c r="E49" s="43"/>
      <c r="F49" s="46"/>
      <c r="G49" s="50"/>
      <c r="H49" s="44"/>
      <c r="I49" s="5"/>
      <c r="K49" s="39"/>
    </row>
    <row r="50" spans="1:9" ht="12.5">
      <c r="A50" s="14">
        <v>39</v>
      </c>
      <c r="C50" s="31"/>
      <c r="D50" s="31"/>
      <c r="E50" s="43"/>
      <c r="F50" s="46"/>
      <c r="G50" s="50"/>
      <c r="H50" s="44"/>
      <c r="I50" s="36"/>
    </row>
    <row r="51" spans="1:9" ht="12.5">
      <c r="A51" s="14">
        <v>40</v>
      </c>
      <c r="B51" s="1" t="s">
        <v>23</v>
      </c>
      <c r="C51" s="33"/>
      <c r="D51" s="33"/>
      <c r="E51" s="26"/>
      <c r="F51" s="45"/>
      <c r="G51" s="15"/>
      <c r="H51" s="40"/>
      <c r="I51" s="5"/>
    </row>
    <row r="52" spans="1:21" ht="13">
      <c r="A52" s="14">
        <v>41</v>
      </c>
      <c r="B52" s="29" t="s">
        <v>33</v>
      </c>
      <c r="C52" s="36">
        <v>17840665.680000003</v>
      </c>
      <c r="D52" s="34"/>
      <c r="E52" s="43">
        <f>(C52-D52)/365.25</f>
        <v>48845.080574948675</v>
      </c>
      <c r="F52" s="46">
        <f>+$F$14</f>
        <v>52.899999999999999</v>
      </c>
      <c r="G52" s="46">
        <v>-11.66</v>
      </c>
      <c r="H52" s="47">
        <f>F52+G52</f>
        <v>41.239999999999995</v>
      </c>
      <c r="I52" s="36">
        <f>ROUND(E52*H52,0)</f>
        <v>2014371</v>
      </c>
      <c r="J52" s="57" t="s">
        <v>73</v>
      </c>
      <c r="K52" s="60">
        <v>174947.26000000001</v>
      </c>
      <c r="L52" s="60">
        <v>0</v>
      </c>
      <c r="M52" s="60">
        <v>0</v>
      </c>
      <c r="N52" s="60">
        <f>SUM(K52:M52)</f>
        <v>174947.26000000001</v>
      </c>
      <c r="O52" s="60">
        <v>1673010.3200000001</v>
      </c>
      <c r="P52" s="60">
        <v>0</v>
      </c>
      <c r="Q52" s="60">
        <f>SUM(O52:P52)</f>
        <v>1673010.3200000001</v>
      </c>
      <c r="R52" s="60">
        <v>91889.910000000003</v>
      </c>
      <c r="S52" s="39">
        <f>+I52-N52-Q52-R52</f>
        <v>74523.509999999922</v>
      </c>
      <c r="T52" s="61">
        <f>+S52+R52+Q52+N52</f>
        <v>2014371</v>
      </c>
      <c r="U52" s="1" t="b">
        <f>+I52=T52</f>
        <v>1</v>
      </c>
    </row>
    <row r="53" spans="1:21" ht="13">
      <c r="A53" s="14">
        <v>42</v>
      </c>
      <c r="B53" s="29" t="s">
        <v>34</v>
      </c>
      <c r="C53" s="36">
        <v>27740678.559999999</v>
      </c>
      <c r="D53" s="35"/>
      <c r="E53" s="43">
        <f>(C53-D53)/365.25</f>
        <v>75949.838631074599</v>
      </c>
      <c r="F53" s="46">
        <f>+$F$14</f>
        <v>52.899999999999999</v>
      </c>
      <c r="G53" s="46">
        <v>47.170000000000002</v>
      </c>
      <c r="H53" s="47">
        <f>F53+G53</f>
        <v>100.06999999999999</v>
      </c>
      <c r="I53" s="36">
        <f>ROUND(E53*H53,0)</f>
        <v>7600300</v>
      </c>
      <c r="J53" s="57" t="s">
        <v>73</v>
      </c>
      <c r="K53" s="60">
        <v>660082.80000000005</v>
      </c>
      <c r="L53" s="60">
        <v>0</v>
      </c>
      <c r="M53" s="60">
        <v>0</v>
      </c>
      <c r="N53" s="60">
        <f>SUM(K53:M53)</f>
        <v>660082.80000000005</v>
      </c>
      <c r="O53" s="60">
        <v>6312332.9100000001</v>
      </c>
      <c r="P53" s="60">
        <v>0</v>
      </c>
      <c r="Q53" s="60">
        <f>SUM(O53:P53)</f>
        <v>6312332.9100000001</v>
      </c>
      <c r="R53" s="60">
        <v>346704.21000000002</v>
      </c>
      <c r="S53" s="39">
        <f>+I53-N53-Q53-R53</f>
        <v>281180.08000000002</v>
      </c>
      <c r="T53" s="61">
        <f>+S53+R53+Q53+N53</f>
        <v>7600300</v>
      </c>
      <c r="U53" s="1" t="b">
        <f>+I53=T53</f>
        <v>1</v>
      </c>
    </row>
    <row r="54" spans="1:21" ht="13">
      <c r="A54" s="14">
        <v>43</v>
      </c>
      <c r="B54" s="29" t="s">
        <v>35</v>
      </c>
      <c r="C54" s="36">
        <v>283082877</v>
      </c>
      <c r="D54" s="36">
        <v>204512084</v>
      </c>
      <c r="E54" s="43">
        <f>(C54-D54)/365.25</f>
        <v>215115.1074606434</v>
      </c>
      <c r="F54" s="46">
        <f>+$F$14</f>
        <v>52.899999999999999</v>
      </c>
      <c r="G54" s="46">
        <v>-54.990000000000002</v>
      </c>
      <c r="H54" s="47">
        <f>F54+G54</f>
        <v>-2.0900000000000034</v>
      </c>
      <c r="I54" s="36">
        <f>ROUND(E54*H54,0)</f>
        <v>-449591</v>
      </c>
      <c r="J54" s="57" t="s">
        <v>73</v>
      </c>
      <c r="K54" s="60">
        <v>-39046.790000000001</v>
      </c>
      <c r="L54" s="60">
        <v>0</v>
      </c>
      <c r="M54" s="60">
        <v>0</v>
      </c>
      <c r="N54" s="60">
        <f>SUM(K54:M54)</f>
        <v>-39046.790000000001</v>
      </c>
      <c r="O54" s="60">
        <v>-373402.10999999999</v>
      </c>
      <c r="P54" s="60">
        <v>0</v>
      </c>
      <c r="Q54" s="60">
        <f>SUM(O54:P54)</f>
        <v>-373402.10999999999</v>
      </c>
      <c r="R54" s="60">
        <v>-20509.07</v>
      </c>
      <c r="S54" s="39">
        <f>+I54-N54-Q54-R54</f>
        <v>-16633.030000000035</v>
      </c>
      <c r="T54" s="61">
        <f>+S54+R54+Q54+N54</f>
        <v>-449591</v>
      </c>
      <c r="U54" s="1" t="b">
        <f>+I54=T54</f>
        <v>1</v>
      </c>
    </row>
    <row r="55" spans="1:21" ht="13">
      <c r="A55" s="14">
        <v>44</v>
      </c>
      <c r="B55" s="29" t="s">
        <v>36</v>
      </c>
      <c r="C55" s="37">
        <v>283681884.16000003</v>
      </c>
      <c r="D55" s="5"/>
      <c r="E55" s="43">
        <f>(C55-D55)/365.25</f>
        <v>776678.6698425737</v>
      </c>
      <c r="F55" s="46">
        <f>+$F$14</f>
        <v>52.899999999999999</v>
      </c>
      <c r="G55" s="46">
        <v>-209.90000000000001</v>
      </c>
      <c r="H55" s="47">
        <f>F55+G55</f>
        <v>-157</v>
      </c>
      <c r="I55" s="36">
        <f>ROUND(E55*H55,0)</f>
        <v>-121938551</v>
      </c>
      <c r="J55" s="1" t="s">
        <v>74</v>
      </c>
      <c r="K55" s="60">
        <v>-52569654.229999997</v>
      </c>
      <c r="L55" s="60">
        <v>-8174427.4699999997</v>
      </c>
      <c r="M55" s="62">
        <v>0</v>
      </c>
      <c r="N55" s="60">
        <f>SUM(K55:M55)</f>
        <v>-60744081.699999996</v>
      </c>
      <c r="O55" s="60">
        <v>-56938333.479999997</v>
      </c>
      <c r="P55" s="60">
        <v>-668468.91000000003</v>
      </c>
      <c r="Q55" s="60">
        <f>SUM(O55:P55)</f>
        <v>-57606802.389999993</v>
      </c>
      <c r="R55" s="60">
        <v>-1936401.72</v>
      </c>
      <c r="S55" s="39">
        <f>+I55-N55-Q55-R55</f>
        <v>-1651265.1900000114</v>
      </c>
      <c r="T55" s="61">
        <f>+S55+R55+Q55+N55</f>
        <v>-121938551</v>
      </c>
      <c r="U55" s="1" t="b">
        <f>+I55=T55</f>
        <v>1</v>
      </c>
    </row>
    <row r="56" spans="1:11" ht="12.5">
      <c r="A56" s="14">
        <v>45</v>
      </c>
      <c r="B56" s="29" t="s">
        <v>39</v>
      </c>
      <c r="C56" s="36">
        <f>SUM(C52:C55)</f>
        <v>612346105.4000001</v>
      </c>
      <c r="D56" s="64"/>
      <c r="E56" s="26"/>
      <c r="F56" s="45"/>
      <c r="G56" s="25"/>
      <c r="H56" s="40"/>
      <c r="I56" s="51"/>
      <c r="K56" s="39"/>
    </row>
    <row r="57" spans="1:9" ht="12.5">
      <c r="A57" s="14">
        <v>46</v>
      </c>
      <c r="C57" s="26"/>
      <c r="D57" s="26"/>
      <c r="E57" s="26"/>
      <c r="F57" s="45"/>
      <c r="G57" s="15"/>
      <c r="H57" s="40"/>
      <c r="I57" s="5"/>
    </row>
    <row r="58" spans="1:11" ht="12.5">
      <c r="A58" s="14">
        <v>47</v>
      </c>
      <c r="B58" s="1" t="s">
        <v>24</v>
      </c>
      <c r="C58" s="36">
        <v>924809854.60030484</v>
      </c>
      <c r="D58" s="64"/>
      <c r="E58" s="43">
        <f>(C58-D58)/365.25</f>
        <v>2531991.3883649688</v>
      </c>
      <c r="F58" s="45">
        <v>0</v>
      </c>
      <c r="G58" s="45">
        <v>0</v>
      </c>
      <c r="H58" s="45">
        <f>F58+G58</f>
        <v>0</v>
      </c>
      <c r="I58" s="36">
        <f>ROUND(E58*H58,0)</f>
        <v>0</v>
      </c>
      <c r="K58" s="39"/>
    </row>
    <row r="59" spans="1:9" ht="12.5">
      <c r="A59" s="14">
        <v>48</v>
      </c>
      <c r="C59" s="25"/>
      <c r="D59" s="64"/>
      <c r="E59" s="15"/>
      <c r="F59" s="45"/>
      <c r="G59" s="45"/>
      <c r="H59" s="45"/>
      <c r="I59" s="52"/>
    </row>
    <row r="60" spans="1:11" ht="12.5">
      <c r="A60" s="14">
        <v>49</v>
      </c>
      <c r="B60" s="1" t="s">
        <v>25</v>
      </c>
      <c r="C60" s="37">
        <v>1326522950.5026386</v>
      </c>
      <c r="D60" s="64"/>
      <c r="E60" s="43">
        <f>(C60-D60)/365.25</f>
        <v>3631821.9041824467</v>
      </c>
      <c r="F60" s="45">
        <v>0</v>
      </c>
      <c r="G60" s="45">
        <v>0</v>
      </c>
      <c r="H60" s="45">
        <f>F60+G60</f>
        <v>0</v>
      </c>
      <c r="I60" s="36">
        <f>ROUND(E60*H60,0)</f>
        <v>0</v>
      </c>
      <c r="K60" s="39"/>
    </row>
    <row r="61" spans="1:9" ht="12.5">
      <c r="A61" s="14">
        <v>50</v>
      </c>
      <c r="D61" s="64"/>
      <c r="E61" s="15"/>
      <c r="F61" s="15"/>
      <c r="G61" s="53"/>
      <c r="H61" s="40"/>
      <c r="I61" s="65"/>
    </row>
    <row r="62" spans="1:21" ht="13">
      <c r="A62" s="14">
        <v>51</v>
      </c>
      <c r="B62" s="1" t="s">
        <v>40</v>
      </c>
      <c r="C62" s="38">
        <f>+C60+C58+C56+C49+C44</f>
        <v>5824068017.8429432</v>
      </c>
      <c r="D62" s="64"/>
      <c r="E62" s="15"/>
      <c r="F62" s="15"/>
      <c r="G62" s="53"/>
      <c r="H62" s="40"/>
      <c r="I62" s="36">
        <f>SUM(I14:I60)</f>
        <v>-73596970</v>
      </c>
      <c r="K62" s="36">
        <f>SUM(K14:K60)</f>
        <v>-48371208.619999997</v>
      </c>
      <c r="L62" s="36">
        <f t="shared" si="16" ref="L62:R62">SUM(L14:L60)</f>
        <v>-8174427.4699999997</v>
      </c>
      <c r="M62" s="36">
        <f t="shared" si="16"/>
        <v>0</v>
      </c>
      <c r="N62" s="36">
        <f t="shared" si="16"/>
        <v>-56545636.089999996</v>
      </c>
      <c r="O62" s="36">
        <f t="shared" si="16"/>
        <v>-16788845.609999992</v>
      </c>
      <c r="P62" s="36">
        <f t="shared" si="16"/>
        <v>-668468.91000000003</v>
      </c>
      <c r="Q62" s="36">
        <f t="shared" si="16"/>
        <v>-17457314.519999988</v>
      </c>
      <c r="R62" s="36">
        <f t="shared" si="16"/>
        <v>268804.58000000031</v>
      </c>
      <c r="S62" s="36">
        <f>+I62-N62-Q62-R62</f>
        <v>137176.0299999842</v>
      </c>
      <c r="T62" s="61">
        <f>+S62+R62+Q62+N62</f>
        <v>-73596970</v>
      </c>
      <c r="U62" s="1" t="b">
        <f>+I62=T62</f>
        <v>1</v>
      </c>
    </row>
    <row r="63" spans="1:9" ht="12.5">
      <c r="A63" s="14">
        <v>52</v>
      </c>
      <c r="C63" s="15" t="b">
        <v>1</v>
      </c>
      <c r="D63" s="64"/>
      <c r="E63" s="15"/>
      <c r="F63" s="15"/>
      <c r="G63" s="15"/>
      <c r="H63" s="40"/>
      <c r="I63" s="52"/>
    </row>
    <row r="64" spans="1:21" ht="13">
      <c r="A64" s="14">
        <v>53</v>
      </c>
      <c r="B64" s="1" t="s">
        <v>26</v>
      </c>
      <c r="D64" s="15"/>
      <c r="E64" s="15"/>
      <c r="F64" s="15"/>
      <c r="G64" s="15"/>
      <c r="H64" s="40"/>
      <c r="I64" s="36">
        <v>8420858</v>
      </c>
      <c r="J64" s="57" t="s">
        <v>73</v>
      </c>
      <c r="K64" s="60">
        <v>731347.91000000003</v>
      </c>
      <c r="L64" s="60">
        <v>0</v>
      </c>
      <c r="M64" s="60">
        <v>0</v>
      </c>
      <c r="N64" s="60">
        <f>SUM(K64:M64)</f>
        <v>731347.91000000003</v>
      </c>
      <c r="O64" s="60">
        <v>6993836.96</v>
      </c>
      <c r="P64" s="60">
        <v>0</v>
      </c>
      <c r="Q64" s="60">
        <f>SUM(O64:P64)</f>
        <v>6993836.96</v>
      </c>
      <c r="R64" s="60">
        <v>384135.73999999999</v>
      </c>
      <c r="S64" s="39">
        <f>+I64-N64-Q64-R64</f>
        <v>311537.3899999999</v>
      </c>
      <c r="T64" s="61">
        <f>+S64+R64+Q64+N64</f>
        <v>8420858</v>
      </c>
      <c r="U64" s="1" t="b">
        <f>+I64=T64</f>
        <v>1</v>
      </c>
    </row>
    <row r="65" spans="1:21" ht="13">
      <c r="A65" s="14">
        <v>54</v>
      </c>
      <c r="B65" s="1" t="s">
        <v>27</v>
      </c>
      <c r="C65"/>
      <c r="D65"/>
      <c r="E65"/>
      <c r="F65"/>
      <c r="G65"/>
      <c r="H65"/>
      <c r="I65" s="37">
        <v>-8308312</v>
      </c>
      <c r="J65" s="57" t="s">
        <v>73</v>
      </c>
      <c r="K65" s="60">
        <v>-721573.33999999997</v>
      </c>
      <c r="L65" s="60">
        <v>0</v>
      </c>
      <c r="M65" s="60">
        <v>0</v>
      </c>
      <c r="N65" s="60">
        <f>SUM(K65:M65)</f>
        <v>-721573.33999999997</v>
      </c>
      <c r="O65" s="60">
        <v>-6900363.3099999996</v>
      </c>
      <c r="P65" s="60">
        <v>0</v>
      </c>
      <c r="Q65" s="60">
        <f>SUM(O65:P65)</f>
        <v>-6900363.3099999996</v>
      </c>
      <c r="R65" s="60">
        <v>-379001.71000000002</v>
      </c>
      <c r="S65" s="39">
        <f>+I65-N65-Q65-R65</f>
        <v>-307373.64000000054</v>
      </c>
      <c r="T65" s="61">
        <f>+S65+R65+Q65+N65</f>
        <v>-8308312</v>
      </c>
      <c r="U65" s="1" t="b">
        <f>+I65=T65</f>
        <v>1</v>
      </c>
    </row>
    <row r="66" spans="1:9" ht="12.5">
      <c r="A66" s="14">
        <v>55</v>
      </c>
      <c r="D66" s="15"/>
      <c r="E66" s="15"/>
      <c r="F66" s="15"/>
      <c r="G66" s="15"/>
      <c r="H66" s="40"/>
      <c r="I66" s="54"/>
    </row>
    <row r="67" spans="1:21" ht="13" thickBot="1">
      <c r="A67" s="14">
        <v>56</v>
      </c>
      <c r="B67" s="1" t="s">
        <v>41</v>
      </c>
      <c r="D67" s="15"/>
      <c r="E67" s="15"/>
      <c r="F67" s="15"/>
      <c r="G67" s="15"/>
      <c r="H67" s="40"/>
      <c r="I67" s="55">
        <f>SUM(I62:I65)</f>
        <v>-73484424</v>
      </c>
      <c r="K67" s="55">
        <f>SUM(K62:K65)</f>
        <v>-48361434.050000004</v>
      </c>
      <c r="L67" s="55">
        <f>SUM(L62:L65)</f>
        <v>-8174427.4699999997</v>
      </c>
      <c r="M67" s="55">
        <f t="shared" si="17" ref="M67:T67">SUM(M62:M65)</f>
        <v>0</v>
      </c>
      <c r="N67" s="55">
        <f t="shared" si="17"/>
        <v>-56535861.520000003</v>
      </c>
      <c r="O67" s="55">
        <f t="shared" si="17"/>
        <v>-16695371.95999999</v>
      </c>
      <c r="P67" s="55">
        <f t="shared" si="17"/>
        <v>-668468.91000000003</v>
      </c>
      <c r="Q67" s="55">
        <f t="shared" si="17"/>
        <v>-17363840.869999986</v>
      </c>
      <c r="R67" s="55">
        <f t="shared" si="17"/>
        <v>273938.61000000028</v>
      </c>
      <c r="S67" s="55">
        <f t="shared" si="17"/>
        <v>141339.77999998356</v>
      </c>
      <c r="T67" s="55">
        <f t="shared" si="17"/>
        <v>-73484424</v>
      </c>
      <c r="U67" s="1" t="b">
        <f>+I67=T67</f>
        <v>1</v>
      </c>
    </row>
    <row r="68" spans="4:9" ht="13" thickTop="1">
      <c r="D68" s="15"/>
      <c r="E68" s="15"/>
      <c r="F68" s="15"/>
      <c r="G68" s="15"/>
      <c r="H68" s="40"/>
      <c r="I68" s="5"/>
    </row>
    <row r="69" spans="3:9" ht="12.5">
      <c r="C69" s="38">
        <v>0</v>
      </c>
      <c r="D69" s="15"/>
      <c r="E69" s="15"/>
      <c r="F69" s="15"/>
      <c r="G69" s="15"/>
      <c r="H69" s="40"/>
      <c r="I69" s="43"/>
    </row>
    <row r="70" spans="9:11" ht="12.5">
      <c r="I70" s="39"/>
      <c r="K70" s="39"/>
    </row>
    <row r="71" spans="9:9" ht="12.5">
      <c r="I71" s="39"/>
    </row>
    <row r="73" spans="3:9" ht="12.5">
      <c r="C73" s="38"/>
      <c r="I73" s="39"/>
    </row>
  </sheetData>
  <mergeCells count="4">
    <mergeCell ref="A5:I5"/>
    <mergeCell ref="A1:I1"/>
    <mergeCell ref="A3:I3"/>
    <mergeCell ref="A4:I4"/>
  </mergeCells>
  <printOptions horizontalCentered="1"/>
  <pageMargins left="1" right="0.5" top="1" bottom="1" header="0.5" footer="0.5"/>
  <pageSetup orientation="landscape" scale="42" r:id="rId1"/>
  <headerFooter alignWithMargins="0">
    <oddHeader>&amp;RWP/II-B-9/ITERATION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Lag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