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0" yWindow="0" windowWidth="26085" windowHeight="11070" activeTab="0"/>
  </bookViews>
  <sheets>
    <sheet name="WP II-B-5_09" sheetId="1" r:id="rId2"/>
  </sheets>
  <definedNames>
    <definedName name="_xlnm.Print_Area" localSheetId="0">'WP II-B-5_09'!$A$4:$S$396</definedName>
    <definedName name="_xlnm.Print_Titles" localSheetId="0">'WP II-B-5_09'!$A:$C,'WP II-B-5_09'!$1:$2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95" i="1" l="1"/>
</calcChain>
</file>

<file path=xl/sharedStrings.xml><?xml version="1.0" encoding="utf-8"?>
<sst xmlns="http://schemas.openxmlformats.org/spreadsheetml/2006/main" count="215" uniqueCount="48">
  <si>
    <t>DIST</t>
  </si>
  <si>
    <t>MET</t>
  </si>
  <si>
    <t>TDCS</t>
  </si>
  <si>
    <t>TRAN</t>
  </si>
  <si>
    <t>Grand Total</t>
  </si>
  <si>
    <t>394 Small</t>
  </si>
  <si>
    <t>394 Large</t>
  </si>
  <si>
    <t>392 Large Truck</t>
  </si>
  <si>
    <t>392 Small Truck</t>
  </si>
  <si>
    <t>392 Other</t>
  </si>
  <si>
    <t>390 GLH</t>
  </si>
  <si>
    <t>397 GTC</t>
  </si>
  <si>
    <t>ASL</t>
  </si>
  <si>
    <t>RL</t>
  </si>
  <si>
    <t>Theo Res</t>
  </si>
  <si>
    <t>Proration</t>
  </si>
  <si>
    <t>Alloc Res</t>
  </si>
  <si>
    <t>389 Total</t>
  </si>
  <si>
    <t>390 GLH Total</t>
  </si>
  <si>
    <t>390 Total</t>
  </si>
  <si>
    <t>391 Total</t>
  </si>
  <si>
    <t>393 Total</t>
  </si>
  <si>
    <t>395 Total</t>
  </si>
  <si>
    <t>396 Total</t>
  </si>
  <si>
    <t>397 Total</t>
  </si>
  <si>
    <t>397 GTC Total</t>
  </si>
  <si>
    <t>398 Total</t>
  </si>
  <si>
    <t>392 Large Truck Total</t>
  </si>
  <si>
    <t>392 Other Total</t>
  </si>
  <si>
    <t>392 Small Truck Total</t>
  </si>
  <si>
    <t>394 Large Total</t>
  </si>
  <si>
    <t>394 Small Total</t>
  </si>
  <si>
    <t xml:space="preserve"> </t>
  </si>
  <si>
    <t>Check</t>
  </si>
  <si>
    <t>391 Furniture</t>
  </si>
  <si>
    <t>Account</t>
  </si>
  <si>
    <t>Vintage</t>
  </si>
  <si>
    <t>Net Salvage</t>
  </si>
  <si>
    <t>Reserve Allocation</t>
  </si>
  <si>
    <t>Plant Allocation</t>
  </si>
  <si>
    <t>Reconcile 391</t>
  </si>
  <si>
    <t>391 Computer From WP/II-B-5/10</t>
  </si>
  <si>
    <t>NTU TRAN</t>
  </si>
  <si>
    <t>391 From WP/II-B-5/08</t>
  </si>
  <si>
    <t>Reconcile 397</t>
  </si>
  <si>
    <t>397 and 397 GTC</t>
  </si>
  <si>
    <t>397 From WP/II-B-5/11</t>
  </si>
  <si>
    <t>397 From WP/II-B-5/08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</si>
</sst>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theme="4" tint="0.39998"/>
      </bottom>
    </border>
    <border>
      <left/>
      <right/>
      <top style="thin">
        <color auto="1"/>
      </top>
      <bottom style="double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/>
    <xf numFmtId="43" fontId="2" fillId="0" borderId="0" xfId="18" applyFont="1" applyFill="1"/>
    <xf numFmtId="0" fontId="2" fillId="0" borderId="0" xfId="0" applyFont="1" applyFill="1"/>
    <xf numFmtId="43" fontId="2" fillId="0" borderId="0" xfId="0" applyNumberFormat="1" applyFont="1" applyFill="1"/>
    <xf numFmtId="0" fontId="3" fillId="0" borderId="0" xfId="0" applyFont="1" applyFill="1"/>
    <xf numFmtId="43" fontId="2" fillId="0" borderId="1" xfId="18" applyFont="1" applyFill="1" applyBorder="1"/>
    <xf numFmtId="43" fontId="3" fillId="0" borderId="0" xfId="18" applyFont="1" applyFill="1"/>
    <xf numFmtId="39" fontId="3" fillId="0" borderId="0" xfId="0" applyNumberFormat="1" applyFont="1" applyFill="1"/>
    <xf numFmtId="39" fontId="2" fillId="0" borderId="0" xfId="0" applyNumberFormat="1" applyFont="1" applyFill="1"/>
    <xf numFmtId="39" fontId="2" fillId="0" borderId="0" xfId="18" applyNumberFormat="1" applyFont="1" applyFill="1"/>
    <xf numFmtId="10" fontId="2" fillId="0" borderId="0" xfId="0" applyNumberFormat="1" applyFont="1" applyFill="1"/>
    <xf numFmtId="10" fontId="3" fillId="0" borderId="0" xfId="0" applyNumberFormat="1" applyFont="1" applyFill="1"/>
    <xf numFmtId="43" fontId="3" fillId="0" borderId="0" xfId="18" applyFont="1" applyFill="1" applyAlignment="1">
      <alignment horizontal="center"/>
    </xf>
    <xf numFmtId="43" fontId="3" fillId="0" borderId="0" xfId="18" applyFont="1" applyFill="1" applyAlignment="1">
      <alignment horizontal="right"/>
    </xf>
    <xf numFmtId="44" fontId="3" fillId="0" borderId="0" xfId="16" applyFont="1" applyAlignment="1">
      <alignment horizontal="center" wrapText="1"/>
    </xf>
    <xf numFmtId="43" fontId="2" fillId="0" borderId="2" xfId="18" applyFont="1" applyFill="1" applyBorder="1"/>
    <xf numFmtId="43" fontId="3" fillId="0" borderId="3" xfId="18" applyFont="1" applyFill="1" applyBorder="1" applyAlignment="1">
      <alignment horizontal="center"/>
    </xf>
    <xf numFmtId="43" fontId="3" fillId="0" borderId="4" xfId="18" applyFont="1" applyFill="1" applyBorder="1" applyAlignment="1">
      <alignment horizontal="center"/>
    </xf>
    <xf numFmtId="43" fontId="3" fillId="0" borderId="5" xfId="18" applyFont="1" applyFill="1" applyBorder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S396"/>
  <sheetViews>
    <sheetView tabSelected="1" workbookViewId="0" topLeftCell="A1">
      <pane xSplit="2" ySplit="2" topLeftCell="K371" activePane="bottomRight" state="frozen"/>
      <selection pane="topLeft" activeCell="A1" sqref="A1"/>
      <selection pane="bottomLeft" activeCell="A3" sqref="A3"/>
      <selection pane="topRight" activeCell="C1" sqref="C1"/>
      <selection pane="bottomRight" activeCell="S397" sqref="S397"/>
    </sheetView>
  </sheetViews>
  <sheetFormatPr defaultColWidth="9.14428571428571" defaultRowHeight="15" outlineLevelRow="2"/>
  <cols>
    <col min="1" max="1" width="25.2857142857143" style="2" bestFit="1" customWidth="1"/>
    <col min="2" max="2" width="17.8571428571429" style="2" bestFit="1" customWidth="1"/>
    <col min="3" max="3" width="9.42857142857143" style="2" bestFit="1" customWidth="1"/>
    <col min="4" max="4" width="18.8571428571429" style="1" customWidth="1"/>
    <col min="5" max="5" width="18.4285714285714" style="1" bestFit="1" customWidth="1"/>
    <col min="6" max="6" width="18.8571428571429" style="1" customWidth="1"/>
    <col min="7" max="7" width="17.5714285714286" style="1" customWidth="1"/>
    <col min="8" max="8" width="18.8571428571429" style="1" customWidth="1"/>
    <col min="9" max="9" width="8.42857142857143" style="2" customWidth="1"/>
    <col min="10" max="10" width="15.1428571428571" style="8" bestFit="1" customWidth="1"/>
    <col min="11" max="11" width="19.5714285714286" style="10" customWidth="1"/>
    <col min="12" max="12" width="18.8571428571429" style="1" customWidth="1"/>
    <col min="13" max="13" width="12.8571428571429" style="1" customWidth="1"/>
    <col min="14" max="14" width="18.8571428571429" style="1" customWidth="1"/>
    <col min="15" max="16" width="18.8571428571429" style="1" bestFit="1" customWidth="1"/>
    <col min="17" max="18" width="17.1428571428571" style="1" bestFit="1" customWidth="1"/>
    <col min="19" max="19" width="14" style="2" bestFit="1" customWidth="1"/>
    <col min="20" max="16384" width="9.14285714285714" style="2"/>
  </cols>
  <sheetData>
    <row r="1" spans="5:18" ht="15.6">
      <c r="E1" s="16" t="s">
        <v>39</v>
      </c>
      <c r="F1" s="17"/>
      <c r="G1" s="17"/>
      <c r="H1" s="18"/>
      <c r="O1" s="16" t="s">
        <v>38</v>
      </c>
      <c r="P1" s="17"/>
      <c r="Q1" s="17"/>
      <c r="R1" s="18"/>
    </row>
    <row r="2" spans="2:19" s="4" customFormat="1" ht="15.6">
      <c r="B2" s="4" t="s">
        <v>35</v>
      </c>
      <c r="C2" s="4" t="s">
        <v>36</v>
      </c>
      <c r="D2" s="6" t="s">
        <v>4</v>
      </c>
      <c r="E2" s="6" t="s">
        <v>0</v>
      </c>
      <c r="F2" s="6" t="s">
        <v>1</v>
      </c>
      <c r="G2" s="6" t="s">
        <v>2</v>
      </c>
      <c r="H2" s="6" t="s">
        <v>3</v>
      </c>
      <c r="I2" s="4" t="s">
        <v>12</v>
      </c>
      <c r="J2" s="7" t="s">
        <v>13</v>
      </c>
      <c r="K2" s="11" t="s">
        <v>37</v>
      </c>
      <c r="L2" s="6" t="s">
        <v>14</v>
      </c>
      <c r="M2" s="6" t="s">
        <v>15</v>
      </c>
      <c r="N2" s="6" t="s">
        <v>16</v>
      </c>
      <c r="O2" s="6" t="s">
        <v>0</v>
      </c>
      <c r="P2" s="6" t="s">
        <v>1</v>
      </c>
      <c r="Q2" s="6" t="s">
        <v>2</v>
      </c>
      <c r="R2" s="6" t="s">
        <v>3</v>
      </c>
      <c r="S2" s="6" t="s">
        <v>33</v>
      </c>
    </row>
    <row r="3" ht="15.6" outlineLevel="1"/>
    <row r="4" spans="2:19" ht="15.6" outlineLevel="2">
      <c r="B4" s="2">
        <v>389</v>
      </c>
      <c r="C4" s="2">
        <v>2011</v>
      </c>
      <c r="D4" s="1">
        <v>18900</v>
      </c>
      <c r="E4" s="1">
        <v>10428.450000000001</v>
      </c>
      <c r="F4" s="1">
        <v>399.16999999999825</v>
      </c>
      <c r="H4" s="1">
        <v>8072.3800000000001</v>
      </c>
      <c r="I4" s="2">
        <v>65</v>
      </c>
      <c r="J4" s="8">
        <v>55.701877000000003</v>
      </c>
      <c r="K4" s="10">
        <v>0</v>
      </c>
      <c r="L4" s="1">
        <f>+D4*(1-K4)*(1-J4/I4)</f>
        <v>2703.6080723076921</v>
      </c>
      <c r="M4" s="1">
        <f t="shared" si="0" ref="M4:M14">$M$15</f>
        <v>0.44742825701206446</v>
      </c>
      <c r="N4" s="1">
        <f>IF((D4*(1-K4)-L4*M4)&lt;0,D4*(1-K4),L4*M4)</f>
        <v>1209.6706474363782</v>
      </c>
      <c r="O4" s="1">
        <f>+E4/$D4*$N4</f>
        <v>667.45978112475655</v>
      </c>
      <c r="P4" s="1">
        <f t="shared" si="1" ref="P4:R4">+F4/$D4*$N4</f>
        <v>25.548372081332115</v>
      </c>
      <c r="Q4" s="1">
        <f t="shared" si="1"/>
        <v>0</v>
      </c>
      <c r="R4" s="1">
        <f t="shared" si="1"/>
        <v>516.66249423028944</v>
      </c>
      <c r="S4" s="3">
        <f>+N4-O4-P4-Q4-R4</f>
        <v>0</v>
      </c>
    </row>
    <row r="5" spans="2:19" ht="15.6" outlineLevel="2">
      <c r="B5" s="2">
        <v>389</v>
      </c>
      <c r="C5" s="2">
        <v>1991</v>
      </c>
      <c r="D5" s="1">
        <v>98175.139999999999</v>
      </c>
      <c r="E5" s="1">
        <v>54170.100000000006</v>
      </c>
      <c r="F5" s="1">
        <v>2073.4499999999975</v>
      </c>
      <c r="H5" s="1">
        <v>41931.589999999997</v>
      </c>
      <c r="I5" s="2">
        <v>65</v>
      </c>
      <c r="J5" s="8">
        <v>39.487336999999997</v>
      </c>
      <c r="K5" s="10">
        <v>0</v>
      </c>
      <c r="L5" s="1">
        <f t="shared" si="2" ref="L5:L61">+D5*(1-K5)*(1-J5/I5)</f>
        <v>38533.988643043391</v>
      </c>
      <c r="M5" s="1">
        <f t="shared" si="0"/>
        <v>0.44742825701206446</v>
      </c>
      <c r="N5" s="1">
        <f t="shared" si="3" ref="N5:N70">IF((D5*(1-K5)-L5*M5)&lt;0,D5*(1-K5),L5*M5)</f>
        <v>17241.195374279592</v>
      </c>
      <c r="O5" s="1">
        <f t="shared" si="4" ref="O5:O68">+E5/$D5*$N5</f>
        <v>9513.1748989027474</v>
      </c>
      <c r="P5" s="1">
        <f t="shared" si="5" ref="P5:P68">+F5/$D5*$N5</f>
        <v>364.13247334101055</v>
      </c>
      <c r="Q5" s="1">
        <f t="shared" si="6" ref="Q5:Q68">+G5/$D5*$N5</f>
        <v>0</v>
      </c>
      <c r="R5" s="1">
        <f t="shared" si="7" ref="R5:R68">+H5/$D5*$N5</f>
        <v>7363.8880020358347</v>
      </c>
      <c r="S5" s="3">
        <f t="shared" si="8" ref="S5:S68">+N5-O5-P5-Q5-R5</f>
        <v>0</v>
      </c>
    </row>
    <row r="6" spans="2:19" ht="15.6" outlineLevel="2">
      <c r="B6" s="2">
        <v>389</v>
      </c>
      <c r="C6" s="2">
        <v>1990</v>
      </c>
      <c r="D6" s="1">
        <v>8840.3600000000006</v>
      </c>
      <c r="E6" s="1">
        <v>4877.8500000000004</v>
      </c>
      <c r="F6" s="1">
        <v>186.70000000000073</v>
      </c>
      <c r="H6" s="1">
        <v>3775.8099999999999</v>
      </c>
      <c r="I6" s="2">
        <v>65</v>
      </c>
      <c r="J6" s="8">
        <v>38.737862999999997</v>
      </c>
      <c r="K6" s="10">
        <v>0</v>
      </c>
      <c r="L6" s="1">
        <f t="shared" si="2"/>
        <v>3571.796083835693</v>
      </c>
      <c r="M6" s="1">
        <f t="shared" si="0"/>
        <v>0.44742825701206446</v>
      </c>
      <c r="N6" s="1">
        <f t="shared" si="3"/>
        <v>1598.1224961931218</v>
      </c>
      <c r="O6" s="1">
        <f t="shared" si="4"/>
        <v>881.79687456796091</v>
      </c>
      <c r="P6" s="1">
        <f t="shared" si="5"/>
        <v>33.750828025019004</v>
      </c>
      <c r="Q6" s="1">
        <f t="shared" si="6"/>
        <v>0</v>
      </c>
      <c r="R6" s="1">
        <f t="shared" si="7"/>
        <v>682.57479360014202</v>
      </c>
      <c r="S6" s="3">
        <f t="shared" si="8"/>
        <v>0</v>
      </c>
    </row>
    <row r="7" spans="2:19" ht="15.6" outlineLevel="2">
      <c r="B7" s="2">
        <v>389</v>
      </c>
      <c r="C7" s="2">
        <v>1989</v>
      </c>
      <c r="D7" s="1">
        <v>7947</v>
      </c>
      <c r="E7" s="1">
        <v>4384.9200000000001</v>
      </c>
      <c r="F7" s="1">
        <v>167.84000000000015</v>
      </c>
      <c r="H7" s="1">
        <v>3394.2399999999998</v>
      </c>
      <c r="I7" s="2">
        <v>65</v>
      </c>
      <c r="J7" s="8">
        <v>37.993963000000001</v>
      </c>
      <c r="K7" s="10">
        <v>0</v>
      </c>
      <c r="L7" s="1">
        <f t="shared" si="2"/>
        <v>3301.7996313692306</v>
      </c>
      <c r="M7" s="1">
        <f t="shared" si="0"/>
        <v>0.44742825701206446</v>
      </c>
      <c r="N7" s="1">
        <f t="shared" si="3"/>
        <v>1477.3184540666118</v>
      </c>
      <c r="O7" s="1">
        <f t="shared" si="4"/>
        <v>815.14071166550502</v>
      </c>
      <c r="P7" s="1">
        <f t="shared" si="5"/>
        <v>31.200846776209932</v>
      </c>
      <c r="Q7" s="1">
        <f t="shared" si="6"/>
        <v>0</v>
      </c>
      <c r="R7" s="1">
        <f t="shared" si="7"/>
        <v>630.976895624897</v>
      </c>
      <c r="S7" s="3">
        <f t="shared" si="8"/>
        <v>0</v>
      </c>
    </row>
    <row r="8" spans="2:19" ht="15.6" outlineLevel="2">
      <c r="B8" s="2">
        <v>389</v>
      </c>
      <c r="C8" s="2">
        <v>1980</v>
      </c>
      <c r="D8" s="1">
        <v>4190.1999999999998</v>
      </c>
      <c r="E8" s="1">
        <v>2312.0300000000002</v>
      </c>
      <c r="F8" s="1">
        <v>88.489999999999327</v>
      </c>
      <c r="H8" s="1">
        <v>1789.6800000000001</v>
      </c>
      <c r="I8" s="2">
        <v>65</v>
      </c>
      <c r="J8" s="8">
        <v>31.610620999999998</v>
      </c>
      <c r="K8" s="10">
        <v>0</v>
      </c>
      <c r="L8" s="1">
        <f t="shared" si="2"/>
        <v>2152.433475166154</v>
      </c>
      <c r="M8" s="1">
        <f t="shared" si="0"/>
        <v>0.44742825701206446</v>
      </c>
      <c r="N8" s="1">
        <f t="shared" si="3"/>
        <v>963.05955812801301</v>
      </c>
      <c r="O8" s="1">
        <f t="shared" si="4"/>
        <v>531.3881414201494</v>
      </c>
      <c r="P8" s="1">
        <f t="shared" si="5"/>
        <v>20.338203498340704</v>
      </c>
      <c r="Q8" s="1">
        <f t="shared" si="6"/>
        <v>0</v>
      </c>
      <c r="R8" s="1">
        <f t="shared" si="7"/>
        <v>411.33321320952285</v>
      </c>
      <c r="S8" s="3">
        <f t="shared" si="8"/>
        <v>0</v>
      </c>
    </row>
    <row r="9" spans="2:19" ht="15.6" outlineLevel="2">
      <c r="B9" s="2">
        <v>389</v>
      </c>
      <c r="C9" s="2">
        <v>1973</v>
      </c>
      <c r="D9" s="1">
        <v>1831.6400000000001</v>
      </c>
      <c r="E9" s="1">
        <v>1010.64</v>
      </c>
      <c r="F9" s="1">
        <v>38.690000000000168</v>
      </c>
      <c r="H9" s="1">
        <v>782.30999999999995</v>
      </c>
      <c r="I9" s="2">
        <v>65</v>
      </c>
      <c r="J9" s="8">
        <v>27.061015999999999</v>
      </c>
      <c r="K9" s="10">
        <v>0</v>
      </c>
      <c r="L9" s="1">
        <f t="shared" si="2"/>
        <v>1069.0855485193849</v>
      </c>
      <c r="M9" s="1">
        <f t="shared" si="0"/>
        <v>0.44742825701206446</v>
      </c>
      <c r="N9" s="1">
        <f t="shared" si="3"/>
        <v>478.33908357081526</v>
      </c>
      <c r="O9" s="1">
        <f t="shared" si="4"/>
        <v>263.93211079688626</v>
      </c>
      <c r="P9" s="1">
        <f t="shared" si="5"/>
        <v>10.104026524510777</v>
      </c>
      <c r="Q9" s="1">
        <f t="shared" si="6"/>
        <v>0</v>
      </c>
      <c r="R9" s="1">
        <f t="shared" si="7"/>
        <v>204.30294624941826</v>
      </c>
      <c r="S9" s="3">
        <f t="shared" si="8"/>
        <v>0</v>
      </c>
    </row>
    <row r="10" spans="2:19" ht="15.6" outlineLevel="2">
      <c r="B10" s="2">
        <v>389</v>
      </c>
      <c r="C10" s="2">
        <v>1968</v>
      </c>
      <c r="D10" s="1">
        <v>416.10000000000002</v>
      </c>
      <c r="E10" s="1">
        <v>95.700000000000003</v>
      </c>
      <c r="F10" s="1">
        <v>307.91000000000003</v>
      </c>
      <c r="G10" s="1">
        <v>12.490000000000009</v>
      </c>
      <c r="I10" s="2">
        <v>65</v>
      </c>
      <c r="J10" s="8">
        <v>24.055917999999998</v>
      </c>
      <c r="K10" s="10">
        <v>0</v>
      </c>
      <c r="L10" s="1">
        <f t="shared" si="2"/>
        <v>262.10511569538465</v>
      </c>
      <c r="M10" s="1">
        <f t="shared" si="0"/>
        <v>0.44742825701206446</v>
      </c>
      <c r="N10" s="1">
        <f t="shared" si="3"/>
        <v>117.27323506953145</v>
      </c>
      <c r="O10" s="1">
        <f t="shared" si="4"/>
        <v>26.971998548796346</v>
      </c>
      <c r="P10" s="1">
        <f t="shared" si="5"/>
        <v>86.781066595192087</v>
      </c>
      <c r="Q10" s="1">
        <f t="shared" si="6"/>
        <v>3.5201699255430157</v>
      </c>
      <c r="R10" s="1">
        <f t="shared" si="7"/>
        <v>0</v>
      </c>
      <c r="S10" s="3">
        <f t="shared" si="8"/>
        <v>0</v>
      </c>
    </row>
    <row r="11" spans="2:19" ht="15.6" outlineLevel="2">
      <c r="B11" s="2">
        <v>389</v>
      </c>
      <c r="C11" s="2">
        <v>1965</v>
      </c>
      <c r="D11" s="1">
        <v>546.70000000000005</v>
      </c>
      <c r="E11" s="1">
        <v>502.95999999999998</v>
      </c>
      <c r="F11" s="1">
        <v>43.740000000000066</v>
      </c>
      <c r="I11" s="2">
        <v>65</v>
      </c>
      <c r="J11" s="8">
        <v>22.356376000000001</v>
      </c>
      <c r="K11" s="10">
        <v>0</v>
      </c>
      <c r="L11" s="1">
        <f t="shared" si="2"/>
        <v>358.66568062769232</v>
      </c>
      <c r="M11" s="1">
        <f t="shared" si="0"/>
        <v>0.44742825701206446</v>
      </c>
      <c r="N11" s="1">
        <f t="shared" si="3"/>
        <v>160.47716033329414</v>
      </c>
      <c r="O11" s="1">
        <f t="shared" si="4"/>
        <v>147.6378133551008</v>
      </c>
      <c r="P11" s="1">
        <f t="shared" si="5"/>
        <v>12.839346978193335</v>
      </c>
      <c r="Q11" s="1">
        <f t="shared" si="6"/>
        <v>0</v>
      </c>
      <c r="R11" s="1">
        <f t="shared" si="7"/>
        <v>0</v>
      </c>
      <c r="S11" s="3">
        <f t="shared" si="8"/>
        <v>-1.7763568394002505E-15</v>
      </c>
    </row>
    <row r="12" spans="2:19" ht="15.6" outlineLevel="2">
      <c r="B12" s="2">
        <v>389</v>
      </c>
      <c r="C12" s="2">
        <v>1958</v>
      </c>
      <c r="D12" s="1">
        <v>865.94000000000005</v>
      </c>
      <c r="E12" s="1">
        <v>477.79999999999995</v>
      </c>
      <c r="F12" s="1">
        <v>18.290000000000006</v>
      </c>
      <c r="H12" s="1">
        <v>369.85000000000002</v>
      </c>
      <c r="I12" s="2">
        <v>65</v>
      </c>
      <c r="J12" s="8">
        <v>18.707165</v>
      </c>
      <c r="K12" s="10">
        <v>0</v>
      </c>
      <c r="L12" s="1">
        <f t="shared" si="2"/>
        <v>616.72026984461536</v>
      </c>
      <c r="M12" s="1">
        <f t="shared" si="0"/>
        <v>0.44742825701206446</v>
      </c>
      <c r="N12" s="1">
        <f t="shared" si="3"/>
        <v>275.93807540058629</v>
      </c>
      <c r="O12" s="1">
        <f t="shared" si="4"/>
        <v>152.25444306349181</v>
      </c>
      <c r="P12" s="1">
        <f t="shared" si="5"/>
        <v>5.8282414475329984</v>
      </c>
      <c r="Q12" s="1">
        <f t="shared" si="6"/>
        <v>0</v>
      </c>
      <c r="R12" s="1">
        <f t="shared" si="7"/>
        <v>117.85539088956145</v>
      </c>
      <c r="S12" s="3">
        <f t="shared" si="8"/>
        <v>0</v>
      </c>
    </row>
    <row r="13" spans="2:19" ht="15.6" outlineLevel="2">
      <c r="B13" s="2">
        <v>389</v>
      </c>
      <c r="C13" s="2">
        <v>1950</v>
      </c>
      <c r="D13" s="1">
        <v>684.05999999999995</v>
      </c>
      <c r="E13" s="1">
        <v>377.44</v>
      </c>
      <c r="F13" s="1">
        <v>14.449999999999932</v>
      </c>
      <c r="H13" s="1">
        <v>292.17000000000002</v>
      </c>
      <c r="I13" s="2">
        <v>65</v>
      </c>
      <c r="J13" s="8">
        <v>15.083752000000001</v>
      </c>
      <c r="K13" s="10">
        <v>0</v>
      </c>
      <c r="L13" s="1">
        <f t="shared" si="2"/>
        <v>525.31859395200001</v>
      </c>
      <c r="M13" s="1">
        <f t="shared" si="0"/>
        <v>0.44742825701206446</v>
      </c>
      <c r="N13" s="1">
        <f t="shared" si="3"/>
        <v>235.04238286797178</v>
      </c>
      <c r="O13" s="1">
        <f t="shared" si="4"/>
        <v>129.68803466024511</v>
      </c>
      <c r="P13" s="1">
        <f t="shared" si="5"/>
        <v>4.9650066257962404</v>
      </c>
      <c r="Q13" s="1">
        <f t="shared" si="6"/>
        <v>0</v>
      </c>
      <c r="R13" s="1">
        <f t="shared" si="7"/>
        <v>100.38934158193042</v>
      </c>
      <c r="S13" s="3">
        <f t="shared" si="8"/>
        <v>0</v>
      </c>
    </row>
    <row r="14" spans="2:19" ht="15.6" outlineLevel="2">
      <c r="B14" s="2">
        <v>389</v>
      </c>
      <c r="C14" s="2">
        <v>1948</v>
      </c>
      <c r="D14" s="1">
        <v>201.06</v>
      </c>
      <c r="E14" s="1">
        <v>110.94</v>
      </c>
      <c r="F14" s="1">
        <v>4.25</v>
      </c>
      <c r="H14" s="1">
        <v>85.870000000000005</v>
      </c>
      <c r="I14" s="2">
        <v>65</v>
      </c>
      <c r="J14" s="8">
        <v>14.266757</v>
      </c>
      <c r="K14" s="10">
        <v>0</v>
      </c>
      <c r="L14" s="1">
        <f t="shared" si="2"/>
        <v>156.92962827046154</v>
      </c>
      <c r="M14" s="1">
        <f t="shared" si="0"/>
        <v>0.44742825701206446</v>
      </c>
      <c r="N14" s="1">
        <f t="shared" si="3"/>
        <v>70.214750050603797</v>
      </c>
      <c r="O14" s="1">
        <f t="shared" si="4"/>
        <v>38.742785092081888</v>
      </c>
      <c r="P14" s="1">
        <f t="shared" si="5"/>
        <v>1.4841971934500453</v>
      </c>
      <c r="Q14" s="1">
        <f t="shared" si="6"/>
        <v>0</v>
      </c>
      <c r="R14" s="1">
        <f t="shared" si="7"/>
        <v>29.987767765071862</v>
      </c>
      <c r="S14" s="3">
        <f t="shared" si="8"/>
        <v>0</v>
      </c>
    </row>
    <row r="15" spans="1:19" ht="15.6" outlineLevel="1">
      <c r="A15" s="4" t="s">
        <v>17</v>
      </c>
      <c r="B15" s="2" t="s">
        <v>32</v>
      </c>
      <c r="D15" s="1">
        <f>SUBTOTAL(9,D4:D14)</f>
        <v>142598.20000000004</v>
      </c>
      <c r="E15" s="1">
        <f>SUBTOTAL(9,E4:E14)</f>
        <v>78748.830000000016</v>
      </c>
      <c r="F15" s="1">
        <f>SUBTOTAL(9,F4:F14)</f>
        <v>3342.9799999999959</v>
      </c>
      <c r="G15" s="1">
        <f>SUBTOTAL(9,G4:G14)</f>
        <v>12.490000000000009</v>
      </c>
      <c r="H15" s="1">
        <f>SUBTOTAL(9,H4:H14)</f>
        <v>60493.899999999987</v>
      </c>
      <c r="I15" s="3">
        <f>+N15-K15</f>
        <v>0</v>
      </c>
      <c r="J15" s="8">
        <v>27238.829831773095</v>
      </c>
      <c r="K15" s="10">
        <v>23826.651217396517</v>
      </c>
      <c r="L15" s="1">
        <f>SUBTOTAL(9,L4:L14)</f>
        <v>53252.450742631692</v>
      </c>
      <c r="M15" s="1">
        <v>0.44742825701206446</v>
      </c>
      <c r="N15" s="1">
        <f>SUBTOTAL(9,N4:N14)</f>
        <v>23826.651217396524</v>
      </c>
      <c r="O15" s="1">
        <f t="shared" si="4"/>
        <v>13158.096709411842</v>
      </c>
      <c r="P15" s="1">
        <f t="shared" si="5"/>
        <v>558.57660536200399</v>
      </c>
      <c r="Q15" s="1">
        <f t="shared" si="6"/>
        <v>2.0869469159167697</v>
      </c>
      <c r="R15" s="1">
        <f t="shared" si="7"/>
        <v>10107.890955706755</v>
      </c>
      <c r="S15" s="3">
        <f t="shared" si="8"/>
        <v>0</v>
      </c>
    </row>
    <row r="16" spans="2:19" ht="15.6" outlineLevel="2">
      <c r="B16" s="2" t="s">
        <v>10</v>
      </c>
      <c r="C16" s="2">
        <v>2021</v>
      </c>
      <c r="D16" s="1">
        <f>SUM(E16:H16)</f>
        <v>16913.540000000205</v>
      </c>
      <c r="E16" s="1">
        <v>6748.4900000001071</v>
      </c>
      <c r="F16" s="1">
        <v>135.30999999999949</v>
      </c>
      <c r="G16" s="1">
        <v>304.45000000009532</v>
      </c>
      <c r="H16" s="1">
        <v>9725.2900000000009</v>
      </c>
      <c r="I16" s="2">
        <v>14</v>
      </c>
      <c r="J16" s="9">
        <v>13</v>
      </c>
      <c r="L16" s="1">
        <f t="shared" si="2"/>
        <v>1208.110000000014</v>
      </c>
      <c r="M16" s="1">
        <f t="shared" si="9" ref="M16:M17">$M$18</f>
        <v>1.0035004755028634</v>
      </c>
      <c r="N16" s="1">
        <f t="shared" si="3"/>
        <v>1212.3389594597784</v>
      </c>
      <c r="O16" s="1">
        <f t="shared" si="4"/>
        <v>483.72235170903019</v>
      </c>
      <c r="P16" s="1">
        <f t="shared" si="5"/>
        <v>9.6988320957351348</v>
      </c>
      <c r="Q16" s="1">
        <f t="shared" si="6"/>
        <v>21.822551411924447</v>
      </c>
      <c r="R16" s="1">
        <f t="shared" si="7"/>
        <v>697.09522424308841</v>
      </c>
      <c r="S16" s="3">
        <f t="shared" si="8"/>
        <v>0</v>
      </c>
    </row>
    <row r="17" spans="2:19" ht="15.6" outlineLevel="2">
      <c r="B17" s="2" t="s">
        <v>10</v>
      </c>
      <c r="C17" s="2">
        <v>2020</v>
      </c>
      <c r="D17" s="1">
        <f>SUM(E17:H17)</f>
        <v>6571491.6699999999</v>
      </c>
      <c r="E17" s="1">
        <v>2033160.4000000004</v>
      </c>
      <c r="F17" s="1">
        <v>40765.119999999995</v>
      </c>
      <c r="G17" s="1">
        <v>91721.520000000601</v>
      </c>
      <c r="H17" s="1">
        <v>4405844.629999999</v>
      </c>
      <c r="I17" s="1">
        <v>15</v>
      </c>
      <c r="J17" s="9">
        <v>14</v>
      </c>
      <c r="L17" s="1">
        <f t="shared" si="2"/>
        <v>438099.44466666656</v>
      </c>
      <c r="M17" s="1">
        <f t="shared" si="9"/>
        <v>1.0035004755028634</v>
      </c>
      <c r="N17" s="1">
        <f t="shared" si="3"/>
        <v>439633.00104054029</v>
      </c>
      <c r="O17" s="1">
        <f t="shared" si="4"/>
        <v>136018.49521157279</v>
      </c>
      <c r="P17" s="1">
        <f t="shared" si="5"/>
        <v>2727.1878202620846</v>
      </c>
      <c r="Q17" s="1">
        <f t="shared" si="6"/>
        <v>6136.1725955897318</v>
      </c>
      <c r="R17" s="1">
        <f t="shared" si="7"/>
        <v>294751.14541311568</v>
      </c>
      <c r="S17" s="3">
        <f t="shared" si="8"/>
        <v>0</v>
      </c>
    </row>
    <row r="18" spans="1:19" ht="15.6" outlineLevel="1">
      <c r="A18" s="4" t="s">
        <v>18</v>
      </c>
      <c r="D18" s="1">
        <f>SUBTOTAL(9,D16:D17)</f>
        <v>6588405.21</v>
      </c>
      <c r="E18" s="1">
        <f>SUBTOTAL(9,E16:E17)</f>
        <v>2039908.8900000006</v>
      </c>
      <c r="F18" s="1">
        <f>SUBTOTAL(9,F16:F17)</f>
        <v>40900.429999999993</v>
      </c>
      <c r="G18" s="1">
        <f>SUBTOTAL(9,G16:G17)</f>
        <v>92025.9700000007</v>
      </c>
      <c r="H18" s="1">
        <f>SUBTOTAL(9,H16:H17)</f>
        <v>4415569.919999999</v>
      </c>
      <c r="J18" s="8">
        <f>+N18-K18</f>
        <v>0</v>
      </c>
      <c r="K18" s="10">
        <v>440845.34000000003</v>
      </c>
      <c r="L18" s="1">
        <f>SUBTOTAL(9,L16:L17)</f>
        <v>439307.55466666655</v>
      </c>
      <c r="M18" s="1">
        <v>1.0035004755028634</v>
      </c>
      <c r="N18" s="1">
        <f>SUBTOTAL(9,N16:N17)</f>
        <v>440845.34000000008</v>
      </c>
      <c r="O18" s="1">
        <f t="shared" si="4"/>
        <v>136494.99378333971</v>
      </c>
      <c r="P18" s="1">
        <f t="shared" si="5"/>
        <v>2736.7418054567715</v>
      </c>
      <c r="Q18" s="1">
        <f t="shared" si="6"/>
        <v>6157.6692295585317</v>
      </c>
      <c r="R18" s="1">
        <f t="shared" si="7"/>
        <v>295455.93518164509</v>
      </c>
      <c r="S18" s="3">
        <f t="shared" si="8"/>
        <v>0</v>
      </c>
    </row>
    <row r="19" spans="2:19" ht="15.6" outlineLevel="2">
      <c r="B19" s="2">
        <v>390</v>
      </c>
      <c r="C19" s="2">
        <v>2021</v>
      </c>
      <c r="D19" s="1">
        <v>32270301.249999996</v>
      </c>
      <c r="E19" s="1">
        <v>20785357.119999994</v>
      </c>
      <c r="F19" s="1">
        <v>4185991.0599999996</v>
      </c>
      <c r="G19" s="1">
        <v>2091666.9700000009</v>
      </c>
      <c r="H19" s="1">
        <v>5207286.1000000006</v>
      </c>
      <c r="I19" s="2">
        <v>60</v>
      </c>
      <c r="J19" s="8">
        <v>59.628779999999999</v>
      </c>
      <c r="K19" s="10">
        <v>-0.050000000000000003</v>
      </c>
      <c r="L19" s="1">
        <f t="shared" si="2"/>
        <v>209639.17152543931</v>
      </c>
      <c r="M19" s="1">
        <f t="shared" si="10" ref="M19:M50">$M$104</f>
        <v>0.44564481185903426</v>
      </c>
      <c r="N19" s="1">
        <f t="shared" si="3"/>
        <v>93424.609152738209</v>
      </c>
      <c r="O19" s="1">
        <f t="shared" si="4"/>
        <v>60174.953124618994</v>
      </c>
      <c r="P19" s="1">
        <f t="shared" si="5"/>
        <v>12118.714841478472</v>
      </c>
      <c r="Q19" s="1">
        <f t="shared" si="6"/>
        <v>6055.5111536165869</v>
      </c>
      <c r="R19" s="1">
        <f t="shared" si="7"/>
        <v>15075.430033024144</v>
      </c>
      <c r="S19" s="3">
        <f t="shared" si="8"/>
        <v>0</v>
      </c>
    </row>
    <row r="20" spans="2:19" ht="15.6" outlineLevel="2">
      <c r="B20" s="2">
        <v>390</v>
      </c>
      <c r="C20" s="2">
        <v>2020</v>
      </c>
      <c r="D20" s="1">
        <v>16094852.479999999</v>
      </c>
      <c r="E20" s="1">
        <v>6144880.3300000001</v>
      </c>
      <c r="F20" s="1">
        <v>1463820.5</v>
      </c>
      <c r="G20" s="1">
        <v>937705.74999999988</v>
      </c>
      <c r="H20" s="1">
        <v>7548445.9000000004</v>
      </c>
      <c r="I20" s="2">
        <v>60</v>
      </c>
      <c r="J20" s="8">
        <v>58.889114999999997</v>
      </c>
      <c r="K20" s="10">
        <v>-0.050000000000000003</v>
      </c>
      <c r="L20" s="1">
        <f t="shared" si="2"/>
        <v>312891.7784517844</v>
      </c>
      <c r="M20" s="1">
        <f t="shared" si="10"/>
        <v>0.44564481185903426</v>
      </c>
      <c r="N20" s="1">
        <f t="shared" si="3"/>
        <v>139438.59774038408</v>
      </c>
      <c r="O20" s="1">
        <f t="shared" si="4"/>
        <v>53236.492696183363</v>
      </c>
      <c r="P20" s="1">
        <f t="shared" si="5"/>
        <v>12681.885597725461</v>
      </c>
      <c r="Q20" s="1">
        <f t="shared" si="6"/>
        <v>8123.8628956414741</v>
      </c>
      <c r="R20" s="1">
        <f t="shared" si="7"/>
        <v>65396.3565508338</v>
      </c>
      <c r="S20" s="3">
        <f t="shared" si="8"/>
        <v>0</v>
      </c>
    </row>
    <row r="21" spans="2:19" ht="15.6" outlineLevel="2">
      <c r="B21" s="2">
        <v>390</v>
      </c>
      <c r="C21" s="2">
        <v>2019</v>
      </c>
      <c r="D21" s="1">
        <v>9334018.1499999985</v>
      </c>
      <c r="E21" s="1">
        <v>4163725.5899999985</v>
      </c>
      <c r="F21" s="1">
        <v>834440.68000000017</v>
      </c>
      <c r="G21" s="1">
        <v>307248.31000000006</v>
      </c>
      <c r="H21" s="1">
        <v>4028603.5699999998</v>
      </c>
      <c r="I21" s="2">
        <v>60</v>
      </c>
      <c r="J21" s="8">
        <v>58.153089000000001</v>
      </c>
      <c r="K21" s="10">
        <v>-0.050000000000000003</v>
      </c>
      <c r="L21" s="1">
        <f t="shared" si="2"/>
        <v>301684.26392010634</v>
      </c>
      <c r="M21" s="1">
        <f t="shared" si="10"/>
        <v>0.44564481185903426</v>
      </c>
      <c r="N21" s="1">
        <f t="shared" si="3"/>
        <v>134444.02703550702</v>
      </c>
      <c r="O21" s="1">
        <f t="shared" si="4"/>
        <v>59972.889145324007</v>
      </c>
      <c r="P21" s="1">
        <f t="shared" si="5"/>
        <v>12019.000128197406</v>
      </c>
      <c r="Q21" s="1">
        <f t="shared" si="6"/>
        <v>4425.5002971312906</v>
      </c>
      <c r="R21" s="1">
        <f t="shared" si="7"/>
        <v>58026.637464854313</v>
      </c>
      <c r="S21" s="3">
        <f t="shared" si="8"/>
        <v>0</v>
      </c>
    </row>
    <row r="22" spans="2:19" ht="15.6" outlineLevel="2">
      <c r="B22" s="2">
        <v>390</v>
      </c>
      <c r="C22" s="2">
        <v>2018</v>
      </c>
      <c r="D22" s="1">
        <v>9829244.2200000007</v>
      </c>
      <c r="E22" s="1">
        <v>5260269.9500000011</v>
      </c>
      <c r="F22" s="1">
        <v>232056.90999999997</v>
      </c>
      <c r="G22" s="1">
        <v>247869.80000000005</v>
      </c>
      <c r="H22" s="1">
        <v>4089047.5600000001</v>
      </c>
      <c r="I22" s="2">
        <v>60</v>
      </c>
      <c r="J22" s="8">
        <v>57.420988999999999</v>
      </c>
      <c r="K22" s="10">
        <v>-0.050000000000000003</v>
      </c>
      <c r="L22" s="1">
        <f t="shared" si="2"/>
        <v>443620.25688866241</v>
      </c>
      <c r="M22" s="1">
        <f t="shared" si="10"/>
        <v>0.44564481185903426</v>
      </c>
      <c r="N22" s="1">
        <f t="shared" si="3"/>
        <v>197697.0659180044</v>
      </c>
      <c r="O22" s="1">
        <f t="shared" si="4"/>
        <v>105800.59990122495</v>
      </c>
      <c r="P22" s="1">
        <f t="shared" si="5"/>
        <v>4667.3954992033359</v>
      </c>
      <c r="Q22" s="1">
        <f t="shared" si="6"/>
        <v>4985.442531784257</v>
      </c>
      <c r="R22" s="1">
        <f t="shared" si="7"/>
        <v>82243.627985791871</v>
      </c>
      <c r="S22" s="3">
        <f t="shared" si="8"/>
        <v>0</v>
      </c>
    </row>
    <row r="23" spans="2:19" ht="15.6" outlineLevel="2">
      <c r="B23" s="2">
        <v>390</v>
      </c>
      <c r="C23" s="2">
        <v>2017</v>
      </c>
      <c r="D23" s="1">
        <v>8171936.6999999993</v>
      </c>
      <c r="E23" s="1">
        <v>2481801.7899999996</v>
      </c>
      <c r="F23" s="1">
        <v>1338528.8200000001</v>
      </c>
      <c r="G23" s="1">
        <v>423330.28999999998</v>
      </c>
      <c r="H23" s="1">
        <v>3928275.7999999998</v>
      </c>
      <c r="I23" s="2">
        <v>60</v>
      </c>
      <c r="J23" s="8">
        <v>56.692729999999997</v>
      </c>
      <c r="K23" s="10">
        <v>-0.050000000000000003</v>
      </c>
      <c r="L23" s="1">
        <f t="shared" si="2"/>
        <v>472969.0190716575</v>
      </c>
      <c r="M23" s="1">
        <f t="shared" si="10"/>
        <v>0.44564481185903426</v>
      </c>
      <c r="N23" s="1">
        <f t="shared" si="3"/>
        <v>210776.18951934078</v>
      </c>
      <c r="O23" s="1">
        <f t="shared" si="4"/>
        <v>64012.331916188137</v>
      </c>
      <c r="P23" s="1">
        <f t="shared" si="5"/>
        <v>34524.252279318272</v>
      </c>
      <c r="Q23" s="1">
        <f t="shared" si="6"/>
        <v>10918.824840422161</v>
      </c>
      <c r="R23" s="1">
        <f t="shared" si="7"/>
        <v>101320.78048341222</v>
      </c>
      <c r="S23" s="3">
        <f t="shared" si="8"/>
        <v>0</v>
      </c>
    </row>
    <row r="24" spans="2:19" ht="15.6" outlineLevel="2">
      <c r="B24" s="2">
        <v>390</v>
      </c>
      <c r="C24" s="2">
        <v>2016</v>
      </c>
      <c r="D24" s="1">
        <v>16512436.690000001</v>
      </c>
      <c r="E24" s="1">
        <v>5801701.0499999998</v>
      </c>
      <c r="F24" s="1">
        <v>129970.96000000004</v>
      </c>
      <c r="G24" s="1">
        <v>523403.94000000029</v>
      </c>
      <c r="H24" s="1">
        <v>10057360.74</v>
      </c>
      <c r="I24" s="2">
        <v>60</v>
      </c>
      <c r="J24" s="8">
        <v>55.967886</v>
      </c>
      <c r="K24" s="10">
        <v>-0.050000000000000003</v>
      </c>
      <c r="L24" s="1">
        <f t="shared" si="2"/>
        <v>1165150.4751575973</v>
      </c>
      <c r="M24" s="1">
        <f t="shared" si="10"/>
        <v>0.44564481185903426</v>
      </c>
      <c r="N24" s="1">
        <f t="shared" si="3"/>
        <v>519243.26428907184</v>
      </c>
      <c r="O24" s="1">
        <f t="shared" si="4"/>
        <v>182437.895035547</v>
      </c>
      <c r="P24" s="1">
        <f t="shared" si="5"/>
        <v>4087.0131283564301</v>
      </c>
      <c r="Q24" s="1">
        <f t="shared" si="6"/>
        <v>16458.744124175751</v>
      </c>
      <c r="R24" s="1">
        <f t="shared" si="7"/>
        <v>316259.61200099258</v>
      </c>
      <c r="S24" s="3">
        <f t="shared" si="8"/>
        <v>0</v>
      </c>
    </row>
    <row r="25" spans="2:19" ht="15.6" outlineLevel="2">
      <c r="B25" s="2">
        <v>390</v>
      </c>
      <c r="C25" s="2">
        <v>2015</v>
      </c>
      <c r="D25" s="1">
        <v>16736557.500000007</v>
      </c>
      <c r="E25" s="1">
        <v>12195073.570000008</v>
      </c>
      <c r="F25" s="1">
        <v>1330602.7899999998</v>
      </c>
      <c r="G25" s="1">
        <v>396439.66000000015</v>
      </c>
      <c r="H25" s="1">
        <v>2814441.4799999995</v>
      </c>
      <c r="I25" s="2">
        <v>60</v>
      </c>
      <c r="J25" s="8">
        <v>55.246727</v>
      </c>
      <c r="K25" s="10">
        <v>-0.050000000000000003</v>
      </c>
      <c r="L25" s="1">
        <f t="shared" si="2"/>
        <v>1392184.9703597075</v>
      </c>
      <c r="M25" s="1">
        <f t="shared" si="10"/>
        <v>0.44564481185903426</v>
      </c>
      <c r="N25" s="1">
        <f t="shared" si="3"/>
        <v>620420.00918892701</v>
      </c>
      <c r="O25" s="1">
        <f t="shared" si="4"/>
        <v>452068.33342872583</v>
      </c>
      <c r="P25" s="1">
        <f t="shared" si="5"/>
        <v>49325.113315483875</v>
      </c>
      <c r="Q25" s="1">
        <f t="shared" si="6"/>
        <v>14695.919247435149</v>
      </c>
      <c r="R25" s="1">
        <f t="shared" si="7"/>
        <v>104330.64319728213</v>
      </c>
      <c r="S25" s="3">
        <f t="shared" si="8"/>
        <v>0</v>
      </c>
    </row>
    <row r="26" spans="2:19" ht="15.6" outlineLevel="2">
      <c r="B26" s="2">
        <v>390</v>
      </c>
      <c r="C26" s="2">
        <v>2014</v>
      </c>
      <c r="D26" s="1">
        <v>5967911.0899999999</v>
      </c>
      <c r="E26" s="1">
        <v>4388417.9199999999</v>
      </c>
      <c r="F26" s="1">
        <v>394289.15999999992</v>
      </c>
      <c r="G26" s="1">
        <v>391842.27000000002</v>
      </c>
      <c r="H26" s="1">
        <v>793361.73999999987</v>
      </c>
      <c r="I26" s="2">
        <v>60</v>
      </c>
      <c r="J26" s="8">
        <v>54.529164000000002</v>
      </c>
      <c r="K26" s="10">
        <v>-0.050000000000000003</v>
      </c>
      <c r="L26" s="1">
        <f t="shared" si="2"/>
        <v>571365.59962949634</v>
      </c>
      <c r="M26" s="1">
        <f t="shared" si="10"/>
        <v>0.44564481185903426</v>
      </c>
      <c r="N26" s="1">
        <f t="shared" si="3"/>
        <v>254626.1151496112</v>
      </c>
      <c r="O26" s="1">
        <f t="shared" si="4"/>
        <v>187235.66584208905</v>
      </c>
      <c r="P26" s="1">
        <f t="shared" si="5"/>
        <v>16822.689805923947</v>
      </c>
      <c r="Q26" s="1">
        <f t="shared" si="6"/>
        <v>16718.291116750712</v>
      </c>
      <c r="R26" s="1">
        <f t="shared" si="7"/>
        <v>33849.468384847511</v>
      </c>
      <c r="S26" s="3">
        <f t="shared" si="8"/>
        <v>0</v>
      </c>
    </row>
    <row r="27" spans="2:19" ht="15.6" outlineLevel="2">
      <c r="B27" s="2">
        <v>390</v>
      </c>
      <c r="C27" s="2">
        <v>2013</v>
      </c>
      <c r="D27" s="1">
        <v>3507251.4700000002</v>
      </c>
      <c r="E27" s="1">
        <v>2683966.3300000001</v>
      </c>
      <c r="F27" s="1">
        <v>329912.40999999992</v>
      </c>
      <c r="G27" s="1">
        <v>119314.93999999994</v>
      </c>
      <c r="H27" s="1">
        <v>374057.79000000004</v>
      </c>
      <c r="I27" s="2">
        <v>60</v>
      </c>
      <c r="J27" s="8">
        <v>53.814774999999997</v>
      </c>
      <c r="K27" s="10">
        <v>-0.050000000000000003</v>
      </c>
      <c r="L27" s="1">
        <f t="shared" si="2"/>
        <v>379629.94078678836</v>
      </c>
      <c r="M27" s="1">
        <f t="shared" si="10"/>
        <v>0.44564481185903426</v>
      </c>
      <c r="N27" s="1">
        <f t="shared" si="3"/>
        <v>169180.11353798461</v>
      </c>
      <c r="O27" s="1">
        <f t="shared" si="4"/>
        <v>129467.11472660038</v>
      </c>
      <c r="P27" s="1">
        <f t="shared" si="5"/>
        <v>15914.062467094813</v>
      </c>
      <c r="Q27" s="1">
        <f t="shared" si="6"/>
        <v>5755.4228057612909</v>
      </c>
      <c r="R27" s="1">
        <f t="shared" si="7"/>
        <v>18043.51353852811</v>
      </c>
      <c r="S27" s="3">
        <f t="shared" si="8"/>
        <v>0</v>
      </c>
    </row>
    <row r="28" spans="2:19" ht="15.6" outlineLevel="2">
      <c r="B28" s="2">
        <v>390</v>
      </c>
      <c r="C28" s="2">
        <v>2012</v>
      </c>
      <c r="D28" s="1">
        <v>1641229.5799999998</v>
      </c>
      <c r="E28" s="1">
        <v>963327.55999999994</v>
      </c>
      <c r="F28" s="1">
        <v>112200.03</v>
      </c>
      <c r="G28" s="1">
        <v>147083.81000000003</v>
      </c>
      <c r="H28" s="1">
        <v>418618.17999999999</v>
      </c>
      <c r="I28" s="2">
        <v>60</v>
      </c>
      <c r="J28" s="8">
        <v>53.103814</v>
      </c>
      <c r="K28" s="10">
        <v>-0.050000000000000003</v>
      </c>
      <c r="L28" s="1">
        <f t="shared" si="2"/>
        <v>198068.92791668294</v>
      </c>
      <c r="M28" s="1">
        <f t="shared" si="10"/>
        <v>0.44564481185903426</v>
      </c>
      <c r="N28" s="1">
        <f t="shared" si="3"/>
        <v>88268.390116550785</v>
      </c>
      <c r="O28" s="1">
        <f t="shared" si="4"/>
        <v>51809.55419783805</v>
      </c>
      <c r="P28" s="1">
        <f t="shared" si="5"/>
        <v>6034.3270312790137</v>
      </c>
      <c r="Q28" s="1">
        <f t="shared" si="6"/>
        <v>7910.4418291733673</v>
      </c>
      <c r="R28" s="1">
        <f t="shared" si="7"/>
        <v>22514.06705826036</v>
      </c>
      <c r="S28" s="3">
        <f t="shared" si="8"/>
        <v>0</v>
      </c>
    </row>
    <row r="29" spans="2:19" ht="15.6" outlineLevel="2">
      <c r="B29" s="2">
        <v>390</v>
      </c>
      <c r="C29" s="2">
        <v>2011</v>
      </c>
      <c r="D29" s="1">
        <v>30175545.589999996</v>
      </c>
      <c r="E29" s="1">
        <v>14502159.369999999</v>
      </c>
      <c r="F29" s="1">
        <v>6288968.1900000004</v>
      </c>
      <c r="G29" s="1">
        <v>5220364.2399999993</v>
      </c>
      <c r="H29" s="1">
        <v>4164053.79</v>
      </c>
      <c r="I29" s="2">
        <v>60</v>
      </c>
      <c r="J29" s="8">
        <v>52.396182000000003</v>
      </c>
      <c r="K29" s="10">
        <v>-0.050000000000000003</v>
      </c>
      <c r="L29" s="1">
        <f t="shared" si="2"/>
        <v>4015363.7425485943</v>
      </c>
      <c r="M29" s="1">
        <f t="shared" si="10"/>
        <v>0.44564481185903426</v>
      </c>
      <c r="N29" s="1">
        <f t="shared" si="3"/>
        <v>1789426.0195936561</v>
      </c>
      <c r="O29" s="1">
        <f t="shared" si="4"/>
        <v>859985.81996051141</v>
      </c>
      <c r="P29" s="1">
        <f t="shared" si="5"/>
        <v>372939.18288961158</v>
      </c>
      <c r="Q29" s="1">
        <f t="shared" si="6"/>
        <v>309570.39616569399</v>
      </c>
      <c r="R29" s="1">
        <f t="shared" si="7"/>
        <v>246930.62057783917</v>
      </c>
      <c r="S29" s="3">
        <f t="shared" si="8"/>
        <v>0</v>
      </c>
    </row>
    <row r="30" spans="2:19" ht="15.6" outlineLevel="2">
      <c r="B30" s="2">
        <v>390</v>
      </c>
      <c r="C30" s="2">
        <v>2010</v>
      </c>
      <c r="D30" s="1">
        <v>4510079.9000000004</v>
      </c>
      <c r="E30" s="1">
        <v>1994123.9400000004</v>
      </c>
      <c r="F30" s="1">
        <v>600977.84000000008</v>
      </c>
      <c r="G30" s="1">
        <v>165523.20999999991</v>
      </c>
      <c r="H30" s="1">
        <v>1749454.9099999997</v>
      </c>
      <c r="I30" s="2">
        <v>60</v>
      </c>
      <c r="J30" s="8">
        <v>51.691462999999999</v>
      </c>
      <c r="K30" s="10">
        <v>-0.050000000000000003</v>
      </c>
      <c r="L30" s="1">
        <f t="shared" si="2"/>
        <v>655762.9001368602</v>
      </c>
      <c r="M30" s="1">
        <f t="shared" si="10"/>
        <v>0.44564481185903426</v>
      </c>
      <c r="N30" s="1">
        <f t="shared" si="3"/>
        <v>292237.33425562573</v>
      </c>
      <c r="O30" s="1">
        <f t="shared" si="4"/>
        <v>129212.22624036559</v>
      </c>
      <c r="P30" s="1">
        <f t="shared" si="5"/>
        <v>38941.252882970868</v>
      </c>
      <c r="Q30" s="1">
        <f t="shared" si="6"/>
        <v>10725.322548683471</v>
      </c>
      <c r="R30" s="1">
        <f t="shared" si="7"/>
        <v>113358.53258360578</v>
      </c>
      <c r="S30" s="3">
        <f t="shared" si="8"/>
        <v>0</v>
      </c>
    </row>
    <row r="31" spans="2:19" ht="15.6" outlineLevel="2">
      <c r="B31" s="2">
        <v>390</v>
      </c>
      <c r="C31" s="2">
        <v>2009</v>
      </c>
      <c r="D31" s="1">
        <v>1043248.2099999999</v>
      </c>
      <c r="E31" s="1">
        <v>779167.05999999994</v>
      </c>
      <c r="F31" s="1">
        <v>3005.4400000000001</v>
      </c>
      <c r="G31" s="1">
        <v>14566.879999999977</v>
      </c>
      <c r="H31" s="1">
        <v>246508.82999999999</v>
      </c>
      <c r="I31" s="2">
        <v>60</v>
      </c>
      <c r="J31" s="8">
        <v>50.989894</v>
      </c>
      <c r="K31" s="10">
        <v>-0.050000000000000003</v>
      </c>
      <c r="L31" s="1">
        <f t="shared" si="2"/>
        <v>164496.0967371795</v>
      </c>
      <c r="M31" s="1">
        <f t="shared" si="10"/>
        <v>0.44564481185903426</v>
      </c>
      <c r="N31" s="1">
        <f t="shared" si="3"/>
        <v>73306.832081985864</v>
      </c>
      <c r="O31" s="1">
        <f t="shared" si="4"/>
        <v>54750.411535558356</v>
      </c>
      <c r="P31" s="1">
        <f t="shared" si="5"/>
        <v>211.18587436875029</v>
      </c>
      <c r="Q31" s="1">
        <f t="shared" si="6"/>
        <v>1023.5836648293283</v>
      </c>
      <c r="R31" s="1">
        <f t="shared" si="7"/>
        <v>17321.65100722943</v>
      </c>
      <c r="S31" s="3">
        <f t="shared" si="8"/>
        <v>0</v>
      </c>
    </row>
    <row r="32" spans="2:19" ht="15.6" outlineLevel="2">
      <c r="B32" s="2">
        <v>390</v>
      </c>
      <c r="C32" s="2">
        <v>2008</v>
      </c>
      <c r="D32" s="1">
        <v>1457402.8499999999</v>
      </c>
      <c r="E32" s="1">
        <v>1009638.64</v>
      </c>
      <c r="F32" s="1">
        <v>114718.04999999996</v>
      </c>
      <c r="G32" s="1">
        <v>43567.669999999998</v>
      </c>
      <c r="H32" s="1">
        <v>289478.48999999999</v>
      </c>
      <c r="I32" s="2">
        <v>60</v>
      </c>
      <c r="J32" s="8">
        <v>50.291367000000001</v>
      </c>
      <c r="K32" s="10">
        <v>-0.050000000000000003</v>
      </c>
      <c r="L32" s="1">
        <f t="shared" si="2"/>
        <v>247614.31456657086</v>
      </c>
      <c r="M32" s="1">
        <f t="shared" si="10"/>
        <v>0.44564481185903426</v>
      </c>
      <c r="N32" s="1">
        <f t="shared" si="3"/>
        <v>110348.03462862319</v>
      </c>
      <c r="O32" s="1">
        <f t="shared" si="4"/>
        <v>76445.328489042033</v>
      </c>
      <c r="P32" s="1">
        <f t="shared" si="5"/>
        <v>8685.9383827389411</v>
      </c>
      <c r="Q32" s="1">
        <f t="shared" si="6"/>
        <v>3298.7493868619981</v>
      </c>
      <c r="R32" s="1">
        <f t="shared" si="7"/>
        <v>21918.01836998024</v>
      </c>
      <c r="S32" s="3">
        <f t="shared" si="8"/>
        <v>0</v>
      </c>
    </row>
    <row r="33" spans="2:19" ht="15.6" outlineLevel="2">
      <c r="B33" s="2">
        <v>390</v>
      </c>
      <c r="C33" s="2">
        <v>2007</v>
      </c>
      <c r="D33" s="1">
        <v>1368102.26</v>
      </c>
      <c r="E33" s="1">
        <v>797484.30000000005</v>
      </c>
      <c r="F33" s="1">
        <v>298397.54999999999</v>
      </c>
      <c r="G33" s="1">
        <v>61997.930000000008</v>
      </c>
      <c r="H33" s="1">
        <v>210222.47999999998</v>
      </c>
      <c r="I33" s="2">
        <v>60</v>
      </c>
      <c r="J33" s="8">
        <v>49.595475999999998</v>
      </c>
      <c r="K33" s="10">
        <v>-0.050000000000000003</v>
      </c>
      <c r="L33" s="1">
        <f t="shared" si="2"/>
        <v>249102.92397592432</v>
      </c>
      <c r="M33" s="1">
        <f t="shared" si="10"/>
        <v>0.44564481185903426</v>
      </c>
      <c r="N33" s="1">
        <f t="shared" si="3"/>
        <v>111011.42568878611</v>
      </c>
      <c r="O33" s="1">
        <f t="shared" si="4"/>
        <v>64709.979433425986</v>
      </c>
      <c r="P33" s="1">
        <f t="shared" si="5"/>
        <v>24212.764218035016</v>
      </c>
      <c r="Q33" s="1">
        <f t="shared" si="6"/>
        <v>5030.6755571426102</v>
      </c>
      <c r="R33" s="1">
        <f t="shared" si="7"/>
        <v>17058.006480182499</v>
      </c>
      <c r="S33" s="3">
        <f t="shared" si="8"/>
        <v>0</v>
      </c>
    </row>
    <row r="34" spans="2:19" ht="15.6" outlineLevel="2">
      <c r="B34" s="2">
        <v>390</v>
      </c>
      <c r="C34" s="2">
        <v>2006</v>
      </c>
      <c r="D34" s="1">
        <v>385645.10000000003</v>
      </c>
      <c r="E34" s="1">
        <v>96503.079999999987</v>
      </c>
      <c r="F34" s="1">
        <v>4500.2000000000062</v>
      </c>
      <c r="G34" s="1">
        <v>3304.6699999999996</v>
      </c>
      <c r="H34" s="1">
        <v>281337.15000000002</v>
      </c>
      <c r="I34" s="2">
        <v>60</v>
      </c>
      <c r="J34" s="8">
        <v>48.902434999999997</v>
      </c>
      <c r="K34" s="10">
        <v>-0.050000000000000003</v>
      </c>
      <c r="L34" s="1">
        <f t="shared" si="2"/>
        <v>74895.127373176278</v>
      </c>
      <c r="M34" s="1">
        <f t="shared" si="10"/>
        <v>0.44564481185903426</v>
      </c>
      <c r="N34" s="1">
        <f t="shared" si="3"/>
        <v>33376.624947377546</v>
      </c>
      <c r="O34" s="1">
        <f t="shared" si="4"/>
        <v>8352.1017314281198</v>
      </c>
      <c r="P34" s="1">
        <f t="shared" si="5"/>
        <v>389.48112549125773</v>
      </c>
      <c r="Q34" s="1">
        <f t="shared" si="6"/>
        <v>286.01097528491903</v>
      </c>
      <c r="R34" s="1">
        <f t="shared" si="7"/>
        <v>24349.031115173249</v>
      </c>
      <c r="S34" s="3">
        <f t="shared" si="8"/>
        <v>0</v>
      </c>
    </row>
    <row r="35" spans="2:19" ht="15.6" outlineLevel="2">
      <c r="B35" s="2">
        <v>390</v>
      </c>
      <c r="C35" s="2">
        <v>2005</v>
      </c>
      <c r="D35" s="1">
        <v>8951698.9100000001</v>
      </c>
      <c r="E35" s="1">
        <v>6262188.7300000004</v>
      </c>
      <c r="F35" s="1">
        <v>1368925.22</v>
      </c>
      <c r="G35" s="1">
        <v>28831.109999999971</v>
      </c>
      <c r="H35" s="1">
        <v>1291753.8499999999</v>
      </c>
      <c r="I35" s="2">
        <v>60</v>
      </c>
      <c r="J35" s="8">
        <v>48.212128</v>
      </c>
      <c r="K35" s="10">
        <v>-0.050000000000000003</v>
      </c>
      <c r="L35" s="1">
        <f t="shared" si="2"/>
        <v>1846625.916338342</v>
      </c>
      <c r="M35" s="1">
        <f t="shared" si="10"/>
        <v>0.44564481185903426</v>
      </c>
      <c r="N35" s="1">
        <f t="shared" si="3"/>
        <v>822939.25906061719</v>
      </c>
      <c r="O35" s="1">
        <f t="shared" si="4"/>
        <v>575689.71045340353</v>
      </c>
      <c r="P35" s="1">
        <f t="shared" si="5"/>
        <v>125846.76021640145</v>
      </c>
      <c r="Q35" s="1">
        <f t="shared" si="6"/>
        <v>2650.4747914153345</v>
      </c>
      <c r="R35" s="1">
        <f t="shared" si="7"/>
        <v>118752.31359939692</v>
      </c>
      <c r="S35" s="3">
        <f t="shared" si="8"/>
        <v>0</v>
      </c>
    </row>
    <row r="36" spans="2:19" ht="15.6" outlineLevel="2">
      <c r="B36" s="2">
        <v>390</v>
      </c>
      <c r="C36" s="2">
        <v>2004</v>
      </c>
      <c r="D36" s="1">
        <v>686783.43999999994</v>
      </c>
      <c r="E36" s="1">
        <v>574265.08999999997</v>
      </c>
      <c r="F36" s="1">
        <v>45456.619999999988</v>
      </c>
      <c r="G36" s="1">
        <v>32547.900000000009</v>
      </c>
      <c r="H36" s="1">
        <v>34513.829999999994</v>
      </c>
      <c r="I36" s="2">
        <v>60</v>
      </c>
      <c r="J36" s="8">
        <v>47.524168000000003</v>
      </c>
      <c r="K36" s="10">
        <v>-0.050000000000000003</v>
      </c>
      <c r="L36" s="1">
        <f t="shared" si="2"/>
        <v>149943.40931188638</v>
      </c>
      <c r="M36" s="1">
        <f t="shared" si="10"/>
        <v>0.44564481185903426</v>
      </c>
      <c r="N36" s="1">
        <f t="shared" si="3"/>
        <v>66821.50243229777</v>
      </c>
      <c r="O36" s="1">
        <f t="shared" si="4"/>
        <v>55873.880867335269</v>
      </c>
      <c r="P36" s="1">
        <f t="shared" si="5"/>
        <v>4422.7619173433113</v>
      </c>
      <c r="Q36" s="1">
        <f t="shared" si="6"/>
        <v>3166.7909450702327</v>
      </c>
      <c r="R36" s="1">
        <f t="shared" si="7"/>
        <v>3358.0687025489601</v>
      </c>
      <c r="S36" s="3">
        <f t="shared" si="8"/>
        <v>0</v>
      </c>
    </row>
    <row r="37" spans="2:19" ht="15.6" outlineLevel="2">
      <c r="B37" s="2">
        <v>390</v>
      </c>
      <c r="C37" s="2">
        <v>2003</v>
      </c>
      <c r="D37" s="1">
        <v>656092.16000000003</v>
      </c>
      <c r="E37" s="1">
        <v>442351.66999999998</v>
      </c>
      <c r="F37" s="1">
        <v>-3252.4000000000015</v>
      </c>
      <c r="G37" s="1">
        <v>105143.35000000001</v>
      </c>
      <c r="H37" s="1">
        <v>111849.53999999999</v>
      </c>
      <c r="I37" s="2">
        <v>60</v>
      </c>
      <c r="J37" s="8">
        <v>46.838779000000002</v>
      </c>
      <c r="K37" s="10">
        <v>-0.050000000000000003</v>
      </c>
      <c r="L37" s="1">
        <f t="shared" si="2"/>
        <v>151112.04349722876</v>
      </c>
      <c r="M37" s="1">
        <f t="shared" si="10"/>
        <v>0.44564481185903426</v>
      </c>
      <c r="N37" s="1">
        <f t="shared" si="3"/>
        <v>67342.298193956711</v>
      </c>
      <c r="O37" s="1">
        <f t="shared" si="4"/>
        <v>45403.648883313479</v>
      </c>
      <c r="P37" s="1">
        <f t="shared" si="5"/>
        <v>-333.83128773559019</v>
      </c>
      <c r="Q37" s="1">
        <f t="shared" si="6"/>
        <v>10792.073523347022</v>
      </c>
      <c r="R37" s="1">
        <f t="shared" si="7"/>
        <v>11480.407075031788</v>
      </c>
      <c r="S37" s="3">
        <f t="shared" si="8"/>
        <v>0</v>
      </c>
    </row>
    <row r="38" spans="2:19" ht="15.6" outlineLevel="2">
      <c r="B38" s="2">
        <v>390</v>
      </c>
      <c r="C38" s="2">
        <v>2002</v>
      </c>
      <c r="D38" s="1">
        <v>2601028.5099999998</v>
      </c>
      <c r="E38" s="1">
        <v>1630551.54</v>
      </c>
      <c r="F38" s="1">
        <v>136330.65000000002</v>
      </c>
      <c r="G38" s="1">
        <v>408809.20000000007</v>
      </c>
      <c r="H38" s="1">
        <v>425337.11999999988</v>
      </c>
      <c r="I38" s="2">
        <v>60</v>
      </c>
      <c r="J38" s="8">
        <v>46.155963999999997</v>
      </c>
      <c r="K38" s="10">
        <v>-0.050000000000000003</v>
      </c>
      <c r="L38" s="1">
        <f t="shared" si="2"/>
        <v>630152.8157656613</v>
      </c>
      <c r="M38" s="1">
        <f t="shared" si="10"/>
        <v>0.44564481185903426</v>
      </c>
      <c r="N38" s="1">
        <f t="shared" si="3"/>
        <v>280824.33302432881</v>
      </c>
      <c r="O38" s="1">
        <f t="shared" si="4"/>
        <v>176045.18632604001</v>
      </c>
      <c r="P38" s="1">
        <f t="shared" si="5"/>
        <v>14719.163480842899</v>
      </c>
      <c r="Q38" s="1">
        <f t="shared" si="6"/>
        <v>44137.759537364502</v>
      </c>
      <c r="R38" s="1">
        <f t="shared" si="7"/>
        <v>45922.223680081421</v>
      </c>
      <c r="S38" s="3">
        <f t="shared" si="8"/>
        <v>0</v>
      </c>
    </row>
    <row r="39" spans="2:19" ht="15.6" outlineLevel="2">
      <c r="B39" s="2">
        <v>390</v>
      </c>
      <c r="C39" s="2">
        <v>2001</v>
      </c>
      <c r="D39" s="1">
        <v>1193891.79</v>
      </c>
      <c r="E39" s="1">
        <v>419419.79999999987</v>
      </c>
      <c r="F39" s="1">
        <v>29899.950000000004</v>
      </c>
      <c r="G39" s="1">
        <v>20408.950000000012</v>
      </c>
      <c r="H39" s="1">
        <v>724163.09000000008</v>
      </c>
      <c r="I39" s="2">
        <v>60</v>
      </c>
      <c r="J39" s="8">
        <v>45.475470999999999</v>
      </c>
      <c r="K39" s="10">
        <v>-0.050000000000000003</v>
      </c>
      <c r="L39" s="1">
        <f t="shared" si="2"/>
        <v>303462.52871754603</v>
      </c>
      <c r="M39" s="1">
        <f t="shared" si="10"/>
        <v>0.44564481185903426</v>
      </c>
      <c r="N39" s="1">
        <f t="shared" si="3"/>
        <v>135236.50151659758</v>
      </c>
      <c r="O39" s="1">
        <f t="shared" si="4"/>
        <v>47509.21892074577</v>
      </c>
      <c r="P39" s="1">
        <f t="shared" si="5"/>
        <v>3386.876991189622</v>
      </c>
      <c r="Q39" s="1">
        <f t="shared" si="6"/>
        <v>2311.7966140190692</v>
      </c>
      <c r="R39" s="1">
        <f t="shared" si="7"/>
        <v>82028.608990643115</v>
      </c>
      <c r="S39" s="3">
        <f t="shared" si="8"/>
        <v>0</v>
      </c>
    </row>
    <row r="40" spans="2:19" ht="15.6" outlineLevel="2">
      <c r="B40" s="2">
        <v>390</v>
      </c>
      <c r="C40" s="2">
        <v>2000</v>
      </c>
      <c r="D40" s="1">
        <v>977149.43999999994</v>
      </c>
      <c r="E40" s="1">
        <v>58401.670000000006</v>
      </c>
      <c r="F40" s="1">
        <v>8355.3700000000044</v>
      </c>
      <c r="G40" s="1">
        <v>6718.7400000000089</v>
      </c>
      <c r="H40" s="1">
        <v>903673.65999999992</v>
      </c>
      <c r="I40" s="2">
        <v>60</v>
      </c>
      <c r="J40" s="8">
        <v>44.797674999999998</v>
      </c>
      <c r="K40" s="10">
        <v>-0.050000000000000003</v>
      </c>
      <c r="L40" s="1">
        <f t="shared" si="2"/>
        <v>259961.50880784006</v>
      </c>
      <c r="M40" s="1">
        <f t="shared" si="10"/>
        <v>0.44564481185903426</v>
      </c>
      <c r="N40" s="1">
        <f t="shared" si="3"/>
        <v>115850.49768326056</v>
      </c>
      <c r="O40" s="1">
        <f t="shared" si="4"/>
        <v>6924.0816788817365</v>
      </c>
      <c r="P40" s="1">
        <f t="shared" si="5"/>
        <v>990.60976059893699</v>
      </c>
      <c r="Q40" s="1">
        <f t="shared" si="6"/>
        <v>796.57147713703978</v>
      </c>
      <c r="R40" s="1">
        <f t="shared" si="7"/>
        <v>107139.23476664284</v>
      </c>
      <c r="S40" s="3">
        <f t="shared" si="8"/>
        <v>0</v>
      </c>
    </row>
    <row r="41" spans="2:19" ht="15.6" outlineLevel="2">
      <c r="B41" s="2">
        <v>390</v>
      </c>
      <c r="C41" s="2">
        <v>1999</v>
      </c>
      <c r="D41" s="1">
        <v>5195506.1300000008</v>
      </c>
      <c r="E41" s="1">
        <v>486326.43000000005</v>
      </c>
      <c r="F41" s="1">
        <v>75008.040000000008</v>
      </c>
      <c r="G41" s="1">
        <v>40175.149999999994</v>
      </c>
      <c r="H41" s="1">
        <v>4593996.5100000007</v>
      </c>
      <c r="I41" s="2">
        <v>60</v>
      </c>
      <c r="J41" s="8">
        <v>44.122703000000001</v>
      </c>
      <c r="K41" s="10">
        <v>-0.050000000000000003</v>
      </c>
      <c r="L41" s="1">
        <f t="shared" si="2"/>
        <v>1443585.3930982857</v>
      </c>
      <c r="M41" s="1">
        <f t="shared" si="10"/>
        <v>0.44564481185903426</v>
      </c>
      <c r="N41" s="1">
        <f t="shared" si="3"/>
        <v>643326.34090973553</v>
      </c>
      <c r="O41" s="1">
        <f t="shared" si="4"/>
        <v>60218.695709554406</v>
      </c>
      <c r="P41" s="1">
        <f t="shared" si="5"/>
        <v>9287.7665244927884</v>
      </c>
      <c r="Q41" s="1">
        <f t="shared" si="6"/>
        <v>4974.6322299113044</v>
      </c>
      <c r="R41" s="1">
        <f t="shared" si="7"/>
        <v>568845.24644577701</v>
      </c>
      <c r="S41" s="3">
        <f t="shared" si="8"/>
        <v>0</v>
      </c>
    </row>
    <row r="42" spans="2:19" ht="15.6" outlineLevel="2">
      <c r="B42" s="2">
        <v>390</v>
      </c>
      <c r="C42" s="2">
        <v>1998</v>
      </c>
      <c r="D42" s="1">
        <v>3534517.7899999996</v>
      </c>
      <c r="E42" s="1">
        <v>1239202.2399999998</v>
      </c>
      <c r="F42" s="1">
        <v>75924.580000000016</v>
      </c>
      <c r="G42" s="1">
        <v>27181.919999999976</v>
      </c>
      <c r="H42" s="1">
        <v>2192209.0499999998</v>
      </c>
      <c r="I42" s="2">
        <v>60</v>
      </c>
      <c r="J42" s="8">
        <v>43.450347000000001</v>
      </c>
      <c r="K42" s="10">
        <v>-0.050000000000000003</v>
      </c>
      <c r="L42" s="1">
        <f t="shared" si="2"/>
        <v>1023663.2515694703</v>
      </c>
      <c r="M42" s="1">
        <f t="shared" si="10"/>
        <v>0.44564481185903426</v>
      </c>
      <c r="N42" s="1">
        <f t="shared" si="3"/>
        <v>456190.21715268382</v>
      </c>
      <c r="O42" s="1">
        <f t="shared" si="4"/>
        <v>159940.32921862652</v>
      </c>
      <c r="P42" s="1">
        <f t="shared" si="5"/>
        <v>9799.3708605513402</v>
      </c>
      <c r="Q42" s="1">
        <f t="shared" si="6"/>
        <v>3508.2935563402189</v>
      </c>
      <c r="R42" s="1">
        <f t="shared" si="7"/>
        <v>282942.22351716575</v>
      </c>
      <c r="S42" s="3">
        <f t="shared" si="8"/>
        <v>0</v>
      </c>
    </row>
    <row r="43" spans="2:19" ht="15.6" outlineLevel="2">
      <c r="B43" s="2">
        <v>390</v>
      </c>
      <c r="C43" s="2">
        <v>1997</v>
      </c>
      <c r="D43" s="1">
        <v>376283.32000000001</v>
      </c>
      <c r="E43" s="1">
        <v>48321.310000000005</v>
      </c>
      <c r="F43" s="1">
        <v>14579.419999999996</v>
      </c>
      <c r="G43" s="1">
        <v>1792.1299999999992</v>
      </c>
      <c r="H43" s="1">
        <v>311590.46000000002</v>
      </c>
      <c r="I43" s="2">
        <v>60</v>
      </c>
      <c r="J43" s="8">
        <v>42.781070999999997</v>
      </c>
      <c r="K43" s="10">
        <v>-0.050000000000000003</v>
      </c>
      <c r="L43" s="1">
        <f t="shared" si="2"/>
        <v>113385.92599187493</v>
      </c>
      <c r="M43" s="1">
        <f t="shared" si="10"/>
        <v>0.44564481185903426</v>
      </c>
      <c r="N43" s="1">
        <f t="shared" si="3"/>
        <v>50529.849656111488</v>
      </c>
      <c r="O43" s="1">
        <f t="shared" si="4"/>
        <v>6488.9098179700259</v>
      </c>
      <c r="P43" s="1">
        <f t="shared" si="5"/>
        <v>1957.8223681913532</v>
      </c>
      <c r="Q43" s="1">
        <f t="shared" si="6"/>
        <v>240.6592443805562</v>
      </c>
      <c r="R43" s="1">
        <f t="shared" si="7"/>
        <v>41842.458225569557</v>
      </c>
      <c r="S43" s="3">
        <f t="shared" si="8"/>
        <v>0</v>
      </c>
    </row>
    <row r="44" spans="2:19" ht="15.6" outlineLevel="2">
      <c r="B44" s="2">
        <v>390</v>
      </c>
      <c r="C44" s="2">
        <v>1996</v>
      </c>
      <c r="D44" s="1">
        <v>3186896.8200000003</v>
      </c>
      <c r="E44" s="1">
        <v>550450.92000000004</v>
      </c>
      <c r="F44" s="1">
        <v>86552.729999999996</v>
      </c>
      <c r="G44" s="1">
        <v>13532.350000000006</v>
      </c>
      <c r="H44" s="1">
        <v>2536360.8200000003</v>
      </c>
      <c r="I44" s="2">
        <v>60</v>
      </c>
      <c r="J44" s="8">
        <v>42.115051000000001</v>
      </c>
      <c r="K44" s="10">
        <v>-0.050000000000000003</v>
      </c>
      <c r="L44" s="1">
        <f t="shared" si="2"/>
        <v>997456.02414433821</v>
      </c>
      <c r="M44" s="1">
        <f t="shared" si="10"/>
        <v>0.44564481185903426</v>
      </c>
      <c r="N44" s="1">
        <f t="shared" si="3"/>
        <v>444511.10221746395</v>
      </c>
      <c r="O44" s="1">
        <f t="shared" si="4"/>
        <v>76777.366505959566</v>
      </c>
      <c r="P44" s="1">
        <f t="shared" si="5"/>
        <v>12072.449026520586</v>
      </c>
      <c r="Q44" s="1">
        <f t="shared" si="6"/>
        <v>1887.5037862356965</v>
      </c>
      <c r="R44" s="1">
        <f t="shared" si="7"/>
        <v>353773.78289874806</v>
      </c>
      <c r="S44" s="3">
        <f t="shared" si="8"/>
        <v>0</v>
      </c>
    </row>
    <row r="45" spans="2:19" ht="15.6" outlineLevel="2">
      <c r="B45" s="2">
        <v>390</v>
      </c>
      <c r="C45" s="2">
        <v>1995</v>
      </c>
      <c r="D45" s="1">
        <v>2053768.6200000001</v>
      </c>
      <c r="E45" s="1">
        <v>845457.8899999999</v>
      </c>
      <c r="F45" s="1">
        <v>77227.090000000026</v>
      </c>
      <c r="G45" s="1">
        <v>101647.24000000001</v>
      </c>
      <c r="H45" s="1">
        <v>1029436.4</v>
      </c>
      <c r="I45" s="2">
        <v>60</v>
      </c>
      <c r="J45" s="8">
        <v>41.452086000000001</v>
      </c>
      <c r="K45" s="10">
        <v>-0.050000000000000003</v>
      </c>
      <c r="L45" s="1">
        <f t="shared" si="2"/>
        <v>666629.66544402693</v>
      </c>
      <c r="M45" s="1">
        <f t="shared" si="10"/>
        <v>0.44564481185903426</v>
      </c>
      <c r="N45" s="1">
        <f t="shared" si="3"/>
        <v>297080.05183645431</v>
      </c>
      <c r="O45" s="1">
        <f t="shared" si="4"/>
        <v>122296.48040232461</v>
      </c>
      <c r="P45" s="1">
        <f t="shared" si="5"/>
        <v>11170.98960270341</v>
      </c>
      <c r="Q45" s="1">
        <f t="shared" si="6"/>
        <v>14703.393086331464</v>
      </c>
      <c r="R45" s="1">
        <f t="shared" si="7"/>
        <v>148909.18874509481</v>
      </c>
      <c r="S45" s="3">
        <f t="shared" si="8"/>
        <v>0</v>
      </c>
    </row>
    <row r="46" spans="2:19" ht="15.6" outlineLevel="2">
      <c r="B46" s="2">
        <v>390</v>
      </c>
      <c r="C46" s="2">
        <v>1994</v>
      </c>
      <c r="D46" s="1">
        <v>3675894.3199999998</v>
      </c>
      <c r="E46" s="1">
        <v>2958387.21</v>
      </c>
      <c r="F46" s="1">
        <v>98482.479999999981</v>
      </c>
      <c r="G46" s="1">
        <v>73998.029999999868</v>
      </c>
      <c r="H46" s="1">
        <v>545026.60000000009</v>
      </c>
      <c r="I46" s="2">
        <v>60</v>
      </c>
      <c r="J46" s="8">
        <v>40.792695000000002</v>
      </c>
      <c r="K46" s="10">
        <v>-0.050000000000000003</v>
      </c>
      <c r="L46" s="1">
        <f t="shared" si="2"/>
        <v>1235570.4086601329</v>
      </c>
      <c r="M46" s="1">
        <f t="shared" si="10"/>
        <v>0.44564481185903426</v>
      </c>
      <c r="N46" s="1">
        <f t="shared" si="3"/>
        <v>550625.54230593506</v>
      </c>
      <c r="O46" s="1">
        <f t="shared" si="4"/>
        <v>443147.54997015046</v>
      </c>
      <c r="P46" s="1">
        <f t="shared" si="5"/>
        <v>14752.0478656289</v>
      </c>
      <c r="Q46" s="1">
        <f t="shared" si="6"/>
        <v>11084.433297397076</v>
      </c>
      <c r="R46" s="1">
        <f t="shared" si="7"/>
        <v>81641.511172758634</v>
      </c>
      <c r="S46" s="3">
        <f t="shared" si="8"/>
        <v>0</v>
      </c>
    </row>
    <row r="47" spans="2:19" ht="15.6" outlineLevel="2">
      <c r="B47" s="2">
        <v>390</v>
      </c>
      <c r="C47" s="2">
        <v>1993</v>
      </c>
      <c r="D47" s="1">
        <v>216134.20999999999</v>
      </c>
      <c r="E47" s="1">
        <v>192814.72</v>
      </c>
      <c r="F47" s="1">
        <v>735.43000000000052</v>
      </c>
      <c r="G47" s="1">
        <v>941.6200000000008</v>
      </c>
      <c r="H47" s="1">
        <v>21642.439999999999</v>
      </c>
      <c r="I47" s="2">
        <v>60</v>
      </c>
      <c r="J47" s="8">
        <v>40.137059999999998</v>
      </c>
      <c r="K47" s="10">
        <v>-0.050000000000000003</v>
      </c>
      <c r="L47" s="1">
        <f t="shared" si="2"/>
        <v>75128.564790604505</v>
      </c>
      <c r="M47" s="1">
        <f t="shared" si="10"/>
        <v>0.44564481185903426</v>
      </c>
      <c r="N47" s="1">
        <f t="shared" si="3"/>
        <v>33480.655121348209</v>
      </c>
      <c r="O47" s="1">
        <f t="shared" si="4"/>
        <v>29868.307949210455</v>
      </c>
      <c r="P47" s="1">
        <f t="shared" si="5"/>
        <v>113.92309526517403</v>
      </c>
      <c r="Q47" s="1">
        <f t="shared" si="6"/>
        <v>145.86332480806223</v>
      </c>
      <c r="R47" s="1">
        <f t="shared" si="7"/>
        <v>3352.5607520645217</v>
      </c>
      <c r="S47" s="3">
        <f t="shared" si="8"/>
        <v>-4.5474735088646412E-12</v>
      </c>
    </row>
    <row r="48" spans="2:19" ht="15.6" outlineLevel="2">
      <c r="B48" s="2">
        <v>390</v>
      </c>
      <c r="C48" s="2">
        <v>1992</v>
      </c>
      <c r="D48" s="1">
        <v>2828960.9900000002</v>
      </c>
      <c r="E48" s="1">
        <v>1514957.5300000003</v>
      </c>
      <c r="F48" s="1">
        <v>59049.620000000046</v>
      </c>
      <c r="G48" s="1">
        <v>4509.6299999999983</v>
      </c>
      <c r="H48" s="1">
        <v>1250444.2100000002</v>
      </c>
      <c r="I48" s="2">
        <v>60</v>
      </c>
      <c r="J48" s="8">
        <v>39.484962000000003</v>
      </c>
      <c r="K48" s="10">
        <v>-0.050000000000000003</v>
      </c>
      <c r="L48" s="1">
        <f t="shared" si="2"/>
        <v>1015634.2386814335</v>
      </c>
      <c r="M48" s="1">
        <f t="shared" si="10"/>
        <v>0.44564481185903426</v>
      </c>
      <c r="N48" s="1">
        <f t="shared" si="3"/>
        <v>452612.12921478093</v>
      </c>
      <c r="O48" s="1">
        <f t="shared" si="4"/>
        <v>242381.62199729218</v>
      </c>
      <c r="P48" s="1">
        <f t="shared" si="5"/>
        <v>9447.4877285330585</v>
      </c>
      <c r="Q48" s="1">
        <f t="shared" si="6"/>
        <v>721.50632104363217</v>
      </c>
      <c r="R48" s="1">
        <f t="shared" si="7"/>
        <v>200061.51316791211</v>
      </c>
      <c r="S48" s="3">
        <f t="shared" si="8"/>
        <v>0</v>
      </c>
    </row>
    <row r="49" spans="2:19" ht="15.6" outlineLevel="2">
      <c r="B49" s="2">
        <v>390</v>
      </c>
      <c r="C49" s="2">
        <v>1991</v>
      </c>
      <c r="D49" s="1">
        <v>642187.02000000002</v>
      </c>
      <c r="E49" s="1">
        <v>393712.95999999996</v>
      </c>
      <c r="F49" s="1">
        <v>58927.470000000016</v>
      </c>
      <c r="G49" s="1">
        <v>8971.5799999999908</v>
      </c>
      <c r="H49" s="1">
        <v>180575.01000000001</v>
      </c>
      <c r="I49" s="2">
        <v>60</v>
      </c>
      <c r="J49" s="8">
        <v>38.836953999999999</v>
      </c>
      <c r="K49" s="10">
        <v>-0.050000000000000003</v>
      </c>
      <c r="L49" s="1">
        <f t="shared" si="2"/>
        <v>237836.08528510114</v>
      </c>
      <c r="M49" s="1">
        <f t="shared" si="10"/>
        <v>0.44564481185903426</v>
      </c>
      <c r="N49" s="1">
        <f t="shared" si="3"/>
        <v>105990.41748016812</v>
      </c>
      <c r="O49" s="1">
        <f t="shared" si="4"/>
        <v>64980.760585526521</v>
      </c>
      <c r="P49" s="1">
        <f t="shared" si="5"/>
        <v>9725.7449182795444</v>
      </c>
      <c r="Q49" s="1">
        <f t="shared" si="6"/>
        <v>1480.723652210731</v>
      </c>
      <c r="R49" s="1">
        <f t="shared" si="7"/>
        <v>29803.188324151324</v>
      </c>
      <c r="S49" s="3">
        <f t="shared" si="8"/>
        <v>0</v>
      </c>
    </row>
    <row r="50" spans="2:19" ht="15.6" outlineLevel="2">
      <c r="B50" s="2">
        <v>390</v>
      </c>
      <c r="C50" s="2">
        <v>1990</v>
      </c>
      <c r="D50" s="1">
        <v>1605498.7799999998</v>
      </c>
      <c r="E50" s="1">
        <v>837180.09999999986</v>
      </c>
      <c r="F50" s="1">
        <v>193981.64000000001</v>
      </c>
      <c r="G50" s="1">
        <v>6065.9999999999754</v>
      </c>
      <c r="H50" s="1">
        <v>568271.03999999992</v>
      </c>
      <c r="I50" s="2">
        <v>60</v>
      </c>
      <c r="J50" s="8">
        <v>38.193213</v>
      </c>
      <c r="K50" s="10">
        <v>-0.050000000000000003</v>
      </c>
      <c r="L50" s="1">
        <f t="shared" si="2"/>
        <v>612688.47367384739</v>
      </c>
      <c r="M50" s="1">
        <f t="shared" si="10"/>
        <v>0.44564481185903426</v>
      </c>
      <c r="N50" s="1">
        <f t="shared" si="3"/>
        <v>273041.43957858061</v>
      </c>
      <c r="O50" s="1">
        <f t="shared" si="4"/>
        <v>142376.22758613373</v>
      </c>
      <c r="P50" s="1">
        <f t="shared" si="5"/>
        <v>32989.764238509095</v>
      </c>
      <c r="Q50" s="1">
        <f t="shared" si="6"/>
        <v>1031.6229405566185</v>
      </c>
      <c r="R50" s="1">
        <f t="shared" si="7"/>
        <v>96643.824813381143</v>
      </c>
      <c r="S50" s="3">
        <f t="shared" si="8"/>
        <v>0</v>
      </c>
    </row>
    <row r="51" spans="2:19" ht="15.6" outlineLevel="2">
      <c r="B51" s="2">
        <v>390</v>
      </c>
      <c r="C51" s="2">
        <v>1989</v>
      </c>
      <c r="D51" s="1">
        <v>526012.22999999998</v>
      </c>
      <c r="E51" s="1">
        <v>387379.45000000001</v>
      </c>
      <c r="F51" s="1">
        <v>53774.12000000001</v>
      </c>
      <c r="G51" s="1">
        <v>18592.010000000002</v>
      </c>
      <c r="H51" s="1">
        <v>66266.649999999994</v>
      </c>
      <c r="I51" s="2">
        <v>60</v>
      </c>
      <c r="J51" s="8">
        <v>37.553477999999998</v>
      </c>
      <c r="K51" s="10">
        <v>-0.050000000000000003</v>
      </c>
      <c r="L51" s="1">
        <f t="shared" si="2"/>
        <v>206625.0391268711</v>
      </c>
      <c r="M51" s="1">
        <f t="shared" si="11" ref="M51:M82">$M$104</f>
        <v>0.44564481185903426</v>
      </c>
      <c r="N51" s="1">
        <f t="shared" si="3"/>
        <v>92081.376687060067</v>
      </c>
      <c r="O51" s="1">
        <f t="shared" si="4"/>
        <v>67812.934798637958</v>
      </c>
      <c r="P51" s="1">
        <f t="shared" si="5"/>
        <v>9413.459834831543</v>
      </c>
      <c r="Q51" s="1">
        <f t="shared" si="6"/>
        <v>3254.6351178556965</v>
      </c>
      <c r="R51" s="1">
        <f t="shared" si="7"/>
        <v>11600.346935734877</v>
      </c>
      <c r="S51" s="3">
        <f t="shared" si="8"/>
        <v>0</v>
      </c>
    </row>
    <row r="52" spans="2:19" ht="15.6" outlineLevel="2">
      <c r="B52" s="2">
        <v>390</v>
      </c>
      <c r="C52" s="2">
        <v>1988</v>
      </c>
      <c r="D52" s="1">
        <v>5799347.7599999998</v>
      </c>
      <c r="E52" s="1">
        <v>3560183.1300000004</v>
      </c>
      <c r="F52" s="1">
        <v>195478.65999999992</v>
      </c>
      <c r="G52" s="1">
        <v>89847.300000000134</v>
      </c>
      <c r="H52" s="1">
        <v>1953838.6699999999</v>
      </c>
      <c r="I52" s="2">
        <v>60</v>
      </c>
      <c r="J52" s="8">
        <v>36.918318999999997</v>
      </c>
      <c r="K52" s="10">
        <v>-0.050000000000000003</v>
      </c>
      <c r="L52" s="1">
        <f t="shared" si="2"/>
        <v>2342527.1625767299</v>
      </c>
      <c r="M52" s="1">
        <f t="shared" si="11"/>
        <v>0.44564481185903426</v>
      </c>
      <c r="N52" s="1">
        <f t="shared" si="3"/>
        <v>1043935.0766411842</v>
      </c>
      <c r="O52" s="1">
        <f t="shared" si="4"/>
        <v>640865.18044456805</v>
      </c>
      <c r="P52" s="1">
        <f t="shared" si="5"/>
        <v>35187.927738414481</v>
      </c>
      <c r="Q52" s="1">
        <f t="shared" si="6"/>
        <v>16173.327052127603</v>
      </c>
      <c r="R52" s="1">
        <f t="shared" si="7"/>
        <v>351708.64140607417</v>
      </c>
      <c r="S52" s="3">
        <f t="shared" si="8"/>
        <v>0</v>
      </c>
    </row>
    <row r="53" spans="2:19" ht="15.6" outlineLevel="2">
      <c r="B53" s="2">
        <v>390</v>
      </c>
      <c r="C53" s="2">
        <v>1987</v>
      </c>
      <c r="D53" s="1">
        <v>2745708.0099999998</v>
      </c>
      <c r="E53" s="1">
        <v>1102717.1599999997</v>
      </c>
      <c r="F53" s="1">
        <v>258426.82999999996</v>
      </c>
      <c r="G53" s="1">
        <v>100515.42000000007</v>
      </c>
      <c r="H53" s="1">
        <v>1284048.5999999999</v>
      </c>
      <c r="I53" s="2">
        <v>60</v>
      </c>
      <c r="J53" s="8">
        <v>36.2879</v>
      </c>
      <c r="K53" s="10">
        <v>-0.050000000000000003</v>
      </c>
      <c r="L53" s="1">
        <f t="shared" si="2"/>
        <v>1139363.8008186175</v>
      </c>
      <c r="M53" s="1">
        <f t="shared" si="11"/>
        <v>0.44564481185903426</v>
      </c>
      <c r="N53" s="1">
        <f t="shared" si="3"/>
        <v>507751.56665480696</v>
      </c>
      <c r="O53" s="1">
        <f t="shared" si="4"/>
        <v>203920.57841836551</v>
      </c>
      <c r="P53" s="1">
        <f t="shared" si="5"/>
        <v>47789.723932857472</v>
      </c>
      <c r="Q53" s="1">
        <f t="shared" si="6"/>
        <v>18587.869428244834</v>
      </c>
      <c r="R53" s="1">
        <f t="shared" si="7"/>
        <v>237453.39487533909</v>
      </c>
      <c r="S53" s="3">
        <f t="shared" si="8"/>
        <v>0</v>
      </c>
    </row>
    <row r="54" spans="2:19" ht="15.6" outlineLevel="2">
      <c r="B54" s="2">
        <v>390</v>
      </c>
      <c r="C54" s="2">
        <v>1986</v>
      </c>
      <c r="D54" s="1">
        <v>3963681.9899999993</v>
      </c>
      <c r="E54" s="1">
        <v>2536085.2499999995</v>
      </c>
      <c r="F54" s="1">
        <v>365291.98999999999</v>
      </c>
      <c r="G54" s="1">
        <v>94715.80000000009</v>
      </c>
      <c r="H54" s="1">
        <v>967588.94999999995</v>
      </c>
      <c r="I54" s="2">
        <v>60</v>
      </c>
      <c r="J54" s="8">
        <v>35.661912000000001</v>
      </c>
      <c r="K54" s="10">
        <v>-0.050000000000000003</v>
      </c>
      <c r="L54" s="1">
        <f t="shared" si="2"/>
        <v>1688197.7188411141</v>
      </c>
      <c r="M54" s="1">
        <f t="shared" si="11"/>
        <v>0.44564481185903426</v>
      </c>
      <c r="N54" s="1">
        <f t="shared" si="3"/>
        <v>752336.55479379906</v>
      </c>
      <c r="O54" s="1">
        <f t="shared" si="4"/>
        <v>481367.99179703381</v>
      </c>
      <c r="P54" s="1">
        <f t="shared" si="5"/>
        <v>69335.158053477178</v>
      </c>
      <c r="Q54" s="1">
        <f t="shared" si="6"/>
        <v>17977.768861456665</v>
      </c>
      <c r="R54" s="1">
        <f t="shared" si="7"/>
        <v>183655.6360818315</v>
      </c>
      <c r="S54" s="3">
        <f t="shared" si="8"/>
        <v>0</v>
      </c>
    </row>
    <row r="55" spans="2:19" ht="15.6" outlineLevel="2">
      <c r="B55" s="2">
        <v>390</v>
      </c>
      <c r="C55" s="2">
        <v>1985</v>
      </c>
      <c r="D55" s="1">
        <v>5745026.71</v>
      </c>
      <c r="E55" s="1">
        <v>3035397.8999999999</v>
      </c>
      <c r="F55" s="1">
        <v>403344.15000000008</v>
      </c>
      <c r="G55" s="1">
        <v>93772.309999999998</v>
      </c>
      <c r="H55" s="1">
        <v>2212512.3500000001</v>
      </c>
      <c r="I55" s="2">
        <v>60</v>
      </c>
      <c r="J55" s="8">
        <v>35.040934</v>
      </c>
      <c r="K55" s="10">
        <v>-0.050000000000000003</v>
      </c>
      <c r="L55" s="1">
        <f t="shared" si="2"/>
        <v>2509333.7644664249</v>
      </c>
      <c r="M55" s="1">
        <f t="shared" si="11"/>
        <v>0.44564481185903426</v>
      </c>
      <c r="N55" s="1">
        <f t="shared" si="3"/>
        <v>1118271.5733571621</v>
      </c>
      <c r="O55" s="1">
        <f t="shared" si="4"/>
        <v>590841.32359029981</v>
      </c>
      <c r="P55" s="1">
        <f t="shared" si="5"/>
        <v>78511.087936248645</v>
      </c>
      <c r="Q55" s="1">
        <f t="shared" si="6"/>
        <v>18252.814814334528</v>
      </c>
      <c r="R55" s="1">
        <f t="shared" si="7"/>
        <v>430666.34701627906</v>
      </c>
      <c r="S55" s="3">
        <f t="shared" si="8"/>
        <v>0</v>
      </c>
    </row>
    <row r="56" spans="2:19" ht="15.6" outlineLevel="2">
      <c r="B56" s="2">
        <v>390</v>
      </c>
      <c r="C56" s="2">
        <v>1984</v>
      </c>
      <c r="D56" s="1">
        <v>6440725.4700000007</v>
      </c>
      <c r="E56" s="1">
        <v>4213728.1600000001</v>
      </c>
      <c r="F56" s="1">
        <v>958378.81000000029</v>
      </c>
      <c r="G56" s="1">
        <v>85919.159999999945</v>
      </c>
      <c r="H56" s="1">
        <v>1182699.3400000001</v>
      </c>
      <c r="I56" s="2">
        <v>60</v>
      </c>
      <c r="J56" s="8">
        <v>34.425094999999999</v>
      </c>
      <c r="K56" s="10">
        <v>-0.050000000000000003</v>
      </c>
      <c r="L56" s="1">
        <f t="shared" si="2"/>
        <v>2882616.4854607815</v>
      </c>
      <c r="M56" s="1">
        <f t="shared" si="11"/>
        <v>0.44564481185903426</v>
      </c>
      <c r="N56" s="1">
        <f t="shared" si="3"/>
        <v>1284623.0813249205</v>
      </c>
      <c r="O56" s="1">
        <f t="shared" si="4"/>
        <v>840441.41890195908</v>
      </c>
      <c r="P56" s="1">
        <f t="shared" si="5"/>
        <v>191151.68713730486</v>
      </c>
      <c r="Q56" s="1">
        <f t="shared" si="6"/>
        <v>17136.848415315049</v>
      </c>
      <c r="R56" s="1">
        <f t="shared" si="7"/>
        <v>235893.12687034148</v>
      </c>
      <c r="S56" s="3">
        <f t="shared" si="8"/>
        <v>0</v>
      </c>
    </row>
    <row r="57" spans="2:19" ht="15.6" outlineLevel="2">
      <c r="B57" s="2">
        <v>390</v>
      </c>
      <c r="C57" s="2">
        <v>1983</v>
      </c>
      <c r="D57" s="1">
        <v>7022245.4399999995</v>
      </c>
      <c r="E57" s="1">
        <v>5386276.6199999992</v>
      </c>
      <c r="F57" s="1">
        <v>297495.33000000002</v>
      </c>
      <c r="G57" s="1">
        <v>410733.94999999995</v>
      </c>
      <c r="H57" s="1">
        <v>927739.53999999992</v>
      </c>
      <c r="I57" s="2">
        <v>60</v>
      </c>
      <c r="J57" s="8">
        <v>33.814055000000003</v>
      </c>
      <c r="K57" s="10">
        <v>-0.050000000000000003</v>
      </c>
      <c r="L57" s="1">
        <f t="shared" si="2"/>
        <v>3217972.3251959635</v>
      </c>
      <c r="M57" s="1">
        <f t="shared" si="11"/>
        <v>0.44564481185903426</v>
      </c>
      <c r="N57" s="1">
        <f t="shared" si="3"/>
        <v>1434072.6714295342</v>
      </c>
      <c r="O57" s="1">
        <f t="shared" si="4"/>
        <v>1099977.5168071941</v>
      </c>
      <c r="P57" s="1">
        <f t="shared" si="5"/>
        <v>60754.060261230479</v>
      </c>
      <c r="Q57" s="1">
        <f t="shared" si="6"/>
        <v>83879.485266653501</v>
      </c>
      <c r="R57" s="1">
        <f t="shared" si="7"/>
        <v>189461.60909445616</v>
      </c>
      <c r="S57" s="3">
        <f t="shared" si="8"/>
        <v>0</v>
      </c>
    </row>
    <row r="58" spans="2:19" ht="15.6" outlineLevel="2">
      <c r="B58" s="2">
        <v>390</v>
      </c>
      <c r="C58" s="2">
        <v>1982</v>
      </c>
      <c r="D58" s="1">
        <v>6562018.8800000008</v>
      </c>
      <c r="E58" s="1">
        <v>5457144.1500000013</v>
      </c>
      <c r="F58" s="1">
        <v>508864.83999999991</v>
      </c>
      <c r="G58" s="1">
        <v>114149.30000000011</v>
      </c>
      <c r="H58" s="1">
        <v>481860.58999999991</v>
      </c>
      <c r="I58" s="2">
        <v>60</v>
      </c>
      <c r="J58" s="8">
        <v>33.208370000000002</v>
      </c>
      <c r="K58" s="10">
        <v>-0.050000000000000003</v>
      </c>
      <c r="L58" s="1">
        <f t="shared" si="2"/>
        <v>3076625.683004552</v>
      </c>
      <c r="M58" s="1">
        <f t="shared" si="11"/>
        <v>0.44564481185903426</v>
      </c>
      <c r="N58" s="1">
        <f t="shared" si="3"/>
        <v>1371082.2736632363</v>
      </c>
      <c r="O58" s="1">
        <f t="shared" si="4"/>
        <v>1140227.3821086644</v>
      </c>
      <c r="P58" s="1">
        <f t="shared" si="5"/>
        <v>106323.30911770841</v>
      </c>
      <c r="Q58" s="1">
        <f t="shared" si="6"/>
        <v>23850.599128582053</v>
      </c>
      <c r="R58" s="1">
        <f t="shared" si="7"/>
        <v>100680.98330828153</v>
      </c>
      <c r="S58" s="3">
        <f t="shared" si="8"/>
        <v>0</v>
      </c>
    </row>
    <row r="59" spans="2:19" ht="15.6" outlineLevel="2">
      <c r="B59" s="2">
        <v>390</v>
      </c>
      <c r="C59" s="2">
        <v>1981</v>
      </c>
      <c r="D59" s="1">
        <v>904321.4299999997</v>
      </c>
      <c r="E59" s="1">
        <v>563865.30999999982</v>
      </c>
      <c r="F59" s="1">
        <v>70309.010000000009</v>
      </c>
      <c r="G59" s="1">
        <v>8478.3400000000001</v>
      </c>
      <c r="H59" s="1">
        <v>261668.76999999996</v>
      </c>
      <c r="I59" s="2">
        <v>60</v>
      </c>
      <c r="J59" s="8">
        <v>32.608156999999999</v>
      </c>
      <c r="K59" s="10">
        <v>-0.050000000000000003</v>
      </c>
      <c r="L59" s="1">
        <f t="shared" si="2"/>
        <v>433493.03606167098</v>
      </c>
      <c r="M59" s="1">
        <f t="shared" si="11"/>
        <v>0.44564481185903426</v>
      </c>
      <c r="N59" s="1">
        <f t="shared" si="3"/>
        <v>193183.92249790492</v>
      </c>
      <c r="O59" s="1">
        <f t="shared" si="4"/>
        <v>120454.64005679611</v>
      </c>
      <c r="P59" s="1">
        <f t="shared" si="5"/>
        <v>15019.626747919076</v>
      </c>
      <c r="Q59" s="1">
        <f t="shared" si="6"/>
        <v>1811.1690413782276</v>
      </c>
      <c r="R59" s="1">
        <f t="shared" si="7"/>
        <v>55898.486651811538</v>
      </c>
      <c r="S59" s="3">
        <f t="shared" si="8"/>
        <v>0</v>
      </c>
    </row>
    <row r="60" spans="2:19" ht="15.6" outlineLevel="2">
      <c r="B60" s="2">
        <v>390</v>
      </c>
      <c r="C60" s="2">
        <v>1980</v>
      </c>
      <c r="D60" s="1">
        <v>2067831.9800000002</v>
      </c>
      <c r="E60" s="1">
        <v>1655742.3800000001</v>
      </c>
      <c r="F60" s="1">
        <v>215247.55000000002</v>
      </c>
      <c r="G60" s="1">
        <v>58260.080000000016</v>
      </c>
      <c r="H60" s="1">
        <v>138581.96999999997</v>
      </c>
      <c r="I60" s="2">
        <v>60</v>
      </c>
      <c r="J60" s="8">
        <v>32.013030999999998</v>
      </c>
      <c r="K60" s="10">
        <v>-0.050000000000000003</v>
      </c>
      <c r="L60" s="1">
        <f t="shared" si="2"/>
        <v>1012766.1166257011</v>
      </c>
      <c r="M60" s="1">
        <f t="shared" si="11"/>
        <v>0.44564481185903426</v>
      </c>
      <c r="N60" s="1">
        <f t="shared" si="3"/>
        <v>451333.96550086531</v>
      </c>
      <c r="O60" s="1">
        <f t="shared" si="4"/>
        <v>361389.5042929168</v>
      </c>
      <c r="P60" s="1">
        <f t="shared" si="5"/>
        <v>46980.862683942913</v>
      </c>
      <c r="Q60" s="1">
        <f t="shared" si="6"/>
        <v>12716.097434955842</v>
      </c>
      <c r="R60" s="1">
        <f t="shared" si="7"/>
        <v>30247.501089049769</v>
      </c>
      <c r="S60" s="3">
        <f t="shared" si="8"/>
        <v>0</v>
      </c>
    </row>
    <row r="61" spans="2:19" ht="15.6" outlineLevel="2">
      <c r="B61" s="2">
        <v>390</v>
      </c>
      <c r="C61" s="2">
        <v>1979</v>
      </c>
      <c r="D61" s="1">
        <v>983696.66000000003</v>
      </c>
      <c r="E61" s="1">
        <v>720578.05000000005</v>
      </c>
      <c r="F61" s="1">
        <v>85138.559999999983</v>
      </c>
      <c r="G61" s="1">
        <v>17553.670000000027</v>
      </c>
      <c r="H61" s="1">
        <v>160426.38000000001</v>
      </c>
      <c r="I61" s="2">
        <v>60</v>
      </c>
      <c r="J61" s="8">
        <v>31.423539999999999</v>
      </c>
      <c r="K61" s="10">
        <v>-0.050000000000000003</v>
      </c>
      <c r="L61" s="1">
        <f t="shared" si="2"/>
        <v>491934.94449091307</v>
      </c>
      <c r="M61" s="1">
        <f t="shared" si="11"/>
        <v>0.44564481185903426</v>
      </c>
      <c r="N61" s="1">
        <f t="shared" si="3"/>
        <v>219228.25578453741</v>
      </c>
      <c r="O61" s="1">
        <f t="shared" si="4"/>
        <v>160589.20954161132</v>
      </c>
      <c r="P61" s="1">
        <f t="shared" si="5"/>
        <v>18974.119530717104</v>
      </c>
      <c r="Q61" s="1">
        <f t="shared" si="6"/>
        <v>3912.0397712007752</v>
      </c>
      <c r="R61" s="1">
        <f t="shared" si="7"/>
        <v>35752.886941008212</v>
      </c>
      <c r="S61" s="3">
        <f t="shared" si="8"/>
        <v>0</v>
      </c>
    </row>
    <row r="62" spans="2:19" ht="15.6" outlineLevel="2">
      <c r="B62" s="2">
        <v>390</v>
      </c>
      <c r="C62" s="2">
        <v>1978</v>
      </c>
      <c r="D62" s="1">
        <v>1223459.9799999995</v>
      </c>
      <c r="E62" s="1">
        <v>832833.56999999983</v>
      </c>
      <c r="F62" s="1">
        <v>20284.319999999992</v>
      </c>
      <c r="G62" s="1">
        <v>70493.699999999983</v>
      </c>
      <c r="H62" s="1">
        <v>299848.3899999999</v>
      </c>
      <c r="I62" s="2">
        <v>60</v>
      </c>
      <c r="J62" s="8">
        <v>30.839756999999999</v>
      </c>
      <c r="K62" s="10">
        <v>-0.050000000000000003</v>
      </c>
      <c r="L62" s="1">
        <f t="shared" si="12" ref="L62:L127">+D62*(1-K62)*(1-J62/I62)</f>
        <v>624336.83055756474</v>
      </c>
      <c r="M62" s="1">
        <f t="shared" si="11"/>
        <v>0.44564481185903426</v>
      </c>
      <c r="N62" s="1">
        <f t="shared" si="3"/>
        <v>278232.46939049166</v>
      </c>
      <c r="O62" s="1">
        <f t="shared" si="4"/>
        <v>189398.38209697628</v>
      </c>
      <c r="P62" s="1">
        <f t="shared" si="5"/>
        <v>4612.9473262435095</v>
      </c>
      <c r="Q62" s="1">
        <f t="shared" si="6"/>
        <v>16031.285492045687</v>
      </c>
      <c r="R62" s="1">
        <f t="shared" si="7"/>
        <v>68189.854475226239</v>
      </c>
      <c r="S62" s="3">
        <f t="shared" si="8"/>
        <v>0</v>
      </c>
    </row>
    <row r="63" spans="2:19" ht="15.6" outlineLevel="2">
      <c r="B63" s="2">
        <v>390</v>
      </c>
      <c r="C63" s="2">
        <v>1977</v>
      </c>
      <c r="D63" s="1">
        <v>893589.23999999999</v>
      </c>
      <c r="E63" s="1">
        <v>604061.45000000007</v>
      </c>
      <c r="F63" s="1">
        <v>177090.94999999998</v>
      </c>
      <c r="G63" s="1">
        <v>7983.3600000000079</v>
      </c>
      <c r="H63" s="1">
        <v>104453.48000000001</v>
      </c>
      <c r="I63" s="2">
        <v>60</v>
      </c>
      <c r="J63" s="8">
        <v>30.261277</v>
      </c>
      <c r="K63" s="10">
        <v>-0.050000000000000003</v>
      </c>
      <c r="L63" s="1">
        <f t="shared" si="12"/>
        <v>465048.55047245912</v>
      </c>
      <c r="M63" s="1">
        <f t="shared" si="11"/>
        <v>0.44564481185903426</v>
      </c>
      <c r="N63" s="1">
        <f t="shared" si="3"/>
        <v>207246.47378061563</v>
      </c>
      <c r="O63" s="1">
        <f t="shared" si="4"/>
        <v>140097.48534942707</v>
      </c>
      <c r="P63" s="1">
        <f t="shared" si="5"/>
        <v>41071.97500045917</v>
      </c>
      <c r="Q63" s="1">
        <f t="shared" si="6"/>
        <v>1851.5478195789569</v>
      </c>
      <c r="R63" s="1">
        <f t="shared" si="7"/>
        <v>24225.465611150445</v>
      </c>
      <c r="S63" s="3">
        <f t="shared" si="8"/>
        <v>0</v>
      </c>
    </row>
    <row r="64" spans="2:19" ht="15.6" outlineLevel="2">
      <c r="B64" s="2">
        <v>390</v>
      </c>
      <c r="C64" s="2">
        <v>1976</v>
      </c>
      <c r="D64" s="1">
        <v>561103.59000000008</v>
      </c>
      <c r="E64" s="1">
        <v>329442.8000000001</v>
      </c>
      <c r="F64" s="1">
        <v>179387.39999999999</v>
      </c>
      <c r="G64" s="1">
        <v>7428.4800000000123</v>
      </c>
      <c r="H64" s="1">
        <v>44844.909999999996</v>
      </c>
      <c r="I64" s="2">
        <v>60</v>
      </c>
      <c r="J64" s="8">
        <v>29.688621000000001</v>
      </c>
      <c r="K64" s="10">
        <v>-0.050000000000000003</v>
      </c>
      <c r="L64" s="1">
        <f t="shared" si="12"/>
        <v>297636.91255813575</v>
      </c>
      <c r="M64" s="1">
        <f t="shared" si="11"/>
        <v>0.44564481185903426</v>
      </c>
      <c r="N64" s="1">
        <f t="shared" si="3"/>
        <v>132640.34589927425</v>
      </c>
      <c r="O64" s="1">
        <f t="shared" si="4"/>
        <v>77877.610702910373</v>
      </c>
      <c r="P64" s="1">
        <f t="shared" si="5"/>
        <v>42405.729013374279</v>
      </c>
      <c r="Q64" s="1">
        <f t="shared" si="6"/>
        <v>1756.0325299395113</v>
      </c>
      <c r="R64" s="1">
        <f t="shared" si="7"/>
        <v>10600.973653050094</v>
      </c>
      <c r="S64" s="3">
        <f t="shared" si="8"/>
        <v>0</v>
      </c>
    </row>
    <row r="65" spans="2:19" ht="15.6" outlineLevel="2">
      <c r="B65" s="2">
        <v>390</v>
      </c>
      <c r="C65" s="2">
        <v>1975</v>
      </c>
      <c r="D65" s="1">
        <v>1251050.7300000002</v>
      </c>
      <c r="E65" s="1">
        <v>757529.43000000028</v>
      </c>
      <c r="F65" s="1">
        <v>353212.62</v>
      </c>
      <c r="G65" s="1">
        <v>74652.449999999983</v>
      </c>
      <c r="H65" s="1">
        <v>65656.229999999996</v>
      </c>
      <c r="I65" s="2">
        <v>60</v>
      </c>
      <c r="J65" s="8">
        <v>29.121834</v>
      </c>
      <c r="K65" s="10">
        <v>-0.050000000000000003</v>
      </c>
      <c r="L65" s="1">
        <f t="shared" si="12"/>
        <v>676027.66201882076</v>
      </c>
      <c r="M65" s="1">
        <f t="shared" si="11"/>
        <v>0.44564481185903426</v>
      </c>
      <c r="N65" s="1">
        <f t="shared" si="3"/>
        <v>301268.22025188018</v>
      </c>
      <c r="O65" s="1">
        <f t="shared" si="4"/>
        <v>182422.29327065041</v>
      </c>
      <c r="P65" s="1">
        <f t="shared" si="5"/>
        <v>85057.891615557135</v>
      </c>
      <c r="Q65" s="1">
        <f t="shared" si="6"/>
        <v>17977.217237979199</v>
      </c>
      <c r="R65" s="1">
        <f t="shared" si="7"/>
        <v>15810.818127693428</v>
      </c>
      <c r="S65" s="3">
        <f t="shared" si="8"/>
        <v>0</v>
      </c>
    </row>
    <row r="66" spans="2:19" ht="15.6" outlineLevel="2">
      <c r="B66" s="2">
        <v>390</v>
      </c>
      <c r="C66" s="2">
        <v>1974</v>
      </c>
      <c r="D66" s="1">
        <v>1296418.01</v>
      </c>
      <c r="E66" s="1">
        <v>1043999.3399999997</v>
      </c>
      <c r="F66" s="1">
        <v>81885.440000000002</v>
      </c>
      <c r="G66" s="1">
        <v>38231.420000000056</v>
      </c>
      <c r="H66" s="1">
        <v>132301.81000000003</v>
      </c>
      <c r="I66" s="2">
        <v>60</v>
      </c>
      <c r="J66" s="8">
        <v>28.560496000000001</v>
      </c>
      <c r="K66" s="10">
        <v>-0.050000000000000003</v>
      </c>
      <c r="L66" s="1">
        <f t="shared" si="12"/>
        <v>713277.93619367306</v>
      </c>
      <c r="M66" s="1">
        <f t="shared" si="11"/>
        <v>0.44564481185903426</v>
      </c>
      <c r="N66" s="1">
        <f t="shared" si="3"/>
        <v>317868.6116782297</v>
      </c>
      <c r="O66" s="1">
        <f t="shared" si="4"/>
        <v>255978.10138320125</v>
      </c>
      <c r="P66" s="1">
        <f t="shared" si="5"/>
        <v>20077.483441826746</v>
      </c>
      <c r="Q66" s="1">
        <f t="shared" si="6"/>
        <v>9373.9583252837729</v>
      </c>
      <c r="R66" s="1">
        <f t="shared" si="7"/>
        <v>32439.068527917887</v>
      </c>
      <c r="S66" s="3">
        <f t="shared" si="8"/>
        <v>4.7293724492192268E-11</v>
      </c>
    </row>
    <row r="67" spans="2:19" ht="15.6" outlineLevel="2">
      <c r="B67" s="2">
        <v>390</v>
      </c>
      <c r="C67" s="2">
        <v>1973</v>
      </c>
      <c r="D67" s="1">
        <v>547855.66999999993</v>
      </c>
      <c r="E67" s="1">
        <v>273947.89999999997</v>
      </c>
      <c r="F67" s="1">
        <v>122005.8</v>
      </c>
      <c r="G67" s="1">
        <v>35413.679999999986</v>
      </c>
      <c r="H67" s="1">
        <v>116488.28999999999</v>
      </c>
      <c r="I67" s="2">
        <v>60</v>
      </c>
      <c r="J67" s="8">
        <v>28.005096000000002</v>
      </c>
      <c r="K67" s="10">
        <v>-0.050000000000000003</v>
      </c>
      <c r="L67" s="1">
        <f t="shared" si="12"/>
        <v>306750.31743134937</v>
      </c>
      <c r="M67" s="1">
        <f t="shared" si="11"/>
        <v>0.44564481185903426</v>
      </c>
      <c r="N67" s="1">
        <f t="shared" si="3"/>
        <v>136701.68749939272</v>
      </c>
      <c r="O67" s="1">
        <f t="shared" si="4"/>
        <v>68355.850395624977</v>
      </c>
      <c r="P67" s="1">
        <f t="shared" si="5"/>
        <v>30443.052172323802</v>
      </c>
      <c r="Q67" s="1">
        <f t="shared" si="6"/>
        <v>8836.4693141963708</v>
      </c>
      <c r="R67" s="1">
        <f t="shared" si="7"/>
        <v>29066.315617247579</v>
      </c>
      <c r="S67" s="3">
        <f t="shared" si="8"/>
        <v>0</v>
      </c>
    </row>
    <row r="68" spans="2:19" ht="15.6" outlineLevel="2">
      <c r="B68" s="2">
        <v>390</v>
      </c>
      <c r="C68" s="2">
        <v>1972</v>
      </c>
      <c r="D68" s="1">
        <v>805839.06000000006</v>
      </c>
      <c r="E68" s="1">
        <v>532782.51000000001</v>
      </c>
      <c r="F68" s="1">
        <v>56253.159999999989</v>
      </c>
      <c r="G68" s="1">
        <v>8949.110000000006</v>
      </c>
      <c r="H68" s="1">
        <v>207854.28</v>
      </c>
      <c r="I68" s="2">
        <v>60</v>
      </c>
      <c r="J68" s="8">
        <v>27.455651</v>
      </c>
      <c r="K68" s="10">
        <v>-0.050000000000000003</v>
      </c>
      <c r="L68" s="1">
        <f t="shared" si="12"/>
        <v>458946.38311325904</v>
      </c>
      <c r="M68" s="1">
        <f t="shared" si="11"/>
        <v>0.44564481185903426</v>
      </c>
      <c r="N68" s="1">
        <f t="shared" si="3"/>
        <v>204527.07455589259</v>
      </c>
      <c r="O68" s="1">
        <f t="shared" si="4"/>
        <v>135223.5868845146</v>
      </c>
      <c r="P68" s="1">
        <f t="shared" si="5"/>
        <v>14277.409498274448</v>
      </c>
      <c r="Q68" s="1">
        <f t="shared" si="6"/>
        <v>2271.3409898235573</v>
      </c>
      <c r="R68" s="1">
        <f t="shared" si="7"/>
        <v>52754.737183279962</v>
      </c>
      <c r="S68" s="3">
        <f t="shared" si="8"/>
        <v>0</v>
      </c>
    </row>
    <row r="69" spans="2:19" ht="15.6" outlineLevel="2">
      <c r="B69" s="2">
        <v>390</v>
      </c>
      <c r="C69" s="2">
        <v>1971</v>
      </c>
      <c r="D69" s="1">
        <v>738147.59999999998</v>
      </c>
      <c r="E69" s="1">
        <v>561202.45999999996</v>
      </c>
      <c r="F69" s="1">
        <v>95413.449999999983</v>
      </c>
      <c r="G69" s="1">
        <v>30006.279999999984</v>
      </c>
      <c r="H69" s="1">
        <v>51525.410000000003</v>
      </c>
      <c r="I69" s="2">
        <v>60</v>
      </c>
      <c r="J69" s="8">
        <v>26.911733000000002</v>
      </c>
      <c r="K69" s="10">
        <v>-0.050000000000000003</v>
      </c>
      <c r="L69" s="1">
        <f t="shared" si="12"/>
        <v>427420.43529866094</v>
      </c>
      <c r="M69" s="1">
        <f t="shared" si="11"/>
        <v>0.44564481185903426</v>
      </c>
      <c r="N69" s="1">
        <f t="shared" si="3"/>
        <v>190477.69947337828</v>
      </c>
      <c r="O69" s="1">
        <f t="shared" si="13" ref="O69:O132">+E69/$D69*$N69</f>
        <v>144817.31501883987</v>
      </c>
      <c r="P69" s="1">
        <f t="shared" si="14" ref="P69:P132">+F69/$D69*$N69</f>
        <v>24621.274193424459</v>
      </c>
      <c r="Q69" s="1">
        <f t="shared" si="15" ref="Q69:R132">+G69/$D69*$N69</f>
        <v>7743.0681670631166</v>
      </c>
      <c r="R69" s="1">
        <f t="shared" si="16" ref="R69:R132">+H69/$D69*$N69</f>
        <v>13296.042094050839</v>
      </c>
      <c r="S69" s="3">
        <f t="shared" si="17" ref="S69:S103">+N69-O69-P69-Q69-R69</f>
        <v>0</v>
      </c>
    </row>
    <row r="70" spans="2:19" ht="15.6" outlineLevel="2">
      <c r="B70" s="2">
        <v>390</v>
      </c>
      <c r="C70" s="2">
        <v>1970</v>
      </c>
      <c r="D70" s="1">
        <v>375041.23999999999</v>
      </c>
      <c r="E70" s="1">
        <v>225046.79999999996</v>
      </c>
      <c r="F70" s="1">
        <v>12895.889999999996</v>
      </c>
      <c r="G70" s="1">
        <v>8531.1899999999987</v>
      </c>
      <c r="H70" s="1">
        <v>128567.36000000002</v>
      </c>
      <c r="I70" s="2">
        <v>60</v>
      </c>
      <c r="J70" s="8">
        <v>26.373792000000002</v>
      </c>
      <c r="K70" s="10">
        <v>-0.050000000000000003</v>
      </c>
      <c r="L70" s="1">
        <f t="shared" si="12"/>
        <v>220696.25803431359</v>
      </c>
      <c r="M70" s="1">
        <f t="shared" si="11"/>
        <v>0.44564481185903426</v>
      </c>
      <c r="N70" s="1">
        <f t="shared" si="3"/>
        <v>98352.142389694563</v>
      </c>
      <c r="O70" s="1">
        <f t="shared" si="13"/>
        <v>59017.069477332974</v>
      </c>
      <c r="P70" s="1">
        <f t="shared" si="14"/>
        <v>3381.8638438851094</v>
      </c>
      <c r="Q70" s="1">
        <f t="shared" si="15"/>
        <v>2237.249465241578</v>
      </c>
      <c r="R70" s="1">
        <f t="shared" si="16"/>
        <v>33715.959603234893</v>
      </c>
      <c r="S70" s="3">
        <f t="shared" si="17"/>
        <v>0</v>
      </c>
    </row>
    <row r="71" spans="2:19" ht="15.6" outlineLevel="2">
      <c r="B71" s="2">
        <v>390</v>
      </c>
      <c r="C71" s="2">
        <v>1969</v>
      </c>
      <c r="D71" s="1">
        <v>414100.71000000008</v>
      </c>
      <c r="E71" s="1">
        <v>319546.85000000003</v>
      </c>
      <c r="F71" s="1">
        <v>5358.5299999999997</v>
      </c>
      <c r="G71" s="1">
        <v>14082.799999999996</v>
      </c>
      <c r="H71" s="1">
        <v>75112.529999999999</v>
      </c>
      <c r="I71" s="2">
        <v>60</v>
      </c>
      <c r="J71" s="8">
        <v>25.841823000000002</v>
      </c>
      <c r="K71" s="10">
        <v>-0.050000000000000003</v>
      </c>
      <c r="L71" s="1">
        <f t="shared" si="12"/>
        <v>247536.19359009925</v>
      </c>
      <c r="M71" s="1">
        <f t="shared" si="11"/>
        <v>0.44564481185903426</v>
      </c>
      <c r="N71" s="1">
        <f t="shared" si="18" ref="N71:N136">IF((D71*(1-K71)-L71*M71)&lt;0,D71*(1-K71),L71*M71)</f>
        <v>110313.22042076127</v>
      </c>
      <c r="O71" s="1">
        <f t="shared" si="13"/>
        <v>85124.804781933199</v>
      </c>
      <c r="P71" s="1">
        <f t="shared" si="14"/>
        <v>1427.4708706035826</v>
      </c>
      <c r="Q71" s="1">
        <f t="shared" si="15"/>
        <v>3751.5487972515093</v>
      </c>
      <c r="R71" s="1">
        <f t="shared" si="16"/>
        <v>20009.395970972957</v>
      </c>
      <c r="S71" s="3">
        <f t="shared" si="17"/>
        <v>0</v>
      </c>
    </row>
    <row r="72" spans="2:19" ht="15.6" outlineLevel="2">
      <c r="B72" s="2">
        <v>390</v>
      </c>
      <c r="C72" s="2">
        <v>1968</v>
      </c>
      <c r="D72" s="1">
        <v>284619.70000000007</v>
      </c>
      <c r="E72" s="1">
        <v>191327.23000000004</v>
      </c>
      <c r="F72" s="1">
        <v>18264.580000000002</v>
      </c>
      <c r="G72" s="1">
        <v>11812.73999999998</v>
      </c>
      <c r="H72" s="1">
        <v>63215.150000000009</v>
      </c>
      <c r="I72" s="2">
        <v>60</v>
      </c>
      <c r="J72" s="8">
        <v>25.31541</v>
      </c>
      <c r="K72" s="10">
        <v>-0.050000000000000003</v>
      </c>
      <c r="L72" s="1">
        <f t="shared" si="12"/>
        <v>172758.55800740258</v>
      </c>
      <c r="M72" s="1">
        <f t="shared" si="11"/>
        <v>0.44564481185903426</v>
      </c>
      <c r="N72" s="1">
        <f t="shared" si="18"/>
        <v>76988.955080246975</v>
      </c>
      <c r="O72" s="1">
        <f t="shared" si="13"/>
        <v>51753.562793081721</v>
      </c>
      <c r="P72" s="1">
        <f t="shared" si="14"/>
        <v>4940.5256529311819</v>
      </c>
      <c r="Q72" s="1">
        <f t="shared" si="15"/>
        <v>3195.3182061348348</v>
      </c>
      <c r="R72" s="1">
        <f t="shared" si="16"/>
        <v>17099.548428099228</v>
      </c>
      <c r="S72" s="3">
        <f t="shared" si="17"/>
        <v>0</v>
      </c>
    </row>
    <row r="73" spans="2:19" ht="15.6" outlineLevel="2">
      <c r="B73" s="2">
        <v>390</v>
      </c>
      <c r="C73" s="2">
        <v>1967</v>
      </c>
      <c r="D73" s="1">
        <v>468316.10000000003</v>
      </c>
      <c r="E73" s="1">
        <v>368763.12</v>
      </c>
      <c r="F73" s="1">
        <v>78813.800000000017</v>
      </c>
      <c r="G73" s="1">
        <v>18387.850000000002</v>
      </c>
      <c r="H73" s="1">
        <v>2351.3299999999999</v>
      </c>
      <c r="I73" s="2">
        <v>60</v>
      </c>
      <c r="J73" s="8">
        <v>24.794954000000001</v>
      </c>
      <c r="K73" s="10">
        <v>-0.050000000000000003</v>
      </c>
      <c r="L73" s="1">
        <f t="shared" si="12"/>
        <v>288524.07225321059</v>
      </c>
      <c r="M73" s="1">
        <f t="shared" si="11"/>
        <v>0.44564481185903426</v>
      </c>
      <c r="N73" s="1">
        <f t="shared" si="18"/>
        <v>128579.25589608443</v>
      </c>
      <c r="O73" s="1">
        <f t="shared" si="13"/>
        <v>101246.33249106423</v>
      </c>
      <c r="P73" s="1">
        <f t="shared" si="14"/>
        <v>21638.845553981209</v>
      </c>
      <c r="Q73" s="1">
        <f t="shared" si="15"/>
        <v>5048.5047824083267</v>
      </c>
      <c r="R73" s="1">
        <f t="shared" si="16"/>
        <v>645.57306863065389</v>
      </c>
      <c r="S73" s="3">
        <f t="shared" si="17"/>
        <v>1.6711965145077556E-11</v>
      </c>
    </row>
    <row r="74" spans="2:19" ht="15.6" outlineLevel="2">
      <c r="B74" s="2">
        <v>390</v>
      </c>
      <c r="C74" s="2">
        <v>1966</v>
      </c>
      <c r="D74" s="1">
        <v>254943.44999999998</v>
      </c>
      <c r="E74" s="1">
        <v>142199.37999999998</v>
      </c>
      <c r="F74" s="1">
        <v>85004</v>
      </c>
      <c r="G74" s="1">
        <v>15027.680000000002</v>
      </c>
      <c r="H74" s="1">
        <v>12712.390000000001</v>
      </c>
      <c r="I74" s="2">
        <v>60</v>
      </c>
      <c r="J74" s="8">
        <v>24.280425999999999</v>
      </c>
      <c r="K74" s="10">
        <v>-0.050000000000000003</v>
      </c>
      <c r="L74" s="1">
        <f t="shared" si="12"/>
        <v>159363.24999158026</v>
      </c>
      <c r="M74" s="1">
        <f t="shared" si="11"/>
        <v>0.44564481185903426</v>
      </c>
      <c r="N74" s="1">
        <f t="shared" si="18"/>
        <v>71019.405559742023</v>
      </c>
      <c r="O74" s="1">
        <f t="shared" si="13"/>
        <v>39612.374581750846</v>
      </c>
      <c r="P74" s="1">
        <f t="shared" si="14"/>
        <v>23679.500493934287</v>
      </c>
      <c r="Q74" s="1">
        <f t="shared" si="15"/>
        <v>4186.2495409943822</v>
      </c>
      <c r="R74" s="1">
        <f t="shared" si="16"/>
        <v>3541.280943062507</v>
      </c>
      <c r="S74" s="3">
        <f t="shared" si="17"/>
        <v>0</v>
      </c>
    </row>
    <row r="75" spans="2:19" ht="15.6" outlineLevel="2">
      <c r="B75" s="2">
        <v>390</v>
      </c>
      <c r="C75" s="2">
        <v>1965</v>
      </c>
      <c r="D75" s="1">
        <v>1017869.5900000001</v>
      </c>
      <c r="E75" s="1">
        <v>944189.69000000006</v>
      </c>
      <c r="F75" s="1">
        <v>35775.519999999997</v>
      </c>
      <c r="G75" s="1">
        <v>6907.9399999999832</v>
      </c>
      <c r="H75" s="1">
        <v>30996.440000000002</v>
      </c>
      <c r="I75" s="2">
        <v>60</v>
      </c>
      <c r="J75" s="8">
        <v>23.771432000000001</v>
      </c>
      <c r="K75" s="10">
        <v>-0.050000000000000003</v>
      </c>
      <c r="L75" s="1">
        <f t="shared" si="12"/>
        <v>645329.25898782478</v>
      </c>
      <c r="M75" s="1">
        <f t="shared" si="11"/>
        <v>0.44564481185903426</v>
      </c>
      <c r="N75" s="1">
        <f t="shared" si="18"/>
        <v>287587.63620875916</v>
      </c>
      <c r="O75" s="1">
        <f t="shared" si="13"/>
        <v>266770.20685899566</v>
      </c>
      <c r="P75" s="1">
        <f t="shared" si="14"/>
        <v>10107.971917049988</v>
      </c>
      <c r="Q75" s="1">
        <f t="shared" si="15"/>
        <v>1951.7609674063754</v>
      </c>
      <c r="R75" s="1">
        <f t="shared" si="16"/>
        <v>8757.6964653071427</v>
      </c>
      <c r="S75" s="3">
        <f t="shared" si="17"/>
        <v>0</v>
      </c>
    </row>
    <row r="76" spans="2:19" ht="15.6" outlineLevel="2">
      <c r="B76" s="2">
        <v>390</v>
      </c>
      <c r="C76" s="2">
        <v>1964</v>
      </c>
      <c r="D76" s="1">
        <v>468488.44999999995</v>
      </c>
      <c r="E76" s="1">
        <v>26047.059999999998</v>
      </c>
      <c r="F76" s="1">
        <v>2957.7299999999977</v>
      </c>
      <c r="G76" s="1">
        <v>1049.8799999999997</v>
      </c>
      <c r="H76" s="1">
        <v>438433.77999999997</v>
      </c>
      <c r="I76" s="2">
        <v>60</v>
      </c>
      <c r="J76" s="8">
        <v>23.268319999999999</v>
      </c>
      <c r="K76" s="10">
        <v>-0.050000000000000003</v>
      </c>
      <c r="L76" s="1">
        <f t="shared" si="12"/>
        <v>301146.43700918002</v>
      </c>
      <c r="M76" s="1">
        <f t="shared" si="11"/>
        <v>0.44564481185903426</v>
      </c>
      <c r="N76" s="1">
        <f t="shared" si="18"/>
        <v>134204.34726297454</v>
      </c>
      <c r="O76" s="1">
        <f t="shared" si="13"/>
        <v>7461.5045161082062</v>
      </c>
      <c r="P76" s="1">
        <f t="shared" si="14"/>
        <v>847.27857011227786</v>
      </c>
      <c r="Q76" s="1">
        <f t="shared" si="15"/>
        <v>300.75119270165931</v>
      </c>
      <c r="R76" s="1">
        <f t="shared" si="16"/>
        <v>125594.81298405241</v>
      </c>
      <c r="S76" s="3">
        <f t="shared" si="17"/>
        <v>0</v>
      </c>
    </row>
    <row r="77" spans="2:19" ht="15.6" outlineLevel="2">
      <c r="B77" s="2">
        <v>390</v>
      </c>
      <c r="C77" s="2">
        <v>1963</v>
      </c>
      <c r="D77" s="1">
        <v>451112.06999999995</v>
      </c>
      <c r="E77" s="1">
        <v>103271.62000000002</v>
      </c>
      <c r="F77" s="1">
        <v>17753.839999999997</v>
      </c>
      <c r="G77" s="1">
        <v>572.40999999999963</v>
      </c>
      <c r="H77" s="1">
        <v>329514.19999999995</v>
      </c>
      <c r="I77" s="2">
        <v>60</v>
      </c>
      <c r="J77" s="8">
        <v>22.771044</v>
      </c>
      <c r="K77" s="10">
        <v>-0.050000000000000003</v>
      </c>
      <c r="L77" s="1">
        <f t="shared" si="12"/>
        <v>293902.54958923109</v>
      </c>
      <c r="M77" s="1">
        <f t="shared" si="11"/>
        <v>0.44564481185903426</v>
      </c>
      <c r="N77" s="1">
        <f t="shared" si="18"/>
        <v>130976.14641658338</v>
      </c>
      <c r="O77" s="1">
        <f t="shared" si="13"/>
        <v>29983.943506095424</v>
      </c>
      <c r="P77" s="1">
        <f t="shared" si="14"/>
        <v>5154.6604534358712</v>
      </c>
      <c r="Q77" s="1">
        <f t="shared" si="15"/>
        <v>166.1938594777933</v>
      </c>
      <c r="R77" s="1">
        <f t="shared" si="16"/>
        <v>95671.348597574295</v>
      </c>
      <c r="S77" s="3">
        <f t="shared" si="17"/>
        <v>0</v>
      </c>
    </row>
    <row r="78" spans="2:19" ht="15.6" outlineLevel="2">
      <c r="B78" s="2">
        <v>390</v>
      </c>
      <c r="C78" s="2">
        <v>1962</v>
      </c>
      <c r="D78" s="1">
        <v>28430.900000000001</v>
      </c>
      <c r="E78" s="1">
        <v>14272.670000000002</v>
      </c>
      <c r="F78" s="1">
        <v>4740.7300000000005</v>
      </c>
      <c r="G78" s="1">
        <v>467.53000000000014</v>
      </c>
      <c r="H78" s="1">
        <v>8949.9699999999993</v>
      </c>
      <c r="I78" s="2">
        <v>60</v>
      </c>
      <c r="J78" s="8">
        <v>22.279247000000002</v>
      </c>
      <c r="K78" s="10">
        <v>-0.050000000000000003</v>
      </c>
      <c r="L78" s="1">
        <f t="shared" si="12"/>
        <v>18767.611738184751</v>
      </c>
      <c r="M78" s="1">
        <f t="shared" si="11"/>
        <v>0.44564481185903426</v>
      </c>
      <c r="N78" s="1">
        <f t="shared" si="18"/>
        <v>8363.6888021067462</v>
      </c>
      <c r="O78" s="1">
        <f t="shared" si="13"/>
        <v>4198.6771525053691</v>
      </c>
      <c r="P78" s="1">
        <f t="shared" si="14"/>
        <v>1394.609049126532</v>
      </c>
      <c r="Q78" s="1">
        <f t="shared" si="15"/>
        <v>137.53611126095089</v>
      </c>
      <c r="R78" s="1">
        <f t="shared" si="16"/>
        <v>2632.8664892138945</v>
      </c>
      <c r="S78" s="3">
        <f t="shared" si="17"/>
        <v>0</v>
      </c>
    </row>
    <row r="79" spans="2:19" ht="15.6" outlineLevel="2">
      <c r="B79" s="2">
        <v>390</v>
      </c>
      <c r="C79" s="2">
        <v>1961</v>
      </c>
      <c r="D79" s="1">
        <v>84397.819999999992</v>
      </c>
      <c r="E79" s="1">
        <v>55962.959999999999</v>
      </c>
      <c r="F79" s="1">
        <v>17329.82</v>
      </c>
      <c r="G79" s="1">
        <v>3650.0099999999984</v>
      </c>
      <c r="H79" s="1">
        <v>7455.0300000000007</v>
      </c>
      <c r="I79" s="2">
        <v>60</v>
      </c>
      <c r="J79" s="8">
        <v>21.793213999999999</v>
      </c>
      <c r="K79" s="10">
        <v>-0.050000000000000003</v>
      </c>
      <c r="L79" s="1">
        <f t="shared" si="12"/>
        <v>56429.965333114102</v>
      </c>
      <c r="M79" s="1">
        <f t="shared" si="11"/>
        <v>0.44564481185903426</v>
      </c>
      <c r="N79" s="1">
        <f t="shared" si="18"/>
        <v>25147.72128408746</v>
      </c>
      <c r="O79" s="1">
        <f t="shared" si="13"/>
        <v>16675.086161141786</v>
      </c>
      <c r="P79" s="1">
        <f t="shared" si="14"/>
        <v>5163.7054519110161</v>
      </c>
      <c r="Q79" s="1">
        <f t="shared" si="15"/>
        <v>1087.5806290272906</v>
      </c>
      <c r="R79" s="1">
        <f t="shared" si="16"/>
        <v>2221.3490420073713</v>
      </c>
      <c r="S79" s="3">
        <f t="shared" si="17"/>
        <v>-3.637978807091713E-12</v>
      </c>
    </row>
    <row r="80" spans="2:19" ht="15.6" outlineLevel="2">
      <c r="B80" s="2">
        <v>390</v>
      </c>
      <c r="C80" s="2">
        <v>1960</v>
      </c>
      <c r="D80" s="1">
        <v>77301.669999999984</v>
      </c>
      <c r="E80" s="1">
        <v>114107.30999999998</v>
      </c>
      <c r="F80" s="1">
        <v>821.23000000000002</v>
      </c>
      <c r="G80" s="1">
        <v>60.560000000000002</v>
      </c>
      <c r="H80" s="1">
        <v>-37687.43</v>
      </c>
      <c r="I80" s="2">
        <v>60</v>
      </c>
      <c r="J80" s="8">
        <v>21.312884</v>
      </c>
      <c r="K80" s="10">
        <v>-0.050000000000000003</v>
      </c>
      <c r="L80" s="1">
        <f t="shared" si="12"/>
        <v>52335.126799965095</v>
      </c>
      <c r="M80" s="1">
        <f t="shared" si="11"/>
        <v>0.44564481185903426</v>
      </c>
      <c r="N80" s="1">
        <f t="shared" si="18"/>
        <v>23322.877736389146</v>
      </c>
      <c r="O80" s="1">
        <f t="shared" si="13"/>
        <v>34427.598264801454</v>
      </c>
      <c r="P80" s="1">
        <f t="shared" si="14"/>
        <v>247.77533115979077</v>
      </c>
      <c r="Q80" s="1">
        <f t="shared" si="15"/>
        <v>18.271707140553715</v>
      </c>
      <c r="R80" s="1">
        <f t="shared" si="16"/>
        <v>-11370.767566712653</v>
      </c>
      <c r="S80" s="3">
        <f t="shared" si="17"/>
        <v>0</v>
      </c>
    </row>
    <row r="81" spans="2:19" ht="15.6" outlineLevel="2">
      <c r="B81" s="2">
        <v>390</v>
      </c>
      <c r="C81" s="2">
        <v>1959</v>
      </c>
      <c r="D81" s="1">
        <v>115036.47</v>
      </c>
      <c r="E81" s="1">
        <v>107227.7</v>
      </c>
      <c r="F81" s="1">
        <v>4366.5800000000008</v>
      </c>
      <c r="G81" s="1">
        <v>156.07999999999996</v>
      </c>
      <c r="H81" s="1">
        <v>3286.1100000000001</v>
      </c>
      <c r="I81" s="2">
        <v>60</v>
      </c>
      <c r="J81" s="8">
        <v>20.837948999999998</v>
      </c>
      <c r="K81" s="10">
        <v>-0.050000000000000003</v>
      </c>
      <c r="L81" s="1">
        <f t="shared" si="12"/>
        <v>78838.621837499479</v>
      </c>
      <c r="M81" s="1">
        <f t="shared" si="11"/>
        <v>0.44564481185903426</v>
      </c>
      <c r="N81" s="1">
        <f t="shared" si="18"/>
        <v>35134.022795998004</v>
      </c>
      <c r="O81" s="1">
        <f t="shared" si="13"/>
        <v>32749.0964922901</v>
      </c>
      <c r="P81" s="1">
        <f t="shared" si="14"/>
        <v>1333.6250778605167</v>
      </c>
      <c r="Q81" s="1">
        <f t="shared" si="15"/>
        <v>47.669389351041168</v>
      </c>
      <c r="R81" s="1">
        <f t="shared" si="16"/>
        <v>1003.6318364963477</v>
      </c>
      <c r="S81" s="3">
        <f t="shared" si="17"/>
        <v>-2.0463630789890885E-12</v>
      </c>
    </row>
    <row r="82" spans="2:19" ht="15.6" outlineLevel="2">
      <c r="B82" s="2">
        <v>390</v>
      </c>
      <c r="C82" s="2">
        <v>1958</v>
      </c>
      <c r="D82" s="1">
        <v>9935.5400000000009</v>
      </c>
      <c r="E82" s="1">
        <v>3107.1599999999999</v>
      </c>
      <c r="F82" s="1">
        <v>3254.6800000000003</v>
      </c>
      <c r="G82" s="1">
        <v>157.51999999999936</v>
      </c>
      <c r="H82" s="1">
        <v>3416.1800000000003</v>
      </c>
      <c r="I82" s="2">
        <v>60</v>
      </c>
      <c r="J82" s="8">
        <v>20.368627</v>
      </c>
      <c r="K82" s="10">
        <v>-0.050000000000000003</v>
      </c>
      <c r="L82" s="1">
        <f t="shared" si="12"/>
        <v>6890.78410468735</v>
      </c>
      <c r="M82" s="1">
        <f t="shared" si="11"/>
        <v>0.44564481185903426</v>
      </c>
      <c r="N82" s="1">
        <f t="shared" si="18"/>
        <v>3070.8421858946181</v>
      </c>
      <c r="O82" s="1">
        <f t="shared" si="13"/>
        <v>960.35021813855315</v>
      </c>
      <c r="P82" s="1">
        <f t="shared" si="14"/>
        <v>1005.9451872356708</v>
      </c>
      <c r="Q82" s="1">
        <f t="shared" si="15"/>
        <v>48.685734355869762</v>
      </c>
      <c r="R82" s="1">
        <f t="shared" si="16"/>
        <v>1055.8610461645242</v>
      </c>
      <c r="S82" s="3">
        <f t="shared" si="17"/>
        <v>0</v>
      </c>
    </row>
    <row r="83" spans="2:19" ht="15.6" outlineLevel="2">
      <c r="B83" s="2">
        <v>390</v>
      </c>
      <c r="C83" s="2">
        <v>1957</v>
      </c>
      <c r="D83" s="1">
        <v>537776.93999999994</v>
      </c>
      <c r="E83" s="1">
        <v>504324.56999999995</v>
      </c>
      <c r="F83" s="1">
        <v>15963.06</v>
      </c>
      <c r="G83" s="1">
        <v>16421.21999999999</v>
      </c>
      <c r="H83" s="1">
        <v>1068.0900000000002</v>
      </c>
      <c r="I83" s="2">
        <v>60</v>
      </c>
      <c r="J83" s="8">
        <v>19.904844000000001</v>
      </c>
      <c r="K83" s="10">
        <v>-0.050000000000000003</v>
      </c>
      <c r="L83" s="1">
        <f t="shared" si="12"/>
        <v>377339.38029379619</v>
      </c>
      <c r="M83" s="1">
        <f t="shared" si="19" ref="M83:M103">$M$104</f>
        <v>0.44564481185903426</v>
      </c>
      <c r="N83" s="1">
        <f t="shared" si="18"/>
        <v>168159.33713803339</v>
      </c>
      <c r="O83" s="1">
        <f t="shared" si="13"/>
        <v>157698.99950270035</v>
      </c>
      <c r="P83" s="1">
        <f t="shared" si="14"/>
        <v>4991.5446138219604</v>
      </c>
      <c r="Q83" s="1">
        <f t="shared" si="15"/>
        <v>5134.8082537674736</v>
      </c>
      <c r="R83" s="1">
        <f t="shared" si="16"/>
        <v>333.98476774359671</v>
      </c>
      <c r="S83" s="3">
        <f t="shared" si="17"/>
        <v>7.9012352216523141E-12</v>
      </c>
    </row>
    <row r="84" spans="2:19" ht="15.6" outlineLevel="2">
      <c r="B84" s="2">
        <v>390</v>
      </c>
      <c r="C84" s="2">
        <v>1956</v>
      </c>
      <c r="D84" s="1">
        <v>23715.490000000005</v>
      </c>
      <c r="E84" s="1">
        <v>21347.080000000002</v>
      </c>
      <c r="F84" s="1">
        <v>560.53999999999996</v>
      </c>
      <c r="G84" s="1">
        <v>983.83000000000015</v>
      </c>
      <c r="H84" s="1">
        <v>824.03999999999996</v>
      </c>
      <c r="I84" s="2">
        <v>60</v>
      </c>
      <c r="J84" s="8">
        <v>19.446352000000001</v>
      </c>
      <c r="K84" s="10">
        <v>-0.050000000000000003</v>
      </c>
      <c r="L84" s="1">
        <f t="shared" si="12"/>
        <v>16830.618588131601</v>
      </c>
      <c r="M84" s="1">
        <f t="shared" si="19"/>
        <v>0.44564481185903426</v>
      </c>
      <c r="N84" s="1">
        <f t="shared" si="18"/>
        <v>7500.477854179072</v>
      </c>
      <c r="O84" s="1">
        <f t="shared" si="13"/>
        <v>6751.4228376216961</v>
      </c>
      <c r="P84" s="1">
        <f t="shared" si="14"/>
        <v>177.28150910571679</v>
      </c>
      <c r="Q84" s="1">
        <f t="shared" si="15"/>
        <v>311.15507743154353</v>
      </c>
      <c r="R84" s="1">
        <f t="shared" si="16"/>
        <v>260.61843002011432</v>
      </c>
      <c r="S84" s="3">
        <f t="shared" si="17"/>
        <v>1.1937117960769683E-12</v>
      </c>
    </row>
    <row r="85" spans="2:19" ht="15.6" outlineLevel="2">
      <c r="B85" s="2">
        <v>390</v>
      </c>
      <c r="C85" s="2">
        <v>1955</v>
      </c>
      <c r="D85" s="1">
        <v>8555.7800000000007</v>
      </c>
      <c r="E85" s="1">
        <v>-3636.5499999999997</v>
      </c>
      <c r="F85" s="1">
        <v>5102.5600000000004</v>
      </c>
      <c r="G85" s="1">
        <v>-67.930000000000405</v>
      </c>
      <c r="H85" s="1">
        <v>7157.6999999999998</v>
      </c>
      <c r="I85" s="2">
        <v>60</v>
      </c>
      <c r="J85" s="8">
        <v>18.993297999999999</v>
      </c>
      <c r="K85" s="10">
        <v>-0.050000000000000003</v>
      </c>
      <c r="L85" s="1">
        <f t="shared" si="12"/>
        <v>6139.7756146573001</v>
      </c>
      <c r="M85" s="1">
        <f t="shared" si="19"/>
        <v>0.44564481185903426</v>
      </c>
      <c r="N85" s="1">
        <f t="shared" si="18"/>
        <v>2736.1591486506391</v>
      </c>
      <c r="O85" s="1">
        <f t="shared" si="13"/>
        <v>-1162.9774903077778</v>
      </c>
      <c r="P85" s="1">
        <f t="shared" si="14"/>
        <v>1631.8110359942407</v>
      </c>
      <c r="Q85" s="1">
        <f t="shared" si="15"/>
        <v>-21.724178387924773</v>
      </c>
      <c r="R85" s="1">
        <f t="shared" si="16"/>
        <v>2289.049781352101</v>
      </c>
      <c r="S85" s="3">
        <f t="shared" si="17"/>
        <v>0</v>
      </c>
    </row>
    <row r="86" spans="2:19" ht="15.6" outlineLevel="2">
      <c r="B86" s="2">
        <v>390</v>
      </c>
      <c r="C86" s="2">
        <v>1954</v>
      </c>
      <c r="D86" s="1">
        <v>1566.6700000000001</v>
      </c>
      <c r="E86" s="1">
        <v>621.45000000000016</v>
      </c>
      <c r="F86" s="1">
        <v>621.67999999999995</v>
      </c>
      <c r="G86" s="1">
        <v>131.22000000000003</v>
      </c>
      <c r="H86" s="1">
        <v>192.31999999999999</v>
      </c>
      <c r="I86" s="2">
        <v>60</v>
      </c>
      <c r="J86" s="8">
        <v>18.545596</v>
      </c>
      <c r="K86" s="10">
        <v>-0.050000000000000003</v>
      </c>
      <c r="L86" s="1">
        <f t="shared" si="12"/>
        <v>1136.5439945069004</v>
      </c>
      <c r="M86" s="1">
        <f t="shared" si="19"/>
        <v>0.44564481185903426</v>
      </c>
      <c r="N86" s="1">
        <f t="shared" si="18"/>
        <v>506.49493460154287</v>
      </c>
      <c r="O86" s="1">
        <f t="shared" si="13"/>
        <v>200.91102600300565</v>
      </c>
      <c r="P86" s="1">
        <f t="shared" si="14"/>
        <v>200.98538361179263</v>
      </c>
      <c r="Q86" s="1">
        <f t="shared" si="15"/>
        <v>42.422632282749056</v>
      </c>
      <c r="R86" s="1">
        <f t="shared" si="16"/>
        <v>62.175892703995551</v>
      </c>
      <c r="S86" s="3">
        <f t="shared" si="17"/>
        <v>0</v>
      </c>
    </row>
    <row r="87" spans="2:19" ht="15.6" outlineLevel="2">
      <c r="B87" s="2">
        <v>390</v>
      </c>
      <c r="C87" s="2">
        <v>1953</v>
      </c>
      <c r="D87" s="1">
        <v>32049.25</v>
      </c>
      <c r="E87" s="1">
        <v>18115.240000000002</v>
      </c>
      <c r="F87" s="1">
        <v>5434.3000000000002</v>
      </c>
      <c r="G87" s="1">
        <v>0.14000000000000112</v>
      </c>
      <c r="H87" s="1">
        <v>8499.5700000000015</v>
      </c>
      <c r="I87" s="2">
        <v>60</v>
      </c>
      <c r="J87" s="8">
        <v>18.103068</v>
      </c>
      <c r="K87" s="10">
        <v>-0.050000000000000003</v>
      </c>
      <c r="L87" s="1">
        <f t="shared" si="12"/>
        <v>23498.3918382675</v>
      </c>
      <c r="M87" s="1">
        <f t="shared" si="19"/>
        <v>0.44564481185903426</v>
      </c>
      <c r="N87" s="1">
        <f t="shared" si="18"/>
        <v>10471.936409754586</v>
      </c>
      <c r="O87" s="1">
        <f t="shared" si="13"/>
        <v>5919.0664782309314</v>
      </c>
      <c r="P87" s="1">
        <f t="shared" si="14"/>
        <v>1775.6310687934772</v>
      </c>
      <c r="Q87" s="1">
        <f t="shared" si="15"/>
        <v>0.045744318427596707</v>
      </c>
      <c r="R87" s="1">
        <f t="shared" si="16"/>
        <v>2777.1931184117507</v>
      </c>
      <c r="S87" s="3">
        <f t="shared" si="17"/>
        <v>0</v>
      </c>
    </row>
    <row r="88" spans="2:19" ht="15.6" outlineLevel="2">
      <c r="B88" s="2">
        <v>390</v>
      </c>
      <c r="C88" s="2">
        <v>1952</v>
      </c>
      <c r="D88" s="1">
        <v>81248.430000000008</v>
      </c>
      <c r="E88" s="1">
        <v>58123.160000000011</v>
      </c>
      <c r="F88" s="1">
        <v>12806.440000000001</v>
      </c>
      <c r="G88" s="1">
        <v>4588.1400000000021</v>
      </c>
      <c r="H88" s="1">
        <v>5730.6899999999996</v>
      </c>
      <c r="I88" s="2">
        <v>60</v>
      </c>
      <c r="J88" s="8">
        <v>17.665783000000001</v>
      </c>
      <c r="K88" s="10">
        <v>-0.050000000000000003</v>
      </c>
      <c r="L88" s="1">
        <f t="shared" si="12"/>
        <v>60192.801664262923</v>
      </c>
      <c r="M88" s="1">
        <f t="shared" si="19"/>
        <v>0.44564481185903426</v>
      </c>
      <c r="N88" s="1">
        <f t="shared" si="18"/>
        <v>26824.609772938613</v>
      </c>
      <c r="O88" s="1">
        <f t="shared" si="13"/>
        <v>19189.676474610951</v>
      </c>
      <c r="P88" s="1">
        <f t="shared" si="14"/>
        <v>4228.1156150408315</v>
      </c>
      <c r="Q88" s="1">
        <f t="shared" si="15"/>
        <v>1514.7993023817276</v>
      </c>
      <c r="R88" s="1">
        <f t="shared" si="16"/>
        <v>1892.0183809051023</v>
      </c>
      <c r="S88" s="3">
        <f t="shared" si="17"/>
        <v>0</v>
      </c>
    </row>
    <row r="89" spans="2:19" ht="15.6" outlineLevel="2">
      <c r="B89" s="2">
        <v>390</v>
      </c>
      <c r="C89" s="2">
        <v>1951</v>
      </c>
      <c r="D89" s="1">
        <v>35083.269999999997</v>
      </c>
      <c r="E89" s="1">
        <v>26945.189999999999</v>
      </c>
      <c r="F89" s="1">
        <v>5414.1100000000006</v>
      </c>
      <c r="G89" s="1">
        <v>2490.9799999999991</v>
      </c>
      <c r="H89" s="1">
        <v>232.99000000000001</v>
      </c>
      <c r="I89" s="2">
        <v>60</v>
      </c>
      <c r="J89" s="8">
        <v>17.233646</v>
      </c>
      <c r="K89" s="10">
        <v>-0.050000000000000003</v>
      </c>
      <c r="L89" s="1">
        <f t="shared" si="12"/>
        <v>26256.712025207649</v>
      </c>
      <c r="M89" s="1">
        <f t="shared" si="19"/>
        <v>0.44564481185903426</v>
      </c>
      <c r="N89" s="1">
        <f t="shared" si="18"/>
        <v>11701.167490510505</v>
      </c>
      <c r="O89" s="1">
        <f t="shared" si="13"/>
        <v>8986.9097508193718</v>
      </c>
      <c r="P89" s="1">
        <f t="shared" si="14"/>
        <v>1805.7441031593646</v>
      </c>
      <c r="Q89" s="1">
        <f t="shared" si="15"/>
        <v>830.80551486540026</v>
      </c>
      <c r="R89" s="1">
        <f t="shared" si="16"/>
        <v>77.708121666368129</v>
      </c>
      <c r="S89" s="3">
        <f t="shared" si="17"/>
        <v>-1.1368683772161603E-13</v>
      </c>
    </row>
    <row r="90" spans="2:19" ht="15.6" outlineLevel="2">
      <c r="B90" s="2">
        <v>390</v>
      </c>
      <c r="C90" s="2">
        <v>1950</v>
      </c>
      <c r="D90" s="1">
        <v>5374.8599999999997</v>
      </c>
      <c r="E90" s="1">
        <v>5374.8599999999997</v>
      </c>
      <c r="I90" s="2">
        <v>60</v>
      </c>
      <c r="J90" s="8">
        <v>16.806566</v>
      </c>
      <c r="K90" s="10">
        <v>-0.050000000000000003</v>
      </c>
      <c r="L90" s="1">
        <f t="shared" si="12"/>
        <v>4062.7765617116997</v>
      </c>
      <c r="M90" s="1">
        <f t="shared" si="19"/>
        <v>0.44564481185903426</v>
      </c>
      <c r="N90" s="1">
        <f t="shared" si="18"/>
        <v>1810.5552964693045</v>
      </c>
      <c r="O90" s="1">
        <f t="shared" si="13"/>
        <v>1810.5552964693045</v>
      </c>
      <c r="P90" s="1">
        <f t="shared" si="14"/>
        <v>0</v>
      </c>
      <c r="Q90" s="1">
        <f t="shared" si="15"/>
        <v>0</v>
      </c>
      <c r="R90" s="1">
        <f t="shared" si="16"/>
        <v>0</v>
      </c>
      <c r="S90" s="3">
        <f t="shared" si="17"/>
        <v>0</v>
      </c>
    </row>
    <row r="91" spans="2:19" ht="15.6" outlineLevel="2">
      <c r="B91" s="2">
        <v>390</v>
      </c>
      <c r="C91" s="2">
        <v>1949</v>
      </c>
      <c r="D91" s="1">
        <v>18904.93</v>
      </c>
      <c r="E91" s="1">
        <v>17195.439999999999</v>
      </c>
      <c r="F91" s="1">
        <v>1166.9100000000001</v>
      </c>
      <c r="G91" s="1">
        <v>542.57999999999993</v>
      </c>
      <c r="I91" s="2">
        <v>60</v>
      </c>
      <c r="J91" s="8">
        <v>16.384523000000002</v>
      </c>
      <c r="K91" s="10">
        <v>-0.050000000000000003</v>
      </c>
      <c r="L91" s="1">
        <f t="shared" si="12"/>
        <v>14429.581943028175</v>
      </c>
      <c r="M91" s="1">
        <f t="shared" si="19"/>
        <v>0.44564481185903426</v>
      </c>
      <c r="N91" s="1">
        <f t="shared" si="18"/>
        <v>6430.468330205309</v>
      </c>
      <c r="O91" s="1">
        <f t="shared" si="13"/>
        <v>5848.9892501027816</v>
      </c>
      <c r="P91" s="1">
        <f t="shared" si="14"/>
        <v>396.92174470891337</v>
      </c>
      <c r="Q91" s="1">
        <f t="shared" si="15"/>
        <v>184.55733539361404</v>
      </c>
      <c r="R91" s="1">
        <f t="shared" si="16"/>
        <v>0</v>
      </c>
      <c r="S91" s="3">
        <f t="shared" si="17"/>
        <v>0</v>
      </c>
    </row>
    <row r="92" spans="2:19" ht="15.6" outlineLevel="2">
      <c r="B92" s="2">
        <v>390</v>
      </c>
      <c r="C92" s="2">
        <v>1948</v>
      </c>
      <c r="D92" s="1">
        <v>1388.3499999999999</v>
      </c>
      <c r="E92" s="1">
        <v>1388.3499999999999</v>
      </c>
      <c r="I92" s="2">
        <v>60</v>
      </c>
      <c r="J92" s="8">
        <v>15.967409</v>
      </c>
      <c r="K92" s="10">
        <v>-0.050000000000000003</v>
      </c>
      <c r="L92" s="1">
        <f t="shared" si="12"/>
        <v>1069.8213350098749</v>
      </c>
      <c r="M92" s="1">
        <f t="shared" si="19"/>
        <v>0.44564481185903426</v>
      </c>
      <c r="N92" s="1">
        <f t="shared" si="18"/>
        <v>476.76032756325657</v>
      </c>
      <c r="O92" s="1">
        <f t="shared" si="13"/>
        <v>476.76032756325657</v>
      </c>
      <c r="P92" s="1">
        <f t="shared" si="14"/>
        <v>0</v>
      </c>
      <c r="Q92" s="1">
        <f t="shared" si="15"/>
        <v>0</v>
      </c>
      <c r="R92" s="1">
        <f t="shared" si="16"/>
        <v>0</v>
      </c>
      <c r="S92" s="3">
        <f t="shared" si="17"/>
        <v>0</v>
      </c>
    </row>
    <row r="93" spans="2:19" ht="15.6" outlineLevel="2">
      <c r="B93" s="2">
        <v>390</v>
      </c>
      <c r="C93" s="2">
        <v>1947</v>
      </c>
      <c r="D93" s="1">
        <v>1261.6800000000001</v>
      </c>
      <c r="E93" s="1">
        <v>1211.21</v>
      </c>
      <c r="G93" s="1">
        <v>50.470000000000027</v>
      </c>
      <c r="I93" s="2">
        <v>60</v>
      </c>
      <c r="J93" s="8">
        <v>15.555246</v>
      </c>
      <c r="K93" s="10">
        <v>-0.050000000000000003</v>
      </c>
      <c r="L93" s="1">
        <f t="shared" si="12"/>
        <v>981.31350146760019</v>
      </c>
      <c r="M93" s="1">
        <f t="shared" si="19"/>
        <v>0.44564481185903426</v>
      </c>
      <c r="N93" s="1">
        <f t="shared" si="18"/>
        <v>437.31727073625882</v>
      </c>
      <c r="O93" s="1">
        <f t="shared" si="13"/>
        <v>419.82360938468076</v>
      </c>
      <c r="P93" s="1">
        <f t="shared" si="14"/>
        <v>0</v>
      </c>
      <c r="Q93" s="1">
        <f t="shared" si="15"/>
        <v>17.493661351578051</v>
      </c>
      <c r="R93" s="1">
        <f t="shared" si="16"/>
        <v>0</v>
      </c>
      <c r="S93" s="3">
        <f t="shared" si="17"/>
        <v>3.5527136788005009E-15</v>
      </c>
    </row>
    <row r="94" spans="2:19" ht="15.6" outlineLevel="2">
      <c r="B94" s="2">
        <v>390</v>
      </c>
      <c r="C94" s="2">
        <v>1945</v>
      </c>
      <c r="D94" s="1">
        <v>112.95</v>
      </c>
      <c r="E94" s="1">
        <v>89.230000000000004</v>
      </c>
      <c r="F94" s="1">
        <v>15.810000000000001</v>
      </c>
      <c r="G94" s="1">
        <v>7.9099999999999984</v>
      </c>
      <c r="I94" s="2">
        <v>60</v>
      </c>
      <c r="J94" s="8">
        <v>14.745262</v>
      </c>
      <c r="K94" s="10">
        <v>-0.050000000000000003</v>
      </c>
      <c r="L94" s="1">
        <f t="shared" si="12"/>
        <v>89.451646499250018</v>
      </c>
      <c r="M94" s="1">
        <f t="shared" si="19"/>
        <v>0.44564481185903426</v>
      </c>
      <c r="N94" s="1">
        <f t="shared" si="18"/>
        <v>39.863662174639117</v>
      </c>
      <c r="O94" s="1">
        <f t="shared" si="13"/>
        <v>31.492116651996888</v>
      </c>
      <c r="P94" s="1">
        <f t="shared" si="14"/>
        <v>5.5798539086413843</v>
      </c>
      <c r="Q94" s="1">
        <f t="shared" si="15"/>
        <v>2.7916916140008445</v>
      </c>
      <c r="R94" s="1">
        <f t="shared" si="16"/>
        <v>0</v>
      </c>
      <c r="S94" s="3">
        <f t="shared" si="17"/>
        <v>4.4408920985006262E-16</v>
      </c>
    </row>
    <row r="95" spans="2:19" ht="15.6" outlineLevel="2">
      <c r="B95" s="2">
        <v>390</v>
      </c>
      <c r="C95" s="2">
        <v>1941</v>
      </c>
      <c r="D95" s="1">
        <v>22451.860000000001</v>
      </c>
      <c r="E95" s="1">
        <v>12485.019999999999</v>
      </c>
      <c r="F95" s="1">
        <v>7512.21</v>
      </c>
      <c r="G95" s="1">
        <v>2454.6300000000006</v>
      </c>
      <c r="I95" s="2">
        <v>60</v>
      </c>
      <c r="J95" s="8">
        <v>13.181658000000001</v>
      </c>
      <c r="K95" s="10">
        <v>-0.050000000000000003</v>
      </c>
      <c r="L95" s="1">
        <f t="shared" si="12"/>
        <v>18395.280050282101</v>
      </c>
      <c r="M95" s="1">
        <f t="shared" si="19"/>
        <v>0.44564481185903426</v>
      </c>
      <c r="N95" s="1">
        <f t="shared" si="18"/>
        <v>8197.7611171022127</v>
      </c>
      <c r="O95" s="1">
        <f t="shared" si="13"/>
        <v>4558.6072379857815</v>
      </c>
      <c r="P95" s="1">
        <f t="shared" si="14"/>
        <v>2742.9042868388815</v>
      </c>
      <c r="Q95" s="1">
        <f t="shared" si="15"/>
        <v>896.24959227754891</v>
      </c>
      <c r="R95" s="1">
        <f t="shared" si="16"/>
        <v>0</v>
      </c>
      <c r="S95" s="3">
        <f t="shared" si="17"/>
        <v>7.9580786405131221E-13</v>
      </c>
    </row>
    <row r="96" spans="2:19" ht="15.6" outlineLevel="2">
      <c r="B96" s="2">
        <v>390</v>
      </c>
      <c r="C96" s="2">
        <v>1940</v>
      </c>
      <c r="D96" s="1">
        <v>423.33999999999998</v>
      </c>
      <c r="E96" s="1">
        <v>423.33999999999998</v>
      </c>
      <c r="I96" s="2">
        <v>60</v>
      </c>
      <c r="J96" s="8">
        <v>12.802113</v>
      </c>
      <c r="K96" s="10">
        <v>-0.050000000000000003</v>
      </c>
      <c r="L96" s="1">
        <f t="shared" si="12"/>
        <v>349.66318594515002</v>
      </c>
      <c r="M96" s="1">
        <f t="shared" si="19"/>
        <v>0.44564481185903426</v>
      </c>
      <c r="N96" s="1">
        <f t="shared" si="18"/>
        <v>155.8255847145569</v>
      </c>
      <c r="O96" s="1">
        <f t="shared" si="13"/>
        <v>155.8255847145569</v>
      </c>
      <c r="P96" s="1">
        <f t="shared" si="14"/>
        <v>0</v>
      </c>
      <c r="Q96" s="1">
        <f t="shared" si="15"/>
        <v>0</v>
      </c>
      <c r="R96" s="1">
        <f t="shared" si="16"/>
        <v>0</v>
      </c>
      <c r="S96" s="3">
        <f t="shared" si="17"/>
        <v>0</v>
      </c>
    </row>
    <row r="97" spans="2:19" ht="15.6" outlineLevel="2">
      <c r="B97" s="2">
        <v>390</v>
      </c>
      <c r="C97" s="2">
        <v>1939</v>
      </c>
      <c r="D97" s="1">
        <v>77.230000000000004</v>
      </c>
      <c r="E97" s="1">
        <v>77.230000000000004</v>
      </c>
      <c r="I97" s="2">
        <v>60</v>
      </c>
      <c r="J97" s="8">
        <v>12.426814</v>
      </c>
      <c r="K97" s="10">
        <v>-0.050000000000000003</v>
      </c>
      <c r="L97" s="1">
        <f t="shared" si="12"/>
        <v>64.296350208650011</v>
      </c>
      <c r="M97" s="1">
        <f t="shared" si="19"/>
        <v>0.44564481185903426</v>
      </c>
      <c r="N97" s="1">
        <f t="shared" si="18"/>
        <v>28.653334891956412</v>
      </c>
      <c r="O97" s="1">
        <f t="shared" si="13"/>
        <v>28.653334891956412</v>
      </c>
      <c r="P97" s="1">
        <f t="shared" si="14"/>
        <v>0</v>
      </c>
      <c r="Q97" s="1">
        <f t="shared" si="15"/>
        <v>0</v>
      </c>
      <c r="R97" s="1">
        <f t="shared" si="16"/>
        <v>0</v>
      </c>
      <c r="S97" s="3">
        <f t="shared" si="17"/>
        <v>0</v>
      </c>
    </row>
    <row r="98" spans="2:19" ht="15.6" outlineLevel="2">
      <c r="B98" s="2">
        <v>390</v>
      </c>
      <c r="C98" s="2">
        <v>1938</v>
      </c>
      <c r="D98" s="1">
        <v>720.36000000000001</v>
      </c>
      <c r="E98" s="1">
        <v>720.36000000000001</v>
      </c>
      <c r="I98" s="2">
        <v>60</v>
      </c>
      <c r="J98" s="8">
        <v>12.056236999999999</v>
      </c>
      <c r="K98" s="10">
        <v>-0.050000000000000003</v>
      </c>
      <c r="L98" s="1">
        <f t="shared" si="12"/>
        <v>604.39345950689994</v>
      </c>
      <c r="M98" s="1">
        <f t="shared" si="19"/>
        <v>0.44564481185903426</v>
      </c>
      <c r="N98" s="1">
        <f t="shared" si="18"/>
        <v>269.34480955078328</v>
      </c>
      <c r="O98" s="1">
        <f t="shared" si="13"/>
        <v>269.34480955078328</v>
      </c>
      <c r="P98" s="1">
        <f t="shared" si="14"/>
        <v>0</v>
      </c>
      <c r="Q98" s="1">
        <f t="shared" si="15"/>
        <v>0</v>
      </c>
      <c r="R98" s="1">
        <f t="shared" si="16"/>
        <v>0</v>
      </c>
      <c r="S98" s="3">
        <f t="shared" si="17"/>
        <v>0</v>
      </c>
    </row>
    <row r="99" spans="2:19" ht="15.6" outlineLevel="2">
      <c r="B99" s="2">
        <v>390</v>
      </c>
      <c r="C99" s="2">
        <v>1930</v>
      </c>
      <c r="D99" s="1">
        <v>71.530000000000001</v>
      </c>
      <c r="E99" s="1">
        <v>71.530000000000001</v>
      </c>
      <c r="I99" s="2">
        <v>60</v>
      </c>
      <c r="J99" s="8">
        <v>9.2413810000000005</v>
      </c>
      <c r="K99" s="10">
        <v>-0.050000000000000003</v>
      </c>
      <c r="L99" s="1">
        <f t="shared" si="12"/>
        <v>63.538370298725006</v>
      </c>
      <c r="M99" s="1">
        <f t="shared" si="19"/>
        <v>0.44564481185903426</v>
      </c>
      <c r="N99" s="1">
        <f t="shared" si="18"/>
        <v>28.315545077604956</v>
      </c>
      <c r="O99" s="1">
        <f t="shared" si="13"/>
        <v>28.315545077604956</v>
      </c>
      <c r="P99" s="1">
        <f t="shared" si="14"/>
        <v>0</v>
      </c>
      <c r="Q99" s="1">
        <f t="shared" si="15"/>
        <v>0</v>
      </c>
      <c r="R99" s="1">
        <f t="shared" si="16"/>
        <v>0</v>
      </c>
      <c r="S99" s="3">
        <f t="shared" si="17"/>
        <v>0</v>
      </c>
    </row>
    <row r="100" spans="2:19" ht="15.6" outlineLevel="2">
      <c r="B100" s="2">
        <v>390</v>
      </c>
      <c r="C100" s="2">
        <v>1929</v>
      </c>
      <c r="D100" s="1">
        <v>477.48000000000002</v>
      </c>
      <c r="E100" s="1">
        <v>477.48000000000002</v>
      </c>
      <c r="I100" s="2">
        <v>60</v>
      </c>
      <c r="J100" s="8">
        <v>8.9081410000000005</v>
      </c>
      <c r="K100" s="10">
        <v>-0.050000000000000003</v>
      </c>
      <c r="L100" s="1">
        <f t="shared" si="12"/>
        <v>426.91846461810002</v>
      </c>
      <c r="M100" s="1">
        <f t="shared" si="19"/>
        <v>0.44564481185903426</v>
      </c>
      <c r="N100" s="1">
        <f t="shared" si="18"/>
        <v>190.25399884388096</v>
      </c>
      <c r="O100" s="1">
        <f t="shared" si="13"/>
        <v>190.25399884388096</v>
      </c>
      <c r="P100" s="1">
        <f t="shared" si="14"/>
        <v>0</v>
      </c>
      <c r="Q100" s="1">
        <f t="shared" si="15"/>
        <v>0</v>
      </c>
      <c r="R100" s="1">
        <f t="shared" si="16"/>
        <v>0</v>
      </c>
      <c r="S100" s="3">
        <f t="shared" si="17"/>
        <v>0</v>
      </c>
    </row>
    <row r="101" spans="2:19" ht="15.6" outlineLevel="2">
      <c r="B101" s="2">
        <v>390</v>
      </c>
      <c r="C101" s="2">
        <v>1928</v>
      </c>
      <c r="D101" s="1">
        <v>5077.3000000000002</v>
      </c>
      <c r="E101" s="1">
        <v>4557.3000000000002</v>
      </c>
      <c r="F101" s="1">
        <v>202.80000000000001</v>
      </c>
      <c r="H101" s="1">
        <v>317.19999999999999</v>
      </c>
      <c r="I101" s="2">
        <v>60</v>
      </c>
      <c r="J101" s="8">
        <v>8.5784079999999996</v>
      </c>
      <c r="K101" s="10">
        <v>-0.050000000000000003</v>
      </c>
      <c r="L101" s="1">
        <f t="shared" si="12"/>
        <v>4568.9498585780002</v>
      </c>
      <c r="M101" s="1">
        <f t="shared" si="19"/>
        <v>0.44564481185903426</v>
      </c>
      <c r="N101" s="1">
        <f t="shared" si="18"/>
        <v>2036.1288001193541</v>
      </c>
      <c r="O101" s="1">
        <f t="shared" si="13"/>
        <v>1827.5953323191327</v>
      </c>
      <c r="P101" s="1">
        <f t="shared" si="14"/>
        <v>81.328052442086346</v>
      </c>
      <c r="Q101" s="1">
        <f t="shared" si="15"/>
        <v>0</v>
      </c>
      <c r="R101" s="1">
        <f t="shared" si="16"/>
        <v>127.20541535813504</v>
      </c>
      <c r="S101" s="3">
        <f t="shared" si="17"/>
        <v>0</v>
      </c>
    </row>
    <row r="102" spans="2:19" ht="15.6" outlineLevel="2">
      <c r="B102" s="2">
        <v>390</v>
      </c>
      <c r="C102" s="2">
        <v>1927</v>
      </c>
      <c r="D102" s="1">
        <v>9007.9500000000007</v>
      </c>
      <c r="E102" s="1">
        <v>9007.9500000000007</v>
      </c>
      <c r="I102" s="2">
        <v>60</v>
      </c>
      <c r="J102" s="8">
        <v>8.2519480000000005</v>
      </c>
      <c r="K102" s="10">
        <v>-0.050000000000000003</v>
      </c>
      <c r="L102" s="1">
        <f t="shared" si="12"/>
        <v>8157.5176377345015</v>
      </c>
      <c r="M102" s="1">
        <f t="shared" si="19"/>
        <v>0.44564481185903426</v>
      </c>
      <c r="N102" s="1">
        <f t="shared" si="18"/>
        <v>3635.3554129049453</v>
      </c>
      <c r="O102" s="1">
        <f t="shared" si="13"/>
        <v>3635.3554129049453</v>
      </c>
      <c r="P102" s="1">
        <f t="shared" si="14"/>
        <v>0</v>
      </c>
      <c r="Q102" s="1">
        <f t="shared" si="15"/>
        <v>0</v>
      </c>
      <c r="R102" s="1">
        <f t="shared" si="16"/>
        <v>0</v>
      </c>
      <c r="S102" s="3">
        <f t="shared" si="17"/>
        <v>0</v>
      </c>
    </row>
    <row r="103" spans="2:19" ht="15.6" outlineLevel="2">
      <c r="B103" s="2">
        <v>390</v>
      </c>
      <c r="C103" s="2">
        <v>1926</v>
      </c>
      <c r="D103" s="1">
        <v>107753.69</v>
      </c>
      <c r="E103" s="1">
        <v>107753.69</v>
      </c>
      <c r="I103" s="2">
        <v>60</v>
      </c>
      <c r="J103" s="8">
        <v>7.9302279999999996</v>
      </c>
      <c r="K103" s="10">
        <v>-0.050000000000000003</v>
      </c>
      <c r="L103" s="1">
        <f t="shared" si="12"/>
        <v>98187.426233026912</v>
      </c>
      <c r="M103" s="1">
        <f t="shared" si="19"/>
        <v>0.44564481185903426</v>
      </c>
      <c r="N103" s="1">
        <f t="shared" si="18"/>
        <v>43756.717090540085</v>
      </c>
      <c r="O103" s="1">
        <f t="shared" si="13"/>
        <v>43756.717090540085</v>
      </c>
      <c r="P103" s="1">
        <f t="shared" si="14"/>
        <v>0</v>
      </c>
      <c r="Q103" s="1">
        <f t="shared" si="15"/>
        <v>0</v>
      </c>
      <c r="R103" s="1">
        <f t="shared" si="16"/>
        <v>0</v>
      </c>
      <c r="S103" s="3">
        <f t="shared" si="17"/>
        <v>0</v>
      </c>
    </row>
    <row r="104" spans="1:19" ht="15.6" outlineLevel="1">
      <c r="A104" s="4" t="s">
        <v>19</v>
      </c>
      <c r="B104" s="2" t="s">
        <v>32</v>
      </c>
      <c r="D104" s="1">
        <f>SUBTOTAL(9,D19:D103)</f>
        <v>252408828.77999988</v>
      </c>
      <c r="E104" s="1">
        <f>SUBTOTAL(9,E19:E103)</f>
        <v>139458227.10999998</v>
      </c>
      <c r="F104" s="1">
        <f>SUBTOTAL(9,F19:F103)</f>
        <v>24827984.839999996</v>
      </c>
      <c r="G104" s="1">
        <f>SUBTOTAL(9,G19:G103)</f>
        <v>13450668.440000001</v>
      </c>
      <c r="H104" s="1">
        <f>SUBTOTAL(9,H19:H103)</f>
        <v>74671948.389999986</v>
      </c>
      <c r="J104" s="8">
        <f>+N104-K104</f>
        <v>0</v>
      </c>
      <c r="K104" s="10">
        <v>21298943.456461564</v>
      </c>
      <c r="L104" s="1">
        <f>+N104-K104</f>
        <v>0</v>
      </c>
      <c r="M104" s="1">
        <v>0.44564481185903426</v>
      </c>
      <c r="N104" s="1">
        <f>SUBTOTAL(9,N19:N103)</f>
        <v>21298943.456461549</v>
      </c>
      <c r="O104" s="1">
        <f t="shared" si="13"/>
        <v>11767864.492343864</v>
      </c>
      <c r="P104" s="1">
        <f t="shared" si="14"/>
        <v>2095052.8862283037</v>
      </c>
      <c r="Q104" s="1">
        <f t="shared" si="15"/>
        <v>1135003.9851612041</v>
      </c>
      <c r="R104" s="1">
        <f t="shared" si="15"/>
        <v>6301022.0927281845</v>
      </c>
      <c r="S104" s="3">
        <v>0</v>
      </c>
    </row>
    <row r="105" spans="2:19" ht="15.6" outlineLevel="2">
      <c r="B105" s="2" t="s">
        <v>34</v>
      </c>
      <c r="C105" s="2">
        <v>2021</v>
      </c>
      <c r="D105" s="1">
        <v>2425475.2400000007</v>
      </c>
      <c r="E105" s="1">
        <v>1513000.4100000006</v>
      </c>
      <c r="F105" s="1">
        <v>406437.6999999999</v>
      </c>
      <c r="G105" s="1">
        <v>265165.32000000007</v>
      </c>
      <c r="H105" s="1">
        <v>240871.81</v>
      </c>
      <c r="I105" s="2">
        <v>20</v>
      </c>
      <c r="J105" s="8">
        <v>19.5</v>
      </c>
      <c r="K105" s="10">
        <v>0</v>
      </c>
      <c r="L105" s="1">
        <f t="shared" si="12"/>
        <v>60636.881000000074</v>
      </c>
      <c r="M105" s="1">
        <f t="shared" si="20" ref="M105:M118">$M$119</f>
        <v>0.33892730598071646</v>
      </c>
      <c r="N105" s="1">
        <f t="shared" si="18"/>
        <v>20551.494720403316</v>
      </c>
      <c r="O105" s="1">
        <f t="shared" si="13"/>
        <v>12819.928822725504</v>
      </c>
      <c r="P105" s="1">
        <f t="shared" si="14"/>
        <v>3443.8208677499683</v>
      </c>
      <c r="Q105" s="1">
        <f t="shared" si="15"/>
        <v>2246.7941886778672</v>
      </c>
      <c r="R105" s="1">
        <f t="shared" si="16"/>
        <v>2040.9508412499768</v>
      </c>
      <c r="S105" s="3">
        <f t="shared" si="21" ref="S105:S132">+N105-O105-P105-Q105-R105</f>
        <v>0</v>
      </c>
    </row>
    <row r="106" spans="2:19" ht="15.6" outlineLevel="2">
      <c r="B106" s="2" t="s">
        <v>34</v>
      </c>
      <c r="C106" s="2">
        <v>2020</v>
      </c>
      <c r="D106" s="1">
        <v>9091946</v>
      </c>
      <c r="E106" s="1">
        <v>3887876.46</v>
      </c>
      <c r="F106" s="1">
        <v>180131.60000000001</v>
      </c>
      <c r="G106" s="1">
        <v>237160.7500000007</v>
      </c>
      <c r="H106" s="1">
        <v>4786777.1899999995</v>
      </c>
      <c r="I106" s="2">
        <v>20</v>
      </c>
      <c r="J106" s="8">
        <v>18.5</v>
      </c>
      <c r="K106" s="10">
        <v>0</v>
      </c>
      <c r="L106" s="1">
        <f t="shared" si="12"/>
        <v>681895.9499999996</v>
      </c>
      <c r="M106" s="1">
        <f t="shared" si="20"/>
        <v>0.33892730598071646</v>
      </c>
      <c r="N106" s="1">
        <f t="shared" si="18"/>
        <v>231113.1572926612</v>
      </c>
      <c r="O106" s="1">
        <f t="shared" si="13"/>
        <v>98828.062093023298</v>
      </c>
      <c r="P106" s="1">
        <f t="shared" si="14"/>
        <v>4578.8638432496991</v>
      </c>
      <c r="Q106" s="1">
        <f t="shared" si="15"/>
        <v>6028.5190561399795</v>
      </c>
      <c r="R106" s="1">
        <f t="shared" si="16"/>
        <v>121677.71230024821</v>
      </c>
      <c r="S106" s="3">
        <f t="shared" si="21"/>
        <v>0</v>
      </c>
    </row>
    <row r="107" spans="2:19" ht="15.6" outlineLevel="2">
      <c r="B107" s="2" t="s">
        <v>34</v>
      </c>
      <c r="C107" s="2">
        <v>2019</v>
      </c>
      <c r="D107" s="1">
        <v>1369023.0999999996</v>
      </c>
      <c r="E107" s="1">
        <v>309255.64999999997</v>
      </c>
      <c r="F107" s="1">
        <v>78251.389999999999</v>
      </c>
      <c r="G107" s="1">
        <v>63981.830000000016</v>
      </c>
      <c r="H107" s="1">
        <v>917534.22999999975</v>
      </c>
      <c r="I107" s="2">
        <v>20</v>
      </c>
      <c r="J107" s="8">
        <v>17.5</v>
      </c>
      <c r="K107" s="10">
        <v>0</v>
      </c>
      <c r="L107" s="1">
        <f t="shared" si="12"/>
        <v>171127.88749999995</v>
      </c>
      <c r="M107" s="1">
        <f t="shared" si="20"/>
        <v>0.33892730598071646</v>
      </c>
      <c r="N107" s="1">
        <f t="shared" si="18"/>
        <v>57999.913888546107</v>
      </c>
      <c r="O107" s="1">
        <f t="shared" si="13"/>
        <v>13101.898039226919</v>
      </c>
      <c r="P107" s="1">
        <f t="shared" si="14"/>
        <v>3315.1916002432968</v>
      </c>
      <c r="Q107" s="1">
        <f t="shared" si="15"/>
        <v>2710.6486592020237</v>
      </c>
      <c r="R107" s="1">
        <f t="shared" si="16"/>
        <v>38872.17558987387</v>
      </c>
      <c r="S107" s="3">
        <f t="shared" si="21"/>
        <v>0</v>
      </c>
    </row>
    <row r="108" spans="2:19" ht="15.6" outlineLevel="2">
      <c r="B108" s="2" t="s">
        <v>34</v>
      </c>
      <c r="C108" s="2">
        <v>2018</v>
      </c>
      <c r="D108" s="1">
        <v>1347466.8000000001</v>
      </c>
      <c r="E108" s="1">
        <v>1017506.4600000001</v>
      </c>
      <c r="F108" s="1">
        <v>74342.800000000003</v>
      </c>
      <c r="G108" s="1">
        <v>67498.530000000013</v>
      </c>
      <c r="H108" s="1">
        <v>188119.01000000001</v>
      </c>
      <c r="I108" s="2">
        <v>20</v>
      </c>
      <c r="J108" s="8">
        <v>16.5</v>
      </c>
      <c r="K108" s="10">
        <v>0</v>
      </c>
      <c r="L108" s="1">
        <f t="shared" si="12"/>
        <v>235806.69000000006</v>
      </c>
      <c r="M108" s="1">
        <f t="shared" si="20"/>
        <v>0.33892730598071646</v>
      </c>
      <c r="N108" s="1">
        <f t="shared" si="18"/>
        <v>79921.326173929978</v>
      </c>
      <c r="O108" s="1">
        <f t="shared" si="13"/>
        <v>60350.626578510753</v>
      </c>
      <c r="P108" s="1">
        <f t="shared" si="14"/>
        <v>4409.4408615360626</v>
      </c>
      <c r="Q108" s="1">
        <f t="shared" si="15"/>
        <v>4003.4916128477516</v>
      </c>
      <c r="R108" s="1">
        <f t="shared" si="16"/>
        <v>11157.767121035407</v>
      </c>
      <c r="S108" s="3">
        <f t="shared" si="21"/>
        <v>0</v>
      </c>
    </row>
    <row r="109" spans="2:19" ht="15.6" outlineLevel="2">
      <c r="B109" s="2" t="s">
        <v>34</v>
      </c>
      <c r="C109" s="2">
        <v>2017</v>
      </c>
      <c r="D109" s="1">
        <v>105238.28999999999</v>
      </c>
      <c r="E109" s="1">
        <v>88695.409999999989</v>
      </c>
      <c r="F109" s="1">
        <v>16790.080000000002</v>
      </c>
      <c r="G109" s="1">
        <v>17412.060000000001</v>
      </c>
      <c r="H109" s="1">
        <v>-17659.259999999998</v>
      </c>
      <c r="I109" s="2">
        <v>20</v>
      </c>
      <c r="J109" s="8">
        <v>15.5</v>
      </c>
      <c r="K109" s="10">
        <v>0</v>
      </c>
      <c r="L109" s="1">
        <f t="shared" si="12"/>
        <v>23678.615249999995</v>
      </c>
      <c r="M109" s="1">
        <f t="shared" si="20"/>
        <v>0.33892730598071646</v>
      </c>
      <c r="N109" s="1">
        <f t="shared" si="18"/>
        <v>8025.3292760364075</v>
      </c>
      <c r="O109" s="1">
        <f t="shared" si="13"/>
        <v>6763.7916819348957</v>
      </c>
      <c r="P109" s="1">
        <f t="shared" si="14"/>
        <v>1280.3887308601593</v>
      </c>
      <c r="Q109" s="1">
        <f t="shared" si="15"/>
        <v>1327.8200821592836</v>
      </c>
      <c r="R109" s="1">
        <f t="shared" si="16"/>
        <v>-1346.6712189179309</v>
      </c>
      <c r="S109" s="3">
        <f t="shared" si="21"/>
        <v>0</v>
      </c>
    </row>
    <row r="110" spans="2:19" ht="15.6" outlineLevel="2">
      <c r="B110" s="2" t="s">
        <v>34</v>
      </c>
      <c r="C110" s="2">
        <v>2016</v>
      </c>
      <c r="D110" s="1">
        <v>579429.83000000007</v>
      </c>
      <c r="E110" s="1">
        <v>170944.66</v>
      </c>
      <c r="F110" s="1">
        <v>17678.890000000003</v>
      </c>
      <c r="G110" s="1">
        <v>5205.6599999999999</v>
      </c>
      <c r="H110" s="1">
        <v>385600.62</v>
      </c>
      <c r="I110" s="2">
        <v>20</v>
      </c>
      <c r="J110" s="8">
        <v>14.5</v>
      </c>
      <c r="K110" s="10">
        <v>0</v>
      </c>
      <c r="L110" s="1">
        <f t="shared" si="12"/>
        <v>159343.20325000002</v>
      </c>
      <c r="M110" s="1">
        <f t="shared" si="20"/>
        <v>0.33892730598071646</v>
      </c>
      <c r="N110" s="1">
        <f t="shared" si="18"/>
        <v>54005.762603860254</v>
      </c>
      <c r="O110" s="1">
        <f t="shared" si="13"/>
        <v>15932.898598537127</v>
      </c>
      <c r="P110" s="1">
        <f t="shared" si="14"/>
        <v>1647.761104118093</v>
      </c>
      <c r="Q110" s="1">
        <f t="shared" si="15"/>
        <v>485.19358790418357</v>
      </c>
      <c r="R110" s="1">
        <f t="shared" si="16"/>
        <v>35939.909313300843</v>
      </c>
      <c r="S110" s="3">
        <f t="shared" si="21"/>
        <v>0</v>
      </c>
    </row>
    <row r="111" spans="2:19" ht="15.6" outlineLevel="2">
      <c r="B111" s="2" t="s">
        <v>34</v>
      </c>
      <c r="C111" s="2">
        <v>2015</v>
      </c>
      <c r="D111" s="1">
        <v>910282.1399999999</v>
      </c>
      <c r="E111" s="1">
        <v>397985.95999999996</v>
      </c>
      <c r="F111" s="1">
        <v>131153.44999999998</v>
      </c>
      <c r="G111" s="1">
        <v>113290.11999999998</v>
      </c>
      <c r="H111" s="1">
        <v>267852.60999999999</v>
      </c>
      <c r="I111" s="2">
        <v>20</v>
      </c>
      <c r="J111" s="8">
        <v>13.5</v>
      </c>
      <c r="K111" s="10">
        <v>0</v>
      </c>
      <c r="L111" s="1">
        <f t="shared" si="12"/>
        <v>295841.69549999991</v>
      </c>
      <c r="M111" s="1">
        <f t="shared" si="20"/>
        <v>0.33892730598071646</v>
      </c>
      <c r="N111" s="1">
        <f t="shared" si="18"/>
        <v>100268.82885258242</v>
      </c>
      <c r="O111" s="1">
        <f t="shared" si="13"/>
        <v>43838.700503308472</v>
      </c>
      <c r="P111" s="1">
        <f t="shared" si="14"/>
        <v>14446.73278053739</v>
      </c>
      <c r="Q111" s="1">
        <f t="shared" si="15"/>
        <v>12479.062428895422</v>
      </c>
      <c r="R111" s="1">
        <f t="shared" si="16"/>
        <v>29504.333139841136</v>
      </c>
      <c r="S111" s="3">
        <f t="shared" si="21"/>
        <v>0</v>
      </c>
    </row>
    <row r="112" spans="2:19" ht="15.6" outlineLevel="2">
      <c r="B112" s="2" t="s">
        <v>34</v>
      </c>
      <c r="C112" s="2">
        <v>2014</v>
      </c>
      <c r="D112" s="1">
        <v>1401548.7599999998</v>
      </c>
      <c r="E112" s="1">
        <v>367087.06999999989</v>
      </c>
      <c r="F112" s="1">
        <v>34108.239999999998</v>
      </c>
      <c r="G112" s="1">
        <v>34982.349999999999</v>
      </c>
      <c r="H112" s="1">
        <v>965371.09999999986</v>
      </c>
      <c r="I112" s="2">
        <v>20</v>
      </c>
      <c r="J112" s="8">
        <v>12.5</v>
      </c>
      <c r="K112" s="10">
        <v>0</v>
      </c>
      <c r="L112" s="1">
        <f t="shared" si="12"/>
        <v>525580.78499999992</v>
      </c>
      <c r="M112" s="1">
        <f t="shared" si="20"/>
        <v>0.33892730598071646</v>
      </c>
      <c r="N112" s="1">
        <f t="shared" si="18"/>
        <v>178133.67953528013</v>
      </c>
      <c r="O112" s="1">
        <f t="shared" si="13"/>
        <v>46655.936885795491</v>
      </c>
      <c r="P112" s="1">
        <f t="shared" si="14"/>
        <v>4335.0802106038918</v>
      </c>
      <c r="Q112" s="1">
        <f t="shared" si="15"/>
        <v>4446.1776158904431</v>
      </c>
      <c r="R112" s="1">
        <f t="shared" si="16"/>
        <v>122696.4848229903</v>
      </c>
      <c r="S112" s="3">
        <f t="shared" si="21"/>
        <v>0</v>
      </c>
    </row>
    <row r="113" spans="2:19" ht="15.6" outlineLevel="2">
      <c r="B113" s="2" t="s">
        <v>34</v>
      </c>
      <c r="C113" s="2">
        <v>2013</v>
      </c>
      <c r="D113" s="1">
        <v>825747.94999999995</v>
      </c>
      <c r="E113" s="1">
        <v>526428.48999999999</v>
      </c>
      <c r="F113" s="1">
        <v>93541.839999999997</v>
      </c>
      <c r="G113" s="1">
        <v>68126.600000000006</v>
      </c>
      <c r="H113" s="1">
        <v>137651.01999999999</v>
      </c>
      <c r="I113" s="2">
        <v>20</v>
      </c>
      <c r="J113" s="8">
        <v>11.5</v>
      </c>
      <c r="K113" s="10">
        <v>0</v>
      </c>
      <c r="L113" s="1">
        <f t="shared" si="12"/>
        <v>350942.87875000003</v>
      </c>
      <c r="M113" s="1">
        <f t="shared" si="20"/>
        <v>0.33892730598071646</v>
      </c>
      <c r="N113" s="1">
        <f t="shared" si="18"/>
        <v>118944.12444785475</v>
      </c>
      <c r="O113" s="1">
        <f t="shared" si="13"/>
        <v>75828.920710558537</v>
      </c>
      <c r="P113" s="1">
        <f t="shared" si="14"/>
        <v>13474.150626763672</v>
      </c>
      <c r="Q113" s="1">
        <f t="shared" si="15"/>
        <v>9813.2351265410016</v>
      </c>
      <c r="R113" s="1">
        <f t="shared" si="16"/>
        <v>19827.817983991532</v>
      </c>
      <c r="S113" s="3">
        <f t="shared" si="21"/>
        <v>0</v>
      </c>
    </row>
    <row r="114" spans="2:19" ht="15.6" outlineLevel="2">
      <c r="B114" s="2" t="s">
        <v>34</v>
      </c>
      <c r="C114" s="2">
        <v>2012</v>
      </c>
      <c r="D114" s="1">
        <v>670150.5</v>
      </c>
      <c r="E114" s="1">
        <v>350420.23999999999</v>
      </c>
      <c r="F114" s="1">
        <v>133480.59000000003</v>
      </c>
      <c r="G114" s="1">
        <v>109635.48000000001</v>
      </c>
      <c r="H114" s="1">
        <v>76614.190000000002</v>
      </c>
      <c r="I114" s="2">
        <v>20</v>
      </c>
      <c r="J114" s="8">
        <v>10.5</v>
      </c>
      <c r="K114" s="10">
        <v>0</v>
      </c>
      <c r="L114" s="1">
        <f t="shared" si="12"/>
        <v>318321.48749999999</v>
      </c>
      <c r="M114" s="1">
        <f t="shared" si="20"/>
        <v>0.33892730598071646</v>
      </c>
      <c r="N114" s="1">
        <f t="shared" si="18"/>
        <v>107887.84419414931</v>
      </c>
      <c r="O114" s="1">
        <f t="shared" si="13"/>
        <v>56414.319254550144</v>
      </c>
      <c r="P114" s="1">
        <f t="shared" si="14"/>
        <v>21489.10296547287</v>
      </c>
      <c r="Q114" s="1">
        <f t="shared" si="15"/>
        <v>17650.267491243794</v>
      </c>
      <c r="R114" s="1">
        <f t="shared" si="16"/>
        <v>12334.154482882505</v>
      </c>
      <c r="S114" s="3">
        <f t="shared" si="21"/>
        <v>0</v>
      </c>
    </row>
    <row r="115" spans="2:19" ht="15.6" outlineLevel="2">
      <c r="B115" s="2" t="s">
        <v>34</v>
      </c>
      <c r="C115" s="2">
        <v>2011</v>
      </c>
      <c r="D115" s="1">
        <v>87021.149999999994</v>
      </c>
      <c r="E115" s="1">
        <v>10215.599999999999</v>
      </c>
      <c r="F115" s="1">
        <v>24468.57</v>
      </c>
      <c r="H115" s="1">
        <v>52336.980000000003</v>
      </c>
      <c r="I115" s="2">
        <v>20</v>
      </c>
      <c r="J115" s="8">
        <v>9.5</v>
      </c>
      <c r="K115" s="10">
        <v>0</v>
      </c>
      <c r="L115" s="1">
        <f t="shared" si="12"/>
        <v>45686.103750000002</v>
      </c>
      <c r="M115" s="1">
        <f t="shared" si="20"/>
        <v>0.33892730598071646</v>
      </c>
      <c r="N115" s="1">
        <f t="shared" si="18"/>
        <v>15484.268064743008</v>
      </c>
      <c r="O115" s="1">
        <f t="shared" si="13"/>
        <v>1817.7315381627186</v>
      </c>
      <c r="P115" s="1">
        <f t="shared" si="14"/>
        <v>4353.859918432805</v>
      </c>
      <c r="Q115" s="1">
        <f t="shared" si="15"/>
        <v>0</v>
      </c>
      <c r="R115" s="1">
        <f t="shared" si="16"/>
        <v>9312.6766081474852</v>
      </c>
      <c r="S115" s="3">
        <f t="shared" si="21"/>
        <v>0</v>
      </c>
    </row>
    <row r="116" spans="2:19" ht="15.6" outlineLevel="2">
      <c r="B116" s="2" t="s">
        <v>34</v>
      </c>
      <c r="C116" s="2">
        <v>2010</v>
      </c>
      <c r="D116" s="1">
        <v>409288.96999999997</v>
      </c>
      <c r="E116" s="1">
        <v>173765.48999999996</v>
      </c>
      <c r="F116" s="1">
        <v>6558.1400000000021</v>
      </c>
      <c r="G116" s="1">
        <v>11241.350000000002</v>
      </c>
      <c r="H116" s="1">
        <v>217723.98999999999</v>
      </c>
      <c r="I116" s="2">
        <v>20</v>
      </c>
      <c r="J116" s="8">
        <v>8.5</v>
      </c>
      <c r="K116" s="10">
        <v>0</v>
      </c>
      <c r="L116" s="1">
        <f t="shared" si="12"/>
        <v>235341.15774999996</v>
      </c>
      <c r="M116" s="1">
        <f t="shared" si="20"/>
        <v>0.33892730598071646</v>
      </c>
      <c r="N116" s="1">
        <f t="shared" si="18"/>
        <v>79763.544582590301</v>
      </c>
      <c r="O116" s="1">
        <f t="shared" si="13"/>
        <v>33863.97490391849</v>
      </c>
      <c r="P116" s="1">
        <f t="shared" si="14"/>
        <v>1278.0713154055163</v>
      </c>
      <c r="Q116" s="1">
        <f t="shared" si="15"/>
        <v>2190.7502708746383</v>
      </c>
      <c r="R116" s="1">
        <f t="shared" si="16"/>
        <v>42430.748092391659</v>
      </c>
      <c r="S116" s="3">
        <f t="shared" si="21"/>
        <v>0</v>
      </c>
    </row>
    <row r="117" spans="2:19" ht="15.6" outlineLevel="2">
      <c r="B117" s="2" t="s">
        <v>34</v>
      </c>
      <c r="C117" s="2">
        <v>2009</v>
      </c>
      <c r="D117" s="1">
        <v>1460246.5399999998</v>
      </c>
      <c r="E117" s="1">
        <v>807688.75</v>
      </c>
      <c r="F117" s="1">
        <v>31739.719999999816</v>
      </c>
      <c r="G117" s="1">
        <v>220.87000000000018</v>
      </c>
      <c r="H117" s="1">
        <v>620597.19999999995</v>
      </c>
      <c r="I117" s="2">
        <v>20</v>
      </c>
      <c r="J117" s="8">
        <v>7.5</v>
      </c>
      <c r="K117" s="10">
        <v>0</v>
      </c>
      <c r="L117" s="1">
        <f t="shared" si="12"/>
        <v>912654.08749999991</v>
      </c>
      <c r="M117" s="1">
        <f t="shared" si="20"/>
        <v>0.33892730598071646</v>
      </c>
      <c r="N117" s="1">
        <f t="shared" si="18"/>
        <v>309323.39116866403</v>
      </c>
      <c r="O117" s="1">
        <f t="shared" si="13"/>
        <v>171092.35756777026</v>
      </c>
      <c r="P117" s="1">
        <f t="shared" si="14"/>
        <v>6723.4111201138767</v>
      </c>
      <c r="Q117" s="1">
        <f t="shared" si="15"/>
        <v>46.786796294975566</v>
      </c>
      <c r="R117" s="1">
        <f t="shared" si="16"/>
        <v>131460.83568448492</v>
      </c>
      <c r="S117" s="3">
        <f t="shared" si="21"/>
        <v>0</v>
      </c>
    </row>
    <row r="118" spans="2:19" ht="15.6" outlineLevel="2">
      <c r="B118" s="2" t="s">
        <v>34</v>
      </c>
      <c r="C118" s="2">
        <v>2008</v>
      </c>
      <c r="D118" s="1">
        <v>39963.830000000002</v>
      </c>
      <c r="E118" s="1">
        <v>10130.190000000001</v>
      </c>
      <c r="F118" s="1">
        <v>374.45000000000073</v>
      </c>
      <c r="H118" s="1">
        <v>29459.189999999999</v>
      </c>
      <c r="I118" s="2">
        <v>20</v>
      </c>
      <c r="J118" s="8">
        <v>6.5</v>
      </c>
      <c r="K118" s="10">
        <v>0</v>
      </c>
      <c r="L118" s="1">
        <f t="shared" si="12"/>
        <v>26975.585250000004</v>
      </c>
      <c r="M118" s="1">
        <f t="shared" si="20"/>
        <v>0.33892730598071646</v>
      </c>
      <c r="N118" s="1">
        <f t="shared" si="18"/>
        <v>9142.7624360356531</v>
      </c>
      <c r="O118" s="1">
        <f t="shared" si="13"/>
        <v>2317.543653896636</v>
      </c>
      <c r="P118" s="1">
        <f t="shared" si="14"/>
        <v>85.665147564023684</v>
      </c>
      <c r="Q118" s="1">
        <f t="shared" si="15"/>
        <v>0</v>
      </c>
      <c r="R118" s="1">
        <f t="shared" si="16"/>
        <v>6739.5536345749933</v>
      </c>
      <c r="S118" s="3">
        <f t="shared" si="21"/>
        <v>0</v>
      </c>
    </row>
    <row r="119" spans="1:19" ht="15.6" outlineLevel="1">
      <c r="A119" s="4" t="s">
        <v>20</v>
      </c>
      <c r="B119" s="2" t="s">
        <v>32</v>
      </c>
      <c r="D119" s="1">
        <f>SUBTOTAL(9,D105:D118)</f>
        <v>20722829.099999994</v>
      </c>
      <c r="E119" s="1">
        <f>SUBTOTAL(9,E105:E118)</f>
        <v>9631000.8400000017</v>
      </c>
      <c r="F119" s="1">
        <f>SUBTOTAL(9,F105:F118)</f>
        <v>1229057.4599999995</v>
      </c>
      <c r="G119" s="1">
        <f>SUBTOTAL(9,G105:G118)</f>
        <v>993920.92000000086</v>
      </c>
      <c r="H119" s="1">
        <f>SUBTOTAL(9,H105:H118)</f>
        <v>8868849.879999999</v>
      </c>
      <c r="J119" s="8">
        <f>+N119-K119</f>
        <v>0</v>
      </c>
      <c r="K119" s="10">
        <v>1370565.427237337</v>
      </c>
      <c r="L119" s="1">
        <f>SUBTOTAL(9,L105:L118)</f>
        <v>4043833.007999999</v>
      </c>
      <c r="M119" s="1">
        <v>0.33892730598071646</v>
      </c>
      <c r="N119" s="1">
        <f>SUBTOTAL(9,N105:N118)</f>
        <v>1370565.4272373365</v>
      </c>
      <c r="O119" s="1">
        <f t="shared" si="13"/>
        <v>636974.64845655428</v>
      </c>
      <c r="P119" s="1">
        <f t="shared" si="14"/>
        <v>81287.340383660994</v>
      </c>
      <c r="Q119" s="1">
        <f t="shared" si="15"/>
        <v>65735.891744623237</v>
      </c>
      <c r="R119" s="1">
        <f t="shared" si="16"/>
        <v>586567.54665249842</v>
      </c>
      <c r="S119" s="3">
        <f t="shared" si="21"/>
        <v>0</v>
      </c>
    </row>
    <row r="120" spans="2:19" ht="15.6" outlineLevel="2">
      <c r="B120" s="2">
        <v>393</v>
      </c>
      <c r="C120" s="2">
        <v>2021</v>
      </c>
      <c r="D120" s="1">
        <v>432256.76999999996</v>
      </c>
      <c r="E120" s="1">
        <v>342987.30999999994</v>
      </c>
      <c r="F120" s="1">
        <v>75535.529999999999</v>
      </c>
      <c r="G120" s="1">
        <v>0</v>
      </c>
      <c r="H120" s="1">
        <v>13733.93</v>
      </c>
      <c r="I120" s="2">
        <v>40</v>
      </c>
      <c r="J120" s="8">
        <f>40+C120-2021.5</f>
        <v>39.5</v>
      </c>
      <c r="K120" s="10">
        <v>0</v>
      </c>
      <c r="L120" s="1">
        <f t="shared" si="12"/>
        <v>5403.2096249999804</v>
      </c>
      <c r="M120" s="1">
        <f t="shared" si="22" ref="M120:M155">$M$156</f>
        <v>0.44742825701206435</v>
      </c>
      <c r="N120" s="1">
        <f t="shared" si="18"/>
        <v>2417.548664784551</v>
      </c>
      <c r="O120" s="1">
        <f t="shared" si="13"/>
        <v>1918.2776786319503</v>
      </c>
      <c r="P120" s="1">
        <f t="shared" si="14"/>
        <v>422.45913162977968</v>
      </c>
      <c r="Q120" s="1">
        <f t="shared" si="15"/>
        <v>0</v>
      </c>
      <c r="R120" s="1">
        <f t="shared" si="16"/>
        <v>76.81185452282098</v>
      </c>
      <c r="S120" s="3">
        <f t="shared" si="21"/>
        <v>0</v>
      </c>
    </row>
    <row r="121" spans="2:19" ht="15.6" outlineLevel="2">
      <c r="B121" s="2">
        <v>393</v>
      </c>
      <c r="C121" s="2">
        <v>2020</v>
      </c>
      <c r="D121" s="1">
        <v>290093.87</v>
      </c>
      <c r="E121" s="1">
        <v>191583.75</v>
      </c>
      <c r="F121" s="1">
        <v>7025.1500000000015</v>
      </c>
      <c r="G121" s="1">
        <v>0</v>
      </c>
      <c r="H121" s="1">
        <v>91484.970000000001</v>
      </c>
      <c r="I121" s="2">
        <v>40</v>
      </c>
      <c r="J121" s="8">
        <f t="shared" si="23" ref="J121:J155">40+C121-2021.5</f>
        <v>38.5</v>
      </c>
      <c r="K121" s="10">
        <v>0</v>
      </c>
      <c r="L121" s="1">
        <f t="shared" si="12"/>
        <v>10878.520124999994</v>
      </c>
      <c r="M121" s="1">
        <f t="shared" si="22"/>
        <v>0.44742825701206435</v>
      </c>
      <c r="N121" s="1">
        <f t="shared" si="18"/>
        <v>4867.3572983994118</v>
      </c>
      <c r="O121" s="1">
        <f t="shared" si="13"/>
        <v>3214.4993750375638</v>
      </c>
      <c r="P121" s="1">
        <f t="shared" si="14"/>
        <v>117.87189824056135</v>
      </c>
      <c r="Q121" s="1">
        <f t="shared" si="15"/>
        <v>0</v>
      </c>
      <c r="R121" s="1">
        <f t="shared" si="16"/>
        <v>1534.9860251212865</v>
      </c>
      <c r="S121" s="3">
        <f t="shared" si="21"/>
        <v>0</v>
      </c>
    </row>
    <row r="122" spans="2:19" ht="15.6" outlineLevel="2">
      <c r="B122" s="2">
        <v>393</v>
      </c>
      <c r="C122" s="2">
        <v>2019</v>
      </c>
      <c r="D122" s="1">
        <v>647527.67999999993</v>
      </c>
      <c r="E122" s="1">
        <v>383890.76000000001</v>
      </c>
      <c r="F122" s="1">
        <v>101755.99000000001</v>
      </c>
      <c r="G122" s="1">
        <v>0</v>
      </c>
      <c r="H122" s="1">
        <v>161880.92999999999</v>
      </c>
      <c r="I122" s="2">
        <v>40</v>
      </c>
      <c r="J122" s="8">
        <f t="shared" si="23"/>
        <v>37.5</v>
      </c>
      <c r="K122" s="10">
        <v>0</v>
      </c>
      <c r="L122" s="1">
        <f t="shared" si="12"/>
        <v>40470.479999999996</v>
      </c>
      <c r="M122" s="1">
        <f t="shared" si="22"/>
        <v>0.44742825701206435</v>
      </c>
      <c r="N122" s="1">
        <f t="shared" si="18"/>
        <v>18107.63632684161</v>
      </c>
      <c r="O122" s="1">
        <f t="shared" si="13"/>
        <v>10735.223351864795</v>
      </c>
      <c r="P122" s="1">
        <f t="shared" si="14"/>
        <v>2845.5315778898162</v>
      </c>
      <c r="Q122" s="1">
        <f t="shared" si="15"/>
        <v>0</v>
      </c>
      <c r="R122" s="1">
        <f t="shared" si="16"/>
        <v>4526.8813970869996</v>
      </c>
      <c r="S122" s="3">
        <f t="shared" si="21"/>
        <v>0</v>
      </c>
    </row>
    <row r="123" spans="2:19" ht="15.6" outlineLevel="2">
      <c r="B123" s="2">
        <v>393</v>
      </c>
      <c r="C123" s="2">
        <v>2018</v>
      </c>
      <c r="D123" s="1">
        <v>429943.43000000005</v>
      </c>
      <c r="E123" s="1">
        <v>222441.26000000004</v>
      </c>
      <c r="F123" s="1">
        <v>53689.480000000003</v>
      </c>
      <c r="G123" s="1">
        <v>0</v>
      </c>
      <c r="H123" s="1">
        <v>153812.69</v>
      </c>
      <c r="I123" s="2">
        <v>40</v>
      </c>
      <c r="J123" s="8">
        <f t="shared" si="23"/>
        <v>36.5</v>
      </c>
      <c r="K123" s="10">
        <v>0</v>
      </c>
      <c r="L123" s="1">
        <f t="shared" si="12"/>
        <v>37620.050125000016</v>
      </c>
      <c r="M123" s="1">
        <f t="shared" si="22"/>
        <v>0.44742825701206435</v>
      </c>
      <c r="N123" s="1">
        <f t="shared" si="18"/>
        <v>16832.273456135252</v>
      </c>
      <c r="O123" s="1">
        <f t="shared" si="13"/>
        <v>8708.5692093196558</v>
      </c>
      <c r="P123" s="1">
        <f t="shared" si="14"/>
        <v>2101.9416649248587</v>
      </c>
      <c r="Q123" s="1">
        <f t="shared" si="15"/>
        <v>0</v>
      </c>
      <c r="R123" s="1">
        <f t="shared" si="16"/>
        <v>6021.7625818907381</v>
      </c>
      <c r="S123" s="3">
        <f t="shared" si="21"/>
        <v>0</v>
      </c>
    </row>
    <row r="124" spans="2:19" ht="15.6" outlineLevel="2">
      <c r="B124" s="2">
        <v>393</v>
      </c>
      <c r="C124" s="2">
        <v>2017</v>
      </c>
      <c r="D124" s="1">
        <v>35654.30999999999</v>
      </c>
      <c r="E124" s="1">
        <v>32197.459999999995</v>
      </c>
      <c r="F124" s="1">
        <v>2517.2199999999989</v>
      </c>
      <c r="G124" s="1">
        <v>0</v>
      </c>
      <c r="H124" s="1">
        <v>939.63</v>
      </c>
      <c r="I124" s="2">
        <v>40</v>
      </c>
      <c r="J124" s="8">
        <f t="shared" si="23"/>
        <v>35.5</v>
      </c>
      <c r="K124" s="10">
        <v>0</v>
      </c>
      <c r="L124" s="1">
        <f t="shared" si="12"/>
        <v>4011.1098750000006</v>
      </c>
      <c r="M124" s="1">
        <f t="shared" si="22"/>
        <v>0.44742825701206435</v>
      </c>
      <c r="N124" s="1">
        <f t="shared" si="18"/>
        <v>1794.6839000551295</v>
      </c>
      <c r="O124" s="1">
        <f t="shared" si="13"/>
        <v>1620.6810084017623</v>
      </c>
      <c r="P124" s="1">
        <f t="shared" si="14"/>
        <v>126.7059776755397</v>
      </c>
      <c r="Q124" s="1">
        <f t="shared" si="15"/>
        <v>0</v>
      </c>
      <c r="R124" s="1">
        <f t="shared" si="16"/>
        <v>47.296913977827693</v>
      </c>
      <c r="S124" s="3">
        <f t="shared" si="21"/>
        <v>-1.7763568394002505E-13</v>
      </c>
    </row>
    <row r="125" spans="2:19" ht="15.6" outlineLevel="2">
      <c r="B125" s="2">
        <v>393</v>
      </c>
      <c r="C125" s="2">
        <v>2016</v>
      </c>
      <c r="D125" s="1">
        <v>118750.67</v>
      </c>
      <c r="E125" s="1">
        <v>109469.55</v>
      </c>
      <c r="F125" s="1">
        <v>5178.0999999999976</v>
      </c>
      <c r="G125" s="1">
        <v>0</v>
      </c>
      <c r="H125" s="1">
        <v>4103.0200000000004</v>
      </c>
      <c r="I125" s="2">
        <v>40</v>
      </c>
      <c r="J125" s="8">
        <f t="shared" si="23"/>
        <v>34.5</v>
      </c>
      <c r="K125" s="10">
        <v>0</v>
      </c>
      <c r="L125" s="1">
        <f t="shared" si="12"/>
        <v>16328.217124999994</v>
      </c>
      <c r="M125" s="1">
        <f t="shared" si="22"/>
        <v>0.44742825701206435</v>
      </c>
      <c r="N125" s="1">
        <f t="shared" si="18"/>
        <v>7305.7057283532877</v>
      </c>
      <c r="O125" s="1">
        <f t="shared" si="13"/>
        <v>6734.7183684543143</v>
      </c>
      <c r="P125" s="1">
        <f t="shared" si="14"/>
        <v>318.56388542469819</v>
      </c>
      <c r="Q125" s="1">
        <f t="shared" si="15"/>
        <v>0</v>
      </c>
      <c r="R125" s="1">
        <f t="shared" si="16"/>
        <v>252.42347447427545</v>
      </c>
      <c r="S125" s="3">
        <f t="shared" si="21"/>
        <v>-2.2737367544323206E-13</v>
      </c>
    </row>
    <row r="126" spans="2:19" ht="15.6" outlineLevel="2">
      <c r="B126" s="2">
        <v>393</v>
      </c>
      <c r="C126" s="2">
        <v>2015</v>
      </c>
      <c r="D126" s="1">
        <v>6822.2900000000009</v>
      </c>
      <c r="E126" s="1">
        <v>-3415.9299999999994</v>
      </c>
      <c r="F126" s="1">
        <v>645.09999999999991</v>
      </c>
      <c r="G126" s="1">
        <v>0</v>
      </c>
      <c r="H126" s="1">
        <v>9593.1200000000008</v>
      </c>
      <c r="I126" s="2">
        <v>40</v>
      </c>
      <c r="J126" s="8">
        <f t="shared" si="23"/>
        <v>33.5</v>
      </c>
      <c r="K126" s="10">
        <v>0</v>
      </c>
      <c r="L126" s="1">
        <f t="shared" si="12"/>
        <v>1108.6221250000001</v>
      </c>
      <c r="M126" s="1">
        <f t="shared" si="22"/>
        <v>0.44742825701206435</v>
      </c>
      <c r="N126" s="1">
        <f t="shared" si="18"/>
        <v>496.02886507376098</v>
      </c>
      <c r="O126" s="1">
        <f t="shared" si="13"/>
        <v>-248.36233597097333</v>
      </c>
      <c r="P126" s="1">
        <f t="shared" si="14"/>
        <v>46.903344897253433</v>
      </c>
      <c r="Q126" s="1">
        <f t="shared" si="15"/>
        <v>0</v>
      </c>
      <c r="R126" s="1">
        <f t="shared" si="16"/>
        <v>697.48785614748101</v>
      </c>
      <c r="S126" s="3">
        <f t="shared" si="21"/>
        <v>0</v>
      </c>
    </row>
    <row r="127" spans="2:19" ht="15.6" outlineLevel="2">
      <c r="B127" s="2">
        <v>393</v>
      </c>
      <c r="C127" s="2">
        <v>2014</v>
      </c>
      <c r="D127" s="1">
        <v>19739.509999999998</v>
      </c>
      <c r="E127" s="1">
        <v>18108.769999999997</v>
      </c>
      <c r="F127" s="1">
        <v>1034.54</v>
      </c>
      <c r="G127" s="1">
        <v>0</v>
      </c>
      <c r="H127" s="1">
        <v>596.20000000000005</v>
      </c>
      <c r="I127" s="2">
        <v>40</v>
      </c>
      <c r="J127" s="8">
        <f t="shared" si="23"/>
        <v>32.5</v>
      </c>
      <c r="K127" s="10">
        <v>0</v>
      </c>
      <c r="L127" s="1">
        <f t="shared" si="12"/>
        <v>3701.1581249999999</v>
      </c>
      <c r="M127" s="1">
        <f t="shared" si="22"/>
        <v>0.44742825701206435</v>
      </c>
      <c r="N127" s="1">
        <f t="shared" si="18"/>
        <v>1656.0027287947901</v>
      </c>
      <c r="O127" s="1">
        <f t="shared" si="13"/>
        <v>1519.1953870748173</v>
      </c>
      <c r="P127" s="1">
        <f t="shared" si="14"/>
        <v>86.790455439236453</v>
      </c>
      <c r="Q127" s="1">
        <f t="shared" si="15"/>
        <v>0</v>
      </c>
      <c r="R127" s="1">
        <f t="shared" si="16"/>
        <v>50.016886280736145</v>
      </c>
      <c r="S127" s="3">
        <f t="shared" si="21"/>
        <v>1.8474111129762605E-13</v>
      </c>
    </row>
    <row r="128" spans="2:19" ht="15.6" outlineLevel="2">
      <c r="B128" s="2">
        <v>393</v>
      </c>
      <c r="C128" s="2">
        <v>2013</v>
      </c>
      <c r="D128" s="1">
        <v>187721.45999999999</v>
      </c>
      <c r="E128" s="1">
        <v>154002.00999999998</v>
      </c>
      <c r="F128" s="1">
        <v>11717.409999999994</v>
      </c>
      <c r="G128" s="1">
        <v>0</v>
      </c>
      <c r="H128" s="1">
        <v>22002.040000000001</v>
      </c>
      <c r="I128" s="2">
        <v>40</v>
      </c>
      <c r="J128" s="8">
        <f t="shared" si="23"/>
        <v>31.5</v>
      </c>
      <c r="K128" s="10">
        <v>0</v>
      </c>
      <c r="L128" s="1">
        <f t="shared" si="24" ref="L128:L159">+D128*(1-K128)*(1-J128/I128)</f>
        <v>39890.810250000002</v>
      </c>
      <c r="M128" s="1">
        <f t="shared" si="22"/>
        <v>0.44742825701206435</v>
      </c>
      <c r="N128" s="1">
        <f t="shared" si="18"/>
        <v>17848.275700956492</v>
      </c>
      <c r="O128" s="1">
        <f t="shared" si="13"/>
        <v>14642.28081851408</v>
      </c>
      <c r="P128" s="1">
        <f t="shared" si="14"/>
        <v>1114.0738207615927</v>
      </c>
      <c r="Q128" s="1">
        <f t="shared" si="15"/>
        <v>0</v>
      </c>
      <c r="R128" s="1">
        <f t="shared" si="16"/>
        <v>2091.9210616808159</v>
      </c>
      <c r="S128" s="3">
        <f t="shared" si="21"/>
        <v>0</v>
      </c>
    </row>
    <row r="129" spans="2:19" ht="15.6" outlineLevel="2">
      <c r="B129" s="2">
        <v>393</v>
      </c>
      <c r="C129" s="2">
        <v>2012</v>
      </c>
      <c r="D129" s="1">
        <v>131450.09</v>
      </c>
      <c r="E129" s="1">
        <v>40399.279999999999</v>
      </c>
      <c r="F129" s="1">
        <v>35553.420000000013</v>
      </c>
      <c r="G129" s="1">
        <v>0</v>
      </c>
      <c r="H129" s="1">
        <v>55497.389999999992</v>
      </c>
      <c r="I129" s="2">
        <v>40</v>
      </c>
      <c r="J129" s="8">
        <f t="shared" si="23"/>
        <v>30.5</v>
      </c>
      <c r="K129" s="10">
        <v>0</v>
      </c>
      <c r="L129" s="1">
        <f t="shared" si="24"/>
        <v>31219.396375000004</v>
      </c>
      <c r="M129" s="1">
        <f t="shared" si="22"/>
        <v>0.44742825701206435</v>
      </c>
      <c r="N129" s="1">
        <f t="shared" si="18"/>
        <v>13968.440105035012</v>
      </c>
      <c r="O129" s="1">
        <f t="shared" si="13"/>
        <v>4292.9976157988085</v>
      </c>
      <c r="P129" s="1">
        <f t="shared" si="14"/>
        <v>3778.0561260867453</v>
      </c>
      <c r="Q129" s="1">
        <f t="shared" si="15"/>
        <v>0</v>
      </c>
      <c r="R129" s="1">
        <f t="shared" si="16"/>
        <v>5897.3863631494578</v>
      </c>
      <c r="S129" s="3">
        <f t="shared" si="21"/>
        <v>0</v>
      </c>
    </row>
    <row r="130" spans="2:19" ht="15.6" outlineLevel="2">
      <c r="B130" s="2">
        <v>393</v>
      </c>
      <c r="C130" s="2">
        <v>2011</v>
      </c>
      <c r="D130" s="1">
        <v>182443.60999999999</v>
      </c>
      <c r="E130" s="1">
        <v>23693.57</v>
      </c>
      <c r="F130" s="1">
        <v>5007.6400000000012</v>
      </c>
      <c r="G130" s="1">
        <v>0</v>
      </c>
      <c r="H130" s="1">
        <v>153742.39999999999</v>
      </c>
      <c r="I130" s="2">
        <v>40</v>
      </c>
      <c r="J130" s="8">
        <f t="shared" si="23"/>
        <v>29.5</v>
      </c>
      <c r="K130" s="10">
        <v>0</v>
      </c>
      <c r="L130" s="1">
        <f t="shared" si="24"/>
        <v>47891.447624999986</v>
      </c>
      <c r="M130" s="1">
        <f t="shared" si="22"/>
        <v>0.44742825701206435</v>
      </c>
      <c r="N130" s="1">
        <f t="shared" si="18"/>
        <v>21427.986936638314</v>
      </c>
      <c r="O130" s="1">
        <f t="shared" si="13"/>
        <v>2782.8078409670002</v>
      </c>
      <c r="P130" s="1">
        <f t="shared" si="14"/>
        <v>588.14690469777224</v>
      </c>
      <c r="Q130" s="1">
        <f t="shared" si="15"/>
        <v>0</v>
      </c>
      <c r="R130" s="1">
        <f t="shared" si="16"/>
        <v>18057.032190973543</v>
      </c>
      <c r="S130" s="3">
        <f t="shared" si="21"/>
        <v>0</v>
      </c>
    </row>
    <row r="131" spans="2:19" ht="15.6" outlineLevel="2">
      <c r="B131" s="2">
        <v>393</v>
      </c>
      <c r="C131" s="2">
        <v>2010</v>
      </c>
      <c r="D131" s="1">
        <v>9687.7899999999991</v>
      </c>
      <c r="E131" s="1">
        <v>51.049999999999997</v>
      </c>
      <c r="G131" s="1">
        <v>0</v>
      </c>
      <c r="H131" s="1">
        <v>9636.7399999999998</v>
      </c>
      <c r="I131" s="2">
        <v>40</v>
      </c>
      <c r="J131" s="8">
        <f t="shared" si="23"/>
        <v>28.5</v>
      </c>
      <c r="K131" s="10">
        <v>0</v>
      </c>
      <c r="L131" s="1">
        <f t="shared" si="24"/>
        <v>2785.2396249999997</v>
      </c>
      <c r="M131" s="1">
        <f t="shared" si="22"/>
        <v>0.44742825701206435</v>
      </c>
      <c r="N131" s="1">
        <f t="shared" si="18"/>
        <v>1246.1949107746857</v>
      </c>
      <c r="O131" s="1">
        <f t="shared" si="13"/>
        <v>6.5668485996339419</v>
      </c>
      <c r="P131" s="1">
        <f t="shared" si="14"/>
        <v>0</v>
      </c>
      <c r="Q131" s="1">
        <f t="shared" si="15"/>
        <v>0</v>
      </c>
      <c r="R131" s="1">
        <f t="shared" si="16"/>
        <v>1239.6280621750518</v>
      </c>
      <c r="S131" s="3">
        <f t="shared" si="21"/>
        <v>0</v>
      </c>
    </row>
    <row r="132" spans="2:19" ht="15.6" outlineLevel="2">
      <c r="B132" s="2">
        <v>393</v>
      </c>
      <c r="C132" s="2">
        <v>2009</v>
      </c>
      <c r="D132" s="1">
        <v>65897.990000000005</v>
      </c>
      <c r="E132" s="1">
        <v>27822.759999999998</v>
      </c>
      <c r="F132" s="1">
        <v>1211.1500000000001</v>
      </c>
      <c r="G132" s="1">
        <v>0</v>
      </c>
      <c r="H132" s="1">
        <v>36864.080000000002</v>
      </c>
      <c r="I132" s="2">
        <v>40</v>
      </c>
      <c r="J132" s="8">
        <f t="shared" si="23"/>
        <v>27.5</v>
      </c>
      <c r="K132" s="10">
        <v>0</v>
      </c>
      <c r="L132" s="1">
        <f t="shared" si="24"/>
        <v>20593.121875000001</v>
      </c>
      <c r="M132" s="1">
        <f t="shared" si="22"/>
        <v>0.44742825701206435</v>
      </c>
      <c r="N132" s="1">
        <f t="shared" si="18"/>
        <v>9213.9446269682649</v>
      </c>
      <c r="O132" s="1">
        <f t="shared" si="13"/>
        <v>3890.2153162703071</v>
      </c>
      <c r="P132" s="1">
        <f t="shared" si="14"/>
        <v>169.34460421255054</v>
      </c>
      <c r="Q132" s="1">
        <f t="shared" si="15"/>
        <v>0</v>
      </c>
      <c r="R132" s="1">
        <f t="shared" si="16"/>
        <v>5154.3847064854062</v>
      </c>
      <c r="S132" s="3">
        <f t="shared" si="21"/>
        <v>0</v>
      </c>
    </row>
    <row r="133" spans="2:19" ht="15.6" outlineLevel="2">
      <c r="B133" s="2">
        <v>393</v>
      </c>
      <c r="C133" s="2">
        <v>2008</v>
      </c>
      <c r="D133" s="1">
        <v>117277.33</v>
      </c>
      <c r="E133" s="1">
        <v>65461.200000000004</v>
      </c>
      <c r="F133" s="1">
        <v>17596.989999999991</v>
      </c>
      <c r="G133" s="1">
        <v>0</v>
      </c>
      <c r="H133" s="1">
        <v>34219.139999999999</v>
      </c>
      <c r="I133" s="2">
        <v>40</v>
      </c>
      <c r="J133" s="8">
        <f t="shared" si="23"/>
        <v>26.5</v>
      </c>
      <c r="K133" s="10">
        <v>0</v>
      </c>
      <c r="L133" s="1">
        <f t="shared" si="24"/>
        <v>39581.098875000003</v>
      </c>
      <c r="M133" s="1">
        <f t="shared" si="22"/>
        <v>0.44742825701206435</v>
      </c>
      <c r="N133" s="1">
        <f t="shared" si="18"/>
        <v>17709.702080263432</v>
      </c>
      <c r="O133" s="1">
        <f t="shared" si="25" ref="O133:O159">+E133/$D133*$N133</f>
        <v>9885.1018335473746</v>
      </c>
      <c r="P133" s="1">
        <f t="shared" si="26" ref="P133:P159">+F133/$D133*$N133</f>
        <v>2657.2693154710687</v>
      </c>
      <c r="Q133" s="1">
        <f t="shared" si="27" ref="Q133:Q159">+G133/$D133*$N133</f>
        <v>0</v>
      </c>
      <c r="R133" s="1">
        <f t="shared" si="28" ref="R133:R159">+H133/$D133*$N133</f>
        <v>5167.3309312449865</v>
      </c>
      <c r="S133" s="3">
        <f t="shared" si="29" ref="S133:S196">+N133-O133-P133-Q133-R133</f>
        <v>0</v>
      </c>
    </row>
    <row r="134" spans="2:19" ht="15.6" outlineLevel="2">
      <c r="B134" s="2">
        <v>393</v>
      </c>
      <c r="C134" s="2">
        <v>2006</v>
      </c>
      <c r="D134" s="1">
        <v>3961.9499999999998</v>
      </c>
      <c r="G134" s="1">
        <v>0</v>
      </c>
      <c r="H134" s="1">
        <v>3961.9499999999998</v>
      </c>
      <c r="I134" s="2">
        <v>40</v>
      </c>
      <c r="J134" s="8">
        <f t="shared" si="23"/>
        <v>24.5</v>
      </c>
      <c r="K134" s="10">
        <v>0</v>
      </c>
      <c r="L134" s="1">
        <f t="shared" si="24"/>
        <v>1535.2556249999998</v>
      </c>
      <c r="M134" s="1">
        <f t="shared" si="22"/>
        <v>0.44742825701206435</v>
      </c>
      <c r="N134" s="1">
        <f t="shared" si="18"/>
        <v>686.9167483617174</v>
      </c>
      <c r="O134" s="1">
        <f t="shared" si="25"/>
        <v>0</v>
      </c>
      <c r="P134" s="1">
        <f t="shared" si="26"/>
        <v>0</v>
      </c>
      <c r="Q134" s="1">
        <f t="shared" si="27"/>
        <v>0</v>
      </c>
      <c r="R134" s="1">
        <f t="shared" si="28"/>
        <v>686.9167483617174</v>
      </c>
      <c r="S134" s="3">
        <f t="shared" si="29"/>
        <v>0</v>
      </c>
    </row>
    <row r="135" spans="2:19" ht="15.6" outlineLevel="2">
      <c r="B135" s="2">
        <v>393</v>
      </c>
      <c r="C135" s="2">
        <v>2005</v>
      </c>
      <c r="D135" s="1">
        <v>46587.550000000003</v>
      </c>
      <c r="E135" s="1">
        <v>31910.500000000004</v>
      </c>
      <c r="F135" s="1">
        <v>5686.9000000000015</v>
      </c>
      <c r="G135" s="1">
        <v>0</v>
      </c>
      <c r="H135" s="1">
        <v>8990.1499999999996</v>
      </c>
      <c r="I135" s="2">
        <v>40</v>
      </c>
      <c r="J135" s="8">
        <f t="shared" si="23"/>
        <v>23.5</v>
      </c>
      <c r="K135" s="10">
        <v>0</v>
      </c>
      <c r="L135" s="1">
        <f t="shared" si="24"/>
        <v>19217.364375000001</v>
      </c>
      <c r="M135" s="1">
        <f t="shared" si="22"/>
        <v>0.44742825701206435</v>
      </c>
      <c r="N135" s="1">
        <f t="shared" si="18"/>
        <v>8598.3918466719897</v>
      </c>
      <c r="O135" s="1">
        <f t="shared" si="25"/>
        <v>5889.534500595686</v>
      </c>
      <c r="P135" s="1">
        <f t="shared" si="26"/>
        <v>1049.5978988557877</v>
      </c>
      <c r="Q135" s="1">
        <f t="shared" si="27"/>
        <v>0</v>
      </c>
      <c r="R135" s="1">
        <f t="shared" si="28"/>
        <v>1659.2594472205167</v>
      </c>
      <c r="S135" s="3">
        <f t="shared" si="29"/>
        <v>0</v>
      </c>
    </row>
    <row r="136" spans="2:19" ht="15.6" outlineLevel="2">
      <c r="B136" s="2">
        <v>393</v>
      </c>
      <c r="C136" s="2">
        <v>2004</v>
      </c>
      <c r="D136" s="1">
        <v>2057.77</v>
      </c>
      <c r="E136" s="1">
        <v>2057.77</v>
      </c>
      <c r="G136" s="1">
        <v>0</v>
      </c>
      <c r="I136" s="2">
        <v>40</v>
      </c>
      <c r="J136" s="8">
        <f t="shared" si="23"/>
        <v>22.5</v>
      </c>
      <c r="K136" s="10">
        <v>0</v>
      </c>
      <c r="L136" s="1">
        <f t="shared" si="24"/>
        <v>900.27437499999996</v>
      </c>
      <c r="M136" s="1">
        <f t="shared" si="22"/>
        <v>0.44742825701206435</v>
      </c>
      <c r="N136" s="1">
        <f t="shared" si="18"/>
        <v>402.8081944388756</v>
      </c>
      <c r="O136" s="1">
        <f t="shared" si="25"/>
        <v>402.8081944388756</v>
      </c>
      <c r="P136" s="1">
        <f t="shared" si="26"/>
        <v>0</v>
      </c>
      <c r="Q136" s="1">
        <f t="shared" si="27"/>
        <v>0</v>
      </c>
      <c r="R136" s="1">
        <f t="shared" si="28"/>
        <v>0</v>
      </c>
      <c r="S136" s="3">
        <f t="shared" si="29"/>
        <v>0</v>
      </c>
    </row>
    <row r="137" spans="2:19" ht="15.6" outlineLevel="2">
      <c r="B137" s="2">
        <v>393</v>
      </c>
      <c r="C137" s="2">
        <v>2003</v>
      </c>
      <c r="D137" s="1">
        <v>27530.090000000004</v>
      </c>
      <c r="E137" s="1">
        <v>6261.4100000000008</v>
      </c>
      <c r="G137" s="1">
        <v>0</v>
      </c>
      <c r="H137" s="1">
        <v>21268.680000000004</v>
      </c>
      <c r="I137" s="2">
        <v>40</v>
      </c>
      <c r="J137" s="8">
        <f t="shared" si="23"/>
        <v>21.5</v>
      </c>
      <c r="K137" s="10">
        <v>0</v>
      </c>
      <c r="L137" s="1">
        <f t="shared" si="24"/>
        <v>12732.666625000002</v>
      </c>
      <c r="M137" s="1">
        <f t="shared" si="22"/>
        <v>0.44742825701206435</v>
      </c>
      <c r="N137" s="1">
        <f t="shared" si="30" ref="N137:N159">IF((D137*(1-K137)-L137*M137)&lt;0,D137*(1-K137),L137*M137)</f>
        <v>5696.9548351394351</v>
      </c>
      <c r="O137" s="1">
        <f t="shared" si="25"/>
        <v>1295.7084402662836</v>
      </c>
      <c r="P137" s="1">
        <f t="shared" si="26"/>
        <v>0</v>
      </c>
      <c r="Q137" s="1">
        <f t="shared" si="27"/>
        <v>0</v>
      </c>
      <c r="R137" s="1">
        <f t="shared" si="28"/>
        <v>4401.246394873152</v>
      </c>
      <c r="S137" s="3">
        <f t="shared" si="29"/>
        <v>0</v>
      </c>
    </row>
    <row r="138" spans="2:19" ht="15.6" outlineLevel="2">
      <c r="B138" s="2">
        <v>393</v>
      </c>
      <c r="C138" s="2">
        <v>2002</v>
      </c>
      <c r="D138" s="1">
        <v>42673.300000000003</v>
      </c>
      <c r="E138" s="1">
        <v>39138.580000000002</v>
      </c>
      <c r="F138" s="1">
        <v>360.36000000000001</v>
      </c>
      <c r="G138" s="1">
        <v>0</v>
      </c>
      <c r="H138" s="1">
        <v>3174.3599999999997</v>
      </c>
      <c r="I138" s="2">
        <v>40</v>
      </c>
      <c r="J138" s="8">
        <f t="shared" si="23"/>
        <v>20.5</v>
      </c>
      <c r="K138" s="10">
        <v>0</v>
      </c>
      <c r="L138" s="1">
        <f t="shared" si="24"/>
        <v>20803.233750000003</v>
      </c>
      <c r="M138" s="1">
        <f t="shared" si="22"/>
        <v>0.44742825701206435</v>
      </c>
      <c r="N138" s="1">
        <f t="shared" si="30"/>
        <v>9307.9546169770529</v>
      </c>
      <c r="O138" s="1">
        <f t="shared" si="25"/>
        <v>8536.9569827720316</v>
      </c>
      <c r="P138" s="1">
        <f t="shared" si="26"/>
        <v>78.602182764722912</v>
      </c>
      <c r="Q138" s="1">
        <f t="shared" si="27"/>
        <v>0</v>
      </c>
      <c r="R138" s="1">
        <f t="shared" si="28"/>
        <v>692.39545144029807</v>
      </c>
      <c r="S138" s="3">
        <f t="shared" si="29"/>
        <v>0</v>
      </c>
    </row>
    <row r="139" spans="2:19" ht="15.6" outlineLevel="2">
      <c r="B139" s="2">
        <v>393</v>
      </c>
      <c r="C139" s="2">
        <v>2001</v>
      </c>
      <c r="D139" s="1">
        <v>13240.35</v>
      </c>
      <c r="E139" s="1">
        <v>3868.7799999999997</v>
      </c>
      <c r="F139" s="1">
        <v>382.63</v>
      </c>
      <c r="G139" s="1">
        <v>0</v>
      </c>
      <c r="H139" s="1">
        <v>8988.9400000000005</v>
      </c>
      <c r="I139" s="2">
        <v>40</v>
      </c>
      <c r="J139" s="8">
        <f t="shared" si="23"/>
        <v>19.5</v>
      </c>
      <c r="K139" s="10">
        <v>0</v>
      </c>
      <c r="L139" s="1">
        <f t="shared" si="24"/>
        <v>6785.6793749999997</v>
      </c>
      <c r="M139" s="1">
        <f t="shared" si="22"/>
        <v>0.44742825701206435</v>
      </c>
      <c r="N139" s="1">
        <f t="shared" si="30"/>
        <v>3036.1046953989639</v>
      </c>
      <c r="O139" s="1">
        <f t="shared" si="25"/>
        <v>887.13826473360621</v>
      </c>
      <c r="P139" s="1">
        <f t="shared" si="26"/>
        <v>87.739730415019665</v>
      </c>
      <c r="Q139" s="1">
        <f t="shared" si="27"/>
        <v>0</v>
      </c>
      <c r="R139" s="1">
        <f t="shared" si="28"/>
        <v>2061.2267002503381</v>
      </c>
      <c r="S139" s="3">
        <f t="shared" si="29"/>
        <v>0</v>
      </c>
    </row>
    <row r="140" spans="2:19" ht="15.6" outlineLevel="2">
      <c r="B140" s="2">
        <v>393</v>
      </c>
      <c r="C140" s="2">
        <v>1999</v>
      </c>
      <c r="D140" s="1">
        <v>4625.5200000000004</v>
      </c>
      <c r="E140" s="1">
        <v>4625.5200000000004</v>
      </c>
      <c r="G140" s="1">
        <v>0</v>
      </c>
      <c r="I140" s="2">
        <v>40</v>
      </c>
      <c r="J140" s="8">
        <f t="shared" si="23"/>
        <v>17.5</v>
      </c>
      <c r="K140" s="10">
        <v>0</v>
      </c>
      <c r="L140" s="1">
        <f t="shared" si="24"/>
        <v>2601.8550000000005</v>
      </c>
      <c r="M140" s="1">
        <f t="shared" si="22"/>
        <v>0.44742825701206435</v>
      </c>
      <c r="N140" s="1">
        <f t="shared" si="30"/>
        <v>1164.143447648125</v>
      </c>
      <c r="O140" s="1">
        <f t="shared" si="25"/>
        <v>1164.143447648125</v>
      </c>
      <c r="P140" s="1">
        <f t="shared" si="26"/>
        <v>0</v>
      </c>
      <c r="Q140" s="1">
        <f t="shared" si="27"/>
        <v>0</v>
      </c>
      <c r="R140" s="1">
        <f t="shared" si="28"/>
        <v>0</v>
      </c>
      <c r="S140" s="3">
        <f t="shared" si="29"/>
        <v>0</v>
      </c>
    </row>
    <row r="141" spans="2:19" ht="15.6" outlineLevel="2">
      <c r="B141" s="2">
        <v>393</v>
      </c>
      <c r="C141" s="2">
        <v>1998</v>
      </c>
      <c r="D141" s="1">
        <v>76548.369999999995</v>
      </c>
      <c r="E141" s="1">
        <v>9430.6700000000001</v>
      </c>
      <c r="G141" s="1">
        <v>0</v>
      </c>
      <c r="H141" s="1">
        <v>67117.699999999997</v>
      </c>
      <c r="I141" s="2">
        <v>40</v>
      </c>
      <c r="J141" s="8">
        <f t="shared" si="23"/>
        <v>16.5</v>
      </c>
      <c r="K141" s="10">
        <v>0</v>
      </c>
      <c r="L141" s="1">
        <f t="shared" si="24"/>
        <v>44972.167374999997</v>
      </c>
      <c r="M141" s="1">
        <f t="shared" si="22"/>
        <v>0.44742825701206435</v>
      </c>
      <c r="N141" s="1">
        <f t="shared" si="30"/>
        <v>20121.818462651074</v>
      </c>
      <c r="O141" s="1">
        <f t="shared" si="25"/>
        <v>2478.9845913266295</v>
      </c>
      <c r="P141" s="1">
        <f t="shared" si="26"/>
        <v>0</v>
      </c>
      <c r="Q141" s="1">
        <f t="shared" si="27"/>
        <v>0</v>
      </c>
      <c r="R141" s="1">
        <f t="shared" si="28"/>
        <v>17642.833871324445</v>
      </c>
      <c r="S141" s="3">
        <f t="shared" si="29"/>
        <v>0</v>
      </c>
    </row>
    <row r="142" spans="2:19" ht="15.6" outlineLevel="2">
      <c r="B142" s="2">
        <v>393</v>
      </c>
      <c r="C142" s="2">
        <v>1997</v>
      </c>
      <c r="D142" s="1">
        <v>47764.399999999994</v>
      </c>
      <c r="E142" s="1">
        <v>13538.56</v>
      </c>
      <c r="F142" s="1">
        <v>13327.859999999997</v>
      </c>
      <c r="G142" s="1">
        <v>0</v>
      </c>
      <c r="H142" s="1">
        <v>20897.98</v>
      </c>
      <c r="I142" s="2">
        <v>40</v>
      </c>
      <c r="J142" s="8">
        <f t="shared" si="23"/>
        <v>15.5</v>
      </c>
      <c r="K142" s="10">
        <v>0</v>
      </c>
      <c r="L142" s="1">
        <f t="shared" si="24"/>
        <v>29255.695</v>
      </c>
      <c r="M142" s="1">
        <f t="shared" si="22"/>
        <v>0.44742825701206435</v>
      </c>
      <c r="N142" s="1">
        <f t="shared" si="30"/>
        <v>13089.824621526566</v>
      </c>
      <c r="O142" s="1">
        <f t="shared" si="25"/>
        <v>3710.2397607426183</v>
      </c>
      <c r="P142" s="1">
        <f t="shared" si="26"/>
        <v>3652.4974663192475</v>
      </c>
      <c r="Q142" s="1">
        <f t="shared" si="27"/>
        <v>0</v>
      </c>
      <c r="R142" s="1">
        <f t="shared" si="28"/>
        <v>5727.0873944647019</v>
      </c>
      <c r="S142" s="3">
        <f t="shared" si="29"/>
        <v>0</v>
      </c>
    </row>
    <row r="143" spans="2:19" ht="15.6" outlineLevel="2">
      <c r="B143" s="2">
        <v>393</v>
      </c>
      <c r="C143" s="2">
        <v>1996</v>
      </c>
      <c r="D143" s="1">
        <v>129065.39999999999</v>
      </c>
      <c r="E143" s="1">
        <v>28795.160000000003</v>
      </c>
      <c r="F143" s="1">
        <v>6068.1699999999946</v>
      </c>
      <c r="G143" s="1">
        <v>0</v>
      </c>
      <c r="H143" s="1">
        <v>94202.069999999992</v>
      </c>
      <c r="I143" s="2">
        <v>40</v>
      </c>
      <c r="J143" s="8">
        <f t="shared" si="23"/>
        <v>14.5</v>
      </c>
      <c r="K143" s="10">
        <v>0</v>
      </c>
      <c r="L143" s="1">
        <f t="shared" si="24"/>
        <v>82279.19249999999</v>
      </c>
      <c r="M143" s="1">
        <f t="shared" si="22"/>
        <v>0.44742825701206435</v>
      </c>
      <c r="N143" s="1">
        <f t="shared" si="30"/>
        <v>36814.035688635115</v>
      </c>
      <c r="O143" s="1">
        <f t="shared" si="25"/>
        <v>8213.4022588544922</v>
      </c>
      <c r="P143" s="1">
        <f t="shared" si="26"/>
        <v>1730.8575880499714</v>
      </c>
      <c r="Q143" s="1">
        <f t="shared" si="27"/>
        <v>0</v>
      </c>
      <c r="R143" s="1">
        <f t="shared" si="28"/>
        <v>26869.77584173065</v>
      </c>
      <c r="S143" s="3">
        <f t="shared" si="29"/>
        <v>0</v>
      </c>
    </row>
    <row r="144" spans="2:19" ht="15.6" outlineLevel="2">
      <c r="B144" s="2">
        <v>393</v>
      </c>
      <c r="C144" s="2">
        <v>1995</v>
      </c>
      <c r="D144" s="1">
        <v>58615.830000000009</v>
      </c>
      <c r="E144" s="1">
        <v>58381.320000000007</v>
      </c>
      <c r="G144" s="1">
        <v>0</v>
      </c>
      <c r="H144" s="1">
        <v>234.50999999999999</v>
      </c>
      <c r="I144" s="2">
        <v>40</v>
      </c>
      <c r="J144" s="8">
        <f t="shared" si="23"/>
        <v>13.5</v>
      </c>
      <c r="K144" s="10">
        <v>0</v>
      </c>
      <c r="L144" s="1">
        <f t="shared" si="24"/>
        <v>38832.987375000004</v>
      </c>
      <c r="M144" s="1">
        <f t="shared" si="22"/>
        <v>0.44742825701206435</v>
      </c>
      <c r="N144" s="1">
        <f t="shared" si="30"/>
        <v>17374.975855767752</v>
      </c>
      <c r="O144" s="1">
        <f t="shared" si="25"/>
        <v>17305.462115402119</v>
      </c>
      <c r="P144" s="1">
        <f t="shared" si="26"/>
        <v>0</v>
      </c>
      <c r="Q144" s="1">
        <f t="shared" si="27"/>
        <v>0</v>
      </c>
      <c r="R144" s="1">
        <f t="shared" si="28"/>
        <v>69.513740365633211</v>
      </c>
      <c r="S144" s="3">
        <f t="shared" si="29"/>
        <v>3.5527136788005009E-13</v>
      </c>
    </row>
    <row r="145" spans="2:19" ht="15.6" outlineLevel="2">
      <c r="B145" s="2">
        <v>393</v>
      </c>
      <c r="C145" s="2">
        <v>1994</v>
      </c>
      <c r="D145" s="1">
        <v>12046.459999999999</v>
      </c>
      <c r="E145" s="1">
        <v>6492.8299999999999</v>
      </c>
      <c r="F145" s="1">
        <v>531.77999999999997</v>
      </c>
      <c r="G145" s="1">
        <v>0</v>
      </c>
      <c r="H145" s="1">
        <v>5021.8500000000004</v>
      </c>
      <c r="I145" s="2">
        <v>40</v>
      </c>
      <c r="J145" s="8">
        <f t="shared" si="23"/>
        <v>12.5</v>
      </c>
      <c r="K145" s="10">
        <v>0</v>
      </c>
      <c r="L145" s="1">
        <f t="shared" si="24"/>
        <v>8281.9412499999999</v>
      </c>
      <c r="M145" s="1">
        <f t="shared" si="22"/>
        <v>0.44742825701206435</v>
      </c>
      <c r="N145" s="1">
        <f t="shared" si="30"/>
        <v>3705.5745381638176</v>
      </c>
      <c r="O145" s="1">
        <f t="shared" si="25"/>
        <v>1997.2394818582538</v>
      </c>
      <c r="P145" s="1">
        <f t="shared" si="26"/>
        <v>163.57921147828949</v>
      </c>
      <c r="Q145" s="1">
        <f t="shared" si="27"/>
        <v>0</v>
      </c>
      <c r="R145" s="1">
        <f t="shared" si="28"/>
        <v>1544.7558448272746</v>
      </c>
      <c r="S145" s="3">
        <f t="shared" si="29"/>
        <v>0</v>
      </c>
    </row>
    <row r="146" spans="2:19" ht="15.6" outlineLevel="2">
      <c r="B146" s="2">
        <v>393</v>
      </c>
      <c r="C146" s="2">
        <v>1992</v>
      </c>
      <c r="D146" s="1">
        <v>5503.6800000000003</v>
      </c>
      <c r="G146" s="1">
        <v>0</v>
      </c>
      <c r="H146" s="1">
        <v>5503.6800000000003</v>
      </c>
      <c r="I146" s="2">
        <v>40</v>
      </c>
      <c r="J146" s="8">
        <f t="shared" si="23"/>
        <v>10.5</v>
      </c>
      <c r="K146" s="10">
        <v>0</v>
      </c>
      <c r="L146" s="1">
        <f t="shared" si="24"/>
        <v>4058.9640000000004</v>
      </c>
      <c r="M146" s="1">
        <f t="shared" si="22"/>
        <v>0.44742825701206435</v>
      </c>
      <c r="N146" s="1">
        <f t="shared" si="30"/>
        <v>1816.0951877947168</v>
      </c>
      <c r="O146" s="1">
        <f t="shared" si="25"/>
        <v>0</v>
      </c>
      <c r="P146" s="1">
        <f t="shared" si="26"/>
        <v>0</v>
      </c>
      <c r="Q146" s="1">
        <f t="shared" si="27"/>
        <v>0</v>
      </c>
      <c r="R146" s="1">
        <f t="shared" si="28"/>
        <v>1816.0951877947168</v>
      </c>
      <c r="S146" s="3">
        <f t="shared" si="29"/>
        <v>0</v>
      </c>
    </row>
    <row r="147" spans="2:19" ht="15.6" outlineLevel="2">
      <c r="B147" s="2">
        <v>393</v>
      </c>
      <c r="C147" s="2">
        <v>1991</v>
      </c>
      <c r="D147" s="1">
        <v>52771.880000000005</v>
      </c>
      <c r="E147" s="1">
        <v>38005.040000000001</v>
      </c>
      <c r="F147" s="1">
        <v>4165.6200000000017</v>
      </c>
      <c r="G147" s="1">
        <v>0</v>
      </c>
      <c r="H147" s="1">
        <v>10601.220000000001</v>
      </c>
      <c r="I147" s="2">
        <v>40</v>
      </c>
      <c r="J147" s="8">
        <f t="shared" si="23"/>
        <v>9.5</v>
      </c>
      <c r="K147" s="10">
        <v>0</v>
      </c>
      <c r="L147" s="1">
        <f t="shared" si="24"/>
        <v>40238.558499999999</v>
      </c>
      <c r="M147" s="1">
        <f t="shared" si="22"/>
        <v>0.44742825701206435</v>
      </c>
      <c r="N147" s="1">
        <f t="shared" si="30"/>
        <v>18003.868094332985</v>
      </c>
      <c r="O147" s="1">
        <f t="shared" si="25"/>
        <v>12965.953213716261</v>
      </c>
      <c r="P147" s="1">
        <f t="shared" si="26"/>
        <v>1421.1597731806294</v>
      </c>
      <c r="Q147" s="1">
        <f t="shared" si="27"/>
        <v>0</v>
      </c>
      <c r="R147" s="1">
        <f t="shared" si="28"/>
        <v>3616.7551074360954</v>
      </c>
      <c r="S147" s="3">
        <f t="shared" si="29"/>
        <v>0</v>
      </c>
    </row>
    <row r="148" spans="2:19" ht="15.6" outlineLevel="2">
      <c r="B148" s="2">
        <v>393</v>
      </c>
      <c r="C148" s="2">
        <v>1990</v>
      </c>
      <c r="D148" s="1">
        <v>47882.720000000008</v>
      </c>
      <c r="E148" s="1">
        <v>41367.630000000005</v>
      </c>
      <c r="F148" s="1">
        <v>3644.5800000000017</v>
      </c>
      <c r="G148" s="1">
        <v>0</v>
      </c>
      <c r="H148" s="1">
        <v>2870.5100000000002</v>
      </c>
      <c r="I148" s="2">
        <v>40</v>
      </c>
      <c r="J148" s="8">
        <f t="shared" si="23"/>
        <v>8.5</v>
      </c>
      <c r="K148" s="10">
        <v>0</v>
      </c>
      <c r="L148" s="1">
        <f t="shared" si="24"/>
        <v>37707.642000000007</v>
      </c>
      <c r="M148" s="1">
        <f t="shared" si="22"/>
        <v>0.44742825701206435</v>
      </c>
      <c r="N148" s="1">
        <f t="shared" si="30"/>
        <v>16871.464536094914</v>
      </c>
      <c r="O148" s="1">
        <f t="shared" si="25"/>
        <v>14575.874187750738</v>
      </c>
      <c r="P148" s="1">
        <f t="shared" si="26"/>
        <v>1284.1668605910613</v>
      </c>
      <c r="Q148" s="1">
        <f t="shared" si="27"/>
        <v>0</v>
      </c>
      <c r="R148" s="1">
        <f t="shared" si="28"/>
        <v>1011.4234877531144</v>
      </c>
      <c r="S148" s="3">
        <f t="shared" si="29"/>
        <v>0</v>
      </c>
    </row>
    <row r="149" spans="2:19" ht="15.6" outlineLevel="2">
      <c r="B149" s="2">
        <v>393</v>
      </c>
      <c r="C149" s="2">
        <v>1989</v>
      </c>
      <c r="D149" s="1">
        <v>63986.400000000001</v>
      </c>
      <c r="E149" s="1">
        <v>60022.639999999999</v>
      </c>
      <c r="F149" s="1">
        <v>3963.7600000000016</v>
      </c>
      <c r="G149" s="1">
        <v>0</v>
      </c>
      <c r="I149" s="2">
        <v>40</v>
      </c>
      <c r="J149" s="8">
        <f t="shared" si="23"/>
        <v>7.5</v>
      </c>
      <c r="K149" s="10">
        <v>0</v>
      </c>
      <c r="L149" s="1">
        <f t="shared" si="24"/>
        <v>51988.950000000004</v>
      </c>
      <c r="M149" s="1">
        <f t="shared" si="22"/>
        <v>0.44742825701206435</v>
      </c>
      <c r="N149" s="1">
        <f t="shared" si="30"/>
        <v>23261.325282387366</v>
      </c>
      <c r="O149" s="1">
        <f t="shared" si="25"/>
        <v>21820.357972125876</v>
      </c>
      <c r="P149" s="1">
        <f t="shared" si="26"/>
        <v>1440.9673102614897</v>
      </c>
      <c r="Q149" s="1">
        <f t="shared" si="27"/>
        <v>0</v>
      </c>
      <c r="R149" s="1">
        <f t="shared" si="28"/>
        <v>0</v>
      </c>
      <c r="S149" s="3">
        <f t="shared" si="29"/>
        <v>9.0949470177292824E-13</v>
      </c>
    </row>
    <row r="150" spans="2:19" ht="15.6" outlineLevel="2">
      <c r="B150" s="2">
        <v>393</v>
      </c>
      <c r="C150" s="2">
        <v>1988</v>
      </c>
      <c r="D150" s="1">
        <v>398940.41000000003</v>
      </c>
      <c r="E150" s="1">
        <v>293396.49000000005</v>
      </c>
      <c r="F150" s="1">
        <v>33957.479999999996</v>
      </c>
      <c r="G150" s="1">
        <v>0</v>
      </c>
      <c r="H150" s="1">
        <v>71586.440000000002</v>
      </c>
      <c r="I150" s="2">
        <v>40</v>
      </c>
      <c r="J150" s="8">
        <f t="shared" si="23"/>
        <v>6.5</v>
      </c>
      <c r="K150" s="10">
        <v>0</v>
      </c>
      <c r="L150" s="1">
        <f t="shared" si="24"/>
        <v>334112.59337500005</v>
      </c>
      <c r="M150" s="1">
        <f t="shared" si="22"/>
        <v>0.44742825701206435</v>
      </c>
      <c r="N150" s="1">
        <f t="shared" si="30"/>
        <v>149491.41529955686</v>
      </c>
      <c r="O150" s="1">
        <f t="shared" si="25"/>
        <v>109941.87461235697</v>
      </c>
      <c r="P150" s="1">
        <f t="shared" si="26"/>
        <v>12724.586474472204</v>
      </c>
      <c r="Q150" s="1">
        <f t="shared" si="27"/>
        <v>0</v>
      </c>
      <c r="R150" s="1">
        <f t="shared" si="28"/>
        <v>26824.95421272768</v>
      </c>
      <c r="S150" s="3">
        <f t="shared" si="29"/>
        <v>0</v>
      </c>
    </row>
    <row r="151" spans="2:19" ht="15.6" outlineLevel="2">
      <c r="B151" s="2">
        <v>393</v>
      </c>
      <c r="C151" s="2">
        <v>1987</v>
      </c>
      <c r="D151" s="1">
        <v>119005.84</v>
      </c>
      <c r="E151" s="1">
        <v>105348.69</v>
      </c>
      <c r="F151" s="1">
        <v>4726.2600000000011</v>
      </c>
      <c r="G151" s="1">
        <v>0</v>
      </c>
      <c r="H151" s="1">
        <v>8930.8899999999994</v>
      </c>
      <c r="I151" s="2">
        <v>40</v>
      </c>
      <c r="J151" s="8">
        <f t="shared" si="23"/>
        <v>5.5</v>
      </c>
      <c r="K151" s="10">
        <v>0</v>
      </c>
      <c r="L151" s="1">
        <f t="shared" si="24"/>
        <v>102642.537</v>
      </c>
      <c r="M151" s="1">
        <f t="shared" si="22"/>
        <v>0.44742825701206435</v>
      </c>
      <c r="N151" s="1">
        <f t="shared" si="30"/>
        <v>45925.171425206325</v>
      </c>
      <c r="O151" s="1">
        <f t="shared" si="25"/>
        <v>40654.783392738704</v>
      </c>
      <c r="P151" s="1">
        <f t="shared" si="26"/>
        <v>1823.8962113127868</v>
      </c>
      <c r="Q151" s="1">
        <f t="shared" si="27"/>
        <v>0</v>
      </c>
      <c r="R151" s="1">
        <f t="shared" si="28"/>
        <v>3446.4918211548347</v>
      </c>
      <c r="S151" s="3">
        <f t="shared" si="29"/>
        <v>0</v>
      </c>
    </row>
    <row r="152" spans="2:19" ht="15.6" outlineLevel="2">
      <c r="B152" s="2">
        <v>393</v>
      </c>
      <c r="C152" s="2">
        <v>1986</v>
      </c>
      <c r="D152" s="1">
        <v>288644.47999999998</v>
      </c>
      <c r="E152" s="1">
        <v>225745.37999999998</v>
      </c>
      <c r="F152" s="1">
        <v>26089.780000000002</v>
      </c>
      <c r="G152" s="1">
        <v>0</v>
      </c>
      <c r="H152" s="1">
        <v>36809.32</v>
      </c>
      <c r="I152" s="2">
        <v>40</v>
      </c>
      <c r="J152" s="8">
        <f t="shared" si="23"/>
        <v>4.5</v>
      </c>
      <c r="K152" s="10">
        <v>0</v>
      </c>
      <c r="L152" s="1">
        <f t="shared" si="24"/>
        <v>256171.97599999997</v>
      </c>
      <c r="M152" s="1">
        <f t="shared" si="22"/>
        <v>0.44742825701206435</v>
      </c>
      <c r="N152" s="1">
        <f t="shared" si="30"/>
        <v>114618.58071701636</v>
      </c>
      <c r="O152" s="1">
        <f t="shared" si="25"/>
        <v>89641.814937959425</v>
      </c>
      <c r="P152" s="1">
        <f t="shared" si="26"/>
        <v>10360.058002215041</v>
      </c>
      <c r="Q152" s="1">
        <f t="shared" si="27"/>
        <v>0</v>
      </c>
      <c r="R152" s="1">
        <f t="shared" si="28"/>
        <v>14616.707776841897</v>
      </c>
      <c r="S152" s="3">
        <f t="shared" si="29"/>
        <v>0</v>
      </c>
    </row>
    <row r="153" spans="2:19" ht="15.6" outlineLevel="2">
      <c r="B153" s="2">
        <v>393</v>
      </c>
      <c r="C153" s="2">
        <v>1985</v>
      </c>
      <c r="D153" s="1">
        <v>237920.32000000001</v>
      </c>
      <c r="E153" s="1">
        <v>170052.17000000001</v>
      </c>
      <c r="F153" s="1">
        <v>44220.650000000001</v>
      </c>
      <c r="G153" s="1">
        <v>0</v>
      </c>
      <c r="H153" s="1">
        <v>23647.5</v>
      </c>
      <c r="I153" s="2">
        <v>40</v>
      </c>
      <c r="J153" s="8">
        <f t="shared" si="23"/>
        <v>3.5</v>
      </c>
      <c r="K153" s="10">
        <v>0</v>
      </c>
      <c r="L153" s="1">
        <f t="shared" si="24"/>
        <v>217102.29199999999</v>
      </c>
      <c r="M153" s="1">
        <f t="shared" si="22"/>
        <v>0.44742825701206435</v>
      </c>
      <c r="N153" s="1">
        <f t="shared" si="30"/>
        <v>97137.700102884235</v>
      </c>
      <c r="O153" s="1">
        <f t="shared" si="25"/>
        <v>69428.60824710007</v>
      </c>
      <c r="P153" s="1">
        <f t="shared" si="26"/>
        <v>18054.331122514493</v>
      </c>
      <c r="Q153" s="1">
        <f t="shared" si="27"/>
        <v>0</v>
      </c>
      <c r="R153" s="1">
        <f t="shared" si="28"/>
        <v>9654.7607332696716</v>
      </c>
      <c r="S153" s="3">
        <f t="shared" si="29"/>
        <v>0</v>
      </c>
    </row>
    <row r="154" spans="2:19" ht="15.6" outlineLevel="2">
      <c r="B154" s="2">
        <v>393</v>
      </c>
      <c r="C154" s="2">
        <v>1984</v>
      </c>
      <c r="D154" s="1">
        <v>355820.8899999999</v>
      </c>
      <c r="E154" s="1">
        <v>218894.78999999998</v>
      </c>
      <c r="F154" s="1">
        <v>88791.129999999976</v>
      </c>
      <c r="G154" s="1">
        <v>0</v>
      </c>
      <c r="H154" s="1">
        <v>48134.970000000001</v>
      </c>
      <c r="I154" s="2">
        <v>40</v>
      </c>
      <c r="J154" s="8">
        <f t="shared" si="23"/>
        <v>2.5</v>
      </c>
      <c r="K154" s="10">
        <v>0</v>
      </c>
      <c r="L154" s="1">
        <f t="shared" si="24"/>
        <v>333582.08437499992</v>
      </c>
      <c r="M154" s="1">
        <f t="shared" si="22"/>
        <v>0.44742825701206435</v>
      </c>
      <c r="N154" s="1">
        <f t="shared" si="30"/>
        <v>149254.0505823576</v>
      </c>
      <c r="O154" s="1">
        <f t="shared" si="25"/>
        <v>91818.482211301744</v>
      </c>
      <c r="P154" s="1">
        <f t="shared" si="26"/>
        <v>37244.681750654629</v>
      </c>
      <c r="Q154" s="1">
        <f t="shared" si="27"/>
        <v>0</v>
      </c>
      <c r="R154" s="1">
        <f t="shared" si="28"/>
        <v>20190.886620401259</v>
      </c>
      <c r="S154" s="3">
        <f t="shared" si="29"/>
        <v>-3.637978807091713E-11</v>
      </c>
    </row>
    <row r="155" spans="2:19" ht="15.6" outlineLevel="2">
      <c r="B155" s="2">
        <v>393</v>
      </c>
      <c r="C155" s="2">
        <v>1983</v>
      </c>
      <c r="D155" s="1">
        <v>286076.18000000005</v>
      </c>
      <c r="E155" s="1">
        <v>262179.48999999999</v>
      </c>
      <c r="F155" s="1">
        <v>20763.860000000001</v>
      </c>
      <c r="G155" s="1">
        <v>0</v>
      </c>
      <c r="H155" s="1">
        <v>3132.8299999999999</v>
      </c>
      <c r="I155" s="2">
        <v>40</v>
      </c>
      <c r="J155" s="8">
        <f t="shared" si="23"/>
        <v>1.5</v>
      </c>
      <c r="K155" s="10">
        <v>0</v>
      </c>
      <c r="L155" s="1">
        <f t="shared" si="24"/>
        <v>275348.32325000007</v>
      </c>
      <c r="M155" s="1">
        <f t="shared" si="22"/>
        <v>0.44742825701206435</v>
      </c>
      <c r="N155" s="1">
        <f t="shared" si="30"/>
        <v>123198.620342942</v>
      </c>
      <c r="O155" s="1">
        <f t="shared" si="25"/>
        <v>112907.518026199</v>
      </c>
      <c r="P155" s="1">
        <f t="shared" si="26"/>
        <v>8941.9500253184287</v>
      </c>
      <c r="Q155" s="1">
        <f t="shared" si="27"/>
        <v>0</v>
      </c>
      <c r="R155" s="1">
        <f t="shared" si="28"/>
        <v>1349.152291424539</v>
      </c>
      <c r="S155" s="3">
        <f t="shared" si="29"/>
        <v>2.7966962079517543E-11</v>
      </c>
    </row>
    <row r="156" spans="1:19" ht="15.6" outlineLevel="1">
      <c r="A156" s="4" t="s">
        <v>21</v>
      </c>
      <c r="B156" s="2" t="s">
        <v>32</v>
      </c>
      <c r="D156" s="1">
        <f>SUBTOTAL(9,D120:D155)</f>
        <v>4996536.5899999999</v>
      </c>
      <c r="E156" s="1">
        <f>SUBTOTAL(9,E120:E155)</f>
        <v>3228206.2199999997</v>
      </c>
      <c r="F156" s="1">
        <f>SUBTOTAL(9,F120:F155)</f>
        <v>575148.54000000015</v>
      </c>
      <c r="G156" s="1">
        <f>SUBTOTAL(9,G120:G155)</f>
        <v>0</v>
      </c>
      <c r="H156" s="1">
        <f>SUBTOTAL(9,H120:H155)</f>
        <v>1193181.8299999998</v>
      </c>
      <c r="J156" s="8">
        <f>+N156-K156</f>
        <v>0</v>
      </c>
      <c r="K156" s="10">
        <v>994469.576451028</v>
      </c>
      <c r="L156" s="1">
        <f>SUBTOTAL(9,L120:L155)</f>
        <v>2222634.7148750001</v>
      </c>
      <c r="M156" s="1">
        <v>0.44742825701206435</v>
      </c>
      <c r="N156" s="1">
        <f>SUBTOTAL(9,N120:N155)</f>
        <v>994469.57645102777</v>
      </c>
      <c r="O156" s="1">
        <f t="shared" si="25"/>
        <v>642515.63347402075</v>
      </c>
      <c r="P156" s="1">
        <f t="shared" si="26"/>
        <v>114472.83826860301</v>
      </c>
      <c r="Q156" s="1">
        <f t="shared" si="27"/>
        <v>0</v>
      </c>
      <c r="R156" s="1">
        <f t="shared" si="28"/>
        <v>237481.10470840405</v>
      </c>
      <c r="S156" s="3">
        <f t="shared" si="29"/>
        <v>0</v>
      </c>
    </row>
    <row r="157" spans="2:19" ht="15.6" outlineLevel="2">
      <c r="B157" s="2">
        <v>395</v>
      </c>
      <c r="C157" s="2">
        <v>2021</v>
      </c>
      <c r="D157" s="1">
        <v>3105169.5999999996</v>
      </c>
      <c r="E157" s="1">
        <v>1818932.2199999997</v>
      </c>
      <c r="F157" s="1">
        <v>246094.76000000007</v>
      </c>
      <c r="G157" s="1">
        <v>0</v>
      </c>
      <c r="H157" s="1">
        <v>1040142.62</v>
      </c>
      <c r="I157" s="2">
        <v>25</v>
      </c>
      <c r="J157" s="8">
        <f>25+C157-2021.5</f>
        <v>24.5</v>
      </c>
      <c r="K157" s="10">
        <v>0</v>
      </c>
      <c r="L157" s="1">
        <f t="shared" si="24"/>
        <v>62103.392000000051</v>
      </c>
      <c r="M157" s="1">
        <f t="shared" si="31" ref="M157:M180">$M$181</f>
        <v>0.44742825701206423</v>
      </c>
      <c r="N157" s="1">
        <f t="shared" si="30"/>
        <v>27786.812437096996</v>
      </c>
      <c r="O157" s="1">
        <f t="shared" si="25"/>
        <v>16276.833456353705</v>
      </c>
      <c r="P157" s="1">
        <f t="shared" si="26"/>
        <v>2202.194990532048</v>
      </c>
      <c r="Q157" s="1">
        <f t="shared" si="27"/>
        <v>0</v>
      </c>
      <c r="R157" s="1">
        <f t="shared" si="28"/>
        <v>9307.7839902112464</v>
      </c>
      <c r="S157" s="3">
        <f t="shared" si="29"/>
        <v>0</v>
      </c>
    </row>
    <row r="158" spans="2:19" ht="15.6" outlineLevel="2">
      <c r="B158" s="2">
        <v>395</v>
      </c>
      <c r="C158" s="2">
        <v>2020</v>
      </c>
      <c r="D158" s="1">
        <v>8322328.370000001</v>
      </c>
      <c r="E158" s="1">
        <v>2549498.4100000001</v>
      </c>
      <c r="F158" s="1">
        <v>425866.89000000001</v>
      </c>
      <c r="G158" s="1">
        <v>0</v>
      </c>
      <c r="H158" s="1">
        <v>5346963.0700000012</v>
      </c>
      <c r="I158" s="2">
        <v>25</v>
      </c>
      <c r="J158" s="8">
        <f t="shared" si="32" ref="J158:J180">25+C158-2021.5</f>
        <v>23.5</v>
      </c>
      <c r="K158" s="10">
        <v>0</v>
      </c>
      <c r="L158" s="1">
        <f t="shared" si="24"/>
        <v>499339.70220000052</v>
      </c>
      <c r="M158" s="1">
        <f t="shared" si="31"/>
        <v>0.44742825701206423</v>
      </c>
      <c r="N158" s="1">
        <f t="shared" si="30"/>
        <v>223418.69261226946</v>
      </c>
      <c r="O158" s="1">
        <f t="shared" si="25"/>
        <v>68443.057790479812</v>
      </c>
      <c r="P158" s="1">
        <f t="shared" si="26"/>
        <v>11432.692818710921</v>
      </c>
      <c r="Q158" s="1">
        <f t="shared" si="27"/>
        <v>0</v>
      </c>
      <c r="R158" s="1">
        <f t="shared" si="28"/>
        <v>143542.94200307873</v>
      </c>
      <c r="S158" s="3">
        <f t="shared" si="29"/>
        <v>0</v>
      </c>
    </row>
    <row r="159" spans="2:19" ht="15.6" outlineLevel="2">
      <c r="B159" s="2">
        <v>395</v>
      </c>
      <c r="C159" s="2">
        <v>2019</v>
      </c>
      <c r="D159" s="1">
        <v>3185032.7700000005</v>
      </c>
      <c r="E159" s="1">
        <v>935551.44999999984</v>
      </c>
      <c r="F159" s="1">
        <v>693235.71000000008</v>
      </c>
      <c r="G159" s="1">
        <v>0</v>
      </c>
      <c r="H159" s="1">
        <v>1556245.6100000003</v>
      </c>
      <c r="I159" s="2">
        <v>25</v>
      </c>
      <c r="J159" s="8">
        <f t="shared" si="32"/>
        <v>22.5</v>
      </c>
      <c r="K159" s="10">
        <v>0</v>
      </c>
      <c r="L159" s="1">
        <f t="shared" si="24"/>
        <v>318503.277</v>
      </c>
      <c r="M159" s="1">
        <f t="shared" si="31"/>
        <v>0.44742825701206423</v>
      </c>
      <c r="N159" s="1">
        <f t="shared" si="30"/>
        <v>142507.3660807407</v>
      </c>
      <c r="O159" s="1">
        <f t="shared" si="25"/>
        <v>41859.215461860927</v>
      </c>
      <c r="P159" s="1">
        <f t="shared" si="26"/>
        <v>31017.324542382084</v>
      </c>
      <c r="Q159" s="1">
        <f t="shared" si="27"/>
        <v>0</v>
      </c>
      <c r="R159" s="1">
        <f t="shared" si="28"/>
        <v>69630.826076497673</v>
      </c>
      <c r="S159" s="3">
        <f t="shared" si="29"/>
        <v>0</v>
      </c>
    </row>
    <row r="160" spans="2:19" ht="15.6" outlineLevel="2">
      <c r="B160" s="2">
        <v>395</v>
      </c>
      <c r="C160" s="2">
        <v>2018</v>
      </c>
      <c r="D160" s="1">
        <v>3623078.1299999999</v>
      </c>
      <c r="E160" s="1">
        <v>1280258.2599999998</v>
      </c>
      <c r="F160" s="1">
        <v>278306.42000000004</v>
      </c>
      <c r="H160" s="1">
        <v>2064513.4500000002</v>
      </c>
      <c r="I160" s="2">
        <v>25</v>
      </c>
      <c r="J160" s="8">
        <f t="shared" si="33" ref="J160">25+C160-2021.5</f>
        <v>21.5</v>
      </c>
      <c r="K160" s="10">
        <v>0</v>
      </c>
      <c r="L160" s="1">
        <f t="shared" si="34" ref="L160">+D160*(1-K160)*(1-J160/I160)</f>
        <v>507230.93820000003</v>
      </c>
      <c r="M160" s="1">
        <f t="shared" si="31"/>
        <v>0.44742825701206423</v>
      </c>
      <c r="N160" s="1">
        <f t="shared" si="35" ref="N160">IF((D160*(1-K160)-L160*M160)&lt;0,D160*(1-K160),L160*M160)</f>
        <v>226949.45458142008</v>
      </c>
      <c r="O160" s="1">
        <f t="shared" si="36" ref="O160">+E160/$D160*$N160</f>
        <v>80195.321051593724</v>
      </c>
      <c r="P160" s="1">
        <f t="shared" si="37" ref="P160">+F160/$D160*$N160</f>
        <v>17433.101898221455</v>
      </c>
      <c r="Q160" s="1">
        <f t="shared" si="38" ref="Q160">+G160/$D160*$N160</f>
        <v>0</v>
      </c>
      <c r="R160" s="1">
        <f t="shared" si="39" ref="R160">+H160/$D160*$N160</f>
        <v>129321.03163160491</v>
      </c>
      <c r="S160" s="3">
        <f t="shared" si="40" ref="S160">+N160-O160-P160-Q160-R160</f>
        <v>0</v>
      </c>
    </row>
    <row r="161" spans="2:19" ht="15.6" outlineLevel="2">
      <c r="B161" s="2">
        <v>395</v>
      </c>
      <c r="C161" s="2">
        <v>2017</v>
      </c>
      <c r="D161" s="1">
        <v>2853877.0000000005</v>
      </c>
      <c r="E161" s="1">
        <v>890073.29999999993</v>
      </c>
      <c r="F161" s="1">
        <v>262814.26000000001</v>
      </c>
      <c r="G161" s="1">
        <v>0</v>
      </c>
      <c r="H161" s="1">
        <v>1700989.4400000004</v>
      </c>
      <c r="I161" s="2">
        <v>25</v>
      </c>
      <c r="J161" s="8">
        <f t="shared" si="32"/>
        <v>20.5</v>
      </c>
      <c r="K161" s="10">
        <v>0</v>
      </c>
      <c r="L161" s="1">
        <f t="shared" si="41" ref="L161:L180">+D161*(1-K161)*(1-J161/I161)</f>
        <v>513697.86000000022</v>
      </c>
      <c r="M161" s="1">
        <f t="shared" si="31"/>
        <v>0.44742825701206423</v>
      </c>
      <c r="N161" s="1">
        <f t="shared" si="42" ref="N161:N180">IF((D161*(1-K161)-L161*M161)&lt;0,D161*(1-K161),L161*M161)</f>
        <v>229842.9381306275</v>
      </c>
      <c r="O161" s="1">
        <f t="shared" si="43" ref="O161:O192">+E161/$D161*$N161</f>
        <v>71683.910141755725</v>
      </c>
      <c r="P161" s="1">
        <f t="shared" si="44" ref="P161:P192">+F161/$D161*$N161</f>
        <v>21166.294728548794</v>
      </c>
      <c r="Q161" s="1">
        <f t="shared" si="45" ref="Q161:Q192">+G161/$D161*$N161</f>
        <v>0</v>
      </c>
      <c r="R161" s="1">
        <f t="shared" si="46" ref="R161:R192">+H161/$D161*$N161</f>
        <v>136992.73326032297</v>
      </c>
      <c r="S161" s="3">
        <f t="shared" si="29"/>
        <v>0</v>
      </c>
    </row>
    <row r="162" spans="2:19" ht="15.6" outlineLevel="2">
      <c r="B162" s="2">
        <v>395</v>
      </c>
      <c r="C162" s="2">
        <v>2016</v>
      </c>
      <c r="D162" s="1">
        <v>2440851.5500000003</v>
      </c>
      <c r="E162" s="1">
        <v>847254.65000000014</v>
      </c>
      <c r="F162" s="1">
        <v>198869.55999999997</v>
      </c>
      <c r="G162" s="1">
        <v>0</v>
      </c>
      <c r="H162" s="1">
        <v>1394727.3400000003</v>
      </c>
      <c r="I162" s="2">
        <v>25</v>
      </c>
      <c r="J162" s="8">
        <f t="shared" si="32"/>
        <v>19.5</v>
      </c>
      <c r="K162" s="10">
        <v>0</v>
      </c>
      <c r="L162" s="1">
        <f t="shared" si="41"/>
        <v>536987.34100000001</v>
      </c>
      <c r="M162" s="1">
        <f t="shared" si="31"/>
        <v>0.44742825701206423</v>
      </c>
      <c r="N162" s="1">
        <f t="shared" si="42"/>
        <v>240263.31002117298</v>
      </c>
      <c r="O162" s="1">
        <f t="shared" si="43"/>
        <v>83398.847684870634</v>
      </c>
      <c r="P162" s="1">
        <f t="shared" si="44"/>
        <v>19575.569332782343</v>
      </c>
      <c r="Q162" s="1">
        <f t="shared" si="45"/>
        <v>0</v>
      </c>
      <c r="R162" s="1">
        <f t="shared" si="46"/>
        <v>137288.89300352</v>
      </c>
      <c r="S162" s="3">
        <f t="shared" si="29"/>
        <v>0</v>
      </c>
    </row>
    <row r="163" spans="2:19" ht="15.6" outlineLevel="2">
      <c r="B163" s="2">
        <v>395</v>
      </c>
      <c r="C163" s="2">
        <v>2015</v>
      </c>
      <c r="D163" s="1">
        <v>-93050.389999999781</v>
      </c>
      <c r="E163" s="1">
        <v>606455.70000000007</v>
      </c>
      <c r="F163" s="1">
        <v>44974.949999999983</v>
      </c>
      <c r="G163" s="1">
        <v>0</v>
      </c>
      <c r="H163" s="1">
        <v>-744481.0399999998</v>
      </c>
      <c r="I163" s="2">
        <v>25</v>
      </c>
      <c r="J163" s="8">
        <f t="shared" si="32"/>
        <v>18.5</v>
      </c>
      <c r="K163" s="10">
        <v>0</v>
      </c>
      <c r="L163" s="1">
        <f t="shared" si="41"/>
        <v>-24193.101399999945</v>
      </c>
      <c r="M163" s="1">
        <f t="shared" si="31"/>
        <v>0.44742825701206423</v>
      </c>
      <c r="N163" s="1">
        <f t="shared" si="42"/>
        <v>-93050.389999999781</v>
      </c>
      <c r="O163" s="1">
        <f t="shared" si="43"/>
        <v>606455.70000000007</v>
      </c>
      <c r="P163" s="1">
        <f t="shared" si="44"/>
        <v>44974.949999999983</v>
      </c>
      <c r="Q163" s="1">
        <f t="shared" si="45"/>
        <v>0</v>
      </c>
      <c r="R163" s="1">
        <f t="shared" si="46"/>
        <v>-744481.0399999998</v>
      </c>
      <c r="S163" s="3">
        <f t="shared" si="29"/>
        <v>0</v>
      </c>
    </row>
    <row r="164" spans="2:19" ht="15.6" outlineLevel="2">
      <c r="B164" s="2">
        <v>395</v>
      </c>
      <c r="C164" s="2">
        <v>2014</v>
      </c>
      <c r="D164" s="1">
        <v>5076419.8300000001</v>
      </c>
      <c r="E164" s="1">
        <v>1445046.1400000001</v>
      </c>
      <c r="F164" s="1">
        <v>263554.47999999998</v>
      </c>
      <c r="G164" s="1">
        <v>0</v>
      </c>
      <c r="H164" s="1">
        <v>3367819.2100000004</v>
      </c>
      <c r="I164" s="2">
        <v>25</v>
      </c>
      <c r="J164" s="8">
        <f t="shared" si="32"/>
        <v>17.5</v>
      </c>
      <c r="K164" s="10">
        <v>0</v>
      </c>
      <c r="L164" s="1">
        <f t="shared" si="41"/>
        <v>1522925.9490000003</v>
      </c>
      <c r="M164" s="1">
        <f t="shared" si="31"/>
        <v>0.44742825701206423</v>
      </c>
      <c r="N164" s="1">
        <f t="shared" si="42"/>
        <v>681400.10291951394</v>
      </c>
      <c r="O164" s="1">
        <f t="shared" si="43"/>
        <v>193966.34271666344</v>
      </c>
      <c r="P164" s="1">
        <f t="shared" si="44"/>
        <v>35376.516484236286</v>
      </c>
      <c r="Q164" s="1">
        <f t="shared" si="45"/>
        <v>0</v>
      </c>
      <c r="R164" s="1">
        <f t="shared" si="46"/>
        <v>452057.24371861428</v>
      </c>
      <c r="S164" s="3">
        <f t="shared" si="29"/>
        <v>0</v>
      </c>
    </row>
    <row r="165" spans="2:19" ht="15.6" outlineLevel="2">
      <c r="B165" s="2">
        <v>395</v>
      </c>
      <c r="C165" s="2">
        <v>2013</v>
      </c>
      <c r="D165" s="1">
        <v>2016610.3599999994</v>
      </c>
      <c r="E165" s="1">
        <v>296464.57000000001</v>
      </c>
      <c r="F165" s="1">
        <v>195132.28000000003</v>
      </c>
      <c r="G165" s="1">
        <v>0</v>
      </c>
      <c r="H165" s="1">
        <v>1525013.5099999993</v>
      </c>
      <c r="I165" s="2">
        <v>25</v>
      </c>
      <c r="J165" s="8">
        <f t="shared" si="32"/>
        <v>16.5</v>
      </c>
      <c r="K165" s="10">
        <v>0</v>
      </c>
      <c r="L165" s="1">
        <f t="shared" si="41"/>
        <v>685647.52239999978</v>
      </c>
      <c r="M165" s="1">
        <f t="shared" si="31"/>
        <v>0.44742825701206423</v>
      </c>
      <c r="N165" s="1">
        <f t="shared" si="42"/>
        <v>306778.07587207219</v>
      </c>
      <c r="O165" s="1">
        <f t="shared" si="43"/>
        <v>45099.852779116576</v>
      </c>
      <c r="P165" s="1">
        <f t="shared" si="44"/>
        <v>29684.616615244635</v>
      </c>
      <c r="Q165" s="1">
        <f t="shared" si="45"/>
        <v>0</v>
      </c>
      <c r="R165" s="1">
        <f t="shared" si="46"/>
        <v>231993.60647771097</v>
      </c>
      <c r="S165" s="3">
        <f t="shared" si="29"/>
        <v>0</v>
      </c>
    </row>
    <row r="166" spans="2:19" ht="15.6" outlineLevel="2">
      <c r="B166" s="2">
        <v>395</v>
      </c>
      <c r="C166" s="2">
        <v>2012</v>
      </c>
      <c r="D166" s="1">
        <v>290044.69</v>
      </c>
      <c r="E166" s="1">
        <v>128516.92000000001</v>
      </c>
      <c r="F166" s="1">
        <v>32045.639999999992</v>
      </c>
      <c r="G166" s="1">
        <v>0</v>
      </c>
      <c r="H166" s="1">
        <v>129482.13000000002</v>
      </c>
      <c r="I166" s="2">
        <v>25</v>
      </c>
      <c r="J166" s="8">
        <f t="shared" si="32"/>
        <v>15.5</v>
      </c>
      <c r="K166" s="10">
        <v>0</v>
      </c>
      <c r="L166" s="1">
        <f t="shared" si="41"/>
        <v>110216.9822</v>
      </c>
      <c r="M166" s="1">
        <f t="shared" si="31"/>
        <v>0.44742825701206423</v>
      </c>
      <c r="N166" s="1">
        <f t="shared" si="42"/>
        <v>49314.192238875708</v>
      </c>
      <c r="O166" s="1">
        <f t="shared" si="43"/>
        <v>21850.798574620385</v>
      </c>
      <c r="P166" s="1">
        <f t="shared" si="44"/>
        <v>5448.4874430137115</v>
      </c>
      <c r="Q166" s="1">
        <f t="shared" si="45"/>
        <v>0</v>
      </c>
      <c r="R166" s="1">
        <f t="shared" si="46"/>
        <v>22014.906221241617</v>
      </c>
      <c r="S166" s="3">
        <f t="shared" si="29"/>
        <v>0</v>
      </c>
    </row>
    <row r="167" spans="2:19" ht="15.6" outlineLevel="2">
      <c r="B167" s="2">
        <v>395</v>
      </c>
      <c r="C167" s="2">
        <v>2011</v>
      </c>
      <c r="D167" s="1">
        <v>2941367.0799999996</v>
      </c>
      <c r="E167" s="1">
        <v>870482.29999999993</v>
      </c>
      <c r="F167" s="1">
        <v>102161.12999999998</v>
      </c>
      <c r="G167" s="1">
        <v>0</v>
      </c>
      <c r="H167" s="1">
        <v>1968723.6499999997</v>
      </c>
      <c r="I167" s="2">
        <v>25</v>
      </c>
      <c r="J167" s="8">
        <f t="shared" si="32"/>
        <v>14.5</v>
      </c>
      <c r="K167" s="10">
        <v>0</v>
      </c>
      <c r="L167" s="1">
        <f t="shared" si="41"/>
        <v>1235374.1735999999</v>
      </c>
      <c r="M167" s="1">
        <f t="shared" si="31"/>
        <v>0.44742825701206423</v>
      </c>
      <c r="N167" s="1">
        <f t="shared" si="42"/>
        <v>552741.31325156719</v>
      </c>
      <c r="O167" s="1">
        <f t="shared" si="43"/>
        <v>163580.91886451817</v>
      </c>
      <c r="P167" s="1">
        <f t="shared" si="44"/>
        <v>19198.106058718815</v>
      </c>
      <c r="Q167" s="1">
        <f t="shared" si="45"/>
        <v>0</v>
      </c>
      <c r="R167" s="1">
        <f t="shared" si="46"/>
        <v>369962.28832833021</v>
      </c>
      <c r="S167" s="3">
        <f t="shared" si="29"/>
        <v>0</v>
      </c>
    </row>
    <row r="168" spans="2:19" ht="15.6" outlineLevel="2">
      <c r="B168" s="2">
        <v>395</v>
      </c>
      <c r="C168" s="2">
        <v>2010</v>
      </c>
      <c r="D168" s="1">
        <v>1487728.6299999999</v>
      </c>
      <c r="E168" s="1">
        <v>340585.64000000001</v>
      </c>
      <c r="F168" s="1">
        <v>113472.09</v>
      </c>
      <c r="G168" s="1">
        <v>0</v>
      </c>
      <c r="H168" s="1">
        <v>1033670.8999999998</v>
      </c>
      <c r="I168" s="2">
        <v>25</v>
      </c>
      <c r="J168" s="8">
        <f t="shared" si="32"/>
        <v>13.5</v>
      </c>
      <c r="K168" s="10">
        <v>0</v>
      </c>
      <c r="L168" s="1">
        <f t="shared" si="41"/>
        <v>684355.16979999992</v>
      </c>
      <c r="M168" s="1">
        <f t="shared" si="31"/>
        <v>0.44742825701206423</v>
      </c>
      <c r="N168" s="1">
        <f t="shared" si="42"/>
        <v>306199.84080080921</v>
      </c>
      <c r="O168" s="1">
        <f t="shared" si="43"/>
        <v>70098.31406352765</v>
      </c>
      <c r="P168" s="1">
        <f t="shared" si="44"/>
        <v>23354.484946179397</v>
      </c>
      <c r="Q168" s="1">
        <f t="shared" si="45"/>
        <v>0</v>
      </c>
      <c r="R168" s="1">
        <f t="shared" si="46"/>
        <v>212747.04179110215</v>
      </c>
      <c r="S168" s="3">
        <f t="shared" si="29"/>
        <v>0</v>
      </c>
    </row>
    <row r="169" spans="2:19" ht="15.6" outlineLevel="2">
      <c r="B169" s="2">
        <v>395</v>
      </c>
      <c r="C169" s="2">
        <v>2009</v>
      </c>
      <c r="D169" s="1">
        <v>1257785.8599999999</v>
      </c>
      <c r="E169" s="1">
        <v>968186.10999999987</v>
      </c>
      <c r="F169" s="1">
        <v>46517.220000000001</v>
      </c>
      <c r="G169" s="1">
        <v>0</v>
      </c>
      <c r="H169" s="1">
        <v>243082.53000000003</v>
      </c>
      <c r="I169" s="2">
        <v>25</v>
      </c>
      <c r="J169" s="8">
        <f t="shared" si="32"/>
        <v>12.5</v>
      </c>
      <c r="K169" s="10">
        <v>0</v>
      </c>
      <c r="L169" s="1">
        <f t="shared" si="41"/>
        <v>628892.92999999993</v>
      </c>
      <c r="M169" s="1">
        <f t="shared" si="31"/>
        <v>0.44742825701206423</v>
      </c>
      <c r="N169" s="1">
        <f t="shared" si="42"/>
        <v>281384.46751711011</v>
      </c>
      <c r="O169" s="1">
        <f t="shared" si="43"/>
        <v>216596.91183029534</v>
      </c>
      <c r="P169" s="1">
        <f t="shared" si="44"/>
        <v>10406.559332823368</v>
      </c>
      <c r="Q169" s="1">
        <f t="shared" si="45"/>
        <v>0</v>
      </c>
      <c r="R169" s="1">
        <f t="shared" si="46"/>
        <v>54380.996353991417</v>
      </c>
      <c r="S169" s="3">
        <f t="shared" si="29"/>
        <v>0</v>
      </c>
    </row>
    <row r="170" spans="2:19" ht="15.6" outlineLevel="2">
      <c r="B170" s="2">
        <v>395</v>
      </c>
      <c r="C170" s="2">
        <v>2008</v>
      </c>
      <c r="D170" s="1">
        <v>1360120.9600000002</v>
      </c>
      <c r="E170" s="1">
        <v>402432.84999999998</v>
      </c>
      <c r="F170" s="1">
        <v>118193.78</v>
      </c>
      <c r="G170" s="1">
        <v>0</v>
      </c>
      <c r="H170" s="1">
        <v>839494.33000000019</v>
      </c>
      <c r="I170" s="2">
        <v>25</v>
      </c>
      <c r="J170" s="8">
        <f t="shared" si="32"/>
        <v>11.5</v>
      </c>
      <c r="K170" s="10">
        <v>0</v>
      </c>
      <c r="L170" s="1">
        <f t="shared" si="41"/>
        <v>734465.31840000011</v>
      </c>
      <c r="M170" s="1">
        <f t="shared" si="31"/>
        <v>0.44742825701206423</v>
      </c>
      <c r="N170" s="1">
        <f t="shared" si="42"/>
        <v>328620.53724752285</v>
      </c>
      <c r="O170" s="1">
        <f t="shared" si="43"/>
        <v>97232.30746554464</v>
      </c>
      <c r="P170" s="1">
        <f t="shared" si="44"/>
        <v>28556.947966536383</v>
      </c>
      <c r="Q170" s="1">
        <f t="shared" si="45"/>
        <v>0</v>
      </c>
      <c r="R170" s="1">
        <f t="shared" si="46"/>
        <v>202831.28181544179</v>
      </c>
      <c r="S170" s="3">
        <f t="shared" si="29"/>
        <v>0</v>
      </c>
    </row>
    <row r="171" spans="2:19" ht="15.6" outlineLevel="2">
      <c r="B171" s="2">
        <v>395</v>
      </c>
      <c r="C171" s="2">
        <v>2007</v>
      </c>
      <c r="D171" s="1">
        <v>561002.71999999997</v>
      </c>
      <c r="E171" s="1">
        <v>167265.47999999998</v>
      </c>
      <c r="F171" s="1">
        <v>7689.9499999999998</v>
      </c>
      <c r="G171" s="1">
        <v>0</v>
      </c>
      <c r="H171" s="1">
        <v>386047.28999999998</v>
      </c>
      <c r="I171" s="2">
        <v>25</v>
      </c>
      <c r="J171" s="8">
        <f t="shared" si="32"/>
        <v>10.5</v>
      </c>
      <c r="K171" s="10">
        <v>0</v>
      </c>
      <c r="L171" s="1">
        <f t="shared" si="41"/>
        <v>325381.57760000002</v>
      </c>
      <c r="M171" s="1">
        <f t="shared" si="31"/>
        <v>0.44742825701206423</v>
      </c>
      <c r="N171" s="1">
        <f t="shared" si="42"/>
        <v>145584.91212940373</v>
      </c>
      <c r="O171" s="1">
        <f t="shared" si="43"/>
        <v>43406.795261318046</v>
      </c>
      <c r="P171" s="1">
        <f t="shared" si="44"/>
        <v>1995.6065365057557</v>
      </c>
      <c r="Q171" s="1">
        <f t="shared" si="45"/>
        <v>0</v>
      </c>
      <c r="R171" s="1">
        <f t="shared" si="46"/>
        <v>100182.51033157994</v>
      </c>
      <c r="S171" s="3">
        <f t="shared" si="29"/>
        <v>0</v>
      </c>
    </row>
    <row r="172" spans="2:19" ht="15.6" outlineLevel="2">
      <c r="B172" s="2">
        <v>395</v>
      </c>
      <c r="C172" s="2">
        <v>2006</v>
      </c>
      <c r="D172" s="1">
        <v>1879708.9000000004</v>
      </c>
      <c r="E172" s="1">
        <v>622311.16000000015</v>
      </c>
      <c r="F172" s="1">
        <v>110635.90000000002</v>
      </c>
      <c r="G172" s="1">
        <v>0</v>
      </c>
      <c r="H172" s="1">
        <v>1146761.8400000001</v>
      </c>
      <c r="I172" s="2">
        <v>25</v>
      </c>
      <c r="J172" s="8">
        <f t="shared" si="32"/>
        <v>9.5</v>
      </c>
      <c r="K172" s="10">
        <v>0</v>
      </c>
      <c r="L172" s="1">
        <f t="shared" si="41"/>
        <v>1165419.5180000002</v>
      </c>
      <c r="M172" s="1">
        <f t="shared" si="31"/>
        <v>0.44742825701206423</v>
      </c>
      <c r="N172" s="1">
        <f t="shared" si="42"/>
        <v>521441.62362658011</v>
      </c>
      <c r="O172" s="1">
        <f t="shared" si="43"/>
        <v>172632.55053553265</v>
      </c>
      <c r="P172" s="1">
        <f t="shared" si="44"/>
        <v>30691.009297975852</v>
      </c>
      <c r="Q172" s="1">
        <f t="shared" si="45"/>
        <v>0</v>
      </c>
      <c r="R172" s="1">
        <f t="shared" si="46"/>
        <v>318118.0637930716</v>
      </c>
      <c r="S172" s="3">
        <f t="shared" si="29"/>
        <v>0</v>
      </c>
    </row>
    <row r="173" spans="2:19" ht="15.6" outlineLevel="2">
      <c r="B173" s="2">
        <v>395</v>
      </c>
      <c r="C173" s="2">
        <v>2005</v>
      </c>
      <c r="D173" s="1">
        <v>2268048.8599999994</v>
      </c>
      <c r="E173" s="1">
        <v>429723.03000000003</v>
      </c>
      <c r="F173" s="1">
        <v>103536.44</v>
      </c>
      <c r="G173" s="1">
        <v>0</v>
      </c>
      <c r="H173" s="1">
        <v>1734789.3899999994</v>
      </c>
      <c r="I173" s="2">
        <v>25</v>
      </c>
      <c r="J173" s="8">
        <f t="shared" si="32"/>
        <v>8.5</v>
      </c>
      <c r="K173" s="10">
        <v>0</v>
      </c>
      <c r="L173" s="1">
        <f t="shared" si="41"/>
        <v>1496912.2475999994</v>
      </c>
      <c r="M173" s="1">
        <f t="shared" si="31"/>
        <v>0.44742825701206423</v>
      </c>
      <c r="N173" s="1">
        <f t="shared" si="42"/>
        <v>669760.83784367924</v>
      </c>
      <c r="O173" s="1">
        <f t="shared" si="43"/>
        <v>126898.34936515635</v>
      </c>
      <c r="P173" s="1">
        <f t="shared" si="44"/>
        <v>30574.585065046547</v>
      </c>
      <c r="Q173" s="1">
        <f t="shared" si="45"/>
        <v>0</v>
      </c>
      <c r="R173" s="1">
        <f t="shared" si="46"/>
        <v>512287.90341347636</v>
      </c>
      <c r="S173" s="3">
        <f t="shared" si="29"/>
        <v>0</v>
      </c>
    </row>
    <row r="174" spans="2:19" ht="15.6" outlineLevel="2">
      <c r="B174" s="2">
        <v>395</v>
      </c>
      <c r="C174" s="2">
        <v>2004</v>
      </c>
      <c r="D174" s="1">
        <v>2584157.8900000001</v>
      </c>
      <c r="E174" s="1">
        <v>608747.55999999982</v>
      </c>
      <c r="F174" s="1">
        <v>185886.06999999998</v>
      </c>
      <c r="G174" s="1">
        <v>0</v>
      </c>
      <c r="H174" s="1">
        <v>1789524.2600000002</v>
      </c>
      <c r="I174" s="2">
        <v>25</v>
      </c>
      <c r="J174" s="8">
        <f t="shared" si="32"/>
        <v>7.5</v>
      </c>
      <c r="K174" s="10">
        <v>0</v>
      </c>
      <c r="L174" s="1">
        <f t="shared" si="41"/>
        <v>1808910.523</v>
      </c>
      <c r="M174" s="1">
        <f t="shared" si="31"/>
        <v>0.44742825701206423</v>
      </c>
      <c r="N174" s="1">
        <f t="shared" si="42"/>
        <v>809357.6823966715</v>
      </c>
      <c r="O174" s="1">
        <f t="shared" si="43"/>
        <v>190659.60181180283</v>
      </c>
      <c r="P174" s="1">
        <f t="shared" si="44"/>
        <v>58219.476212045782</v>
      </c>
      <c r="Q174" s="1">
        <f t="shared" si="45"/>
        <v>0</v>
      </c>
      <c r="R174" s="1">
        <f t="shared" si="46"/>
        <v>560478.60437282291</v>
      </c>
      <c r="S174" s="3">
        <f t="shared" si="29"/>
        <v>0</v>
      </c>
    </row>
    <row r="175" spans="2:19" ht="15.6" outlineLevel="2">
      <c r="B175" s="2">
        <v>395</v>
      </c>
      <c r="C175" s="2">
        <v>2003</v>
      </c>
      <c r="D175" s="1">
        <v>635355.32000000007</v>
      </c>
      <c r="E175" s="1">
        <v>175974.06</v>
      </c>
      <c r="F175" s="1">
        <v>59227.869999999995</v>
      </c>
      <c r="G175" s="1">
        <v>0</v>
      </c>
      <c r="H175" s="1">
        <v>400153.39000000007</v>
      </c>
      <c r="I175" s="2">
        <v>25</v>
      </c>
      <c r="J175" s="8">
        <f t="shared" si="32"/>
        <v>6.5</v>
      </c>
      <c r="K175" s="10">
        <v>0</v>
      </c>
      <c r="L175" s="1">
        <f t="shared" si="41"/>
        <v>470162.93680000002</v>
      </c>
      <c r="M175" s="1">
        <f t="shared" si="31"/>
        <v>0.44742825701206423</v>
      </c>
      <c r="N175" s="1">
        <f t="shared" si="42"/>
        <v>210364.18332409734</v>
      </c>
      <c r="O175" s="1">
        <f t="shared" si="43"/>
        <v>58264.467539400946</v>
      </c>
      <c r="P175" s="1">
        <f t="shared" si="44"/>
        <v>19610.164754071473</v>
      </c>
      <c r="Q175" s="1">
        <f t="shared" si="45"/>
        <v>0</v>
      </c>
      <c r="R175" s="1">
        <f t="shared" si="46"/>
        <v>132489.55103062492</v>
      </c>
      <c r="S175" s="3">
        <f t="shared" si="29"/>
        <v>0</v>
      </c>
    </row>
    <row r="176" spans="2:19" ht="15.6" outlineLevel="2">
      <c r="B176" s="2">
        <v>395</v>
      </c>
      <c r="C176" s="2">
        <v>2002</v>
      </c>
      <c r="D176" s="1">
        <v>1012800.63</v>
      </c>
      <c r="E176" s="1">
        <v>465550.65999999997</v>
      </c>
      <c r="F176" s="1">
        <v>58080.599999999991</v>
      </c>
      <c r="G176" s="1">
        <v>0</v>
      </c>
      <c r="H176" s="1">
        <v>489169.37000000005</v>
      </c>
      <c r="I176" s="2">
        <v>25</v>
      </c>
      <c r="J176" s="8">
        <f t="shared" si="32"/>
        <v>5.5</v>
      </c>
      <c r="K176" s="10">
        <v>0</v>
      </c>
      <c r="L176" s="1">
        <f t="shared" si="41"/>
        <v>789984.49140000006</v>
      </c>
      <c r="M176" s="1">
        <f t="shared" si="31"/>
        <v>0.44742825701206423</v>
      </c>
      <c r="N176" s="1">
        <f t="shared" si="42"/>
        <v>353461.38405366405</v>
      </c>
      <c r="O176" s="1">
        <f t="shared" si="43"/>
        <v>162474.40587660056</v>
      </c>
      <c r="P176" s="1">
        <f t="shared" si="44"/>
        <v>20269.783266887618</v>
      </c>
      <c r="Q176" s="1">
        <f t="shared" si="45"/>
        <v>0</v>
      </c>
      <c r="R176" s="1">
        <f t="shared" si="46"/>
        <v>170717.19491017587</v>
      </c>
      <c r="S176" s="3">
        <f t="shared" si="29"/>
        <v>0</v>
      </c>
    </row>
    <row r="177" spans="2:19" ht="15.6" outlineLevel="2">
      <c r="B177" s="2">
        <v>395</v>
      </c>
      <c r="C177" s="2">
        <v>2001</v>
      </c>
      <c r="D177" s="1">
        <v>1451233.0799999998</v>
      </c>
      <c r="E177" s="1">
        <v>392307.62</v>
      </c>
      <c r="F177" s="1">
        <v>75226.459999999992</v>
      </c>
      <c r="G177" s="1">
        <v>0</v>
      </c>
      <c r="H177" s="1">
        <v>983698.99999999988</v>
      </c>
      <c r="I177" s="2">
        <v>25</v>
      </c>
      <c r="J177" s="8">
        <f t="shared" si="32"/>
        <v>4.5</v>
      </c>
      <c r="K177" s="10">
        <v>0</v>
      </c>
      <c r="L177" s="1">
        <f t="shared" si="41"/>
        <v>1190011.1255999999</v>
      </c>
      <c r="M177" s="1">
        <f t="shared" si="31"/>
        <v>0.44742825701206423</v>
      </c>
      <c r="N177" s="1">
        <f t="shared" si="42"/>
        <v>532444.60375217267</v>
      </c>
      <c r="O177" s="1">
        <f t="shared" si="43"/>
        <v>143934.20199590403</v>
      </c>
      <c r="P177" s="1">
        <f t="shared" si="44"/>
        <v>27599.923980769971</v>
      </c>
      <c r="Q177" s="1">
        <f t="shared" si="45"/>
        <v>0</v>
      </c>
      <c r="R177" s="1">
        <f t="shared" si="46"/>
        <v>360910.4777754987</v>
      </c>
      <c r="S177" s="3">
        <f t="shared" si="29"/>
        <v>0</v>
      </c>
    </row>
    <row r="178" spans="2:19" ht="15.6" outlineLevel="2">
      <c r="B178" s="2">
        <v>395</v>
      </c>
      <c r="C178" s="2">
        <v>2000</v>
      </c>
      <c r="D178" s="1">
        <v>456046.79000000004</v>
      </c>
      <c r="E178" s="1">
        <v>99570.410000000018</v>
      </c>
      <c r="F178" s="1">
        <v>29339.710000000014</v>
      </c>
      <c r="G178" s="1">
        <v>0</v>
      </c>
      <c r="H178" s="1">
        <v>327136.66999999998</v>
      </c>
      <c r="I178" s="2">
        <v>25</v>
      </c>
      <c r="J178" s="8">
        <f t="shared" si="32"/>
        <v>3.5</v>
      </c>
      <c r="K178" s="10">
        <v>0</v>
      </c>
      <c r="L178" s="1">
        <f t="shared" si="41"/>
        <v>392200.23940000002</v>
      </c>
      <c r="M178" s="1">
        <f t="shared" si="31"/>
        <v>0.44742825701206423</v>
      </c>
      <c r="N178" s="1">
        <f t="shared" si="42"/>
        <v>175481.46951445635</v>
      </c>
      <c r="O178" s="1">
        <f t="shared" si="43"/>
        <v>38313.528896797892</v>
      </c>
      <c r="P178" s="1">
        <f t="shared" si="44"/>
        <v>11289.577163623917</v>
      </c>
      <c r="Q178" s="1">
        <f t="shared" si="45"/>
        <v>0</v>
      </c>
      <c r="R178" s="1">
        <f t="shared" si="46"/>
        <v>125878.36345403452</v>
      </c>
      <c r="S178" s="3">
        <f t="shared" si="29"/>
        <v>0</v>
      </c>
    </row>
    <row r="179" spans="2:19" ht="15.6" outlineLevel="2">
      <c r="B179" s="2">
        <v>395</v>
      </c>
      <c r="C179" s="2">
        <v>1999</v>
      </c>
      <c r="D179" s="1">
        <v>1987038.0099999998</v>
      </c>
      <c r="E179" s="1">
        <v>788195.28999999992</v>
      </c>
      <c r="F179" s="1">
        <v>49691.900000000009</v>
      </c>
      <c r="G179" s="1">
        <v>0</v>
      </c>
      <c r="H179" s="1">
        <v>1149150.8199999998</v>
      </c>
      <c r="I179" s="2">
        <v>25</v>
      </c>
      <c r="J179" s="8">
        <f t="shared" si="32"/>
        <v>2.5</v>
      </c>
      <c r="K179" s="10">
        <v>0</v>
      </c>
      <c r="L179" s="1">
        <f t="shared" si="41"/>
        <v>1788334.2089999998</v>
      </c>
      <c r="M179" s="1">
        <f t="shared" si="31"/>
        <v>0.44742825701206423</v>
      </c>
      <c r="N179" s="1">
        <f t="shared" si="42"/>
        <v>800151.25808791851</v>
      </c>
      <c r="O179" s="1">
        <f t="shared" si="43"/>
        <v>317394.76031083666</v>
      </c>
      <c r="P179" s="1">
        <f t="shared" si="44"/>
        <v>20010.204184156017</v>
      </c>
      <c r="Q179" s="1">
        <f t="shared" si="45"/>
        <v>0</v>
      </c>
      <c r="R179" s="1">
        <f t="shared" si="46"/>
        <v>462746.29359292582</v>
      </c>
      <c r="S179" s="3">
        <f t="shared" si="29"/>
        <v>0</v>
      </c>
    </row>
    <row r="180" spans="2:19" ht="15.6" outlineLevel="2">
      <c r="B180" s="2">
        <v>395</v>
      </c>
      <c r="C180" s="2">
        <v>1998</v>
      </c>
      <c r="D180" s="1">
        <v>1207567.1000000001</v>
      </c>
      <c r="E180" s="1">
        <v>604735.40999999992</v>
      </c>
      <c r="F180" s="1">
        <v>36634.5</v>
      </c>
      <c r="G180" s="1">
        <v>0</v>
      </c>
      <c r="H180" s="1">
        <v>566197.19000000006</v>
      </c>
      <c r="I180" s="2">
        <v>25</v>
      </c>
      <c r="J180" s="8">
        <f t="shared" si="32"/>
        <v>1.5</v>
      </c>
      <c r="K180" s="10">
        <v>0</v>
      </c>
      <c r="L180" s="1">
        <f t="shared" si="41"/>
        <v>1135113.074</v>
      </c>
      <c r="M180" s="1">
        <f t="shared" si="31"/>
        <v>0.44742825701206423</v>
      </c>
      <c r="N180" s="1">
        <f t="shared" si="42"/>
        <v>507881.66421142628</v>
      </c>
      <c r="O180" s="1">
        <f t="shared" si="43"/>
        <v>254341.1678227894</v>
      </c>
      <c r="P180" s="1">
        <f t="shared" si="44"/>
        <v>15407.831852617959</v>
      </c>
      <c r="Q180" s="1">
        <f t="shared" si="45"/>
        <v>0</v>
      </c>
      <c r="R180" s="1">
        <f t="shared" si="46"/>
        <v>238132.66453601886</v>
      </c>
      <c r="S180" s="3">
        <f t="shared" si="29"/>
        <v>0</v>
      </c>
    </row>
    <row r="181" spans="1:19" ht="15.6" outlineLevel="1">
      <c r="A181" s="4" t="s">
        <v>22</v>
      </c>
      <c r="B181" s="2" t="s">
        <v>32</v>
      </c>
      <c r="D181" s="1">
        <f>SUBTOTAL(9,D157:D180)</f>
        <v>51910323.740000002</v>
      </c>
      <c r="E181" s="1">
        <f t="shared" si="47" ref="E181:H181">SUBTOTAL(9,E157:E180)</f>
        <v>17734119.200000003</v>
      </c>
      <c r="F181" s="1">
        <f t="shared" si="47"/>
        <v>3737188.5700000003</v>
      </c>
      <c r="G181" s="1">
        <f t="shared" si="47"/>
        <v>0</v>
      </c>
      <c r="H181" s="1">
        <f t="shared" si="47"/>
        <v>30439015.970000006</v>
      </c>
      <c r="J181" s="8">
        <f>+N181-K181</f>
        <v>0</v>
      </c>
      <c r="K181" s="10">
        <v>8230086.332650871</v>
      </c>
      <c r="L181" s="1">
        <f>SUBTOTAL(9,L157:L180)</f>
        <v>18577977.3968</v>
      </c>
      <c r="M181" s="1">
        <v>0.44742825701206423</v>
      </c>
      <c r="N181" s="1">
        <f>SUBTOTAL(9,N157:N180)</f>
        <v>8230086.3326508682</v>
      </c>
      <c r="O181" s="1">
        <f t="shared" si="43"/>
        <v>2811643.6487768544</v>
      </c>
      <c r="P181" s="1">
        <f t="shared" si="44"/>
        <v>592509.97405735007</v>
      </c>
      <c r="Q181" s="1">
        <f t="shared" si="45"/>
        <v>0</v>
      </c>
      <c r="R181" s="1">
        <f t="shared" si="46"/>
        <v>4825932.7098166645</v>
      </c>
      <c r="S181" s="3">
        <f t="shared" si="29"/>
        <v>0</v>
      </c>
    </row>
    <row r="182" spans="2:19" ht="15.6" outlineLevel="2">
      <c r="B182" s="2">
        <v>396</v>
      </c>
      <c r="C182" s="2">
        <v>2021</v>
      </c>
      <c r="D182" s="1">
        <v>516123.04999999993</v>
      </c>
      <c r="E182" s="1">
        <v>383913.16999999993</v>
      </c>
      <c r="F182" s="1">
        <v>64850.650000000023</v>
      </c>
      <c r="G182" s="1">
        <v>0</v>
      </c>
      <c r="H182" s="1">
        <v>67359.23000000001</v>
      </c>
      <c r="I182" s="2">
        <v>15</v>
      </c>
      <c r="J182" s="8">
        <f>15+C182-2021.5</f>
        <v>14.5</v>
      </c>
      <c r="K182" s="10">
        <v>0.20000000000000001</v>
      </c>
      <c r="L182" s="1">
        <f t="shared" si="48" ref="L182:L210">+D182*(1-K182)*(1-J182/I182)</f>
        <v>13763.281333333329</v>
      </c>
      <c r="M182" s="1">
        <f t="shared" si="49" ref="M182:M210">$M$211</f>
        <v>0.68912646571349712</v>
      </c>
      <c r="N182" s="1">
        <f t="shared" si="50" ref="N182:N210">IF((D182*(1-K182)-L182*M182)&lt;0,D182*(1-K182),L182*M182)</f>
        <v>9484.641421860546</v>
      </c>
      <c r="O182" s="1">
        <f t="shared" si="43"/>
        <v>7055.0593595457312</v>
      </c>
      <c r="P182" s="1">
        <f t="shared" si="44"/>
        <v>1191.7413128992805</v>
      </c>
      <c r="Q182" s="1">
        <f t="shared" si="45"/>
        <v>0</v>
      </c>
      <c r="R182" s="1">
        <f t="shared" si="46"/>
        <v>1237.8407494155351</v>
      </c>
      <c r="S182" s="3">
        <f t="shared" si="29"/>
        <v>0</v>
      </c>
    </row>
    <row r="183" spans="2:19" ht="15.6" outlineLevel="2">
      <c r="B183" s="2">
        <v>396</v>
      </c>
      <c r="C183" s="2">
        <v>2020</v>
      </c>
      <c r="D183" s="1">
        <v>1240648.0700000001</v>
      </c>
      <c r="E183" s="1">
        <v>1015121.8899999999</v>
      </c>
      <c r="F183" s="1">
        <v>120419.72999999998</v>
      </c>
      <c r="G183" s="1">
        <v>0</v>
      </c>
      <c r="H183" s="1">
        <v>105106.45</v>
      </c>
      <c r="I183" s="2">
        <v>15</v>
      </c>
      <c r="J183" s="8">
        <f t="shared" si="51" ref="J183:J196">15+C183-2021.5</f>
        <v>13.5</v>
      </c>
      <c r="K183" s="10">
        <v>0.20000000000000001</v>
      </c>
      <c r="L183" s="1">
        <f t="shared" si="48"/>
        <v>99251.845599999986</v>
      </c>
      <c r="M183" s="1">
        <f t="shared" si="49"/>
        <v>0.68912646571349712</v>
      </c>
      <c r="N183" s="1">
        <f t="shared" si="50"/>
        <v>68397.073573869697</v>
      </c>
      <c r="O183" s="1">
        <f t="shared" si="43"/>
        <v>55963.788825928408</v>
      </c>
      <c r="P183" s="1">
        <f t="shared" si="44"/>
        <v>6638.7538349658835</v>
      </c>
      <c r="Q183" s="1">
        <f t="shared" si="45"/>
        <v>0</v>
      </c>
      <c r="R183" s="1">
        <f t="shared" si="46"/>
        <v>5794.5309129753905</v>
      </c>
      <c r="S183" s="3">
        <f t="shared" si="29"/>
        <v>1.4551915228366852E-11</v>
      </c>
    </row>
    <row r="184" spans="2:19" ht="15.6" outlineLevel="2">
      <c r="B184" s="2">
        <v>396</v>
      </c>
      <c r="C184" s="2">
        <v>2019</v>
      </c>
      <c r="D184" s="1">
        <v>151023.70000000001</v>
      </c>
      <c r="E184" s="1">
        <v>3060.6300000000001</v>
      </c>
      <c r="G184" s="1">
        <v>0</v>
      </c>
      <c r="H184" s="1">
        <v>147963.07000000001</v>
      </c>
      <c r="I184" s="2">
        <v>15</v>
      </c>
      <c r="J184" s="8">
        <f t="shared" si="51"/>
        <v>12.5</v>
      </c>
      <c r="K184" s="10">
        <v>0.20000000000000001</v>
      </c>
      <c r="L184" s="1">
        <f t="shared" si="48"/>
        <v>20136.493333333332</v>
      </c>
      <c r="M184" s="1">
        <f t="shared" si="49"/>
        <v>0.68912646571349712</v>
      </c>
      <c r="N184" s="1">
        <f t="shared" si="50"/>
        <v>13876.590482663396</v>
      </c>
      <c r="O184" s="1">
        <f t="shared" si="43"/>
        <v>281.22148463422673</v>
      </c>
      <c r="P184" s="1">
        <f t="shared" si="44"/>
        <v>0</v>
      </c>
      <c r="Q184" s="1">
        <f t="shared" si="45"/>
        <v>0</v>
      </c>
      <c r="R184" s="1">
        <f t="shared" si="46"/>
        <v>13595.368998029169</v>
      </c>
      <c r="S184" s="3">
        <f t="shared" si="29"/>
        <v>0</v>
      </c>
    </row>
    <row r="185" spans="2:19" ht="15.6" outlineLevel="2">
      <c r="B185" s="2">
        <v>396</v>
      </c>
      <c r="C185" s="2">
        <v>2018</v>
      </c>
      <c r="D185" s="1">
        <v>835304.21999999997</v>
      </c>
      <c r="E185" s="1">
        <v>432539.63999999996</v>
      </c>
      <c r="F185" s="1">
        <v>114287.40999999997</v>
      </c>
      <c r="G185" s="1">
        <v>0</v>
      </c>
      <c r="H185" s="1">
        <v>288477.16999999998</v>
      </c>
      <c r="I185" s="2">
        <v>15</v>
      </c>
      <c r="J185" s="8">
        <f t="shared" si="51"/>
        <v>11.5</v>
      </c>
      <c r="K185" s="10">
        <v>0.20000000000000001</v>
      </c>
      <c r="L185" s="1">
        <f t="shared" si="48"/>
        <v>155923.45439999999</v>
      </c>
      <c r="M185" s="1">
        <f t="shared" si="49"/>
        <v>0.68912646571349712</v>
      </c>
      <c r="N185" s="1">
        <f t="shared" si="50"/>
        <v>107450.97905251163</v>
      </c>
      <c r="O185" s="1">
        <f t="shared" si="43"/>
        <v>55640.575833581825</v>
      </c>
      <c r="P185" s="1">
        <f t="shared" si="44"/>
        <v>14701.582733385216</v>
      </c>
      <c r="Q185" s="1">
        <f t="shared" si="45"/>
        <v>0</v>
      </c>
      <c r="R185" s="1">
        <f t="shared" si="46"/>
        <v>37108.82048554458</v>
      </c>
      <c r="S185" s="3">
        <f t="shared" si="29"/>
        <v>0</v>
      </c>
    </row>
    <row r="186" spans="2:19" ht="15.6" outlineLevel="2">
      <c r="B186" s="2">
        <v>396</v>
      </c>
      <c r="C186" s="2">
        <v>2017</v>
      </c>
      <c r="D186" s="1">
        <v>638618.97999999998</v>
      </c>
      <c r="E186" s="1">
        <v>340238.36000000004</v>
      </c>
      <c r="F186" s="1">
        <v>123664.99999999999</v>
      </c>
      <c r="G186" s="1">
        <v>0</v>
      </c>
      <c r="H186" s="1">
        <v>174715.62</v>
      </c>
      <c r="I186" s="2">
        <v>15</v>
      </c>
      <c r="J186" s="8">
        <f t="shared" si="51"/>
        <v>10.5</v>
      </c>
      <c r="K186" s="10">
        <v>0.20000000000000001</v>
      </c>
      <c r="L186" s="1">
        <f t="shared" si="48"/>
        <v>153268.55520000003</v>
      </c>
      <c r="M186" s="1">
        <f t="shared" si="49"/>
        <v>0.68912646571349712</v>
      </c>
      <c r="N186" s="1">
        <f t="shared" si="50"/>
        <v>105621.41774999007</v>
      </c>
      <c r="O186" s="1">
        <f t="shared" si="43"/>
        <v>56272.142046469584</v>
      </c>
      <c r="P186" s="1">
        <f t="shared" si="44"/>
        <v>20452.997851790315</v>
      </c>
      <c r="Q186" s="1">
        <f t="shared" si="45"/>
        <v>0</v>
      </c>
      <c r="R186" s="1">
        <f t="shared" si="46"/>
        <v>28896.277851730181</v>
      </c>
      <c r="S186" s="3">
        <f t="shared" si="29"/>
        <v>0</v>
      </c>
    </row>
    <row r="187" spans="2:19" ht="15.6" outlineLevel="2">
      <c r="B187" s="2">
        <v>396</v>
      </c>
      <c r="C187" s="2">
        <v>2016</v>
      </c>
      <c r="D187" s="1">
        <v>958469.16000000015</v>
      </c>
      <c r="E187" s="1">
        <v>784900.22000000009</v>
      </c>
      <c r="F187" s="1">
        <v>89376.400000000023</v>
      </c>
      <c r="G187" s="1">
        <v>0</v>
      </c>
      <c r="H187" s="1">
        <v>84192.540000000008</v>
      </c>
      <c r="I187" s="2">
        <v>15</v>
      </c>
      <c r="J187" s="8">
        <f t="shared" si="51"/>
        <v>9.5</v>
      </c>
      <c r="K187" s="10">
        <v>0.20000000000000001</v>
      </c>
      <c r="L187" s="1">
        <f t="shared" si="48"/>
        <v>281150.95360000012</v>
      </c>
      <c r="M187" s="1">
        <f t="shared" si="49"/>
        <v>0.68912646571349712</v>
      </c>
      <c r="N187" s="1">
        <f t="shared" si="50"/>
        <v>193748.5629863475</v>
      </c>
      <c r="O187" s="1">
        <f t="shared" si="43"/>
        <v>158662.68426692832</v>
      </c>
      <c r="P187" s="1">
        <f t="shared" si="44"/>
        <v>18066.881844057447</v>
      </c>
      <c r="Q187" s="1">
        <f t="shared" si="45"/>
        <v>0</v>
      </c>
      <c r="R187" s="1">
        <f t="shared" si="46"/>
        <v>17018.996875361729</v>
      </c>
      <c r="S187" s="3">
        <f t="shared" si="29"/>
        <v>0</v>
      </c>
    </row>
    <row r="188" spans="2:19" ht="15.6" outlineLevel="2">
      <c r="B188" s="2">
        <v>396</v>
      </c>
      <c r="C188" s="2">
        <v>2015</v>
      </c>
      <c r="D188" s="1">
        <v>689709.42999999982</v>
      </c>
      <c r="E188" s="1">
        <v>627934.56999999995</v>
      </c>
      <c r="F188" s="1">
        <v>30725.93999999998</v>
      </c>
      <c r="G188" s="1">
        <v>0</v>
      </c>
      <c r="H188" s="1">
        <v>31048.919999999998</v>
      </c>
      <c r="I188" s="2">
        <v>15</v>
      </c>
      <c r="J188" s="8">
        <f t="shared" si="51"/>
        <v>8.5</v>
      </c>
      <c r="K188" s="10">
        <v>0.20000000000000001</v>
      </c>
      <c r="L188" s="1">
        <f t="shared" si="48"/>
        <v>239099.26906666663</v>
      </c>
      <c r="M188" s="1">
        <f t="shared" si="49"/>
        <v>0.68912646571349712</v>
      </c>
      <c r="N188" s="1">
        <f t="shared" si="50"/>
        <v>164769.63424659247</v>
      </c>
      <c r="O188" s="1">
        <f t="shared" si="43"/>
        <v>150011.79472012052</v>
      </c>
      <c r="P188" s="1">
        <f t="shared" si="44"/>
        <v>7340.3402584806518</v>
      </c>
      <c r="Q188" s="1">
        <f t="shared" si="45"/>
        <v>0</v>
      </c>
      <c r="R188" s="1">
        <f t="shared" si="46"/>
        <v>7417.4992679913212</v>
      </c>
      <c r="S188" s="3">
        <f t="shared" si="29"/>
        <v>-2.9103830456733704E-11</v>
      </c>
    </row>
    <row r="189" spans="2:19" ht="15.6" outlineLevel="2">
      <c r="B189" s="2">
        <v>396</v>
      </c>
      <c r="C189" s="2">
        <v>2014</v>
      </c>
      <c r="D189" s="1">
        <v>1635819.52</v>
      </c>
      <c r="E189" s="1">
        <v>1005873.3200000001</v>
      </c>
      <c r="F189" s="1">
        <v>69431.410000000003</v>
      </c>
      <c r="G189" s="1">
        <v>0</v>
      </c>
      <c r="H189" s="1">
        <v>560514.79000000004</v>
      </c>
      <c r="I189" s="2">
        <v>15</v>
      </c>
      <c r="J189" s="8">
        <f t="shared" si="51"/>
        <v>7.5</v>
      </c>
      <c r="K189" s="10">
        <v>0.20000000000000001</v>
      </c>
      <c r="L189" s="1">
        <f t="shared" si="48"/>
        <v>654327.80800000008</v>
      </c>
      <c r="M189" s="1">
        <f t="shared" si="49"/>
        <v>0.68912646571349712</v>
      </c>
      <c r="N189" s="1">
        <f t="shared" si="50"/>
        <v>450914.60974509979</v>
      </c>
      <c r="O189" s="1">
        <f t="shared" si="43"/>
        <v>277269.57038684061</v>
      </c>
      <c r="P189" s="1">
        <f t="shared" si="44"/>
        <v>19138.80887312191</v>
      </c>
      <c r="Q189" s="1">
        <f t="shared" si="45"/>
        <v>0</v>
      </c>
      <c r="R189" s="1">
        <f t="shared" si="46"/>
        <v>154506.23048513723</v>
      </c>
      <c r="S189" s="3">
        <f t="shared" si="29"/>
        <v>0</v>
      </c>
    </row>
    <row r="190" spans="2:19" ht="15.6" outlineLevel="2">
      <c r="B190" s="2">
        <v>396</v>
      </c>
      <c r="C190" s="2">
        <v>2013</v>
      </c>
      <c r="D190" s="1">
        <v>744701.21000000008</v>
      </c>
      <c r="E190" s="1">
        <v>281811.43999999994</v>
      </c>
      <c r="F190" s="1">
        <v>139381.89999999999</v>
      </c>
      <c r="G190" s="1">
        <v>0</v>
      </c>
      <c r="H190" s="1">
        <v>323507.87000000005</v>
      </c>
      <c r="I190" s="2">
        <v>15</v>
      </c>
      <c r="J190" s="8">
        <f t="shared" si="51"/>
        <v>6.5</v>
      </c>
      <c r="K190" s="10">
        <v>0.20000000000000001</v>
      </c>
      <c r="L190" s="1">
        <f t="shared" si="48"/>
        <v>337597.88186666672</v>
      </c>
      <c r="M190" s="1">
        <f t="shared" si="49"/>
        <v>0.68912646571349712</v>
      </c>
      <c r="N190" s="1">
        <f t="shared" si="50"/>
        <v>232647.63516313877</v>
      </c>
      <c r="O190" s="1">
        <f t="shared" si="43"/>
        <v>88039.020478990147</v>
      </c>
      <c r="P190" s="1">
        <f t="shared" si="44"/>
        <v>43543.462779582551</v>
      </c>
      <c r="Q190" s="1">
        <f t="shared" si="45"/>
        <v>0</v>
      </c>
      <c r="R190" s="1">
        <f t="shared" si="46"/>
        <v>101065.15190456602</v>
      </c>
      <c r="S190" s="3">
        <f t="shared" si="29"/>
        <v>0</v>
      </c>
    </row>
    <row r="191" spans="2:19" ht="15.6" outlineLevel="2">
      <c r="B191" s="2">
        <v>396</v>
      </c>
      <c r="C191" s="2">
        <v>2012</v>
      </c>
      <c r="D191" s="1">
        <v>532873.71999999997</v>
      </c>
      <c r="E191" s="1">
        <v>513889.09999999998</v>
      </c>
      <c r="F191" s="1">
        <v>18700.459999999955</v>
      </c>
      <c r="G191" s="1">
        <v>0</v>
      </c>
      <c r="H191" s="1">
        <v>284.16000000000003</v>
      </c>
      <c r="I191" s="2">
        <v>15</v>
      </c>
      <c r="J191" s="8">
        <f t="shared" si="51"/>
        <v>5.5</v>
      </c>
      <c r="K191" s="10">
        <v>0.20000000000000001</v>
      </c>
      <c r="L191" s="1">
        <f t="shared" si="48"/>
        <v>269989.35146666667</v>
      </c>
      <c r="M191" s="1">
        <f t="shared" si="49"/>
        <v>0.68912646571349712</v>
      </c>
      <c r="N191" s="1">
        <f t="shared" si="50"/>
        <v>186056.80755650319</v>
      </c>
      <c r="O191" s="1">
        <f t="shared" si="43"/>
        <v>179428.18682085621</v>
      </c>
      <c r="P191" s="1">
        <f t="shared" si="44"/>
        <v>6529.4041662217405</v>
      </c>
      <c r="Q191" s="1">
        <f t="shared" si="45"/>
        <v>0</v>
      </c>
      <c r="R191" s="1">
        <f t="shared" si="46"/>
        <v>99.216569425221337</v>
      </c>
      <c r="S191" s="3">
        <f t="shared" si="29"/>
        <v>2.0349943952169269E-11</v>
      </c>
    </row>
    <row r="192" spans="2:19" ht="15.6" outlineLevel="2">
      <c r="B192" s="2">
        <v>396</v>
      </c>
      <c r="C192" s="2">
        <v>2011</v>
      </c>
      <c r="D192" s="1">
        <v>733537.90000000014</v>
      </c>
      <c r="E192" s="1">
        <v>691063.7300000001</v>
      </c>
      <c r="F192" s="1">
        <v>19521.98000000001</v>
      </c>
      <c r="G192" s="1">
        <v>0</v>
      </c>
      <c r="H192" s="1">
        <v>22952.190000000002</v>
      </c>
      <c r="I192" s="2">
        <v>15</v>
      </c>
      <c r="J192" s="8">
        <f t="shared" si="51"/>
        <v>4.5</v>
      </c>
      <c r="K192" s="10">
        <v>0.20000000000000001</v>
      </c>
      <c r="L192" s="1">
        <f t="shared" si="48"/>
        <v>410781.2240000001</v>
      </c>
      <c r="M192" s="1">
        <f t="shared" si="49"/>
        <v>0.68912646571349712</v>
      </c>
      <c r="N192" s="1">
        <f t="shared" si="50"/>
        <v>283080.21307658445</v>
      </c>
      <c r="O192" s="1">
        <f t="shared" si="43"/>
        <v>266688.97126910446</v>
      </c>
      <c r="P192" s="1">
        <f t="shared" si="44"/>
        <v>7533.7433254325679</v>
      </c>
      <c r="Q192" s="1">
        <f t="shared" si="45"/>
        <v>0</v>
      </c>
      <c r="R192" s="1">
        <f t="shared" si="46"/>
        <v>8857.4984820474165</v>
      </c>
      <c r="S192" s="3">
        <f t="shared" si="29"/>
        <v>0</v>
      </c>
    </row>
    <row r="193" spans="2:19" ht="15.6" outlineLevel="2">
      <c r="B193" s="2">
        <v>396</v>
      </c>
      <c r="C193" s="2">
        <v>2010</v>
      </c>
      <c r="D193" s="1">
        <v>131199.28</v>
      </c>
      <c r="E193" s="1">
        <v>5204.8900000000003</v>
      </c>
      <c r="F193" s="1">
        <v>245.61999999999989</v>
      </c>
      <c r="G193" s="1">
        <v>0</v>
      </c>
      <c r="H193" s="1">
        <v>125748.77</v>
      </c>
      <c r="I193" s="2">
        <v>15</v>
      </c>
      <c r="J193" s="8">
        <f t="shared" si="51"/>
        <v>3.5</v>
      </c>
      <c r="K193" s="10">
        <v>0.20000000000000001</v>
      </c>
      <c r="L193" s="1">
        <f t="shared" si="48"/>
        <v>80468.891733333323</v>
      </c>
      <c r="M193" s="1">
        <f t="shared" si="49"/>
        <v>0.68912646571349712</v>
      </c>
      <c r="N193" s="1">
        <f t="shared" si="50"/>
        <v>55453.242960074036</v>
      </c>
      <c r="O193" s="1">
        <f t="shared" si="52" ref="O193:O224">+E193/$D193*$N193</f>
        <v>2199.9208360782145</v>
      </c>
      <c r="P193" s="1">
        <f t="shared" si="53" ref="P193:P224">+F193/$D193*$N193</f>
        <v>103.81478873857675</v>
      </c>
      <c r="Q193" s="1">
        <f t="shared" si="54" ref="Q193:Q224">+G193/$D193*$N193</f>
        <v>0</v>
      </c>
      <c r="R193" s="1">
        <f t="shared" si="55" ref="R193:R224">+H193/$D193*$N193</f>
        <v>53149.507335257251</v>
      </c>
      <c r="S193" s="3">
        <f t="shared" si="29"/>
        <v>0</v>
      </c>
    </row>
    <row r="194" spans="2:19" ht="15.6" outlineLevel="2">
      <c r="B194" s="2">
        <v>396</v>
      </c>
      <c r="C194" s="2">
        <v>2009</v>
      </c>
      <c r="D194" s="1">
        <v>55278.709999999992</v>
      </c>
      <c r="E194" s="1">
        <v>32443.770000000004</v>
      </c>
      <c r="F194" s="1">
        <v>2998.54</v>
      </c>
      <c r="G194" s="1">
        <v>0</v>
      </c>
      <c r="H194" s="1">
        <v>19836.399999999991</v>
      </c>
      <c r="I194" s="2">
        <v>15</v>
      </c>
      <c r="J194" s="8">
        <f t="shared" si="51"/>
        <v>2.5</v>
      </c>
      <c r="K194" s="10">
        <v>0.20000000000000001</v>
      </c>
      <c r="L194" s="1">
        <f t="shared" si="48"/>
        <v>36852.473333333328</v>
      </c>
      <c r="M194" s="1">
        <f t="shared" si="49"/>
        <v>0.68912646571349712</v>
      </c>
      <c r="N194" s="1">
        <f t="shared" si="50"/>
        <v>25396.014701000895</v>
      </c>
      <c r="O194" s="1">
        <f t="shared" si="52"/>
        <v>14905.240369681058</v>
      </c>
      <c r="P194" s="1">
        <f t="shared" si="53"/>
        <v>1377.582181667033</v>
      </c>
      <c r="Q194" s="1">
        <f t="shared" si="54"/>
        <v>0</v>
      </c>
      <c r="R194" s="1">
        <f t="shared" si="55"/>
        <v>9113.1921496528048</v>
      </c>
      <c r="S194" s="3">
        <f t="shared" si="29"/>
        <v>0</v>
      </c>
    </row>
    <row r="195" spans="2:19" ht="15.6" outlineLevel="2">
      <c r="B195" s="2">
        <v>396</v>
      </c>
      <c r="C195" s="2">
        <v>2008</v>
      </c>
      <c r="D195" s="1">
        <v>370725.44</v>
      </c>
      <c r="E195" s="1">
        <v>39901.620000000003</v>
      </c>
      <c r="F195" s="1">
        <v>5332.2900000000009</v>
      </c>
      <c r="G195" s="1">
        <v>0</v>
      </c>
      <c r="H195" s="1">
        <v>325491.53000000003</v>
      </c>
      <c r="I195" s="2">
        <v>15</v>
      </c>
      <c r="J195" s="8">
        <f t="shared" si="51"/>
        <v>1.5</v>
      </c>
      <c r="K195" s="10">
        <v>0.20000000000000001</v>
      </c>
      <c r="L195" s="1">
        <f t="shared" si="48"/>
        <v>266922.31680000003</v>
      </c>
      <c r="M195" s="1">
        <f t="shared" si="49"/>
        <v>0.68912646571349712</v>
      </c>
      <c r="N195" s="1">
        <f t="shared" si="50"/>
        <v>183943.23279644243</v>
      </c>
      <c r="O195" s="1">
        <f t="shared" si="52"/>
        <v>19798.028904126957</v>
      </c>
      <c r="P195" s="1">
        <f t="shared" si="53"/>
        <v>2645.7279565387857</v>
      </c>
      <c r="Q195" s="1">
        <f t="shared" si="54"/>
        <v>0</v>
      </c>
      <c r="R195" s="1">
        <f t="shared" si="55"/>
        <v>161499.47593577672</v>
      </c>
      <c r="S195" s="3">
        <f t="shared" si="29"/>
        <v>0</v>
      </c>
    </row>
    <row r="196" spans="2:19" ht="15.6" outlineLevel="2">
      <c r="B196" s="2">
        <v>396</v>
      </c>
      <c r="C196" s="2">
        <v>2007</v>
      </c>
      <c r="D196" s="1">
        <v>77393.899999999994</v>
      </c>
      <c r="E196" s="1">
        <v>77393.899999999994</v>
      </c>
      <c r="G196" s="1">
        <v>0</v>
      </c>
      <c r="I196" s="2">
        <v>15</v>
      </c>
      <c r="J196" s="8">
        <f t="shared" si="51"/>
        <v>0.5</v>
      </c>
      <c r="K196" s="10">
        <v>0.20000000000000001</v>
      </c>
      <c r="L196" s="1">
        <f t="shared" si="48"/>
        <v>59851.282666666666</v>
      </c>
      <c r="M196" s="1">
        <f t="shared" si="49"/>
        <v>0.68912646571349712</v>
      </c>
      <c r="N196" s="1">
        <f t="shared" si="50"/>
        <v>41245.10289249949</v>
      </c>
      <c r="O196" s="1">
        <f t="shared" si="52"/>
        <v>41245.10289249949</v>
      </c>
      <c r="P196" s="1">
        <f t="shared" si="53"/>
        <v>0</v>
      </c>
      <c r="Q196" s="1">
        <f t="shared" si="54"/>
        <v>0</v>
      </c>
      <c r="R196" s="1">
        <f t="shared" si="55"/>
        <v>0</v>
      </c>
      <c r="S196" s="3">
        <f t="shared" si="29"/>
        <v>0</v>
      </c>
    </row>
    <row r="197" spans="2:19" ht="15.6" outlineLevel="2">
      <c r="B197" s="2">
        <v>396</v>
      </c>
      <c r="C197" s="2">
        <v>2006</v>
      </c>
      <c r="D197" s="1">
        <v>24586.599999999999</v>
      </c>
      <c r="E197" s="1">
        <v>4187.21</v>
      </c>
      <c r="F197" s="1">
        <v>116.95999999999999</v>
      </c>
      <c r="G197" s="1">
        <v>0</v>
      </c>
      <c r="H197" s="1">
        <v>20282.43</v>
      </c>
      <c r="I197" s="2">
        <v>15</v>
      </c>
      <c r="J197" s="8">
        <v>0</v>
      </c>
      <c r="K197" s="10">
        <v>0.20000000000000001</v>
      </c>
      <c r="L197" s="1">
        <f t="shared" si="48"/>
        <v>19669.279999999999</v>
      </c>
      <c r="M197" s="1">
        <f t="shared" si="49"/>
        <v>0.68912646571349712</v>
      </c>
      <c r="N197" s="1">
        <f t="shared" si="50"/>
        <v>13554.621409529174</v>
      </c>
      <c r="O197" s="1">
        <f t="shared" si="52"/>
        <v>2308.4137828001699</v>
      </c>
      <c r="P197" s="1">
        <f t="shared" si="53"/>
        <v>64.480185143880504</v>
      </c>
      <c r="Q197" s="1">
        <f t="shared" si="54"/>
        <v>0</v>
      </c>
      <c r="R197" s="1">
        <f t="shared" si="55"/>
        <v>11181.727441585124</v>
      </c>
      <c r="S197" s="3">
        <f t="shared" si="56" ref="S197:S251">+N197-O197-P197-Q197-R197</f>
        <v>0</v>
      </c>
    </row>
    <row r="198" spans="2:19" ht="15.6" outlineLevel="2">
      <c r="B198" s="2">
        <v>396</v>
      </c>
      <c r="C198" s="2">
        <v>2005</v>
      </c>
      <c r="D198" s="1">
        <v>895189.12</v>
      </c>
      <c r="E198" s="1">
        <v>537613.56000000006</v>
      </c>
      <c r="F198" s="1">
        <v>6127.4399999999996</v>
      </c>
      <c r="G198" s="1">
        <v>0</v>
      </c>
      <c r="H198" s="1">
        <v>351448.11999999994</v>
      </c>
      <c r="I198" s="2">
        <v>15</v>
      </c>
      <c r="J198" s="8">
        <v>0</v>
      </c>
      <c r="K198" s="10">
        <v>0.20000000000000001</v>
      </c>
      <c r="L198" s="1">
        <f t="shared" si="48"/>
        <v>716151.29600000009</v>
      </c>
      <c r="M198" s="1">
        <f t="shared" si="49"/>
        <v>0.68912646571349712</v>
      </c>
      <c r="N198" s="1">
        <f t="shared" si="50"/>
        <v>493518.8115286206</v>
      </c>
      <c r="O198" s="1">
        <f t="shared" si="52"/>
        <v>296386.986017961</v>
      </c>
      <c r="P198" s="1">
        <f t="shared" si="53"/>
        <v>3378.0648568572087</v>
      </c>
      <c r="Q198" s="1">
        <f t="shared" si="54"/>
        <v>0</v>
      </c>
      <c r="R198" s="1">
        <f t="shared" si="55"/>
        <v>193753.76065380243</v>
      </c>
      <c r="S198" s="3">
        <f t="shared" si="56"/>
        <v>0</v>
      </c>
    </row>
    <row r="199" spans="2:19" ht="15.6" outlineLevel="2">
      <c r="B199" s="2">
        <v>396</v>
      </c>
      <c r="C199" s="2">
        <v>2004</v>
      </c>
      <c r="D199" s="1">
        <v>224679.54999999999</v>
      </c>
      <c r="E199" s="1">
        <v>155171.70000000001</v>
      </c>
      <c r="F199" s="1">
        <v>5555.8300000000008</v>
      </c>
      <c r="G199" s="1">
        <v>0</v>
      </c>
      <c r="H199" s="1">
        <v>63952.020000000004</v>
      </c>
      <c r="I199" s="2">
        <v>15</v>
      </c>
      <c r="J199" s="8">
        <v>0</v>
      </c>
      <c r="K199" s="10">
        <v>0.20000000000000001</v>
      </c>
      <c r="L199" s="1">
        <f t="shared" si="48"/>
        <v>179743.64000000001</v>
      </c>
      <c r="M199" s="1">
        <f t="shared" si="49"/>
        <v>0.68912646571349712</v>
      </c>
      <c r="N199" s="1">
        <f t="shared" si="50"/>
        <v>123866.09936767918</v>
      </c>
      <c r="O199" s="1">
        <f t="shared" si="52"/>
        <v>85546.34015980408</v>
      </c>
      <c r="P199" s="1">
        <f t="shared" si="53"/>
        <v>3062.9355936040156</v>
      </c>
      <c r="Q199" s="1">
        <f t="shared" si="54"/>
        <v>0</v>
      </c>
      <c r="R199" s="1">
        <f t="shared" si="55"/>
        <v>35256.823614271118</v>
      </c>
      <c r="S199" s="3">
        <f t="shared" si="56"/>
        <v>0</v>
      </c>
    </row>
    <row r="200" spans="2:19" ht="15.6" outlineLevel="2">
      <c r="B200" s="2">
        <v>396</v>
      </c>
      <c r="C200" s="2">
        <v>2003</v>
      </c>
      <c r="D200" s="1">
        <v>233537.67000000001</v>
      </c>
      <c r="E200" s="1">
        <v>5048.1100000000006</v>
      </c>
      <c r="F200" s="1">
        <v>16395.790000000001</v>
      </c>
      <c r="G200" s="1">
        <v>0</v>
      </c>
      <c r="H200" s="1">
        <v>212093.77000000002</v>
      </c>
      <c r="I200" s="2">
        <v>15</v>
      </c>
      <c r="J200" s="8">
        <v>0</v>
      </c>
      <c r="K200" s="10">
        <v>0.20000000000000001</v>
      </c>
      <c r="L200" s="1">
        <f t="shared" si="48"/>
        <v>186830.13600000003</v>
      </c>
      <c r="M200" s="1">
        <f t="shared" si="49"/>
        <v>0.68912646571349712</v>
      </c>
      <c r="N200" s="1">
        <f t="shared" si="50"/>
        <v>128749.59131045203</v>
      </c>
      <c r="O200" s="1">
        <f t="shared" si="52"/>
        <v>2783.0289622663704</v>
      </c>
      <c r="P200" s="1">
        <f t="shared" si="53"/>
        <v>9039.0182522245614</v>
      </c>
      <c r="Q200" s="1">
        <f t="shared" si="54"/>
        <v>0</v>
      </c>
      <c r="R200" s="1">
        <f t="shared" si="55"/>
        <v>116927.5440959611</v>
      </c>
      <c r="S200" s="3">
        <f t="shared" si="56"/>
        <v>0</v>
      </c>
    </row>
    <row r="201" spans="2:19" ht="15.6" outlineLevel="2">
      <c r="B201" s="2">
        <v>396</v>
      </c>
      <c r="C201" s="2">
        <v>2002</v>
      </c>
      <c r="D201" s="1">
        <v>183703.56</v>
      </c>
      <c r="E201" s="1">
        <v>107049.79999999999</v>
      </c>
      <c r="F201" s="1">
        <v>18635.339999999997</v>
      </c>
      <c r="G201" s="1">
        <v>0</v>
      </c>
      <c r="H201" s="1">
        <v>58018.419999999998</v>
      </c>
      <c r="I201" s="2">
        <v>15</v>
      </c>
      <c r="J201" s="8">
        <v>0</v>
      </c>
      <c r="K201" s="10">
        <v>0.20000000000000001</v>
      </c>
      <c r="L201" s="1">
        <f t="shared" si="48"/>
        <v>146962.848</v>
      </c>
      <c r="M201" s="1">
        <f t="shared" si="49"/>
        <v>0.68912646571349712</v>
      </c>
      <c r="N201" s="1">
        <f t="shared" si="50"/>
        <v>101275.98803342989</v>
      </c>
      <c r="O201" s="1">
        <f t="shared" si="52"/>
        <v>59016.680263469381</v>
      </c>
      <c r="P201" s="1">
        <f t="shared" si="53"/>
        <v>10273.684793255487</v>
      </c>
      <c r="Q201" s="1">
        <f t="shared" si="54"/>
        <v>0</v>
      </c>
      <c r="R201" s="1">
        <f t="shared" si="55"/>
        <v>31985.622976705021</v>
      </c>
      <c r="S201" s="3">
        <f t="shared" si="56"/>
        <v>0</v>
      </c>
    </row>
    <row r="202" spans="2:19" ht="15.6" outlineLevel="2">
      <c r="B202" s="2">
        <v>396</v>
      </c>
      <c r="C202" s="2">
        <v>2001</v>
      </c>
      <c r="D202" s="1">
        <v>291457.91000000003</v>
      </c>
      <c r="E202" s="1">
        <v>176428.42999999999</v>
      </c>
      <c r="F202" s="1">
        <v>32290.710000000006</v>
      </c>
      <c r="G202" s="1">
        <v>0</v>
      </c>
      <c r="H202" s="1">
        <v>82738.770000000004</v>
      </c>
      <c r="I202" s="2">
        <v>15</v>
      </c>
      <c r="J202" s="8">
        <v>0</v>
      </c>
      <c r="K202" s="10">
        <v>0.20000000000000001</v>
      </c>
      <c r="L202" s="1">
        <f t="shared" si="48"/>
        <v>233166.32800000004</v>
      </c>
      <c r="M202" s="1">
        <f t="shared" si="49"/>
        <v>0.68912646571349712</v>
      </c>
      <c r="N202" s="1">
        <f t="shared" si="50"/>
        <v>160681.08753803404</v>
      </c>
      <c r="O202" s="1">
        <f t="shared" si="52"/>
        <v>97265.200333824891</v>
      </c>
      <c r="P202" s="1">
        <f t="shared" si="53"/>
        <v>17801.906286143585</v>
      </c>
      <c r="Q202" s="1">
        <f t="shared" si="54"/>
        <v>0</v>
      </c>
      <c r="R202" s="1">
        <f t="shared" si="55"/>
        <v>45613.980918065543</v>
      </c>
      <c r="S202" s="3">
        <f t="shared" si="56"/>
        <v>0</v>
      </c>
    </row>
    <row r="203" spans="2:19" ht="15.6" outlineLevel="2">
      <c r="B203" s="2">
        <v>396</v>
      </c>
      <c r="C203" s="2">
        <v>2000</v>
      </c>
      <c r="D203" s="1">
        <v>436356.45999999996</v>
      </c>
      <c r="E203" s="1">
        <v>239542.85000000001</v>
      </c>
      <c r="F203" s="1">
        <v>37993.039999999994</v>
      </c>
      <c r="G203" s="1">
        <v>0</v>
      </c>
      <c r="H203" s="1">
        <v>158820.57000000001</v>
      </c>
      <c r="I203" s="2">
        <v>15</v>
      </c>
      <c r="J203" s="8">
        <v>0</v>
      </c>
      <c r="K203" s="10">
        <v>0.20000000000000001</v>
      </c>
      <c r="L203" s="1">
        <f t="shared" si="48"/>
        <v>349085.16800000001</v>
      </c>
      <c r="M203" s="1">
        <f t="shared" si="49"/>
        <v>0.68912646571349712</v>
      </c>
      <c r="N203" s="1">
        <f t="shared" si="50"/>
        <v>240563.82805684238</v>
      </c>
      <c r="O203" s="1">
        <f t="shared" si="52"/>
        <v>132060.25408595073</v>
      </c>
      <c r="P203" s="1">
        <f t="shared" si="53"/>
        <v>20945.607501529215</v>
      </c>
      <c r="Q203" s="1">
        <f t="shared" si="54"/>
        <v>0</v>
      </c>
      <c r="R203" s="1">
        <f t="shared" si="55"/>
        <v>87557.966469362465</v>
      </c>
      <c r="S203" s="3">
        <f t="shared" si="56"/>
        <v>0</v>
      </c>
    </row>
    <row r="204" spans="2:19" ht="15.6" outlineLevel="2">
      <c r="B204" s="2">
        <v>396</v>
      </c>
      <c r="C204" s="2">
        <v>1999</v>
      </c>
      <c r="D204" s="1">
        <v>182258.21000000002</v>
      </c>
      <c r="E204" s="1">
        <v>104530.55</v>
      </c>
      <c r="F204" s="1">
        <v>11269.800000000001</v>
      </c>
      <c r="G204" s="1">
        <v>0</v>
      </c>
      <c r="H204" s="1">
        <v>66457.860000000001</v>
      </c>
      <c r="I204" s="2">
        <v>15</v>
      </c>
      <c r="J204" s="8">
        <v>0</v>
      </c>
      <c r="K204" s="10">
        <v>0.20000000000000001</v>
      </c>
      <c r="L204" s="1">
        <f t="shared" si="48"/>
        <v>145806.56800000003</v>
      </c>
      <c r="M204" s="1">
        <f t="shared" si="49"/>
        <v>0.68912646571349712</v>
      </c>
      <c r="N204" s="1">
        <f t="shared" si="50"/>
        <v>100479.16488365471</v>
      </c>
      <c r="O204" s="1">
        <f t="shared" si="52"/>
        <v>57627.8147844704</v>
      </c>
      <c r="P204" s="1">
        <f t="shared" si="53"/>
        <v>6213.053954638377</v>
      </c>
      <c r="Q204" s="1">
        <f t="shared" si="54"/>
        <v>0</v>
      </c>
      <c r="R204" s="1">
        <f t="shared" si="55"/>
        <v>36638.296144545922</v>
      </c>
      <c r="S204" s="3">
        <f t="shared" si="56"/>
        <v>0</v>
      </c>
    </row>
    <row r="205" spans="2:19" ht="15.6" outlineLevel="2">
      <c r="B205" s="2">
        <v>396</v>
      </c>
      <c r="C205" s="2">
        <v>1998</v>
      </c>
      <c r="D205" s="1">
        <v>2218.9400000000001</v>
      </c>
      <c r="E205" s="1">
        <v>2218.9400000000001</v>
      </c>
      <c r="I205" s="2">
        <v>15</v>
      </c>
      <c r="J205" s="8">
        <v>0</v>
      </c>
      <c r="K205" s="10">
        <v>0.20000000000000001</v>
      </c>
      <c r="L205" s="1">
        <f t="shared" si="48"/>
        <v>1775.152</v>
      </c>
      <c r="M205" s="1">
        <f t="shared" si="49"/>
        <v>0.68912646571349712</v>
      </c>
      <c r="N205" s="1">
        <f t="shared" si="50"/>
        <v>1223.3042238642458</v>
      </c>
      <c r="O205" s="1">
        <f t="shared" si="52"/>
        <v>1223.3042238642458</v>
      </c>
      <c r="P205" s="1">
        <f t="shared" si="53"/>
        <v>0</v>
      </c>
      <c r="Q205" s="1">
        <f t="shared" si="54"/>
        <v>0</v>
      </c>
      <c r="R205" s="1">
        <f t="shared" si="55"/>
        <v>0</v>
      </c>
      <c r="S205" s="3">
        <f t="shared" si="56"/>
        <v>0</v>
      </c>
    </row>
    <row r="206" spans="2:19" ht="15.6" outlineLevel="2">
      <c r="B206" s="2">
        <v>396</v>
      </c>
      <c r="C206" s="2">
        <v>1997</v>
      </c>
      <c r="D206" s="1">
        <v>126382.73</v>
      </c>
      <c r="E206" s="1">
        <v>14749.280000000001</v>
      </c>
      <c r="F206" s="1">
        <v>1341</v>
      </c>
      <c r="H206" s="1">
        <v>110292.45</v>
      </c>
      <c r="I206" s="2">
        <v>15</v>
      </c>
      <c r="J206" s="8">
        <v>0</v>
      </c>
      <c r="K206" s="10">
        <v>0.20000000000000001</v>
      </c>
      <c r="L206" s="1">
        <f t="shared" si="48"/>
        <v>101106.18400000001</v>
      </c>
      <c r="M206" s="1">
        <f t="shared" si="49"/>
        <v>0.68912646571349712</v>
      </c>
      <c r="N206" s="1">
        <f t="shared" si="50"/>
        <v>69674.947241698537</v>
      </c>
      <c r="O206" s="1">
        <f t="shared" si="52"/>
        <v>8131.2953585750165</v>
      </c>
      <c r="P206" s="1">
        <f t="shared" si="53"/>
        <v>739.29487241743982</v>
      </c>
      <c r="Q206" s="1">
        <f t="shared" si="54"/>
        <v>0</v>
      </c>
      <c r="R206" s="1">
        <f t="shared" si="55"/>
        <v>60804.35701070608</v>
      </c>
      <c r="S206" s="3">
        <f t="shared" si="56"/>
        <v>0</v>
      </c>
    </row>
    <row r="207" spans="2:19" ht="15.6" outlineLevel="2">
      <c r="B207" s="2">
        <v>396</v>
      </c>
      <c r="C207" s="2">
        <v>1996</v>
      </c>
      <c r="D207" s="1">
        <v>309750.92000000004</v>
      </c>
      <c r="E207" s="1">
        <v>649.01999999999998</v>
      </c>
      <c r="H207" s="1">
        <v>309101.90000000002</v>
      </c>
      <c r="I207" s="2">
        <v>15</v>
      </c>
      <c r="J207" s="8">
        <v>0</v>
      </c>
      <c r="K207" s="10">
        <v>0.20000000000000001</v>
      </c>
      <c r="L207" s="1">
        <f t="shared" si="48"/>
        <v>247800.73600000003</v>
      </c>
      <c r="M207" s="1">
        <f t="shared" si="49"/>
        <v>0.68912646571349712</v>
      </c>
      <c r="N207" s="1">
        <f t="shared" si="50"/>
        <v>170766.04540088336</v>
      </c>
      <c r="O207" s="1">
        <f t="shared" si="52"/>
        <v>357.80548702189913</v>
      </c>
      <c r="P207" s="1">
        <f t="shared" si="53"/>
        <v>0</v>
      </c>
      <c r="Q207" s="1">
        <f t="shared" si="54"/>
        <v>0</v>
      </c>
      <c r="R207" s="1">
        <f t="shared" si="55"/>
        <v>170408.23991386144</v>
      </c>
      <c r="S207" s="3">
        <f t="shared" si="56"/>
        <v>0</v>
      </c>
    </row>
    <row r="208" spans="2:19" ht="15.6" outlineLevel="2">
      <c r="B208" s="2">
        <v>396</v>
      </c>
      <c r="C208" s="2">
        <v>1995</v>
      </c>
      <c r="D208" s="1">
        <v>139163.42999999999</v>
      </c>
      <c r="E208" s="1">
        <v>30845.620000000003</v>
      </c>
      <c r="F208" s="1">
        <v>1227.1099999999983</v>
      </c>
      <c r="G208" s="1">
        <v>0</v>
      </c>
      <c r="H208" s="1">
        <v>107090.69999999998</v>
      </c>
      <c r="I208" s="2">
        <v>15</v>
      </c>
      <c r="J208" s="8">
        <v>0</v>
      </c>
      <c r="K208" s="10">
        <v>0.20000000000000001</v>
      </c>
      <c r="L208" s="1">
        <f t="shared" si="48"/>
        <v>111330.74400000001</v>
      </c>
      <c r="M208" s="1">
        <f t="shared" si="49"/>
        <v>0.68912646571349712</v>
      </c>
      <c r="N208" s="1">
        <f t="shared" si="50"/>
        <v>76720.962137974129</v>
      </c>
      <c r="O208" s="1">
        <f t="shared" si="52"/>
        <v>17005.226474673254</v>
      </c>
      <c r="P208" s="1">
        <f t="shared" si="53"/>
        <v>676.50718187335076</v>
      </c>
      <c r="Q208" s="1">
        <f t="shared" si="54"/>
        <v>0</v>
      </c>
      <c r="R208" s="1">
        <f t="shared" si="55"/>
        <v>59039.228481427519</v>
      </c>
      <c r="S208" s="3">
        <f t="shared" si="56"/>
        <v>0</v>
      </c>
    </row>
    <row r="209" spans="2:19" ht="15.6" outlineLevel="2">
      <c r="B209" s="2">
        <v>396</v>
      </c>
      <c r="C209" s="2">
        <v>1994</v>
      </c>
      <c r="D209" s="1">
        <v>160688.03</v>
      </c>
      <c r="H209" s="1">
        <v>160688.03</v>
      </c>
      <c r="I209" s="2">
        <v>15</v>
      </c>
      <c r="J209" s="8">
        <v>0</v>
      </c>
      <c r="K209" s="10">
        <v>0.20000000000000001</v>
      </c>
      <c r="L209" s="1">
        <f t="shared" si="48"/>
        <v>128550.424</v>
      </c>
      <c r="M209" s="1">
        <f t="shared" si="49"/>
        <v>0.68912646571349712</v>
      </c>
      <c r="N209" s="1">
        <f t="shared" si="50"/>
        <v>88587.49935709151</v>
      </c>
      <c r="O209" s="1">
        <f t="shared" si="52"/>
        <v>0</v>
      </c>
      <c r="P209" s="1">
        <f t="shared" si="53"/>
        <v>0</v>
      </c>
      <c r="Q209" s="1">
        <f t="shared" si="54"/>
        <v>0</v>
      </c>
      <c r="R209" s="1">
        <f t="shared" si="55"/>
        <v>88587.49935709151</v>
      </c>
      <c r="S209" s="3">
        <f t="shared" si="56"/>
        <v>0</v>
      </c>
    </row>
    <row r="210" spans="2:19" ht="15.6" outlineLevel="2">
      <c r="B210" s="2">
        <v>396</v>
      </c>
      <c r="C210" s="2">
        <v>1993</v>
      </c>
      <c r="D210" s="1">
        <v>18047.349999999999</v>
      </c>
      <c r="E210" s="1">
        <v>13300</v>
      </c>
      <c r="F210" s="1">
        <v>700</v>
      </c>
      <c r="H210" s="1">
        <v>4047.3499999999999</v>
      </c>
      <c r="I210" s="2">
        <v>15</v>
      </c>
      <c r="J210" s="8">
        <v>0</v>
      </c>
      <c r="K210" s="10">
        <v>0.20000000000000001</v>
      </c>
      <c r="L210" s="1">
        <f t="shared" si="48"/>
        <v>14437.879999999999</v>
      </c>
      <c r="M210" s="1">
        <f t="shared" si="49"/>
        <v>0.68912646571349712</v>
      </c>
      <c r="N210" s="1">
        <f t="shared" si="50"/>
        <v>9949.5252167955859</v>
      </c>
      <c r="O210" s="1">
        <f t="shared" si="52"/>
        <v>7332.3055951916103</v>
      </c>
      <c r="P210" s="1">
        <f t="shared" si="53"/>
        <v>385.91082079955845</v>
      </c>
      <c r="Q210" s="1">
        <f t="shared" si="54"/>
        <v>0</v>
      </c>
      <c r="R210" s="1">
        <f t="shared" si="55"/>
        <v>2231.3088008044183</v>
      </c>
      <c r="S210" s="3">
        <f t="shared" si="56"/>
        <v>0</v>
      </c>
    </row>
    <row r="211" spans="1:19" ht="15.6" outlineLevel="1">
      <c r="A211" s="4" t="s">
        <v>23</v>
      </c>
      <c r="B211" s="2" t="s">
        <v>32</v>
      </c>
      <c r="D211" s="1">
        <f>SUBTOTAL(9,D182:D210)</f>
        <v>12539446.77</v>
      </c>
      <c r="E211" s="1">
        <f>SUBTOTAL(9,E182:E210)</f>
        <v>7626625.3199999994</v>
      </c>
      <c r="F211" s="1">
        <f>SUBTOTAL(9,F182:F210)</f>
        <v>930590.34999999998</v>
      </c>
      <c r="G211" s="1">
        <f>SUBTOTAL(9,G182:G210)</f>
        <v>0</v>
      </c>
      <c r="H211" s="1">
        <f>SUBTOTAL(9,H182:H210)</f>
        <v>3982231.1000000001</v>
      </c>
      <c r="J211" s="8">
        <f>+N211-K211</f>
        <v>0</v>
      </c>
      <c r="K211" s="10">
        <v>3901697.2341117267</v>
      </c>
      <c r="L211" s="1">
        <f>SUBTOTAL(9,L182:L210)</f>
        <v>5661801.4663999984</v>
      </c>
      <c r="M211" s="1">
        <v>0.68912646571349712</v>
      </c>
      <c r="N211" s="1">
        <f>SUBTOTAL(9,N182:N210)</f>
        <v>3901697.2341117291</v>
      </c>
      <c r="O211" s="1">
        <f t="shared" si="52"/>
        <v>2373053.8884571921</v>
      </c>
      <c r="P211" s="1">
        <f t="shared" si="53"/>
        <v>289556.77720748965</v>
      </c>
      <c r="Q211" s="1">
        <f t="shared" si="54"/>
        <v>0</v>
      </c>
      <c r="R211" s="1">
        <f t="shared" si="55"/>
        <v>1239086.5684470472</v>
      </c>
      <c r="S211" s="3">
        <f t="shared" si="56"/>
        <v>0</v>
      </c>
    </row>
    <row r="212" spans="2:19" ht="15.6" outlineLevel="2">
      <c r="B212" s="2">
        <v>397</v>
      </c>
      <c r="C212" s="2">
        <v>2021</v>
      </c>
      <c r="D212" s="1">
        <f>SUM(E212:H212)</f>
        <v>24979735.870000008</v>
      </c>
      <c r="E212" s="1">
        <v>3072570.5100000021</v>
      </c>
      <c r="F212" s="1">
        <v>414793.90000000049</v>
      </c>
      <c r="G212" s="1">
        <v>118205.22000000003</v>
      </c>
      <c r="H212" s="1">
        <v>21374166.240000006</v>
      </c>
      <c r="I212" s="2">
        <v>15</v>
      </c>
      <c r="J212" s="8">
        <v>14.5</v>
      </c>
      <c r="K212" s="10">
        <v>0</v>
      </c>
      <c r="L212" s="1">
        <f t="shared" si="57" ref="L212:L230">+D212*(1-K212)*(1-J212/I212)</f>
        <v>832657.86233333347</v>
      </c>
      <c r="M212" s="1">
        <f t="shared" si="58" ref="M212:M226">$M$231</f>
        <v>0.44721767829905551</v>
      </c>
      <c r="N212" s="1">
        <f t="shared" si="59" ref="N212:N230">IF((D212*(1-K212)-L212*M212)&lt;0,D212*(1-K212),L212*M212)</f>
        <v>372379.316010168</v>
      </c>
      <c r="O212" s="1">
        <f t="shared" si="52"/>
        <v>45803.594996411521</v>
      </c>
      <c r="P212" s="1">
        <f t="shared" si="53"/>
        <v>6183.4388310203594</v>
      </c>
      <c r="Q212" s="1">
        <f t="shared" si="54"/>
        <v>1762.1154683743032</v>
      </c>
      <c r="R212" s="1">
        <f t="shared" si="55"/>
        <v>318630.16671436181</v>
      </c>
      <c r="S212" s="3">
        <f t="shared" si="56"/>
        <v>0</v>
      </c>
    </row>
    <row r="213" spans="2:19" ht="15.6" outlineLevel="2">
      <c r="B213" s="2">
        <v>397</v>
      </c>
      <c r="C213" s="2">
        <v>2020</v>
      </c>
      <c r="D213" s="1">
        <f t="shared" si="60" ref="D213:D230">SUM(E213:H213)</f>
        <v>6496674.1399999987</v>
      </c>
      <c r="E213" s="1">
        <v>455167.68000000005</v>
      </c>
      <c r="F213" s="1">
        <v>15499.639999999999</v>
      </c>
      <c r="G213" s="1">
        <v>21133.39999999994</v>
      </c>
      <c r="H213" s="1">
        <v>6004873.419999999</v>
      </c>
      <c r="I213" s="2">
        <v>15</v>
      </c>
      <c r="J213" s="8">
        <v>13.5</v>
      </c>
      <c r="K213" s="10">
        <v>0</v>
      </c>
      <c r="L213" s="1">
        <f t="shared" si="57"/>
        <v>649667.41399999976</v>
      </c>
      <c r="M213" s="1">
        <f t="shared" si="58"/>
        <v>0.44721767829905551</v>
      </c>
      <c r="N213" s="1">
        <f t="shared" si="59"/>
        <v>290542.75255563122</v>
      </c>
      <c r="O213" s="1">
        <f t="shared" si="52"/>
        <v>20355.903308636742</v>
      </c>
      <c r="P213" s="1">
        <f t="shared" si="53"/>
        <v>693.17130152711718</v>
      </c>
      <c r="Q213" s="1">
        <f t="shared" si="54"/>
        <v>945.12300825652312</v>
      </c>
      <c r="R213" s="1">
        <f t="shared" si="55"/>
        <v>268548.55493721087</v>
      </c>
      <c r="S213" s="3">
        <f t="shared" si="56"/>
        <v>0</v>
      </c>
    </row>
    <row r="214" spans="2:19" ht="15.6" outlineLevel="2">
      <c r="B214" s="2">
        <v>397</v>
      </c>
      <c r="C214" s="2">
        <v>2019</v>
      </c>
      <c r="D214" s="1">
        <f t="shared" si="60"/>
        <v>331483.62</v>
      </c>
      <c r="E214" s="1">
        <v>122081.90000000001</v>
      </c>
      <c r="F214" s="1">
        <v>6743.9899999999971</v>
      </c>
      <c r="G214" s="1">
        <v>1473.1199999999965</v>
      </c>
      <c r="H214" s="1">
        <v>201184.60999999999</v>
      </c>
      <c r="I214" s="2">
        <v>15</v>
      </c>
      <c r="J214" s="8">
        <v>12.5</v>
      </c>
      <c r="K214" s="10">
        <v>0</v>
      </c>
      <c r="L214" s="1">
        <f t="shared" si="57"/>
        <v>55247.26999999999</v>
      </c>
      <c r="M214" s="1">
        <f t="shared" si="58"/>
        <v>0.44721767829905551</v>
      </c>
      <c r="N214" s="1">
        <f t="shared" si="59"/>
        <v>24707.555821761056</v>
      </c>
      <c r="O214" s="1">
        <f t="shared" si="52"/>
        <v>9099.5306467229093</v>
      </c>
      <c r="P214" s="1">
        <f t="shared" si="53"/>
        <v>502.67192504534091</v>
      </c>
      <c r="Q214" s="1">
        <f t="shared" si="54"/>
        <v>109.80088437598383</v>
      </c>
      <c r="R214" s="1">
        <f t="shared" si="55"/>
        <v>14995.552365616819</v>
      </c>
      <c r="S214" s="3">
        <f t="shared" si="56"/>
        <v>0</v>
      </c>
    </row>
    <row r="215" spans="2:19" ht="15.6" outlineLevel="2">
      <c r="B215" s="2">
        <v>397</v>
      </c>
      <c r="C215" s="2">
        <v>2018</v>
      </c>
      <c r="D215" s="1">
        <f t="shared" si="60"/>
        <v>508459.07000000001</v>
      </c>
      <c r="E215" s="1">
        <v>412889.53000000003</v>
      </c>
      <c r="F215" s="1">
        <v>10372.289999999997</v>
      </c>
      <c r="G215" s="1">
        <v>4755.8899999999921</v>
      </c>
      <c r="H215" s="1">
        <v>80441.359999999986</v>
      </c>
      <c r="I215" s="2">
        <v>15</v>
      </c>
      <c r="J215" s="8">
        <v>11.5</v>
      </c>
      <c r="K215" s="10">
        <v>0</v>
      </c>
      <c r="L215" s="1">
        <f t="shared" si="57"/>
        <v>118640.44966666664</v>
      </c>
      <c r="M215" s="1">
        <f t="shared" si="58"/>
        <v>0.44721767829905551</v>
      </c>
      <c r="N215" s="1">
        <f t="shared" si="59"/>
        <v>53058.106452282605</v>
      </c>
      <c r="O215" s="1">
        <f t="shared" si="52"/>
        <v>43085.349300137241</v>
      </c>
      <c r="P215" s="1">
        <f t="shared" si="53"/>
        <v>1082.3566722370517</v>
      </c>
      <c r="Q215" s="1">
        <f t="shared" si="54"/>
        <v>496.28088627732791</v>
      </c>
      <c r="R215" s="1">
        <f t="shared" si="55"/>
        <v>8394.1195936309814</v>
      </c>
      <c r="S215" s="3">
        <f t="shared" si="56"/>
        <v>0</v>
      </c>
    </row>
    <row r="216" spans="2:19" ht="15.6" outlineLevel="2">
      <c r="B216" s="2">
        <v>397</v>
      </c>
      <c r="C216" s="2">
        <v>2017</v>
      </c>
      <c r="D216" s="1">
        <f t="shared" si="60"/>
        <v>-147100.70999999996</v>
      </c>
      <c r="E216" s="1">
        <v>92172.889999999999</v>
      </c>
      <c r="F216" s="1">
        <v>9537.480000000005</v>
      </c>
      <c r="G216" s="1">
        <v>4580.4699999999975</v>
      </c>
      <c r="H216" s="1">
        <v>-253391.54999999999</v>
      </c>
      <c r="I216" s="2">
        <v>15</v>
      </c>
      <c r="J216" s="8">
        <v>10.5</v>
      </c>
      <c r="K216" s="10">
        <v>0</v>
      </c>
      <c r="L216" s="1">
        <f t="shared" si="57"/>
        <v>-44130.212999999996</v>
      </c>
      <c r="M216" s="1">
        <f t="shared" si="58"/>
        <v>0.44721767829905551</v>
      </c>
      <c r="N216" s="1">
        <f t="shared" si="59"/>
        <v>-147100.70999999996</v>
      </c>
      <c r="O216" s="1">
        <f t="shared" si="52"/>
        <v>92172.889999999999</v>
      </c>
      <c r="P216" s="1">
        <f t="shared" si="53"/>
        <v>9537.4800000000032</v>
      </c>
      <c r="Q216" s="1">
        <f t="shared" si="54"/>
        <v>4580.4699999999975</v>
      </c>
      <c r="R216" s="1">
        <f t="shared" si="55"/>
        <v>-253391.54999999999</v>
      </c>
      <c r="S216" s="3">
        <f t="shared" si="56"/>
        <v>0</v>
      </c>
    </row>
    <row r="217" spans="2:19" ht="15.6" outlineLevel="2">
      <c r="B217" s="2">
        <v>397</v>
      </c>
      <c r="C217" s="2">
        <v>2016</v>
      </c>
      <c r="D217" s="1">
        <f t="shared" si="60"/>
        <v>1097701.95</v>
      </c>
      <c r="E217" s="1">
        <v>72648.510000000009</v>
      </c>
      <c r="F217" s="1">
        <v>12511.309999999998</v>
      </c>
      <c r="G217" s="1">
        <v>4948.4599999999991</v>
      </c>
      <c r="H217" s="1">
        <v>1007593.6699999999</v>
      </c>
      <c r="I217" s="2">
        <v>15</v>
      </c>
      <c r="J217" s="8">
        <v>9.5</v>
      </c>
      <c r="K217" s="10">
        <v>0</v>
      </c>
      <c r="L217" s="1">
        <f t="shared" si="57"/>
        <v>402490.71500000003</v>
      </c>
      <c r="M217" s="1">
        <f t="shared" si="58"/>
        <v>0.44721767829905551</v>
      </c>
      <c r="N217" s="1">
        <f t="shared" si="59"/>
        <v>180000.96309922685</v>
      </c>
      <c r="O217" s="1">
        <f t="shared" si="52"/>
        <v>11912.889257164767</v>
      </c>
      <c r="P217" s="1">
        <f t="shared" si="53"/>
        <v>2051.6023039159104</v>
      </c>
      <c r="Q217" s="1">
        <f t="shared" si="54"/>
        <v>811.44755719710611</v>
      </c>
      <c r="R217" s="1">
        <f t="shared" si="55"/>
        <v>165225.02398094907</v>
      </c>
      <c r="S217" s="3">
        <f t="shared" si="56"/>
        <v>0</v>
      </c>
    </row>
    <row r="218" spans="2:19" ht="15.6" outlineLevel="2">
      <c r="B218" s="2">
        <v>397</v>
      </c>
      <c r="C218" s="2">
        <v>2015</v>
      </c>
      <c r="D218" s="1">
        <f t="shared" si="60"/>
        <v>16051421.039999999</v>
      </c>
      <c r="E218" s="1">
        <v>3525640.8399999999</v>
      </c>
      <c r="F218" s="1">
        <v>1186419.1499999999</v>
      </c>
      <c r="G218" s="1">
        <v>981244.38</v>
      </c>
      <c r="H218" s="1">
        <v>10358116.67</v>
      </c>
      <c r="I218" s="2">
        <v>15</v>
      </c>
      <c r="J218" s="8">
        <v>8.5</v>
      </c>
      <c r="K218" s="10">
        <v>0</v>
      </c>
      <c r="L218" s="1">
        <f t="shared" si="57"/>
        <v>6955615.784</v>
      </c>
      <c r="M218" s="1">
        <f t="shared" si="58"/>
        <v>0.44721767829905551</v>
      </c>
      <c r="N218" s="1">
        <f t="shared" si="59"/>
        <v>3110674.3420607448</v>
      </c>
      <c r="O218" s="1">
        <f t="shared" si="52"/>
        <v>683249.19475849043</v>
      </c>
      <c r="P218" s="1">
        <f t="shared" si="53"/>
        <v>229921.30102610018</v>
      </c>
      <c r="Q218" s="1">
        <f t="shared" si="54"/>
        <v>190159.59450262503</v>
      </c>
      <c r="R218" s="1">
        <f t="shared" si="55"/>
        <v>2007344.2517735295</v>
      </c>
      <c r="S218" s="3">
        <f t="shared" si="56"/>
        <v>0</v>
      </c>
    </row>
    <row r="219" spans="2:19" ht="15.6" outlineLevel="2">
      <c r="B219" s="2">
        <v>397</v>
      </c>
      <c r="C219" s="2">
        <v>2014</v>
      </c>
      <c r="D219" s="1">
        <f t="shared" si="60"/>
        <v>679970.39000000001</v>
      </c>
      <c r="E219" s="1">
        <v>363220.10999999993</v>
      </c>
      <c r="F219" s="1">
        <v>44753.510000000002</v>
      </c>
      <c r="G219" s="1">
        <v>5347.2699999999913</v>
      </c>
      <c r="H219" s="1">
        <v>266649.50000000006</v>
      </c>
      <c r="I219" s="2">
        <v>15</v>
      </c>
      <c r="J219" s="8">
        <v>7.5</v>
      </c>
      <c r="K219" s="10">
        <v>0</v>
      </c>
      <c r="L219" s="1">
        <f t="shared" si="57"/>
        <v>339985.19500000001</v>
      </c>
      <c r="M219" s="1">
        <f t="shared" si="58"/>
        <v>0.44721767829905551</v>
      </c>
      <c r="N219" s="1">
        <f t="shared" si="59"/>
        <v>152047.38956395167</v>
      </c>
      <c r="O219" s="1">
        <f t="shared" si="52"/>
        <v>81219.227152863779</v>
      </c>
      <c r="P219" s="1">
        <f t="shared" si="53"/>
        <v>10007.280418966784</v>
      </c>
      <c r="Q219" s="1">
        <f t="shared" si="54"/>
        <v>1195.6968373190935</v>
      </c>
      <c r="R219" s="1">
        <f t="shared" si="55"/>
        <v>59625.18515480202</v>
      </c>
      <c r="S219" s="3">
        <f t="shared" si="56"/>
        <v>0</v>
      </c>
    </row>
    <row r="220" spans="2:19" ht="15.6" outlineLevel="2">
      <c r="B220" s="2">
        <v>397</v>
      </c>
      <c r="C220" s="2">
        <v>2013</v>
      </c>
      <c r="D220" s="1">
        <f t="shared" si="60"/>
        <v>6706947.6500000013</v>
      </c>
      <c r="E220" s="1">
        <v>3933046.6000000001</v>
      </c>
      <c r="F220" s="1">
        <v>567606.78000000026</v>
      </c>
      <c r="G220" s="1">
        <v>216574.54999999999</v>
      </c>
      <c r="H220" s="1">
        <v>1989719.7200000007</v>
      </c>
      <c r="I220" s="2">
        <v>15</v>
      </c>
      <c r="J220" s="8">
        <v>6.5</v>
      </c>
      <c r="K220" s="10">
        <v>0</v>
      </c>
      <c r="L220" s="1">
        <f t="shared" si="57"/>
        <v>3800603.6683333339</v>
      </c>
      <c r="M220" s="1">
        <f t="shared" si="58"/>
        <v>0.44721767829905551</v>
      </c>
      <c r="N220" s="1">
        <f t="shared" si="59"/>
        <v>1699697.1486869073</v>
      </c>
      <c r="O220" s="1">
        <f t="shared" si="52"/>
        <v>996725.84915326338</v>
      </c>
      <c r="P220" s="1">
        <f t="shared" si="53"/>
        <v>143844.81225842831</v>
      </c>
      <c r="Q220" s="1">
        <f t="shared" si="54"/>
        <v>54885.048210142202</v>
      </c>
      <c r="R220" s="1">
        <f t="shared" si="55"/>
        <v>504241.43906507338</v>
      </c>
      <c r="S220" s="3">
        <f t="shared" si="56"/>
        <v>0</v>
      </c>
    </row>
    <row r="221" spans="2:19" ht="15.6" outlineLevel="2">
      <c r="B221" s="2">
        <v>397</v>
      </c>
      <c r="C221" s="2">
        <v>2012</v>
      </c>
      <c r="D221" s="1">
        <f t="shared" si="60"/>
        <v>3524756.46</v>
      </c>
      <c r="E221" s="1">
        <v>1277123.8499999999</v>
      </c>
      <c r="F221" s="1">
        <v>31483.409999999993</v>
      </c>
      <c r="G221" s="1">
        <v>138069.94000000015</v>
      </c>
      <c r="H221" s="1">
        <v>2078079.2599999998</v>
      </c>
      <c r="I221" s="2">
        <v>15</v>
      </c>
      <c r="J221" s="8">
        <v>5.5</v>
      </c>
      <c r="K221" s="10">
        <v>0</v>
      </c>
      <c r="L221" s="1">
        <f t="shared" si="57"/>
        <v>2232345.7579999999</v>
      </c>
      <c r="M221" s="1">
        <f t="shared" si="58"/>
        <v>0.44721767829905551</v>
      </c>
      <c r="N221" s="1">
        <f t="shared" si="59"/>
        <v>998344.48705350514</v>
      </c>
      <c r="O221" s="1">
        <f t="shared" si="52"/>
        <v>361729.82996165566</v>
      </c>
      <c r="P221" s="1">
        <f t="shared" si="53"/>
        <v>8917.2937659202671</v>
      </c>
      <c r="Q221" s="1">
        <f t="shared" si="54"/>
        <v>39106.634739470312</v>
      </c>
      <c r="R221" s="1">
        <f t="shared" si="55"/>
        <v>588590.72858645883</v>
      </c>
      <c r="S221" s="3">
        <f t="shared" si="56"/>
        <v>0</v>
      </c>
    </row>
    <row r="222" spans="2:19" ht="15.6" outlineLevel="2">
      <c r="B222" s="2">
        <v>397</v>
      </c>
      <c r="C222" s="2">
        <v>2011</v>
      </c>
      <c r="D222" s="1">
        <f t="shared" si="60"/>
        <v>1862525.3200000003</v>
      </c>
      <c r="E222" s="1">
        <v>1473631.7200000002</v>
      </c>
      <c r="F222" s="1">
        <v>5413.5799999999981</v>
      </c>
      <c r="G222" s="1">
        <v>3297.4900000000016</v>
      </c>
      <c r="H222" s="1">
        <v>380182.52999999997</v>
      </c>
      <c r="I222" s="2">
        <v>15</v>
      </c>
      <c r="J222" s="8">
        <v>4.5</v>
      </c>
      <c r="K222" s="10">
        <v>0</v>
      </c>
      <c r="L222" s="1">
        <f t="shared" si="57"/>
        <v>1303767.7240000002</v>
      </c>
      <c r="M222" s="1">
        <f t="shared" si="58"/>
        <v>0.44721767829905551</v>
      </c>
      <c r="N222" s="1">
        <f t="shared" si="59"/>
        <v>583067.97456852382</v>
      </c>
      <c r="O222" s="1">
        <f t="shared" si="52"/>
        <v>461323.90954037069</v>
      </c>
      <c r="P222" s="1">
        <f t="shared" si="53"/>
        <v>1694.73407522034</v>
      </c>
      <c r="Q222" s="1">
        <f t="shared" si="54"/>
        <v>1032.2870754100472</v>
      </c>
      <c r="R222" s="1">
        <f t="shared" si="55"/>
        <v>119017.04387752269</v>
      </c>
      <c r="S222" s="3">
        <f t="shared" si="56"/>
        <v>0</v>
      </c>
    </row>
    <row r="223" spans="2:19" ht="15.6" outlineLevel="2">
      <c r="B223" s="2">
        <v>397</v>
      </c>
      <c r="C223" s="2">
        <v>2010</v>
      </c>
      <c r="D223" s="1">
        <f t="shared" si="60"/>
        <v>4554539.3700000001</v>
      </c>
      <c r="E223" s="1">
        <v>2583990.0799999996</v>
      </c>
      <c r="F223" s="1">
        <v>92983.850000000457</v>
      </c>
      <c r="H223" s="1">
        <v>1877565.4399999999</v>
      </c>
      <c r="I223" s="2">
        <v>15</v>
      </c>
      <c r="J223" s="8">
        <v>3.5</v>
      </c>
      <c r="K223" s="10">
        <v>0</v>
      </c>
      <c r="L223" s="1">
        <f t="shared" si="57"/>
        <v>3491813.517</v>
      </c>
      <c r="M223" s="1">
        <f t="shared" si="58"/>
        <v>0.44721767829905551</v>
      </c>
      <c r="N223" s="1">
        <f t="shared" si="59"/>
        <v>1561600.7341259995</v>
      </c>
      <c r="O223" s="1">
        <f t="shared" si="52"/>
        <v>885964.63398279925</v>
      </c>
      <c r="P223" s="1">
        <f t="shared" si="53"/>
        <v>31881.083162502673</v>
      </c>
      <c r="Q223" s="1">
        <f t="shared" si="54"/>
        <v>0</v>
      </c>
      <c r="R223" s="1">
        <f t="shared" si="55"/>
        <v>643755.01698069752</v>
      </c>
      <c r="S223" s="3">
        <f t="shared" si="56"/>
        <v>0</v>
      </c>
    </row>
    <row r="224" spans="2:19" ht="15.6" outlineLevel="2">
      <c r="B224" s="2">
        <v>397</v>
      </c>
      <c r="C224" s="2">
        <v>2009</v>
      </c>
      <c r="D224" s="1">
        <f t="shared" si="60"/>
        <v>1087951.9499999995</v>
      </c>
      <c r="E224" s="1">
        <v>550255.62999999989</v>
      </c>
      <c r="F224" s="1">
        <v>23038.940000000017</v>
      </c>
      <c r="G224" s="1">
        <v>820.82999999999993</v>
      </c>
      <c r="H224" s="1">
        <v>513836.54999999958</v>
      </c>
      <c r="I224" s="2">
        <v>15</v>
      </c>
      <c r="J224" s="8">
        <v>2.5</v>
      </c>
      <c r="K224" s="10">
        <v>0</v>
      </c>
      <c r="L224" s="1">
        <f t="shared" si="57"/>
        <v>906626.62499999965</v>
      </c>
      <c r="M224" s="1">
        <f t="shared" si="58"/>
        <v>0.44721767829905551</v>
      </c>
      <c r="N224" s="1">
        <f t="shared" si="59"/>
        <v>405459.45431660826</v>
      </c>
      <c r="O224" s="1">
        <f t="shared" si="52"/>
        <v>205070.03776632005</v>
      </c>
      <c r="P224" s="1">
        <f t="shared" si="53"/>
        <v>8586.1843810593746</v>
      </c>
      <c r="Q224" s="1">
        <f t="shared" si="54"/>
        <v>305.90807239851142</v>
      </c>
      <c r="R224" s="1">
        <f t="shared" si="55"/>
        <v>191497.32409683033</v>
      </c>
      <c r="S224" s="3">
        <f t="shared" si="56"/>
        <v>0</v>
      </c>
    </row>
    <row r="225" spans="2:19" ht="15.6" outlineLevel="2">
      <c r="B225" s="2">
        <v>397</v>
      </c>
      <c r="C225" s="2">
        <v>2008</v>
      </c>
      <c r="D225" s="1">
        <f t="shared" si="60"/>
        <v>522277.66000000015</v>
      </c>
      <c r="E225" s="1">
        <v>196768.62999999989</v>
      </c>
      <c r="F225" s="1">
        <v>13194.68999999999</v>
      </c>
      <c r="G225" s="1">
        <v>1825.0000000000009</v>
      </c>
      <c r="H225" s="1">
        <v>310489.34000000026</v>
      </c>
      <c r="I225" s="2">
        <v>15</v>
      </c>
      <c r="J225" s="8">
        <v>1.5</v>
      </c>
      <c r="K225" s="10">
        <v>0</v>
      </c>
      <c r="L225" s="1">
        <f t="shared" si="57"/>
        <v>470049.89400000015</v>
      </c>
      <c r="M225" s="1">
        <f t="shared" si="58"/>
        <v>0.44721767829905551</v>
      </c>
      <c r="N225" s="1">
        <f t="shared" si="59"/>
        <v>210214.62227939721</v>
      </c>
      <c r="O225" s="1">
        <f t="shared" si="61" ref="O225:O251">+E225/$D225*$N225</f>
        <v>79198.568883617263</v>
      </c>
      <c r="P225" s="1">
        <f t="shared" si="62" ref="P225:P251">+F225/$D225*$N225</f>
        <v>5310.8087649081845</v>
      </c>
      <c r="Q225" s="1">
        <f t="shared" si="63" ref="Q225:Q251">+G225/$D225*$N225</f>
        <v>734.55503660619911</v>
      </c>
      <c r="R225" s="1">
        <f t="shared" si="64" ref="R225:R251">+H225/$D225*$N225</f>
        <v>124970.68959426557</v>
      </c>
      <c r="S225" s="3">
        <f t="shared" si="56"/>
        <v>0</v>
      </c>
    </row>
    <row r="226" spans="2:19" ht="15.6" outlineLevel="2">
      <c r="B226" s="2">
        <v>397</v>
      </c>
      <c r="C226" s="2">
        <v>2007</v>
      </c>
      <c r="D226" s="1">
        <f t="shared" si="60"/>
        <v>188196.55000000002</v>
      </c>
      <c r="E226" s="1">
        <v>129863.42000000001</v>
      </c>
      <c r="F226" s="1">
        <v>5397.4200000000046</v>
      </c>
      <c r="H226" s="1">
        <v>52935.709999999992</v>
      </c>
      <c r="I226" s="2">
        <v>15</v>
      </c>
      <c r="J226" s="8">
        <v>0.5</v>
      </c>
      <c r="K226" s="10">
        <v>0</v>
      </c>
      <c r="L226" s="1">
        <f t="shared" si="57"/>
        <v>181923.33166666669</v>
      </c>
      <c r="M226" s="1">
        <f t="shared" si="58"/>
        <v>0.44721767829905551</v>
      </c>
      <c r="N226" s="1">
        <f t="shared" si="59"/>
        <v>81359.330016395717</v>
      </c>
      <c r="O226" s="1">
        <f t="shared" si="61"/>
        <v>56141.309948762631</v>
      </c>
      <c r="P226" s="1">
        <f t="shared" si="62"/>
        <v>2333.3609198313939</v>
      </c>
      <c r="Q226" s="1">
        <f t="shared" si="63"/>
        <v>0</v>
      </c>
      <c r="R226" s="1">
        <f t="shared" si="64"/>
        <v>22884.659147801689</v>
      </c>
      <c r="S226" s="3">
        <f t="shared" si="56"/>
        <v>0</v>
      </c>
    </row>
    <row r="227" spans="2:19" ht="15.6" outlineLevel="2">
      <c r="B227" s="2">
        <v>397</v>
      </c>
      <c r="C227" s="2">
        <v>2006</v>
      </c>
      <c r="D227" s="1">
        <f t="shared" si="60"/>
        <v>453896.85000000009</v>
      </c>
      <c r="E227" s="1">
        <v>238468.48000000004</v>
      </c>
      <c r="F227" s="1">
        <v>16739.900000000016</v>
      </c>
      <c r="G227" s="1">
        <v>2663.5100000000011</v>
      </c>
      <c r="H227" s="1">
        <v>196024.96000000002</v>
      </c>
      <c r="I227" s="2">
        <v>15</v>
      </c>
      <c r="J227" s="8">
        <v>0</v>
      </c>
      <c r="K227" s="10">
        <v>0</v>
      </c>
      <c r="L227" s="1">
        <f t="shared" si="57"/>
        <v>453896.85000000009</v>
      </c>
      <c r="M227" s="1">
        <v>1</v>
      </c>
      <c r="N227" s="1">
        <f t="shared" si="59"/>
        <v>453896.85000000009</v>
      </c>
      <c r="O227" s="1">
        <f t="shared" si="61"/>
        <v>238468.48000000004</v>
      </c>
      <c r="P227" s="1">
        <f t="shared" si="62"/>
        <v>16739.900000000016</v>
      </c>
      <c r="Q227" s="1">
        <f t="shared" si="63"/>
        <v>2663.5100000000011</v>
      </c>
      <c r="R227" s="1">
        <f t="shared" si="64"/>
        <v>196024.96000000002</v>
      </c>
      <c r="S227" s="3">
        <f t="shared" si="56"/>
        <v>0</v>
      </c>
    </row>
    <row r="228" spans="2:19" ht="15.6" outlineLevel="2">
      <c r="B228" s="2">
        <v>397</v>
      </c>
      <c r="C228" s="2">
        <v>2005</v>
      </c>
      <c r="D228" s="1">
        <f t="shared" si="60"/>
        <v>905079.1100000001</v>
      </c>
      <c r="E228" s="1">
        <v>601906.26000000001</v>
      </c>
      <c r="F228" s="1">
        <v>114887.27000000005</v>
      </c>
      <c r="G228" s="1">
        <v>21472</v>
      </c>
      <c r="H228" s="1">
        <v>166813.58000000002</v>
      </c>
      <c r="I228" s="2">
        <v>15</v>
      </c>
      <c r="J228" s="8">
        <v>0</v>
      </c>
      <c r="K228" s="10">
        <v>0</v>
      </c>
      <c r="L228" s="1">
        <f t="shared" si="57"/>
        <v>905079.1100000001</v>
      </c>
      <c r="M228" s="1">
        <v>1</v>
      </c>
      <c r="N228" s="1">
        <f t="shared" si="59"/>
        <v>905079.1100000001</v>
      </c>
      <c r="O228" s="1">
        <f t="shared" si="61"/>
        <v>601906.26000000001</v>
      </c>
      <c r="P228" s="1">
        <f t="shared" si="62"/>
        <v>114887.27000000005</v>
      </c>
      <c r="Q228" s="1">
        <f t="shared" si="63"/>
        <v>21472</v>
      </c>
      <c r="R228" s="1">
        <f t="shared" si="64"/>
        <v>166813.58000000002</v>
      </c>
      <c r="S228" s="3">
        <f t="shared" si="56"/>
        <v>0</v>
      </c>
    </row>
    <row r="229" spans="2:19" ht="15.6" outlineLevel="2">
      <c r="B229" s="2">
        <v>397</v>
      </c>
      <c r="C229" s="2">
        <v>2004</v>
      </c>
      <c r="D229" s="1">
        <f t="shared" si="60"/>
        <v>819092.97000000009</v>
      </c>
      <c r="E229" s="1">
        <v>720517.41000000003</v>
      </c>
      <c r="F229" s="1">
        <v>19862.310000000012</v>
      </c>
      <c r="G229" s="1">
        <v>1436.7999999999997</v>
      </c>
      <c r="H229" s="1">
        <v>77276.449999999997</v>
      </c>
      <c r="I229" s="2">
        <v>15</v>
      </c>
      <c r="J229" s="8">
        <v>0</v>
      </c>
      <c r="K229" s="10">
        <v>0</v>
      </c>
      <c r="L229" s="1">
        <f t="shared" si="57"/>
        <v>819092.97000000009</v>
      </c>
      <c r="M229" s="1">
        <v>1</v>
      </c>
      <c r="N229" s="1">
        <f t="shared" si="59"/>
        <v>819092.97000000009</v>
      </c>
      <c r="O229" s="1">
        <f t="shared" si="61"/>
        <v>720517.41000000003</v>
      </c>
      <c r="P229" s="1">
        <f t="shared" si="62"/>
        <v>19862.310000000012</v>
      </c>
      <c r="Q229" s="1">
        <f t="shared" si="63"/>
        <v>1436.7999999999997</v>
      </c>
      <c r="R229" s="1">
        <f t="shared" si="64"/>
        <v>77276.449999999997</v>
      </c>
      <c r="S229" s="3">
        <f t="shared" si="56"/>
        <v>0</v>
      </c>
    </row>
    <row r="230" spans="2:19" ht="15.6" outlineLevel="2">
      <c r="B230" s="2">
        <v>397</v>
      </c>
      <c r="C230" s="2">
        <v>2003</v>
      </c>
      <c r="D230" s="1">
        <f t="shared" si="60"/>
        <v>839071.95000000007</v>
      </c>
      <c r="E230" s="1">
        <v>839593.64000000001</v>
      </c>
      <c r="F230" s="1">
        <v>-7845.5000000000009</v>
      </c>
      <c r="G230" s="1">
        <v>27046.090000000051</v>
      </c>
      <c r="H230" s="1">
        <v>-19722.280000000002</v>
      </c>
      <c r="I230" s="2">
        <v>15</v>
      </c>
      <c r="J230" s="8">
        <v>0</v>
      </c>
      <c r="K230" s="10">
        <v>0</v>
      </c>
      <c r="L230" s="1">
        <f t="shared" si="57"/>
        <v>839071.95000000007</v>
      </c>
      <c r="M230" s="1">
        <v>1</v>
      </c>
      <c r="N230" s="1">
        <f t="shared" si="59"/>
        <v>839071.95000000007</v>
      </c>
      <c r="O230" s="1">
        <f t="shared" si="61"/>
        <v>839593.64000000001</v>
      </c>
      <c r="P230" s="1">
        <f t="shared" si="62"/>
        <v>-7845.5000000000009</v>
      </c>
      <c r="Q230" s="1">
        <f t="shared" si="63"/>
        <v>27046.090000000047</v>
      </c>
      <c r="R230" s="1">
        <f t="shared" si="64"/>
        <v>-19722.280000000002</v>
      </c>
      <c r="S230" s="3">
        <f t="shared" si="56"/>
        <v>0</v>
      </c>
    </row>
    <row r="231" spans="1:19" ht="15.6" outlineLevel="1">
      <c r="A231" s="4" t="s">
        <v>24</v>
      </c>
      <c r="B231" s="2" t="s">
        <v>32</v>
      </c>
      <c r="D231" s="1">
        <f>SUBTOTAL(9,D212:D230)</f>
        <v>71462681.209999993</v>
      </c>
      <c r="E231" s="1">
        <f>SUBTOTAL(9,E212:E230)</f>
        <v>20661557.690000005</v>
      </c>
      <c r="F231" s="1">
        <f>SUBTOTAL(9,F212:F230)</f>
        <v>2583393.9200000013</v>
      </c>
      <c r="G231" s="1">
        <f>SUBTOTAL(9,G212:G230)</f>
        <v>1554894.4200000004</v>
      </c>
      <c r="H231" s="1">
        <f>SUBTOTAL(9,H212:H230)</f>
        <v>46662835.18</v>
      </c>
      <c r="J231" s="8">
        <f>+N231-K231</f>
        <v>0</v>
      </c>
      <c r="K231" s="10">
        <v>12593194.346611103</v>
      </c>
      <c r="L231" s="1">
        <f>SUBTOTAL(9,L212:L230)</f>
        <v>24714445.875</v>
      </c>
      <c r="M231" s="1">
        <v>0.44721767829905551</v>
      </c>
      <c r="N231" s="1">
        <f>SUBTOTAL(9,N212:N230)</f>
        <v>12593194.346611099</v>
      </c>
      <c r="O231" s="1">
        <f t="shared" si="61"/>
        <v>3640991.4529973897</v>
      </c>
      <c r="P231" s="1">
        <f t="shared" si="62"/>
        <v>455247.14658846351</v>
      </c>
      <c r="Q231" s="1">
        <f t="shared" si="63"/>
        <v>274004.37946038198</v>
      </c>
      <c r="R231" s="1">
        <f t="shared" si="64"/>
        <v>8222951.3675648663</v>
      </c>
      <c r="S231" s="3">
        <f t="shared" si="56"/>
        <v>0</v>
      </c>
    </row>
    <row r="232" spans="2:19" ht="15.6" outlineLevel="2">
      <c r="B232" s="2" t="s">
        <v>11</v>
      </c>
      <c r="C232" s="2">
        <v>2021</v>
      </c>
      <c r="D232" s="1">
        <v>915207.29000000039</v>
      </c>
      <c r="E232" s="1">
        <v>504983.75000000012</v>
      </c>
      <c r="F232" s="1">
        <v>19329.359999999891</v>
      </c>
      <c r="H232" s="1">
        <v>390894.1800000004</v>
      </c>
      <c r="I232" s="2">
        <v>25</v>
      </c>
      <c r="J232" s="8">
        <v>24.629322999999999</v>
      </c>
      <c r="K232" s="10">
        <v>-0.02</v>
      </c>
      <c r="L232" s="1">
        <f t="shared" si="65" ref="L232:L250">+D232*(1-K232)*(1-J232/I232)</f>
        <v>13841.248739521463</v>
      </c>
      <c r="M232" s="1">
        <f t="shared" si="66" ref="M232:M250">$M$251</f>
        <v>0.44742825701206435</v>
      </c>
      <c r="N232" s="1">
        <f t="shared" si="67" ref="N232:N250">IF((D232*(1-K232)-L232*M232)&lt;0,D232*(1-K232),L232*M232)</f>
        <v>6192.9657983945208</v>
      </c>
      <c r="O232" s="1">
        <f t="shared" si="61"/>
        <v>3417.0915449056447</v>
      </c>
      <c r="P232" s="1">
        <f t="shared" si="62"/>
        <v>130.79666944616929</v>
      </c>
      <c r="Q232" s="1">
        <f t="shared" si="63"/>
        <v>0</v>
      </c>
      <c r="R232" s="1">
        <f t="shared" si="64"/>
        <v>2645.0775840427068</v>
      </c>
      <c r="S232" s="3">
        <f t="shared" si="56"/>
        <v>0</v>
      </c>
    </row>
    <row r="233" spans="2:19" ht="15.6" outlineLevel="2">
      <c r="B233" s="2" t="s">
        <v>11</v>
      </c>
      <c r="C233" s="2">
        <v>2020</v>
      </c>
      <c r="D233" s="1">
        <v>18877630.080000021</v>
      </c>
      <c r="E233" s="1">
        <v>8475697.2900000121</v>
      </c>
      <c r="F233" s="1">
        <v>324422.40000000055</v>
      </c>
      <c r="H233" s="1">
        <v>10077510.390000006</v>
      </c>
      <c r="I233" s="2">
        <v>25</v>
      </c>
      <c r="J233" s="8">
        <v>23.894971999999999</v>
      </c>
      <c r="K233" s="10">
        <v>-0.02</v>
      </c>
      <c r="L233" s="1">
        <f t="shared" si="65"/>
        <v>851100.64033132407</v>
      </c>
      <c r="M233" s="1">
        <f t="shared" si="66"/>
        <v>0.44742825701206435</v>
      </c>
      <c r="N233" s="1">
        <f t="shared" si="67"/>
        <v>380806.47604529618</v>
      </c>
      <c r="O233" s="1">
        <f t="shared" si="61"/>
        <v>170974.8736125021</v>
      </c>
      <c r="P233" s="1">
        <f t="shared" si="62"/>
        <v>6544.3676123860969</v>
      </c>
      <c r="Q233" s="1">
        <f t="shared" si="63"/>
        <v>0</v>
      </c>
      <c r="R233" s="1">
        <f t="shared" si="64"/>
        <v>203287.23482040793</v>
      </c>
      <c r="S233" s="3">
        <f t="shared" si="56"/>
        <v>0</v>
      </c>
    </row>
    <row r="234" spans="2:19" ht="15.6" outlineLevel="2">
      <c r="B234" s="2" t="s">
        <v>11</v>
      </c>
      <c r="C234" s="2">
        <v>2019</v>
      </c>
      <c r="D234" s="1">
        <v>3501386.8599999994</v>
      </c>
      <c r="E234" s="1">
        <v>1931960.3299999998</v>
      </c>
      <c r="F234" s="1">
        <v>73949.220000000074</v>
      </c>
      <c r="H234" s="1">
        <v>1495477.3099999998</v>
      </c>
      <c r="I234" s="2">
        <v>25</v>
      </c>
      <c r="J234" s="8">
        <v>23.169546</v>
      </c>
      <c r="K234" s="10">
        <v>-0.02</v>
      </c>
      <c r="L234" s="1">
        <f t="shared" si="65"/>
        <v>261492.40540412522</v>
      </c>
      <c r="M234" s="1">
        <f t="shared" si="66"/>
        <v>0.44742825701206435</v>
      </c>
      <c r="N234" s="1">
        <f t="shared" si="67"/>
        <v>116999.09117185987</v>
      </c>
      <c r="O234" s="1">
        <f t="shared" si="61"/>
        <v>64556.591952848787</v>
      </c>
      <c r="P234" s="1">
        <f t="shared" si="62"/>
        <v>2471.018450348538</v>
      </c>
      <c r="Q234" s="1">
        <f t="shared" si="63"/>
        <v>0</v>
      </c>
      <c r="R234" s="1">
        <f t="shared" si="64"/>
        <v>49971.48076866255</v>
      </c>
      <c r="S234" s="3">
        <f t="shared" si="56"/>
        <v>0</v>
      </c>
    </row>
    <row r="235" spans="2:19" ht="15.6" outlineLevel="2">
      <c r="B235" s="2" t="s">
        <v>11</v>
      </c>
      <c r="C235" s="2">
        <v>2018</v>
      </c>
      <c r="D235" s="1">
        <v>23593006.349999987</v>
      </c>
      <c r="E235" s="1">
        <v>13017913.26999999</v>
      </c>
      <c r="F235" s="1">
        <v>498284.13000000012</v>
      </c>
      <c r="H235" s="1">
        <v>10076808.949999996</v>
      </c>
      <c r="I235" s="2">
        <v>25</v>
      </c>
      <c r="J235" s="8">
        <v>22.452582</v>
      </c>
      <c r="K235" s="10">
        <v>-0.02</v>
      </c>
      <c r="L235" s="1">
        <f t="shared" si="65"/>
        <v>2452130.9612442553</v>
      </c>
      <c r="M235" s="1">
        <f t="shared" si="66"/>
        <v>0.44742825701206435</v>
      </c>
      <c r="N235" s="1">
        <f t="shared" si="67"/>
        <v>1097152.6819548351</v>
      </c>
      <c r="O235" s="1">
        <f t="shared" si="61"/>
        <v>605375.94258884829</v>
      </c>
      <c r="P235" s="1">
        <f t="shared" si="62"/>
        <v>23171.857011136359</v>
      </c>
      <c r="Q235" s="1">
        <f t="shared" si="63"/>
        <v>0</v>
      </c>
      <c r="R235" s="1">
        <f t="shared" si="64"/>
        <v>468604.8823548503</v>
      </c>
      <c r="S235" s="3">
        <f t="shared" si="56"/>
        <v>0</v>
      </c>
    </row>
    <row r="236" spans="2:19" ht="15.6" outlineLevel="2">
      <c r="B236" s="2" t="s">
        <v>11</v>
      </c>
      <c r="C236" s="2">
        <v>2017</v>
      </c>
      <c r="D236" s="1">
        <v>400937.90999999997</v>
      </c>
      <c r="E236" s="1">
        <v>221225.49999999997</v>
      </c>
      <c r="F236" s="1">
        <v>8467.8199999999943</v>
      </c>
      <c r="H236" s="1">
        <v>171244.59</v>
      </c>
      <c r="I236" s="2">
        <v>25</v>
      </c>
      <c r="J236" s="8">
        <v>21.743590000000001</v>
      </c>
      <c r="K236" s="10">
        <v>-0.02</v>
      </c>
      <c r="L236" s="1">
        <f t="shared" si="65"/>
        <v>53269.223355726448</v>
      </c>
      <c r="M236" s="1">
        <f t="shared" si="66"/>
        <v>0.44742825701206435</v>
      </c>
      <c r="N236" s="1">
        <f t="shared" si="67"/>
        <v>23834.155758439036</v>
      </c>
      <c r="O236" s="1">
        <f t="shared" si="61"/>
        <v>13150.971492664674</v>
      </c>
      <c r="P236" s="1">
        <f t="shared" si="62"/>
        <v>503.37804378345044</v>
      </c>
      <c r="Q236" s="1">
        <f t="shared" si="63"/>
        <v>0</v>
      </c>
      <c r="R236" s="1">
        <f t="shared" si="64"/>
        <v>10179.806221990912</v>
      </c>
      <c r="S236" s="3">
        <f t="shared" si="56"/>
        <v>0</v>
      </c>
    </row>
    <row r="237" spans="2:19" ht="15.6" outlineLevel="2">
      <c r="B237" s="2" t="s">
        <v>11</v>
      </c>
      <c r="C237" s="2">
        <v>2016</v>
      </c>
      <c r="D237" s="1">
        <v>939230.88000000012</v>
      </c>
      <c r="E237" s="1">
        <v>518239.43000000011</v>
      </c>
      <c r="F237" s="1">
        <v>19836.51000000002</v>
      </c>
      <c r="H237" s="1">
        <v>401154.93999999994</v>
      </c>
      <c r="I237" s="2">
        <v>25</v>
      </c>
      <c r="J237" s="8">
        <v>21.042043</v>
      </c>
      <c r="K237" s="10">
        <v>-0.02</v>
      </c>
      <c r="L237" s="1">
        <f t="shared" si="65"/>
        <v>151671.36579337617</v>
      </c>
      <c r="M237" s="1">
        <f t="shared" si="66"/>
        <v>0.44742825701206435</v>
      </c>
      <c r="N237" s="1">
        <f t="shared" si="67"/>
        <v>67862.054835569536</v>
      </c>
      <c r="O237" s="1">
        <f t="shared" si="61"/>
        <v>37444.246527131116</v>
      </c>
      <c r="P237" s="1">
        <f t="shared" si="62"/>
        <v>1433.2432610886099</v>
      </c>
      <c r="Q237" s="1">
        <f t="shared" si="63"/>
        <v>0</v>
      </c>
      <c r="R237" s="1">
        <f t="shared" si="64"/>
        <v>28984.565047349806</v>
      </c>
      <c r="S237" s="3">
        <f t="shared" si="56"/>
        <v>0</v>
      </c>
    </row>
    <row r="238" spans="2:19" ht="15.6" outlineLevel="2">
      <c r="B238" s="2" t="s">
        <v>11</v>
      </c>
      <c r="C238" s="2">
        <v>2015</v>
      </c>
      <c r="D238" s="1">
        <v>1586393.5600000001</v>
      </c>
      <c r="E238" s="1">
        <v>870519.80000000005</v>
      </c>
      <c r="F238" s="1">
        <v>33320.840000000004</v>
      </c>
      <c r="H238" s="1">
        <v>682552.91999999993</v>
      </c>
      <c r="I238" s="2">
        <v>25</v>
      </c>
      <c r="J238" s="8">
        <v>20.347391999999999</v>
      </c>
      <c r="K238" s="10">
        <v>-0.02</v>
      </c>
      <c r="L238" s="1">
        <f t="shared" si="65"/>
        <v>301139.38863090274</v>
      </c>
      <c r="M238" s="1">
        <f t="shared" si="66"/>
        <v>0.44742825701206435</v>
      </c>
      <c r="N238" s="1">
        <f t="shared" si="67"/>
        <v>134738.27177280348</v>
      </c>
      <c r="O238" s="1">
        <f t="shared" si="61"/>
        <v>73936.465927160301</v>
      </c>
      <c r="P238" s="1">
        <f t="shared" si="62"/>
        <v>2830.0621666782995</v>
      </c>
      <c r="Q238" s="1">
        <f t="shared" si="63"/>
        <v>0</v>
      </c>
      <c r="R238" s="1">
        <f t="shared" si="64"/>
        <v>57971.743678964871</v>
      </c>
      <c r="S238" s="3">
        <f t="shared" si="56"/>
        <v>0</v>
      </c>
    </row>
    <row r="239" spans="2:19" ht="15.6" outlineLevel="2">
      <c r="B239" s="2" t="s">
        <v>11</v>
      </c>
      <c r="C239" s="2">
        <v>2014</v>
      </c>
      <c r="D239" s="1">
        <v>17798.599999999999</v>
      </c>
      <c r="E239" s="1">
        <v>102.61</v>
      </c>
      <c r="F239" s="1">
        <v>3.9200000000000088</v>
      </c>
      <c r="H239" s="1">
        <v>17692.07</v>
      </c>
      <c r="I239" s="2">
        <v>25</v>
      </c>
      <c r="J239" s="8">
        <v>19.659057000000001</v>
      </c>
      <c r="K239" s="10">
        <v>-0.02</v>
      </c>
      <c r="L239" s="1">
        <f t="shared" si="65"/>
        <v>3878.5013696558385</v>
      </c>
      <c r="M239" s="1">
        <f t="shared" si="66"/>
        <v>0.44742825701206435</v>
      </c>
      <c r="N239" s="1">
        <f t="shared" si="67"/>
        <v>1735.3511076440161</v>
      </c>
      <c r="O239" s="1">
        <f t="shared" si="61"/>
        <v>10.004403557322064</v>
      </c>
      <c r="P239" s="1">
        <f t="shared" si="62"/>
        <v>0.38219727068221993</v>
      </c>
      <c r="Q239" s="1">
        <f t="shared" si="63"/>
        <v>0</v>
      </c>
      <c r="R239" s="1">
        <f t="shared" si="64"/>
        <v>1724.9645068160119</v>
      </c>
      <c r="S239" s="3">
        <f t="shared" si="56"/>
        <v>0</v>
      </c>
    </row>
    <row r="240" spans="2:19" ht="15.6" outlineLevel="2">
      <c r="B240" s="2" t="s">
        <v>11</v>
      </c>
      <c r="C240" s="2">
        <v>2013</v>
      </c>
      <c r="D240" s="1">
        <v>475651.65999999997</v>
      </c>
      <c r="E240" s="1">
        <v>262450.30999999994</v>
      </c>
      <c r="F240" s="1">
        <v>10045.769999999997</v>
      </c>
      <c r="H240" s="1">
        <v>203155.58000000002</v>
      </c>
      <c r="I240" s="2">
        <v>25</v>
      </c>
      <c r="J240" s="8">
        <v>18.976697999999999</v>
      </c>
      <c r="K240" s="10">
        <v>-0.02</v>
      </c>
      <c r="L240" s="1">
        <f t="shared" si="65"/>
        <v>116891.73867523785</v>
      </c>
      <c r="M240" s="1">
        <f t="shared" si="66"/>
        <v>0.44742825701206435</v>
      </c>
      <c r="N240" s="1">
        <f t="shared" si="67"/>
        <v>52300.666894571383</v>
      </c>
      <c r="O240" s="1">
        <f t="shared" si="61"/>
        <v>28857.938264500106</v>
      </c>
      <c r="P240" s="1">
        <f t="shared" si="62"/>
        <v>1104.5908479946822</v>
      </c>
      <c r="Q240" s="1">
        <f t="shared" si="63"/>
        <v>0</v>
      </c>
      <c r="R240" s="1">
        <f t="shared" si="64"/>
        <v>22338.137782076592</v>
      </c>
      <c r="S240" s="3">
        <f t="shared" si="56"/>
        <v>0</v>
      </c>
    </row>
    <row r="241" spans="2:19" ht="15.6" outlineLevel="2">
      <c r="B241" s="2" t="s">
        <v>11</v>
      </c>
      <c r="C241" s="2">
        <v>2012</v>
      </c>
      <c r="D241" s="1">
        <v>573980.14999999991</v>
      </c>
      <c r="E241" s="1">
        <v>316705.03000000003</v>
      </c>
      <c r="F241" s="1">
        <v>12122.449999999983</v>
      </c>
      <c r="H241" s="1">
        <v>245152.66999999998</v>
      </c>
      <c r="I241" s="2">
        <v>25</v>
      </c>
      <c r="J241" s="8">
        <v>18.300591000000001</v>
      </c>
      <c r="K241" s="10">
        <v>-0.02</v>
      </c>
      <c r="L241" s="1">
        <f t="shared" si="65"/>
        <v>156889.37353543908</v>
      </c>
      <c r="M241" s="1">
        <f t="shared" si="66"/>
        <v>0.44742825701206435</v>
      </c>
      <c r="N241" s="1">
        <f t="shared" si="67"/>
        <v>70196.73894467621</v>
      </c>
      <c r="O241" s="1">
        <f t="shared" si="61"/>
        <v>38732.454969698607</v>
      </c>
      <c r="P241" s="1">
        <f t="shared" si="62"/>
        <v>1482.5538096045466</v>
      </c>
      <c r="Q241" s="1">
        <f t="shared" si="63"/>
        <v>0</v>
      </c>
      <c r="R241" s="1">
        <f t="shared" si="64"/>
        <v>29981.730165373065</v>
      </c>
      <c r="S241" s="3">
        <f t="shared" si="56"/>
        <v>0</v>
      </c>
    </row>
    <row r="242" spans="2:19" ht="15.6" outlineLevel="2">
      <c r="B242" s="2" t="s">
        <v>11</v>
      </c>
      <c r="C242" s="2">
        <v>2009</v>
      </c>
      <c r="D242" s="1">
        <v>34339.230000000003</v>
      </c>
      <c r="E242" s="1">
        <v>18699.060000000001</v>
      </c>
      <c r="F242" s="1">
        <v>715.74000000000046</v>
      </c>
      <c r="H242" s="1">
        <v>14924.43</v>
      </c>
      <c r="I242" s="2">
        <v>25</v>
      </c>
      <c r="J242" s="8">
        <v>16.317381999999998</v>
      </c>
      <c r="K242" s="10">
        <v>-0.02</v>
      </c>
      <c r="L242" s="1">
        <f t="shared" si="65"/>
        <v>12164.700193368914</v>
      </c>
      <c r="M242" s="1">
        <f t="shared" si="66"/>
        <v>0.44742825701206435</v>
      </c>
      <c r="N242" s="1">
        <f t="shared" si="67"/>
        <v>5442.830604593375</v>
      </c>
      <c r="O242" s="1">
        <f t="shared" si="61"/>
        <v>2963.8351251652348</v>
      </c>
      <c r="P242" s="1">
        <f t="shared" si="62"/>
        <v>113.4460958190287</v>
      </c>
      <c r="Q242" s="1">
        <f t="shared" si="63"/>
        <v>0</v>
      </c>
      <c r="R242" s="1">
        <f t="shared" si="64"/>
        <v>2365.5493836091114</v>
      </c>
      <c r="S242" s="3">
        <f t="shared" si="56"/>
        <v>0</v>
      </c>
    </row>
    <row r="243" spans="2:19" ht="15.6" outlineLevel="2">
      <c r="B243" s="2" t="s">
        <v>11</v>
      </c>
      <c r="C243" s="2">
        <v>2008</v>
      </c>
      <c r="D243" s="1">
        <v>17610437.440000001</v>
      </c>
      <c r="E243" s="1">
        <v>9690427.6999999993</v>
      </c>
      <c r="F243" s="1">
        <v>370918.75000000099</v>
      </c>
      <c r="H243" s="1">
        <v>7549090.9900000002</v>
      </c>
      <c r="I243" s="2">
        <v>25</v>
      </c>
      <c r="J243" s="8">
        <v>15.67446</v>
      </c>
      <c r="K243" s="10">
        <v>-0.02</v>
      </c>
      <c r="L243" s="1">
        <f t="shared" si="65"/>
        <v>6700455.0215800786</v>
      </c>
      <c r="M243" s="1">
        <f t="shared" si="66"/>
        <v>0.44742825701206435</v>
      </c>
      <c r="N243" s="1">
        <f t="shared" si="67"/>
        <v>2997972.9114933084</v>
      </c>
      <c r="O243" s="1">
        <f t="shared" si="61"/>
        <v>1649683.0271459969</v>
      </c>
      <c r="P243" s="1">
        <f t="shared" si="62"/>
        <v>63144.619130196996</v>
      </c>
      <c r="Q243" s="1">
        <f t="shared" si="63"/>
        <v>0</v>
      </c>
      <c r="R243" s="1">
        <f t="shared" si="64"/>
        <v>1285145.2652171142</v>
      </c>
      <c r="S243" s="3">
        <f t="shared" si="56"/>
        <v>0</v>
      </c>
    </row>
    <row r="244" spans="2:19" ht="15.6" outlineLevel="2">
      <c r="B244" s="2" t="s">
        <v>11</v>
      </c>
      <c r="C244" s="2">
        <v>2005</v>
      </c>
      <c r="D244" s="1">
        <v>2658.8499999999999</v>
      </c>
      <c r="E244" s="1">
        <v>1467.0699999999999</v>
      </c>
      <c r="F244" s="1">
        <v>56.160000000000082</v>
      </c>
      <c r="H244" s="1">
        <v>1135.6199999999999</v>
      </c>
      <c r="I244" s="2">
        <v>25</v>
      </c>
      <c r="J244" s="8">
        <v>13.812635</v>
      </c>
      <c r="K244" s="10">
        <v>-0.02</v>
      </c>
      <c r="L244" s="1">
        <f t="shared" si="65"/>
        <v>1213.6174375542</v>
      </c>
      <c r="M244" s="1">
        <f t="shared" si="66"/>
        <v>0.44742825701206435</v>
      </c>
      <c r="N244" s="1">
        <f t="shared" si="67"/>
        <v>543.0067347643236</v>
      </c>
      <c r="O244" s="1">
        <f t="shared" si="61"/>
        <v>299.61407765413475</v>
      </c>
      <c r="P244" s="1">
        <f t="shared" si="62"/>
        <v>11.469341340942309</v>
      </c>
      <c r="Q244" s="1">
        <f t="shared" si="63"/>
        <v>0</v>
      </c>
      <c r="R244" s="1">
        <f t="shared" si="64"/>
        <v>231.92331576924653</v>
      </c>
      <c r="S244" s="3">
        <f t="shared" si="56"/>
        <v>0</v>
      </c>
    </row>
    <row r="245" spans="2:19" ht="15.6" outlineLevel="2">
      <c r="B245" s="2" t="s">
        <v>11</v>
      </c>
      <c r="C245" s="2">
        <v>2004</v>
      </c>
      <c r="D245" s="1">
        <v>3333.8299999999999</v>
      </c>
      <c r="H245" s="1">
        <v>3333.8299999999999</v>
      </c>
      <c r="I245" s="2">
        <v>25</v>
      </c>
      <c r="J245" s="8">
        <v>13.216726</v>
      </c>
      <c r="K245" s="10">
        <v>-0.02</v>
      </c>
      <c r="L245" s="1">
        <f t="shared" si="65"/>
        <v>1602.764040264336</v>
      </c>
      <c r="M245" s="1">
        <f t="shared" si="66"/>
        <v>0.44742825701206435</v>
      </c>
      <c r="N245" s="1">
        <f t="shared" si="67"/>
        <v>717.12192093708597</v>
      </c>
      <c r="O245" s="1">
        <f t="shared" si="61"/>
        <v>0</v>
      </c>
      <c r="P245" s="1">
        <f t="shared" si="62"/>
        <v>0</v>
      </c>
      <c r="Q245" s="1">
        <f t="shared" si="63"/>
        <v>0</v>
      </c>
      <c r="R245" s="1">
        <f t="shared" si="64"/>
        <v>717.12192093708597</v>
      </c>
      <c r="S245" s="3">
        <f t="shared" si="56"/>
        <v>0</v>
      </c>
    </row>
    <row r="246" spans="2:19" ht="15.6" outlineLevel="2">
      <c r="B246" s="2" t="s">
        <v>11</v>
      </c>
      <c r="C246" s="2">
        <v>2003</v>
      </c>
      <c r="D246" s="1">
        <v>2144358</v>
      </c>
      <c r="E246" s="1">
        <v>1183192.4200000002</v>
      </c>
      <c r="F246" s="1">
        <v>45288.829999999987</v>
      </c>
      <c r="H246" s="1">
        <v>915876.75</v>
      </c>
      <c r="I246" s="2">
        <v>25</v>
      </c>
      <c r="J246" s="8">
        <v>12.634064</v>
      </c>
      <c r="K246" s="10">
        <v>-0.02</v>
      </c>
      <c r="L246" s="1">
        <f t="shared" si="65"/>
        <v>1081893.3465947905</v>
      </c>
      <c r="M246" s="1">
        <f t="shared" si="66"/>
        <v>0.44742825701206435</v>
      </c>
      <c r="N246" s="1">
        <f t="shared" si="67"/>
        <v>484069.65433985629</v>
      </c>
      <c r="O246" s="1">
        <f t="shared" si="61"/>
        <v>267095.11460630089</v>
      </c>
      <c r="P246" s="1">
        <f t="shared" si="62"/>
        <v>10223.548625535712</v>
      </c>
      <c r="Q246" s="1">
        <f t="shared" si="63"/>
        <v>0</v>
      </c>
      <c r="R246" s="1">
        <f t="shared" si="64"/>
        <v>206750.99110801975</v>
      </c>
      <c r="S246" s="3">
        <f t="shared" si="56"/>
        <v>0</v>
      </c>
    </row>
    <row r="247" spans="2:19" ht="15.6" outlineLevel="2">
      <c r="B247" s="2" t="s">
        <v>11</v>
      </c>
      <c r="C247" s="2">
        <v>2001</v>
      </c>
      <c r="D247" s="1">
        <v>42305.220000000001</v>
      </c>
      <c r="E247" s="1">
        <v>23342.75</v>
      </c>
      <c r="F247" s="1">
        <v>893.48999999999614</v>
      </c>
      <c r="H247" s="1">
        <v>18068.98</v>
      </c>
      <c r="I247" s="2">
        <v>25</v>
      </c>
      <c r="J247" s="8">
        <v>11.509783000000001</v>
      </c>
      <c r="K247" s="10">
        <v>-0.02</v>
      </c>
      <c r="L247" s="1">
        <f t="shared" si="65"/>
        <v>23284.829199735792</v>
      </c>
      <c r="M247" s="1">
        <f t="shared" si="66"/>
        <v>0.44742825701206435</v>
      </c>
      <c r="N247" s="1">
        <f t="shared" si="67"/>
        <v>10418.290543661407</v>
      </c>
      <c r="O247" s="1">
        <f t="shared" si="61"/>
        <v>5748.4998680553435</v>
      </c>
      <c r="P247" s="1">
        <f t="shared" si="62"/>
        <v>220.0352206620363</v>
      </c>
      <c r="Q247" s="1">
        <f t="shared" si="63"/>
        <v>0</v>
      </c>
      <c r="R247" s="1">
        <f t="shared" si="64"/>
        <v>4449.7554549440256</v>
      </c>
      <c r="S247" s="3">
        <f t="shared" si="56"/>
        <v>0</v>
      </c>
    </row>
    <row r="248" spans="2:19" ht="15.6" outlineLevel="2">
      <c r="B248" s="2" t="s">
        <v>11</v>
      </c>
      <c r="C248" s="2">
        <v>2000</v>
      </c>
      <c r="D248" s="1">
        <v>1061121.45</v>
      </c>
      <c r="E248" s="1">
        <v>585494.97999999998</v>
      </c>
      <c r="F248" s="1">
        <v>22410.889999999898</v>
      </c>
      <c r="G248" s="1">
        <v>0</v>
      </c>
      <c r="H248" s="1">
        <v>453215.58000000002</v>
      </c>
      <c r="I248" s="2">
        <v>25</v>
      </c>
      <c r="J248" s="8">
        <v>10.968538000000001</v>
      </c>
      <c r="K248" s="10">
        <v>-0.02</v>
      </c>
      <c r="L248" s="1">
        <f t="shared" si="65"/>
        <v>607474.68036484392</v>
      </c>
      <c r="M248" s="1">
        <f t="shared" si="66"/>
        <v>0.44742825701206435</v>
      </c>
      <c r="N248" s="1">
        <f t="shared" si="67"/>
        <v>271801.33741460304</v>
      </c>
      <c r="O248" s="1">
        <f t="shared" si="61"/>
        <v>149971.823313473</v>
      </c>
      <c r="P248" s="1">
        <f t="shared" si="62"/>
        <v>5740.4455207757092</v>
      </c>
      <c r="Q248" s="1">
        <f t="shared" si="63"/>
        <v>0</v>
      </c>
      <c r="R248" s="1">
        <f t="shared" si="64"/>
        <v>116089.06858035433</v>
      </c>
      <c r="S248" s="3">
        <f t="shared" si="56"/>
        <v>0</v>
      </c>
    </row>
    <row r="249" spans="2:19" ht="15.6" outlineLevel="2">
      <c r="B249" s="2" t="s">
        <v>11</v>
      </c>
      <c r="C249" s="2">
        <v>1996</v>
      </c>
      <c r="D249" s="1">
        <v>4330790.25</v>
      </c>
      <c r="E249" s="1">
        <v>2389600.1299999999</v>
      </c>
      <c r="F249" s="1">
        <v>91466.290000000445</v>
      </c>
      <c r="H249" s="1">
        <v>1849723.8299999998</v>
      </c>
      <c r="I249" s="2">
        <v>25</v>
      </c>
      <c r="J249" s="8">
        <v>8.9428400000000003</v>
      </c>
      <c r="K249" s="10">
        <v>-0.02</v>
      </c>
      <c r="L249" s="1">
        <f t="shared" si="65"/>
        <v>2837239.8324041516</v>
      </c>
      <c r="M249" s="1">
        <f t="shared" si="66"/>
        <v>0.44742825701206435</v>
      </c>
      <c r="N249" s="1">
        <f t="shared" si="67"/>
        <v>1269461.2729377912</v>
      </c>
      <c r="O249" s="1">
        <f t="shared" si="61"/>
        <v>700450.64473905449</v>
      </c>
      <c r="P249" s="1">
        <f t="shared" si="62"/>
        <v>26811.022060996311</v>
      </c>
      <c r="Q249" s="1">
        <f t="shared" si="63"/>
        <v>0</v>
      </c>
      <c r="R249" s="1">
        <f t="shared" si="64"/>
        <v>542199.60613774043</v>
      </c>
      <c r="S249" s="3">
        <f t="shared" si="56"/>
        <v>0</v>
      </c>
    </row>
    <row r="250" spans="2:19" ht="15.6" outlineLevel="2">
      <c r="B250" s="2" t="s">
        <v>11</v>
      </c>
      <c r="C250" s="2">
        <v>1995</v>
      </c>
      <c r="D250" s="1">
        <v>1204077.8500000001</v>
      </c>
      <c r="E250" s="1">
        <v>664374.04000000004</v>
      </c>
      <c r="F250" s="1">
        <v>25430.119999999981</v>
      </c>
      <c r="H250" s="1">
        <v>514273.69</v>
      </c>
      <c r="I250" s="2">
        <v>25</v>
      </c>
      <c r="J250" s="8">
        <v>8.4704949999999997</v>
      </c>
      <c r="K250" s="10">
        <v>-0.02</v>
      </c>
      <c r="L250" s="1">
        <f t="shared" si="65"/>
        <v>812034.68235214148</v>
      </c>
      <c r="M250" s="1">
        <f t="shared" si="66"/>
        <v>0.44742825701206435</v>
      </c>
      <c r="N250" s="1">
        <f t="shared" si="67"/>
        <v>363327.26255816402</v>
      </c>
      <c r="O250" s="1">
        <f t="shared" si="61"/>
        <v>200473.08508159017</v>
      </c>
      <c r="P250" s="1">
        <f t="shared" si="62"/>
        <v>7673.4705203036592</v>
      </c>
      <c r="Q250" s="1">
        <f t="shared" si="63"/>
        <v>0</v>
      </c>
      <c r="R250" s="1">
        <f t="shared" si="64"/>
        <v>155180.70695627018</v>
      </c>
      <c r="S250" s="3">
        <f t="shared" si="56"/>
        <v>0</v>
      </c>
    </row>
    <row r="251" spans="1:19" ht="15.6" outlineLevel="1">
      <c r="A251" s="4" t="s">
        <v>25</v>
      </c>
      <c r="B251" s="2" t="s">
        <v>32</v>
      </c>
      <c r="D251" s="1">
        <f>SUBTOTAL(9,D232:D250)</f>
        <v>77314645.459999993</v>
      </c>
      <c r="E251" s="1">
        <f>SUBTOTAL(9,E232:E250)</f>
        <v>40676395.469999999</v>
      </c>
      <c r="F251" s="1">
        <f>SUBTOTAL(9,F232:F250)</f>
        <v>1556962.6900000018</v>
      </c>
      <c r="G251" s="1">
        <f>SUBTOTAL(9,G232:G250)</f>
        <v>0</v>
      </c>
      <c r="H251" s="1">
        <f>SUBTOTAL(9,H232:H250)</f>
        <v>35081287.299999997</v>
      </c>
      <c r="J251" s="8">
        <f>+N251-K251</f>
        <v>0</v>
      </c>
      <c r="K251" s="10">
        <v>7355572.1428317688</v>
      </c>
      <c r="L251" s="1">
        <f>SUBTOTAL(9,L232:L250)</f>
        <v>16439668.321246494</v>
      </c>
      <c r="M251" s="1">
        <f>+K251/L251</f>
        <v>0.44742825701206435</v>
      </c>
      <c r="N251" s="1">
        <f>SUBTOTAL(9,N232:N250)</f>
        <v>7355572.1428317679</v>
      </c>
      <c r="O251" s="1">
        <f t="shared" si="61"/>
        <v>3869876.9115449856</v>
      </c>
      <c r="P251" s="1">
        <f t="shared" si="62"/>
        <v>148126.54603606105</v>
      </c>
      <c r="Q251" s="1">
        <f t="shared" si="63"/>
        <v>0</v>
      </c>
      <c r="R251" s="1">
        <f t="shared" si="64"/>
        <v>3337568.6852507219</v>
      </c>
      <c r="S251" s="3">
        <f t="shared" si="56"/>
        <v>0</v>
      </c>
    </row>
    <row r="252" spans="12:19" ht="15.6" outlineLevel="1">
      <c r="L252" s="1" t="s">
        <v>32</v>
      </c>
      <c r="M252" s="1" t="s">
        <v>32</v>
      </c>
      <c r="N252" s="1" t="s">
        <v>32</v>
      </c>
      <c r="O252" s="1" t="s">
        <v>32</v>
      </c>
      <c r="P252" s="1" t="s">
        <v>32</v>
      </c>
      <c r="Q252" s="1" t="s">
        <v>32</v>
      </c>
      <c r="R252" s="1" t="s">
        <v>32</v>
      </c>
      <c r="S252" s="3" t="s">
        <v>32</v>
      </c>
    </row>
    <row r="253" spans="4:19" ht="15.6" outlineLevel="1">
      <c r="D253" s="1" t="s">
        <v>32</v>
      </c>
      <c r="E253" s="1" t="s">
        <v>32</v>
      </c>
      <c r="F253" s="1" t="s">
        <v>32</v>
      </c>
      <c r="G253" s="1" t="s">
        <v>32</v>
      </c>
      <c r="H253" s="1" t="s">
        <v>32</v>
      </c>
      <c r="S253" s="3"/>
    </row>
    <row r="254" spans="2:19" ht="15.6" outlineLevel="2">
      <c r="B254" s="2">
        <v>398</v>
      </c>
      <c r="C254" s="2">
        <v>2021</v>
      </c>
      <c r="D254" s="1">
        <v>1669998.9300000002</v>
      </c>
      <c r="E254" s="1">
        <v>1193327.7300000002</v>
      </c>
      <c r="F254" s="1">
        <v>252360.27000000002</v>
      </c>
      <c r="G254" s="1">
        <v>0</v>
      </c>
      <c r="H254" s="1">
        <v>224310.92999999999</v>
      </c>
      <c r="I254" s="2">
        <v>22</v>
      </c>
      <c r="J254" s="8">
        <v>21.5</v>
      </c>
      <c r="K254" s="10">
        <v>0</v>
      </c>
      <c r="L254" s="1">
        <f t="shared" si="68" ref="L254:L274">+D254*(1-K254)*(1-J254/I254)</f>
        <v>37954.521136363604</v>
      </c>
      <c r="M254" s="1">
        <f t="shared" si="69" ref="M254:M274">$M$275</f>
        <v>0.44590669339821593</v>
      </c>
      <c r="N254" s="1">
        <f t="shared" si="70" ref="N254:N274">IF((D254*(1-K254)-L254*M254)&lt;0,D254*(1-K254),L254*M254)</f>
        <v>16924.175019428592</v>
      </c>
      <c r="O254" s="1">
        <f t="shared" si="71" ref="O254:O296">+E254/$D254*$N254</f>
        <v>12093.473232379514</v>
      </c>
      <c r="P254" s="1">
        <f t="shared" si="72" ref="P254:P296">+F254/$D254*$N254</f>
        <v>2557.4803077450201</v>
      </c>
      <c r="Q254" s="1">
        <f t="shared" si="73" ref="Q254:Q296">+G254/$D254*$N254</f>
        <v>0</v>
      </c>
      <c r="R254" s="1">
        <f t="shared" si="74" ref="R254:R296">+H254/$D254*$N254</f>
        <v>2273.2214793040584</v>
      </c>
      <c r="S254" s="3">
        <f t="shared" si="75" ref="S254:S310">+N254-O254-P254-Q254-R254</f>
        <v>0</v>
      </c>
    </row>
    <row r="255" spans="2:19" ht="15.6" outlineLevel="2">
      <c r="B255" s="2">
        <v>398</v>
      </c>
      <c r="C255" s="2">
        <v>2020</v>
      </c>
      <c r="D255" s="1">
        <v>2453606.5599999996</v>
      </c>
      <c r="E255" s="1">
        <v>1138836.22</v>
      </c>
      <c r="F255" s="1">
        <v>99733.880000000005</v>
      </c>
      <c r="G255" s="1">
        <v>0</v>
      </c>
      <c r="H255" s="1">
        <v>1215036.46</v>
      </c>
      <c r="I255" s="2">
        <v>22</v>
      </c>
      <c r="J255" s="8">
        <v>20.5</v>
      </c>
      <c r="K255" s="10">
        <v>0</v>
      </c>
      <c r="L255" s="1">
        <f t="shared" si="68"/>
        <v>167291.35636363647</v>
      </c>
      <c r="M255" s="1">
        <f t="shared" si="69"/>
        <v>0.44590669339821593</v>
      </c>
      <c r="N255" s="1">
        <f t="shared" si="70"/>
        <v>74596.335550211719</v>
      </c>
      <c r="O255" s="1">
        <f t="shared" si="71"/>
        <v>34623.729080612968</v>
      </c>
      <c r="P255" s="1">
        <f t="shared" si="72"/>
        <v>3032.1821352664424</v>
      </c>
      <c r="Q255" s="1">
        <f t="shared" si="73"/>
        <v>0</v>
      </c>
      <c r="R255" s="1">
        <f t="shared" si="74"/>
        <v>36940.424334332318</v>
      </c>
      <c r="S255" s="3">
        <f t="shared" si="75"/>
        <v>0</v>
      </c>
    </row>
    <row r="256" spans="2:19" ht="15.6" outlineLevel="2">
      <c r="B256" s="2">
        <v>398</v>
      </c>
      <c r="C256" s="2">
        <v>2019</v>
      </c>
      <c r="D256" s="1">
        <v>1345738.1299999999</v>
      </c>
      <c r="E256" s="1">
        <v>473618.06</v>
      </c>
      <c r="F256" s="1">
        <v>295728.48999999999</v>
      </c>
      <c r="G256" s="1">
        <v>0</v>
      </c>
      <c r="H256" s="1">
        <v>576391.58000000007</v>
      </c>
      <c r="I256" s="2">
        <v>22</v>
      </c>
      <c r="J256" s="8">
        <v>19.5</v>
      </c>
      <c r="K256" s="10">
        <v>0</v>
      </c>
      <c r="L256" s="1">
        <f t="shared" si="68"/>
        <v>152924.78750000001</v>
      </c>
      <c r="M256" s="1">
        <f t="shared" si="69"/>
        <v>0.44590669339821593</v>
      </c>
      <c r="N256" s="1">
        <f t="shared" si="70"/>
        <v>68190.186332749829</v>
      </c>
      <c r="O256" s="1">
        <f t="shared" si="71"/>
        <v>23998.802621395211</v>
      </c>
      <c r="P256" s="1">
        <f t="shared" si="72"/>
        <v>14984.921945403112</v>
      </c>
      <c r="Q256" s="1">
        <f t="shared" si="73"/>
        <v>0</v>
      </c>
      <c r="R256" s="1">
        <f t="shared" si="74"/>
        <v>29206.461765951513</v>
      </c>
      <c r="S256" s="3">
        <f t="shared" si="75"/>
        <v>0</v>
      </c>
    </row>
    <row r="257" spans="2:19" ht="15.6" outlineLevel="2">
      <c r="B257" s="2">
        <v>398</v>
      </c>
      <c r="C257" s="2">
        <v>2018</v>
      </c>
      <c r="D257" s="1">
        <v>567160.27000000002</v>
      </c>
      <c r="E257" s="1">
        <v>522939.48000000004</v>
      </c>
      <c r="F257" s="1">
        <v>25855.870000000003</v>
      </c>
      <c r="G257" s="1">
        <v>0</v>
      </c>
      <c r="H257" s="1">
        <v>18364.919999999998</v>
      </c>
      <c r="I257" s="2">
        <v>22</v>
      </c>
      <c r="J257" s="8">
        <v>19.5</v>
      </c>
      <c r="K257" s="10">
        <v>0</v>
      </c>
      <c r="L257" s="1">
        <f t="shared" si="68"/>
        <v>64450.030681818193</v>
      </c>
      <c r="M257" s="1">
        <f t="shared" si="69"/>
        <v>0.44590669339821593</v>
      </c>
      <c r="N257" s="1">
        <f t="shared" si="70"/>
        <v>28738.700070743114</v>
      </c>
      <c r="O257" s="1">
        <f t="shared" si="71"/>
        <v>26497.978906157103</v>
      </c>
      <c r="P257" s="1">
        <f t="shared" si="72"/>
        <v>1310.1483518902423</v>
      </c>
      <c r="Q257" s="1">
        <f t="shared" si="73"/>
        <v>0</v>
      </c>
      <c r="R257" s="1">
        <f t="shared" si="74"/>
        <v>930.57281269576868</v>
      </c>
      <c r="S257" s="3">
        <f t="shared" si="75"/>
        <v>0</v>
      </c>
    </row>
    <row r="258" spans="2:19" ht="15.6" outlineLevel="2">
      <c r="B258" s="2">
        <v>398</v>
      </c>
      <c r="C258" s="2">
        <v>2017</v>
      </c>
      <c r="D258" s="1">
        <v>1205925.29</v>
      </c>
      <c r="E258" s="1">
        <v>62336.010000000009</v>
      </c>
      <c r="F258" s="1">
        <v>11252.710000000001</v>
      </c>
      <c r="G258" s="1">
        <v>0</v>
      </c>
      <c r="H258" s="1">
        <v>1132336.5700000001</v>
      </c>
      <c r="I258" s="2">
        <v>22</v>
      </c>
      <c r="J258" s="8">
        <v>18.5</v>
      </c>
      <c r="K258" s="10">
        <v>0</v>
      </c>
      <c r="L258" s="1">
        <f t="shared" si="68"/>
        <v>191851.75068181814</v>
      </c>
      <c r="M258" s="1">
        <f t="shared" si="69"/>
        <v>0.44590669339821593</v>
      </c>
      <c r="N258" s="1">
        <f t="shared" si="70"/>
        <v>85547.979769188445</v>
      </c>
      <c r="O258" s="1">
        <f t="shared" si="71"/>
        <v>4422.0979247992464</v>
      </c>
      <c r="P258" s="1">
        <f t="shared" si="72"/>
        <v>798.26388534280147</v>
      </c>
      <c r="Q258" s="1">
        <f t="shared" si="73"/>
        <v>0</v>
      </c>
      <c r="R258" s="1">
        <f t="shared" si="74"/>
        <v>80327.617959046402</v>
      </c>
      <c r="S258" s="3">
        <f t="shared" si="75"/>
        <v>0</v>
      </c>
    </row>
    <row r="259" spans="2:19" ht="15.6" outlineLevel="2">
      <c r="B259" s="2">
        <v>398</v>
      </c>
      <c r="C259" s="2">
        <v>2016</v>
      </c>
      <c r="D259" s="1">
        <v>549325.05999999994</v>
      </c>
      <c r="E259" s="1">
        <v>175141.09999999998</v>
      </c>
      <c r="F259" s="1">
        <v>34588.549999999996</v>
      </c>
      <c r="G259" s="1">
        <v>0</v>
      </c>
      <c r="H259" s="1">
        <v>339595.41000000003</v>
      </c>
      <c r="I259" s="2">
        <v>22</v>
      </c>
      <c r="J259" s="8">
        <v>17.5</v>
      </c>
      <c r="K259" s="10">
        <v>0</v>
      </c>
      <c r="L259" s="1">
        <f t="shared" si="68"/>
        <v>112361.94409090911</v>
      </c>
      <c r="M259" s="1">
        <f t="shared" si="69"/>
        <v>0.44590669339821593</v>
      </c>
      <c r="N259" s="1">
        <f t="shared" si="70"/>
        <v>50102.942953372483</v>
      </c>
      <c r="O259" s="1">
        <f t="shared" si="71"/>
        <v>15974.302250275829</v>
      </c>
      <c r="P259" s="1">
        <f t="shared" si="72"/>
        <v>3154.7589463511313</v>
      </c>
      <c r="Q259" s="1">
        <f t="shared" si="73"/>
        <v>0</v>
      </c>
      <c r="R259" s="1">
        <f t="shared" si="74"/>
        <v>30973.881756745526</v>
      </c>
      <c r="S259" s="3">
        <f t="shared" si="75"/>
        <v>0</v>
      </c>
    </row>
    <row r="260" spans="2:19" ht="15.6" outlineLevel="2">
      <c r="B260" s="2">
        <v>398</v>
      </c>
      <c r="C260" s="2">
        <v>2015</v>
      </c>
      <c r="D260" s="1">
        <v>342932.31</v>
      </c>
      <c r="E260" s="1">
        <v>30302.379999999997</v>
      </c>
      <c r="F260" s="1">
        <v>10071.719999999999</v>
      </c>
      <c r="G260" s="1">
        <v>0</v>
      </c>
      <c r="H260" s="1">
        <v>302558.20999999996</v>
      </c>
      <c r="I260" s="2">
        <v>22</v>
      </c>
      <c r="J260" s="8">
        <v>16.5</v>
      </c>
      <c r="K260" s="10">
        <v>0</v>
      </c>
      <c r="L260" s="1">
        <f t="shared" si="68"/>
        <v>85733.077499999999</v>
      </c>
      <c r="M260" s="1">
        <f t="shared" si="69"/>
        <v>0.44590669339821593</v>
      </c>
      <c r="N260" s="1">
        <f t="shared" si="70"/>
        <v>38228.953102877982</v>
      </c>
      <c r="O260" s="1">
        <f t="shared" si="71"/>
        <v>3378.0085169740573</v>
      </c>
      <c r="P260" s="1">
        <f t="shared" si="72"/>
        <v>1122.7618405081698</v>
      </c>
      <c r="Q260" s="1">
        <f t="shared" si="73"/>
        <v>0</v>
      </c>
      <c r="R260" s="1">
        <f t="shared" si="74"/>
        <v>33728.182745395752</v>
      </c>
      <c r="S260" s="3">
        <f t="shared" si="75"/>
        <v>0</v>
      </c>
    </row>
    <row r="261" spans="2:19" ht="15.6" outlineLevel="2">
      <c r="B261" s="2">
        <v>398</v>
      </c>
      <c r="C261" s="2">
        <v>2014</v>
      </c>
      <c r="D261" s="1">
        <v>803792.60000000009</v>
      </c>
      <c r="E261" s="1">
        <v>519104.23999999999</v>
      </c>
      <c r="F261" s="1">
        <v>159371.88000000001</v>
      </c>
      <c r="G261" s="1">
        <v>0</v>
      </c>
      <c r="H261" s="1">
        <v>125316.48</v>
      </c>
      <c r="I261" s="2">
        <v>22</v>
      </c>
      <c r="J261" s="8">
        <v>16.5</v>
      </c>
      <c r="K261" s="10">
        <v>0</v>
      </c>
      <c r="L261" s="1">
        <f t="shared" si="68"/>
        <v>200948.15000000002</v>
      </c>
      <c r="M261" s="1">
        <f t="shared" si="69"/>
        <v>0.44590669339821593</v>
      </c>
      <c r="N261" s="1">
        <f t="shared" si="70"/>
        <v>89604.125110988709</v>
      </c>
      <c r="O261" s="1">
        <f t="shared" si="71"/>
        <v>57868.013796848463</v>
      </c>
      <c r="P261" s="1">
        <f t="shared" si="72"/>
        <v>17766.247007864313</v>
      </c>
      <c r="Q261" s="1">
        <f t="shared" si="73"/>
        <v>0</v>
      </c>
      <c r="R261" s="1">
        <f t="shared" si="74"/>
        <v>13969.864306275913</v>
      </c>
      <c r="S261" s="3">
        <f t="shared" si="75"/>
        <v>2.0008883439004421E-11</v>
      </c>
    </row>
    <row r="262" spans="2:19" ht="15.6" outlineLevel="2">
      <c r="B262" s="2">
        <v>398</v>
      </c>
      <c r="C262" s="2">
        <v>2013</v>
      </c>
      <c r="D262" s="1">
        <v>198714.54999999999</v>
      </c>
      <c r="E262" s="1">
        <v>57396.410000000003</v>
      </c>
      <c r="F262" s="1">
        <v>12261.23</v>
      </c>
      <c r="G262" s="1">
        <v>0</v>
      </c>
      <c r="H262" s="1">
        <v>129056.91</v>
      </c>
      <c r="I262" s="2">
        <v>22</v>
      </c>
      <c r="J262" s="8">
        <v>15.5</v>
      </c>
      <c r="K262" s="10">
        <v>0</v>
      </c>
      <c r="L262" s="1">
        <f t="shared" si="68"/>
        <v>58711.117045454535</v>
      </c>
      <c r="M262" s="1">
        <f t="shared" si="69"/>
        <v>0.44590669339821593</v>
      </c>
      <c r="N262" s="1">
        <f t="shared" si="70"/>
        <v>26179.680067454265</v>
      </c>
      <c r="O262" s="1">
        <f t="shared" si="71"/>
        <v>7561.6991851901776</v>
      </c>
      <c r="P262" s="1">
        <f t="shared" si="72"/>
        <v>1615.3577009507974</v>
      </c>
      <c r="Q262" s="1">
        <f t="shared" si="73"/>
        <v>0</v>
      </c>
      <c r="R262" s="1">
        <f t="shared" si="74"/>
        <v>17002.623181313291</v>
      </c>
      <c r="S262" s="3">
        <f t="shared" si="75"/>
        <v>0</v>
      </c>
    </row>
    <row r="263" spans="2:19" ht="15.6" outlineLevel="2">
      <c r="B263" s="2">
        <v>398</v>
      </c>
      <c r="C263" s="2">
        <v>2012</v>
      </c>
      <c r="D263" s="1">
        <v>846976.56000000006</v>
      </c>
      <c r="E263" s="1">
        <v>529485.06999999995</v>
      </c>
      <c r="F263" s="1">
        <v>169954.06000000003</v>
      </c>
      <c r="G263" s="1">
        <v>0</v>
      </c>
      <c r="H263" s="1">
        <v>147537.42999999999</v>
      </c>
      <c r="I263" s="2">
        <v>22</v>
      </c>
      <c r="J263" s="8">
        <v>14.5</v>
      </c>
      <c r="K263" s="10">
        <v>0</v>
      </c>
      <c r="L263" s="1">
        <f t="shared" si="68"/>
        <v>288742.00909090915</v>
      </c>
      <c r="M263" s="1">
        <f t="shared" si="69"/>
        <v>0.44590669339821593</v>
      </c>
      <c r="N263" s="1">
        <f t="shared" si="70"/>
        <v>128751.99451888491</v>
      </c>
      <c r="O263" s="1">
        <f t="shared" si="71"/>
        <v>80488.955716166907</v>
      </c>
      <c r="P263" s="1">
        <f t="shared" si="72"/>
        <v>25835.336224159779</v>
      </c>
      <c r="Q263" s="1">
        <f t="shared" si="73"/>
        <v>0</v>
      </c>
      <c r="R263" s="1">
        <f t="shared" si="74"/>
        <v>22427.702578558212</v>
      </c>
      <c r="S263" s="3">
        <f t="shared" si="75"/>
        <v>0</v>
      </c>
    </row>
    <row r="264" spans="2:19" ht="15.6" outlineLevel="2">
      <c r="B264" s="2">
        <v>398</v>
      </c>
      <c r="C264" s="2">
        <v>2011</v>
      </c>
      <c r="D264" s="1">
        <v>442589.80999999994</v>
      </c>
      <c r="E264" s="1">
        <v>193943.46999999997</v>
      </c>
      <c r="F264" s="1">
        <v>6961.880000000001</v>
      </c>
      <c r="G264" s="1">
        <v>0</v>
      </c>
      <c r="H264" s="1">
        <v>241684.45999999999</v>
      </c>
      <c r="I264" s="2">
        <v>22</v>
      </c>
      <c r="J264" s="8">
        <v>13.5</v>
      </c>
      <c r="K264" s="10">
        <v>0</v>
      </c>
      <c r="L264" s="1">
        <f t="shared" si="68"/>
        <v>171000.60840909087</v>
      </c>
      <c r="M264" s="1">
        <f t="shared" si="69"/>
        <v>0.44590669339821593</v>
      </c>
      <c r="N264" s="1">
        <f t="shared" si="70"/>
        <v>76250.31586478086</v>
      </c>
      <c r="O264" s="1">
        <f t="shared" si="71"/>
        <v>33412.994409906663</v>
      </c>
      <c r="P264" s="1">
        <f t="shared" si="72"/>
        <v>1199.4075259272252</v>
      </c>
      <c r="Q264" s="1">
        <f t="shared" si="73"/>
        <v>0</v>
      </c>
      <c r="R264" s="1">
        <f t="shared" si="74"/>
        <v>41637.913928946982</v>
      </c>
      <c r="S264" s="3">
        <f t="shared" si="75"/>
        <v>0</v>
      </c>
    </row>
    <row r="265" spans="2:19" ht="15.6" outlineLevel="2">
      <c r="B265" s="2">
        <v>398</v>
      </c>
      <c r="C265" s="2">
        <v>2010</v>
      </c>
      <c r="D265" s="1">
        <v>751639.87000000011</v>
      </c>
      <c r="E265" s="1">
        <v>215065.26000000001</v>
      </c>
      <c r="F265" s="1">
        <v>24601.740000000002</v>
      </c>
      <c r="G265" s="1">
        <v>0</v>
      </c>
      <c r="H265" s="1">
        <v>511972.87000000005</v>
      </c>
      <c r="I265" s="2">
        <v>22</v>
      </c>
      <c r="J265" s="8">
        <v>12.5</v>
      </c>
      <c r="K265" s="10">
        <v>0</v>
      </c>
      <c r="L265" s="1">
        <f t="shared" si="68"/>
        <v>324571.76204545458</v>
      </c>
      <c r="M265" s="1">
        <f t="shared" si="69"/>
        <v>0.44590669339821593</v>
      </c>
      <c r="N265" s="1">
        <f t="shared" si="70"/>
        <v>144728.72118412121</v>
      </c>
      <c r="O265" s="1">
        <f t="shared" si="71"/>
        <v>41410.948638116461</v>
      </c>
      <c r="P265" s="1">
        <f t="shared" si="72"/>
        <v>4737.0802311274974</v>
      </c>
      <c r="Q265" s="1">
        <f t="shared" si="73"/>
        <v>0</v>
      </c>
      <c r="R265" s="1">
        <f t="shared" si="74"/>
        <v>98580.692314877248</v>
      </c>
      <c r="S265" s="3">
        <f t="shared" si="75"/>
        <v>0</v>
      </c>
    </row>
    <row r="266" spans="2:19" ht="15.6" outlineLevel="2">
      <c r="B266" s="2">
        <v>398</v>
      </c>
      <c r="C266" s="2">
        <v>2009</v>
      </c>
      <c r="D266" s="1">
        <v>336521.02999999997</v>
      </c>
      <c r="E266" s="1">
        <v>219612.40999999997</v>
      </c>
      <c r="F266" s="1">
        <v>41862.939999999995</v>
      </c>
      <c r="G266" s="1">
        <v>0</v>
      </c>
      <c r="H266" s="1">
        <v>75045.680000000008</v>
      </c>
      <c r="I266" s="2">
        <v>22</v>
      </c>
      <c r="J266" s="8">
        <v>11.5</v>
      </c>
      <c r="K266" s="10">
        <v>0</v>
      </c>
      <c r="L266" s="1">
        <f t="shared" si="68"/>
        <v>160612.30977272725</v>
      </c>
      <c r="M266" s="1">
        <f t="shared" si="69"/>
        <v>0.44590669339821593</v>
      </c>
      <c r="N266" s="1">
        <f t="shared" si="70"/>
        <v>71618.103969806776</v>
      </c>
      <c r="O266" s="1">
        <f t="shared" si="71"/>
        <v>46737.716250422243</v>
      </c>
      <c r="P266" s="1">
        <f t="shared" si="72"/>
        <v>8909.2333676792277</v>
      </c>
      <c r="Q266" s="1">
        <f t="shared" si="73"/>
        <v>0</v>
      </c>
      <c r="R266" s="1">
        <f t="shared" si="74"/>
        <v>15971.154351705302</v>
      </c>
      <c r="S266" s="3">
        <f t="shared" si="75"/>
        <v>0</v>
      </c>
    </row>
    <row r="267" spans="2:19" ht="15.6" outlineLevel="2">
      <c r="B267" s="2">
        <v>398</v>
      </c>
      <c r="C267" s="2">
        <v>2008</v>
      </c>
      <c r="D267" s="1">
        <v>238863.10000000004</v>
      </c>
      <c r="E267" s="1">
        <v>44319.840000000004</v>
      </c>
      <c r="F267" s="1">
        <v>2110.9899999999998</v>
      </c>
      <c r="G267" s="1">
        <v>0</v>
      </c>
      <c r="H267" s="1">
        <v>192432.27000000002</v>
      </c>
      <c r="I267" s="2">
        <v>22</v>
      </c>
      <c r="J267" s="8">
        <v>10.5</v>
      </c>
      <c r="K267" s="10">
        <v>0</v>
      </c>
      <c r="L267" s="1">
        <f t="shared" si="68"/>
        <v>124860.25681818184</v>
      </c>
      <c r="M267" s="1">
        <f t="shared" si="69"/>
        <v>0.44590669339821593</v>
      </c>
      <c r="N267" s="1">
        <f t="shared" si="70"/>
        <v>55676.024254647506</v>
      </c>
      <c r="O267" s="1">
        <f t="shared" si="71"/>
        <v>10330.404682858492</v>
      </c>
      <c r="P267" s="1">
        <f t="shared" si="72"/>
        <v>492.04557104600207</v>
      </c>
      <c r="Q267" s="1">
        <f t="shared" si="73"/>
        <v>0</v>
      </c>
      <c r="R267" s="1">
        <f t="shared" si="74"/>
        <v>44853.574000743007</v>
      </c>
      <c r="S267" s="3">
        <f t="shared" si="75"/>
        <v>0</v>
      </c>
    </row>
    <row r="268" spans="2:19" ht="15.6" outlineLevel="2">
      <c r="B268" s="2">
        <v>398</v>
      </c>
      <c r="C268" s="2">
        <v>2007</v>
      </c>
      <c r="D268" s="1">
        <v>82868.540000000008</v>
      </c>
      <c r="E268" s="1">
        <v>52792.18</v>
      </c>
      <c r="F268" s="1">
        <v>10866.769999999997</v>
      </c>
      <c r="G268" s="1">
        <v>0</v>
      </c>
      <c r="H268" s="1">
        <v>19209.59</v>
      </c>
      <c r="I268" s="2">
        <v>22</v>
      </c>
      <c r="J268" s="8">
        <v>9.5</v>
      </c>
      <c r="K268" s="10">
        <v>0</v>
      </c>
      <c r="L268" s="1">
        <f t="shared" si="68"/>
        <v>47084.397727272728</v>
      </c>
      <c r="M268" s="1">
        <f t="shared" si="69"/>
        <v>0.44590669339821593</v>
      </c>
      <c r="N268" s="1">
        <f t="shared" si="70"/>
        <v>20995.248101214656</v>
      </c>
      <c r="O268" s="1">
        <f t="shared" si="71"/>
        <v>13375.219557433766</v>
      </c>
      <c r="P268" s="1">
        <f t="shared" si="72"/>
        <v>2753.1622037607553</v>
      </c>
      <c r="Q268" s="1">
        <f t="shared" si="73"/>
        <v>0</v>
      </c>
      <c r="R268" s="1">
        <f t="shared" si="74"/>
        <v>4866.8663400201331</v>
      </c>
      <c r="S268" s="3">
        <f t="shared" si="75"/>
        <v>0</v>
      </c>
    </row>
    <row r="269" spans="2:19" ht="15.6" outlineLevel="2">
      <c r="B269" s="2">
        <v>398</v>
      </c>
      <c r="C269" s="2">
        <v>2006</v>
      </c>
      <c r="D269" s="1">
        <v>437326.27000000002</v>
      </c>
      <c r="E269" s="1">
        <v>103434.39999999999</v>
      </c>
      <c r="F269" s="1">
        <v>4582.239999999998</v>
      </c>
      <c r="G269" s="1">
        <v>0</v>
      </c>
      <c r="H269" s="1">
        <v>329309.63</v>
      </c>
      <c r="I269" s="2">
        <v>22</v>
      </c>
      <c r="J269" s="8">
        <v>8.5</v>
      </c>
      <c r="K269" s="10">
        <v>0</v>
      </c>
      <c r="L269" s="1">
        <f t="shared" si="68"/>
        <v>268359.30204545456</v>
      </c>
      <c r="M269" s="1">
        <f t="shared" si="69"/>
        <v>0.44590669339821593</v>
      </c>
      <c r="N269" s="1">
        <f t="shared" si="70"/>
        <v>119663.20901774173</v>
      </c>
      <c r="O269" s="1">
        <f t="shared" si="71"/>
        <v>28302.192381044715</v>
      </c>
      <c r="P269" s="1">
        <f t="shared" si="72"/>
        <v>1253.8134123281836</v>
      </c>
      <c r="Q269" s="1">
        <f t="shared" si="73"/>
        <v>0</v>
      </c>
      <c r="R269" s="1">
        <f t="shared" si="74"/>
        <v>90107.20322436883</v>
      </c>
      <c r="S269" s="3">
        <f t="shared" si="75"/>
        <v>0</v>
      </c>
    </row>
    <row r="270" spans="2:19" ht="15.6" outlineLevel="2">
      <c r="B270" s="2">
        <v>398</v>
      </c>
      <c r="C270" s="2">
        <v>2005</v>
      </c>
      <c r="D270" s="1">
        <v>66824.600000000006</v>
      </c>
      <c r="E270" s="1">
        <v>37397.680000000008</v>
      </c>
      <c r="F270" s="1">
        <v>11451.969999999999</v>
      </c>
      <c r="G270" s="1">
        <v>0</v>
      </c>
      <c r="H270" s="1">
        <v>17974.949999999997</v>
      </c>
      <c r="I270" s="2">
        <v>22</v>
      </c>
      <c r="J270" s="8">
        <v>7.5</v>
      </c>
      <c r="K270" s="10">
        <v>0</v>
      </c>
      <c r="L270" s="1">
        <f t="shared" si="68"/>
        <v>44043.486363636373</v>
      </c>
      <c r="M270" s="1">
        <f t="shared" si="69"/>
        <v>0.44590669339821593</v>
      </c>
      <c r="N270" s="1">
        <f t="shared" si="70"/>
        <v>19639.28537013851</v>
      </c>
      <c r="O270" s="1">
        <f t="shared" si="71"/>
        <v>10990.918160394851</v>
      </c>
      <c r="P270" s="1">
        <f t="shared" si="72"/>
        <v>3365.6543680061695</v>
      </c>
      <c r="Q270" s="1">
        <f t="shared" si="73"/>
        <v>0</v>
      </c>
      <c r="R270" s="1">
        <f t="shared" si="74"/>
        <v>5282.7128417374906</v>
      </c>
      <c r="S270" s="3">
        <f t="shared" si="75"/>
        <v>0</v>
      </c>
    </row>
    <row r="271" spans="2:19" ht="15.6" outlineLevel="2">
      <c r="B271" s="2">
        <v>398</v>
      </c>
      <c r="C271" s="2">
        <v>2004</v>
      </c>
      <c r="D271" s="1">
        <v>147098.85999999999</v>
      </c>
      <c r="E271" s="1">
        <v>97474.479999999981</v>
      </c>
      <c r="F271" s="1">
        <v>4912.4300000000003</v>
      </c>
      <c r="G271" s="1">
        <v>0</v>
      </c>
      <c r="H271" s="1">
        <v>44711.949999999997</v>
      </c>
      <c r="I271" s="2">
        <v>22</v>
      </c>
      <c r="J271" s="8">
        <v>6.5</v>
      </c>
      <c r="K271" s="10">
        <v>0</v>
      </c>
      <c r="L271" s="1">
        <f t="shared" si="68"/>
        <v>103637.83318181818</v>
      </c>
      <c r="M271" s="1">
        <f t="shared" si="69"/>
        <v>0.44590669339821593</v>
      </c>
      <c r="N271" s="1">
        <f t="shared" si="70"/>
        <v>46212.803505060445</v>
      </c>
      <c r="O271" s="1">
        <f t="shared" si="71"/>
        <v>30622.732161200598</v>
      </c>
      <c r="P271" s="1">
        <f t="shared" si="72"/>
        <v>1543.2965443944579</v>
      </c>
      <c r="Q271" s="1">
        <f t="shared" si="73"/>
        <v>0</v>
      </c>
      <c r="R271" s="1">
        <f t="shared" si="74"/>
        <v>14046.774799465391</v>
      </c>
      <c r="S271" s="3">
        <f t="shared" si="75"/>
        <v>0</v>
      </c>
    </row>
    <row r="272" spans="2:19" ht="15.6" outlineLevel="2">
      <c r="B272" s="2">
        <v>398</v>
      </c>
      <c r="C272" s="2">
        <v>2003</v>
      </c>
      <c r="D272" s="1">
        <v>74061.190000000002</v>
      </c>
      <c r="E272" s="1">
        <v>68413.089999999997</v>
      </c>
      <c r="F272" s="1">
        <v>-1573</v>
      </c>
      <c r="G272" s="1">
        <v>0</v>
      </c>
      <c r="H272" s="1">
        <v>7221.1000000000013</v>
      </c>
      <c r="I272" s="2">
        <v>22</v>
      </c>
      <c r="J272" s="8">
        <v>5.5</v>
      </c>
      <c r="K272" s="10">
        <v>0</v>
      </c>
      <c r="L272" s="1">
        <f t="shared" si="68"/>
        <v>55545.892500000002</v>
      </c>
      <c r="M272" s="1">
        <f t="shared" si="69"/>
        <v>0.44590669339821593</v>
      </c>
      <c r="N272" s="1">
        <f t="shared" si="70"/>
        <v>24768.285256527761</v>
      </c>
      <c r="O272" s="1">
        <f t="shared" si="71"/>
        <v>22879.391060290913</v>
      </c>
      <c r="P272" s="1">
        <f t="shared" si="72"/>
        <v>-526.05842153654521</v>
      </c>
      <c r="Q272" s="1">
        <f t="shared" si="73"/>
        <v>0</v>
      </c>
      <c r="R272" s="1">
        <f t="shared" si="74"/>
        <v>2414.9526177733933</v>
      </c>
      <c r="S272" s="3">
        <f t="shared" si="75"/>
        <v>0</v>
      </c>
    </row>
    <row r="273" spans="2:19" ht="15.6" outlineLevel="2">
      <c r="B273" s="2">
        <v>398</v>
      </c>
      <c r="C273" s="2">
        <v>2002</v>
      </c>
      <c r="D273" s="1">
        <v>139192.09</v>
      </c>
      <c r="E273" s="1">
        <v>21480.939999999999</v>
      </c>
      <c r="F273" s="1">
        <v>6731.7299999999996</v>
      </c>
      <c r="G273" s="1">
        <v>0</v>
      </c>
      <c r="H273" s="1">
        <v>110979.41999999998</v>
      </c>
      <c r="I273" s="2">
        <v>22</v>
      </c>
      <c r="J273" s="8">
        <v>4.5</v>
      </c>
      <c r="K273" s="10">
        <v>0</v>
      </c>
      <c r="L273" s="1">
        <f t="shared" si="68"/>
        <v>110720.98068181817</v>
      </c>
      <c r="M273" s="1">
        <f t="shared" si="69"/>
        <v>0.44590669339821593</v>
      </c>
      <c r="N273" s="1">
        <f t="shared" si="70"/>
        <v>49371.226385637281</v>
      </c>
      <c r="O273" s="1">
        <f t="shared" si="71"/>
        <v>7619.2573278861701</v>
      </c>
      <c r="P273" s="1">
        <f t="shared" si="72"/>
        <v>2387.7345745507955</v>
      </c>
      <c r="Q273" s="1">
        <f t="shared" si="73"/>
        <v>0</v>
      </c>
      <c r="R273" s="1">
        <f t="shared" si="74"/>
        <v>39364.234483200307</v>
      </c>
      <c r="S273" s="3">
        <f t="shared" si="75"/>
        <v>0</v>
      </c>
    </row>
    <row r="274" spans="2:19" ht="15.6" outlineLevel="2">
      <c r="B274" s="2">
        <v>398</v>
      </c>
      <c r="C274" s="2">
        <v>2001</v>
      </c>
      <c r="D274" s="1">
        <v>35291.150000000001</v>
      </c>
      <c r="E274" s="1">
        <v>7473.2300000000005</v>
      </c>
      <c r="F274" s="1">
        <v>137.34</v>
      </c>
      <c r="G274" s="1">
        <v>0</v>
      </c>
      <c r="H274" s="1">
        <v>27680.580000000002</v>
      </c>
      <c r="I274" s="2">
        <v>22</v>
      </c>
      <c r="J274" s="8">
        <v>3.5</v>
      </c>
      <c r="K274" s="10">
        <v>0</v>
      </c>
      <c r="L274" s="1">
        <f t="shared" si="68"/>
        <v>29676.648863636365</v>
      </c>
      <c r="M274" s="1">
        <f t="shared" si="69"/>
        <v>0.44590669339821593</v>
      </c>
      <c r="N274" s="1">
        <f t="shared" si="70"/>
        <v>13233.016365924013</v>
      </c>
      <c r="O274" s="1">
        <f t="shared" si="71"/>
        <v>2802.2145749377482</v>
      </c>
      <c r="P274" s="1">
        <f t="shared" si="72"/>
        <v>51.497966705420595</v>
      </c>
      <c r="Q274" s="1">
        <f t="shared" si="73"/>
        <v>0</v>
      </c>
      <c r="R274" s="1">
        <f t="shared" si="74"/>
        <v>10379.303824280845</v>
      </c>
      <c r="S274" s="3">
        <f t="shared" si="75"/>
        <v>0</v>
      </c>
    </row>
    <row r="275" spans="1:19" ht="15.6" outlineLevel="1">
      <c r="A275" s="4" t="s">
        <v>26</v>
      </c>
      <c r="B275" s="2" t="s">
        <v>32</v>
      </c>
      <c r="D275" s="1">
        <f>SUBTOTAL(9,D254:D274)</f>
        <v>12736446.769999998</v>
      </c>
      <c r="E275" s="1">
        <f>SUBTOTAL(9,E254:E274)</f>
        <v>5763893.6800000006</v>
      </c>
      <c r="F275" s="1">
        <f>SUBTOTAL(9,F254:F274)</f>
        <v>1183825.6899999997</v>
      </c>
      <c r="G275" s="1">
        <f>SUBTOTAL(9,G254:G274)</f>
        <v>0</v>
      </c>
      <c r="H275" s="1">
        <f>SUBTOTAL(9,H254:H274)</f>
        <v>5788727.3999999994</v>
      </c>
      <c r="L275" s="1">
        <f>SUBTOTAL(9,L254:L274)</f>
        <v>2801082.2225000006</v>
      </c>
      <c r="M275" s="1">
        <v>0.44590669339821593</v>
      </c>
      <c r="N275" s="1">
        <f>SUBTOTAL(9,N254:N274)</f>
        <v>1249021.3117715009</v>
      </c>
      <c r="O275" s="1">
        <f t="shared" si="71"/>
        <v>565246.03565748385</v>
      </c>
      <c r="P275" s="1">
        <f t="shared" si="72"/>
        <v>116093.87947315245</v>
      </c>
      <c r="Q275" s="1">
        <f t="shared" si="73"/>
        <v>0</v>
      </c>
      <c r="R275" s="1">
        <f t="shared" si="74"/>
        <v>567681.39664086478</v>
      </c>
      <c r="S275" s="3">
        <f t="shared" si="75"/>
        <v>0</v>
      </c>
    </row>
    <row r="276" spans="2:19" ht="15.6" outlineLevel="2">
      <c r="B276" s="2" t="s">
        <v>7</v>
      </c>
      <c r="C276" s="2">
        <v>2016</v>
      </c>
      <c r="D276" s="1">
        <v>86974.610000000001</v>
      </c>
      <c r="H276" s="1">
        <v>86974.610000000001</v>
      </c>
      <c r="I276" s="2">
        <v>10</v>
      </c>
      <c r="J276" s="8">
        <v>5.5</v>
      </c>
      <c r="K276" s="10">
        <v>0.20000000000000001</v>
      </c>
      <c r="L276" s="1">
        <f t="shared" si="76" ref="L276:L282">+D276*(1-K276)*(1-J276/I276)</f>
        <v>31310.8596</v>
      </c>
      <c r="M276" s="1">
        <f t="shared" si="77" ref="M276:M281">$M$283</f>
        <v>0.44742825701206446</v>
      </c>
      <c r="N276" s="1">
        <f t="shared" si="78" ref="N276:N282">IF((D276*(1-K276)-L276*M276)&lt;0,D276*(1-K276),L276*M276)</f>
        <v>14009.363336377466</v>
      </c>
      <c r="O276" s="1">
        <f t="shared" si="71"/>
        <v>0</v>
      </c>
      <c r="P276" s="1">
        <f t="shared" si="72"/>
        <v>0</v>
      </c>
      <c r="Q276" s="1">
        <f t="shared" si="73"/>
        <v>0</v>
      </c>
      <c r="R276" s="1">
        <f t="shared" si="74"/>
        <v>14009.363336377466</v>
      </c>
      <c r="S276" s="3">
        <f t="shared" si="75"/>
        <v>0</v>
      </c>
    </row>
    <row r="277" spans="2:19" ht="15.6" outlineLevel="2">
      <c r="B277" s="2" t="s">
        <v>7</v>
      </c>
      <c r="C277" s="2">
        <v>2015</v>
      </c>
      <c r="D277" s="1">
        <v>290289.76000000001</v>
      </c>
      <c r="E277" s="1">
        <v>290289.76000000001</v>
      </c>
      <c r="I277" s="2">
        <v>10</v>
      </c>
      <c r="J277" s="8">
        <v>4.5</v>
      </c>
      <c r="K277" s="10">
        <v>0.20000000000000001</v>
      </c>
      <c r="L277" s="1">
        <f t="shared" si="76"/>
        <v>127727.49440000003</v>
      </c>
      <c r="M277" s="1">
        <f t="shared" si="77"/>
        <v>0.44742825701206446</v>
      </c>
      <c r="N277" s="1">
        <f t="shared" si="78"/>
        <v>57148.890191910235</v>
      </c>
      <c r="O277" s="1">
        <f t="shared" si="71"/>
        <v>57148.890191910235</v>
      </c>
      <c r="P277" s="1">
        <f t="shared" si="72"/>
        <v>0</v>
      </c>
      <c r="Q277" s="1">
        <f t="shared" si="73"/>
        <v>0</v>
      </c>
      <c r="R277" s="1">
        <f t="shared" si="74"/>
        <v>0</v>
      </c>
      <c r="S277" s="3">
        <f t="shared" si="75"/>
        <v>0</v>
      </c>
    </row>
    <row r="278" spans="2:19" ht="15.6" outlineLevel="2">
      <c r="B278" s="2" t="s">
        <v>7</v>
      </c>
      <c r="C278" s="2">
        <v>2014</v>
      </c>
      <c r="D278" s="1">
        <v>82397.429999999993</v>
      </c>
      <c r="E278" s="1">
        <v>82397.429999999993</v>
      </c>
      <c r="I278" s="2">
        <v>10</v>
      </c>
      <c r="J278" s="8">
        <v>3.5</v>
      </c>
      <c r="K278" s="10">
        <v>0.20000000000000001</v>
      </c>
      <c r="L278" s="1">
        <f t="shared" si="76"/>
        <v>42846.663600000007</v>
      </c>
      <c r="M278" s="1">
        <f t="shared" si="77"/>
        <v>0.44742825701206446</v>
      </c>
      <c r="N278" s="1">
        <f t="shared" si="78"/>
        <v>19170.808013330268</v>
      </c>
      <c r="O278" s="1">
        <f t="shared" si="71"/>
        <v>19170.808013330268</v>
      </c>
      <c r="P278" s="1">
        <f t="shared" si="72"/>
        <v>0</v>
      </c>
      <c r="Q278" s="1">
        <f t="shared" si="73"/>
        <v>0</v>
      </c>
      <c r="R278" s="1">
        <f t="shared" si="74"/>
        <v>0</v>
      </c>
      <c r="S278" s="3">
        <f t="shared" si="75"/>
        <v>0</v>
      </c>
    </row>
    <row r="279" spans="2:19" ht="15.6" outlineLevel="2">
      <c r="B279" s="2" t="s">
        <v>7</v>
      </c>
      <c r="C279" s="2">
        <v>2013</v>
      </c>
      <c r="D279" s="1">
        <v>25803.77</v>
      </c>
      <c r="E279" s="1">
        <v>25803.77</v>
      </c>
      <c r="I279" s="2">
        <v>10</v>
      </c>
      <c r="J279" s="8">
        <v>2.5</v>
      </c>
      <c r="K279" s="10">
        <v>0.20000000000000001</v>
      </c>
      <c r="L279" s="1">
        <f t="shared" si="76"/>
        <v>15482.262000000002</v>
      </c>
      <c r="M279" s="1">
        <f t="shared" si="77"/>
        <v>0.44742825701206446</v>
      </c>
      <c r="N279" s="1">
        <f t="shared" si="78"/>
        <v>6927.2015012641205</v>
      </c>
      <c r="O279" s="1">
        <f t="shared" si="71"/>
        <v>6927.2015012641205</v>
      </c>
      <c r="P279" s="1">
        <f t="shared" si="72"/>
        <v>0</v>
      </c>
      <c r="Q279" s="1">
        <f t="shared" si="73"/>
        <v>0</v>
      </c>
      <c r="R279" s="1">
        <f t="shared" si="74"/>
        <v>0</v>
      </c>
      <c r="S279" s="3">
        <f t="shared" si="75"/>
        <v>0</v>
      </c>
    </row>
    <row r="280" spans="2:19" ht="15.6" outlineLevel="2">
      <c r="B280" s="2" t="s">
        <v>7</v>
      </c>
      <c r="C280" s="2">
        <v>2012</v>
      </c>
      <c r="D280" s="1">
        <v>250255.35999999999</v>
      </c>
      <c r="E280" s="1">
        <v>250255.35999999999</v>
      </c>
      <c r="I280" s="2">
        <v>10</v>
      </c>
      <c r="J280" s="8">
        <v>1.5</v>
      </c>
      <c r="K280" s="10">
        <v>0.20000000000000001</v>
      </c>
      <c r="L280" s="1">
        <f t="shared" si="76"/>
        <v>170173.64480000001</v>
      </c>
      <c r="M280" s="1">
        <f t="shared" si="77"/>
        <v>0.44742825701206446</v>
      </c>
      <c r="N280" s="1">
        <f t="shared" si="78"/>
        <v>76140.497282254175</v>
      </c>
      <c r="O280" s="1">
        <f t="shared" si="71"/>
        <v>76140.497282254175</v>
      </c>
      <c r="P280" s="1">
        <f t="shared" si="72"/>
        <v>0</v>
      </c>
      <c r="Q280" s="1">
        <f t="shared" si="73"/>
        <v>0</v>
      </c>
      <c r="R280" s="1">
        <f t="shared" si="74"/>
        <v>0</v>
      </c>
      <c r="S280" s="3">
        <f t="shared" si="75"/>
        <v>0</v>
      </c>
    </row>
    <row r="281" spans="2:19" ht="15.6" outlineLevel="2">
      <c r="B281" s="2" t="s">
        <v>7</v>
      </c>
      <c r="C281" s="2">
        <v>2011</v>
      </c>
      <c r="D281" s="1">
        <v>220408.54999999999</v>
      </c>
      <c r="E281" s="1">
        <v>220408.54999999999</v>
      </c>
      <c r="I281" s="2">
        <v>10</v>
      </c>
      <c r="J281" s="8">
        <v>0.5</v>
      </c>
      <c r="K281" s="10">
        <v>0.20000000000000001</v>
      </c>
      <c r="L281" s="1">
        <f t="shared" si="76"/>
        <v>167510.49799999999</v>
      </c>
      <c r="M281" s="1">
        <f t="shared" si="77"/>
        <v>0.44742825701206446</v>
      </c>
      <c r="N281" s="1">
        <f t="shared" si="78"/>
        <v>74948.930151362903</v>
      </c>
      <c r="O281" s="1">
        <f t="shared" si="71"/>
        <v>74948.930151362903</v>
      </c>
      <c r="P281" s="1">
        <f t="shared" si="72"/>
        <v>0</v>
      </c>
      <c r="Q281" s="1">
        <f t="shared" si="73"/>
        <v>0</v>
      </c>
      <c r="R281" s="1">
        <f t="shared" si="74"/>
        <v>0</v>
      </c>
      <c r="S281" s="3">
        <f t="shared" si="75"/>
        <v>0</v>
      </c>
    </row>
    <row r="282" spans="2:19" ht="0.75" customHeight="1" outlineLevel="2">
      <c r="B282" s="2" t="s">
        <v>7</v>
      </c>
      <c r="C282" s="2">
        <v>2010</v>
      </c>
      <c r="D282" s="1">
        <v>84179.910000000003</v>
      </c>
      <c r="E282" s="1">
        <v>84179.910000000003</v>
      </c>
      <c r="I282" s="2">
        <v>10</v>
      </c>
      <c r="J282" s="8">
        <v>0</v>
      </c>
      <c r="K282" s="10">
        <v>0.20000000000000001</v>
      </c>
      <c r="L282" s="1">
        <f t="shared" si="76"/>
        <v>67343.928</v>
      </c>
      <c r="M282" s="1">
        <v>1</v>
      </c>
      <c r="N282" s="1">
        <f t="shared" si="78"/>
        <v>67343.928</v>
      </c>
      <c r="O282" s="1">
        <f t="shared" si="71"/>
        <v>67343.928</v>
      </c>
      <c r="P282" s="1">
        <f t="shared" si="72"/>
        <v>0</v>
      </c>
      <c r="Q282" s="1">
        <f t="shared" si="73"/>
        <v>0</v>
      </c>
      <c r="R282" s="1">
        <f t="shared" si="74"/>
        <v>0</v>
      </c>
      <c r="S282" s="3">
        <f t="shared" si="75"/>
        <v>0</v>
      </c>
    </row>
    <row r="283" spans="1:19" ht="15.6" outlineLevel="1">
      <c r="A283" s="4" t="s">
        <v>27</v>
      </c>
      <c r="B283" s="2" t="s">
        <v>32</v>
      </c>
      <c r="D283" s="1">
        <f>SUBTOTAL(9,D276:D282)</f>
        <v>1040309.39</v>
      </c>
      <c r="E283" s="1">
        <f>SUBTOTAL(9,E276:E282)</f>
        <v>953334.78000000014</v>
      </c>
      <c r="F283" s="1">
        <f>SUBTOTAL(9,F276:F282)</f>
        <v>0</v>
      </c>
      <c r="G283" s="1">
        <f>SUBTOTAL(9,G276:G282)</f>
        <v>0</v>
      </c>
      <c r="H283" s="1">
        <f>SUBTOTAL(9,H276:H282)</f>
        <v>86974.610000000001</v>
      </c>
      <c r="J283" s="8">
        <f>+N283-K283</f>
        <v>0</v>
      </c>
      <c r="K283" s="10">
        <v>315689.61847649916</v>
      </c>
      <c r="L283" s="1">
        <f>SUBTOTAL(9,L276:L282)</f>
        <v>622395.3504</v>
      </c>
      <c r="M283" s="1">
        <v>0.44742825701206446</v>
      </c>
      <c r="N283" s="1">
        <f>SUBTOTAL(9,N276:N282)</f>
        <v>315689.61847649916</v>
      </c>
      <c r="O283" s="1">
        <f t="shared" si="71"/>
        <v>289296.52646755148</v>
      </c>
      <c r="P283" s="1">
        <f t="shared" si="72"/>
        <v>0</v>
      </c>
      <c r="Q283" s="1">
        <f t="shared" si="73"/>
        <v>0</v>
      </c>
      <c r="R283" s="1">
        <f t="shared" si="74"/>
        <v>26393.092008947751</v>
      </c>
      <c r="S283" s="3">
        <f t="shared" si="75"/>
        <v>-6.5483618527650833E-11</v>
      </c>
    </row>
    <row r="284" spans="2:19" ht="15.6" outlineLevel="2">
      <c r="B284" s="2" t="s">
        <v>9</v>
      </c>
      <c r="C284" s="2">
        <v>2021</v>
      </c>
      <c r="D284" s="1">
        <v>1274934.52</v>
      </c>
      <c r="E284" s="1">
        <v>391497.03000000009</v>
      </c>
      <c r="H284" s="1">
        <v>883437.48999999999</v>
      </c>
      <c r="I284" s="2">
        <v>15</v>
      </c>
      <c r="J284" s="8">
        <v>14.5</v>
      </c>
      <c r="K284" s="10">
        <v>0.20000000000000001</v>
      </c>
      <c r="L284" s="1">
        <f t="shared" si="79" ref="L284:L295">+D284*(1-K284)*(1-J284/I284)</f>
        <v>33998.253866666659</v>
      </c>
      <c r="M284" s="1">
        <f t="shared" si="80" ref="M284:M295">$M$296</f>
        <v>0.44549895593258143</v>
      </c>
      <c r="N284" s="1">
        <f t="shared" si="81" ref="N284:N295">IF((D284*(1-K284)-L284*M284)&lt;0,D284*(1-K284),L284*M284)</f>
        <v>15146.186601130847</v>
      </c>
      <c r="O284" s="1">
        <f t="shared" si="71"/>
        <v>4650.9738164188402</v>
      </c>
      <c r="P284" s="1">
        <f t="shared" si="72"/>
        <v>0</v>
      </c>
      <c r="Q284" s="1">
        <f t="shared" si="73"/>
        <v>0</v>
      </c>
      <c r="R284" s="1">
        <f t="shared" si="74"/>
        <v>10495.212784712006</v>
      </c>
      <c r="S284" s="3">
        <f t="shared" si="75"/>
        <v>0</v>
      </c>
    </row>
    <row r="285" spans="2:19" ht="15.6" outlineLevel="2">
      <c r="B285" s="2" t="s">
        <v>9</v>
      </c>
      <c r="C285" s="2">
        <v>2020</v>
      </c>
      <c r="D285" s="1">
        <v>3161425.6000000001</v>
      </c>
      <c r="E285" s="1">
        <v>1210319.76</v>
      </c>
      <c r="H285" s="1">
        <v>1951105.8400000001</v>
      </c>
      <c r="I285" s="2">
        <v>15</v>
      </c>
      <c r="J285" s="8">
        <v>13.5</v>
      </c>
      <c r="K285" s="10">
        <v>0.20000000000000001</v>
      </c>
      <c r="L285" s="1">
        <f t="shared" si="79"/>
        <v>252914.04799999998</v>
      </c>
      <c r="M285" s="1">
        <f t="shared" si="80"/>
        <v>0.44549895593258143</v>
      </c>
      <c r="N285" s="1">
        <f t="shared" si="81"/>
        <v>112672.94432468277</v>
      </c>
      <c r="O285" s="1">
        <f t="shared" si="71"/>
        <v>43135.695153965797</v>
      </c>
      <c r="P285" s="1">
        <f t="shared" si="72"/>
        <v>0</v>
      </c>
      <c r="Q285" s="1">
        <f t="shared" si="73"/>
        <v>0</v>
      </c>
      <c r="R285" s="1">
        <f t="shared" si="74"/>
        <v>69537.249170716983</v>
      </c>
      <c r="S285" s="3">
        <f t="shared" si="75"/>
        <v>0</v>
      </c>
    </row>
    <row r="286" spans="2:19" ht="15.6" outlineLevel="2">
      <c r="B286" s="2" t="s">
        <v>9</v>
      </c>
      <c r="C286" s="2">
        <v>2019</v>
      </c>
      <c r="D286" s="1">
        <v>1199086.3399999999</v>
      </c>
      <c r="E286" s="1">
        <v>145163.21000000002</v>
      </c>
      <c r="H286" s="1">
        <v>1053923.1299999999</v>
      </c>
      <c r="I286" s="2">
        <v>15</v>
      </c>
      <c r="J286" s="8">
        <v>12.5</v>
      </c>
      <c r="K286" s="10">
        <v>0.20000000000000001</v>
      </c>
      <c r="L286" s="1">
        <f t="shared" si="79"/>
        <v>159878.17866666662</v>
      </c>
      <c r="M286" s="1">
        <f t="shared" si="80"/>
        <v>0.44549895593258143</v>
      </c>
      <c r="N286" s="1">
        <f t="shared" si="81"/>
        <v>71225.561672402691</v>
      </c>
      <c r="O286" s="1">
        <f t="shared" si="71"/>
        <v>8622.6744659762753</v>
      </c>
      <c r="P286" s="1">
        <f t="shared" si="72"/>
        <v>0</v>
      </c>
      <c r="Q286" s="1">
        <f t="shared" si="73"/>
        <v>0</v>
      </c>
      <c r="R286" s="1">
        <f t="shared" si="74"/>
        <v>62602.887206426421</v>
      </c>
      <c r="S286" s="3">
        <f t="shared" si="75"/>
        <v>0</v>
      </c>
    </row>
    <row r="287" spans="2:19" ht="15.6" outlineLevel="2">
      <c r="B287" s="2" t="s">
        <v>9</v>
      </c>
      <c r="C287" s="2">
        <v>2018</v>
      </c>
      <c r="D287" s="1">
        <v>2426907.96</v>
      </c>
      <c r="E287" s="1">
        <v>1239140.3899999999</v>
      </c>
      <c r="H287" s="1">
        <v>1187767.5700000003</v>
      </c>
      <c r="I287" s="2">
        <v>15</v>
      </c>
      <c r="J287" s="8">
        <v>11.5</v>
      </c>
      <c r="K287" s="10">
        <v>0.20000000000000001</v>
      </c>
      <c r="L287" s="1">
        <f t="shared" si="79"/>
        <v>453022.81919999991</v>
      </c>
      <c r="M287" s="1">
        <f t="shared" si="80"/>
        <v>0.44549895593258143</v>
      </c>
      <c r="N287" s="1">
        <f t="shared" si="81"/>
        <v>201821.19296723456</v>
      </c>
      <c r="O287" s="1">
        <f t="shared" si="71"/>
        <v>103046.67333312644</v>
      </c>
      <c r="P287" s="1">
        <f t="shared" si="72"/>
        <v>0</v>
      </c>
      <c r="Q287" s="1">
        <f t="shared" si="73"/>
        <v>0</v>
      </c>
      <c r="R287" s="1">
        <f t="shared" si="74"/>
        <v>98774.519634108146</v>
      </c>
      <c r="S287" s="3">
        <f t="shared" si="75"/>
        <v>0</v>
      </c>
    </row>
    <row r="288" spans="2:19" ht="15.6" outlineLevel="2">
      <c r="B288" s="2" t="s">
        <v>9</v>
      </c>
      <c r="C288" s="2">
        <v>2017</v>
      </c>
      <c r="D288" s="1">
        <v>1825743.27</v>
      </c>
      <c r="E288" s="1">
        <v>658456.28000000014</v>
      </c>
      <c r="H288" s="1">
        <v>1167286.99</v>
      </c>
      <c r="I288" s="2">
        <v>15</v>
      </c>
      <c r="J288" s="8">
        <v>10.5</v>
      </c>
      <c r="K288" s="10">
        <v>0.20000000000000001</v>
      </c>
      <c r="L288" s="1">
        <f t="shared" si="79"/>
        <v>438178.38480000012</v>
      </c>
      <c r="M288" s="1">
        <f t="shared" si="80"/>
        <v>0.44549895593258143</v>
      </c>
      <c r="N288" s="1">
        <f t="shared" si="81"/>
        <v>195208.01294062496</v>
      </c>
      <c r="O288" s="1">
        <f t="shared" si="71"/>
        <v>70401.98046414039</v>
      </c>
      <c r="P288" s="1">
        <f t="shared" si="72"/>
        <v>0</v>
      </c>
      <c r="Q288" s="1">
        <f t="shared" si="73"/>
        <v>0</v>
      </c>
      <c r="R288" s="1">
        <f t="shared" si="74"/>
        <v>124806.03247648459</v>
      </c>
      <c r="S288" s="3">
        <f t="shared" si="75"/>
        <v>0</v>
      </c>
    </row>
    <row r="289" spans="2:19" ht="15.6" outlineLevel="2">
      <c r="B289" s="2" t="s">
        <v>9</v>
      </c>
      <c r="C289" s="2">
        <v>2016</v>
      </c>
      <c r="D289" s="1">
        <v>990721.28000000026</v>
      </c>
      <c r="E289" s="1">
        <v>274330.16999999998</v>
      </c>
      <c r="H289" s="1">
        <v>716391.11000000022</v>
      </c>
      <c r="I289" s="2">
        <v>15</v>
      </c>
      <c r="J289" s="8">
        <v>9.5</v>
      </c>
      <c r="K289" s="10">
        <v>0.20000000000000001</v>
      </c>
      <c r="L289" s="1">
        <f t="shared" si="79"/>
        <v>290611.57546666678</v>
      </c>
      <c r="M289" s="1">
        <f t="shared" si="80"/>
        <v>0.44549895593258143</v>
      </c>
      <c r="N289" s="1">
        <f t="shared" si="81"/>
        <v>129467.15345232264</v>
      </c>
      <c r="O289" s="1">
        <f t="shared" si="71"/>
        <v>35849.382599303557</v>
      </c>
      <c r="P289" s="1">
        <f t="shared" si="72"/>
        <v>0</v>
      </c>
      <c r="Q289" s="1">
        <f t="shared" si="73"/>
        <v>0</v>
      </c>
      <c r="R289" s="1">
        <f t="shared" si="74"/>
        <v>93617.770853019087</v>
      </c>
      <c r="S289" s="3">
        <f t="shared" si="75"/>
        <v>0</v>
      </c>
    </row>
    <row r="290" spans="2:19" ht="15.6" outlineLevel="2">
      <c r="B290" s="2" t="s">
        <v>9</v>
      </c>
      <c r="C290" s="2">
        <v>2015</v>
      </c>
      <c r="D290" s="1">
        <v>493095.01000000007</v>
      </c>
      <c r="E290" s="1">
        <v>471505.17000000004</v>
      </c>
      <c r="H290" s="1">
        <v>21589.84</v>
      </c>
      <c r="I290" s="2">
        <v>15</v>
      </c>
      <c r="J290" s="8">
        <v>8.5</v>
      </c>
      <c r="K290" s="10">
        <v>0.20000000000000001</v>
      </c>
      <c r="L290" s="1">
        <f t="shared" si="79"/>
        <v>170939.60346666671</v>
      </c>
      <c r="M290" s="1">
        <f t="shared" si="80"/>
        <v>0.44549895593258143</v>
      </c>
      <c r="N290" s="1">
        <f t="shared" si="81"/>
        <v>76153.41487192949</v>
      </c>
      <c r="O290" s="1">
        <f t="shared" si="71"/>
        <v>72819.08779662897</v>
      </c>
      <c r="P290" s="1">
        <f t="shared" si="72"/>
        <v>0</v>
      </c>
      <c r="Q290" s="1">
        <f t="shared" si="73"/>
        <v>0</v>
      </c>
      <c r="R290" s="1">
        <f t="shared" si="74"/>
        <v>3334.3270753005145</v>
      </c>
      <c r="S290" s="3">
        <f t="shared" si="75"/>
        <v>5.4569682106375694E-12</v>
      </c>
    </row>
    <row r="291" spans="2:19" ht="15.6" outlineLevel="2">
      <c r="B291" s="2" t="s">
        <v>9</v>
      </c>
      <c r="C291" s="2">
        <v>2014</v>
      </c>
      <c r="D291" s="1">
        <v>1918680.3799999999</v>
      </c>
      <c r="E291" s="1">
        <v>1024329.8300000001</v>
      </c>
      <c r="H291" s="1">
        <v>894350.54999999993</v>
      </c>
      <c r="I291" s="2">
        <v>15</v>
      </c>
      <c r="J291" s="8">
        <v>7.5</v>
      </c>
      <c r="K291" s="10">
        <v>0.20000000000000001</v>
      </c>
      <c r="L291" s="1">
        <f t="shared" si="79"/>
        <v>767472.152</v>
      </c>
      <c r="M291" s="1">
        <f t="shared" si="80"/>
        <v>0.44549895593258143</v>
      </c>
      <c r="N291" s="1">
        <f t="shared" si="81"/>
        <v>341908.04242333141</v>
      </c>
      <c r="O291" s="1">
        <f t="shared" si="71"/>
        <v>182535.14791823944</v>
      </c>
      <c r="P291" s="1">
        <f t="shared" si="72"/>
        <v>0</v>
      </c>
      <c r="Q291" s="1">
        <f t="shared" si="73"/>
        <v>0</v>
      </c>
      <c r="R291" s="1">
        <f t="shared" si="74"/>
        <v>159372.89450509197</v>
      </c>
      <c r="S291" s="3">
        <f t="shared" si="75"/>
        <v>0</v>
      </c>
    </row>
    <row r="292" spans="2:19" ht="15.6" outlineLevel="2">
      <c r="B292" s="2" t="s">
        <v>9</v>
      </c>
      <c r="C292" s="2">
        <v>2013</v>
      </c>
      <c r="D292" s="1">
        <v>1495131.0799999998</v>
      </c>
      <c r="E292" s="1">
        <v>1023225.95</v>
      </c>
      <c r="H292" s="1">
        <v>471905.12999999995</v>
      </c>
      <c r="I292" s="2">
        <v>15</v>
      </c>
      <c r="J292" s="8">
        <v>6.5</v>
      </c>
      <c r="K292" s="10">
        <v>0.20000000000000001</v>
      </c>
      <c r="L292" s="1">
        <f t="shared" si="79"/>
        <v>677792.75626666658</v>
      </c>
      <c r="M292" s="1">
        <f t="shared" si="80"/>
        <v>0.44549895593258143</v>
      </c>
      <c r="N292" s="1">
        <f t="shared" si="81"/>
        <v>301955.96525546658</v>
      </c>
      <c r="O292" s="1">
        <f t="shared" si="71"/>
        <v>206650.22855834942</v>
      </c>
      <c r="P292" s="1">
        <f t="shared" si="72"/>
        <v>0</v>
      </c>
      <c r="Q292" s="1">
        <f t="shared" si="73"/>
        <v>0</v>
      </c>
      <c r="R292" s="1">
        <f t="shared" si="74"/>
        <v>95305.736697117187</v>
      </c>
      <c r="S292" s="3">
        <f t="shared" si="75"/>
        <v>0</v>
      </c>
    </row>
    <row r="293" spans="2:19" ht="15.6" outlineLevel="2">
      <c r="B293" s="2" t="s">
        <v>9</v>
      </c>
      <c r="C293" s="2">
        <v>2012</v>
      </c>
      <c r="D293" s="1">
        <v>1016734.0999999999</v>
      </c>
      <c r="E293" s="1">
        <v>965018.15999999992</v>
      </c>
      <c r="H293" s="1">
        <v>51715.939999999995</v>
      </c>
      <c r="I293" s="2">
        <v>15</v>
      </c>
      <c r="J293" s="8">
        <v>5.5</v>
      </c>
      <c r="K293" s="10">
        <v>0.20000000000000001</v>
      </c>
      <c r="L293" s="1">
        <f t="shared" si="79"/>
        <v>515145.27733333327</v>
      </c>
      <c r="M293" s="1">
        <f t="shared" si="80"/>
        <v>0.44549895593258143</v>
      </c>
      <c r="N293" s="1">
        <f t="shared" si="81"/>
        <v>229496.68320560007</v>
      </c>
      <c r="O293" s="1">
        <f t="shared" si="71"/>
        <v>217823.38858623026</v>
      </c>
      <c r="P293" s="1">
        <f t="shared" si="72"/>
        <v>0</v>
      </c>
      <c r="Q293" s="1">
        <f t="shared" si="73"/>
        <v>0</v>
      </c>
      <c r="R293" s="1">
        <f t="shared" si="74"/>
        <v>11673.294619369824</v>
      </c>
      <c r="S293" s="3">
        <f t="shared" si="75"/>
        <v>0</v>
      </c>
    </row>
    <row r="294" spans="2:19" ht="15.6" outlineLevel="2">
      <c r="B294" s="2" t="s">
        <v>9</v>
      </c>
      <c r="C294" s="2">
        <v>2011</v>
      </c>
      <c r="D294" s="1">
        <v>503739.52000000002</v>
      </c>
      <c r="E294" s="1">
        <v>306125.26000000001</v>
      </c>
      <c r="H294" s="1">
        <v>197614.26000000004</v>
      </c>
      <c r="I294" s="2">
        <v>15</v>
      </c>
      <c r="J294" s="8">
        <v>4.5</v>
      </c>
      <c r="K294" s="10">
        <v>0.20000000000000001</v>
      </c>
      <c r="L294" s="1">
        <f t="shared" si="79"/>
        <v>282094.1312</v>
      </c>
      <c r="M294" s="1">
        <f t="shared" si="80"/>
        <v>0.44549895593258143</v>
      </c>
      <c r="N294" s="1">
        <f t="shared" si="81"/>
        <v>125672.64092430865</v>
      </c>
      <c r="O294" s="1">
        <f t="shared" si="71"/>
        <v>76371.950880170421</v>
      </c>
      <c r="P294" s="1">
        <f t="shared" si="72"/>
        <v>0</v>
      </c>
      <c r="Q294" s="1">
        <f t="shared" si="73"/>
        <v>0</v>
      </c>
      <c r="R294" s="1">
        <f t="shared" si="74"/>
        <v>49300.690044138231</v>
      </c>
      <c r="S294" s="3">
        <f t="shared" si="75"/>
        <v>0</v>
      </c>
    </row>
    <row r="295" spans="2:19" ht="15.6" outlineLevel="2">
      <c r="B295" s="2" t="s">
        <v>9</v>
      </c>
      <c r="C295" s="2">
        <v>2010</v>
      </c>
      <c r="D295" s="1">
        <v>172334.80000000002</v>
      </c>
      <c r="E295" s="1">
        <v>157681.79000000001</v>
      </c>
      <c r="H295" s="1">
        <v>14653.01</v>
      </c>
      <c r="I295" s="2">
        <v>15</v>
      </c>
      <c r="J295" s="8">
        <v>3.5</v>
      </c>
      <c r="K295" s="10">
        <v>0.20000000000000001</v>
      </c>
      <c r="L295" s="1">
        <f t="shared" si="79"/>
        <v>105698.67733333334</v>
      </c>
      <c r="M295" s="1">
        <f t="shared" si="80"/>
        <v>0.44549895593258143</v>
      </c>
      <c r="N295" s="1">
        <f t="shared" si="81"/>
        <v>47088.650395454817</v>
      </c>
      <c r="O295" s="1">
        <f t="shared" si="71"/>
        <v>43084.871326276079</v>
      </c>
      <c r="P295" s="1">
        <f t="shared" si="72"/>
        <v>0</v>
      </c>
      <c r="Q295" s="1">
        <f t="shared" si="73"/>
        <v>0</v>
      </c>
      <c r="R295" s="1">
        <f t="shared" si="74"/>
        <v>4003.7790691787345</v>
      </c>
      <c r="S295" s="3">
        <f t="shared" si="75"/>
        <v>0</v>
      </c>
    </row>
    <row r="296" spans="1:19" ht="15.6" outlineLevel="1">
      <c r="A296" s="4" t="s">
        <v>28</v>
      </c>
      <c r="B296" s="2" t="s">
        <v>32</v>
      </c>
      <c r="D296" s="1">
        <f>SUBTOTAL(9,D284:D295)</f>
        <v>16478533.859999999</v>
      </c>
      <c r="E296" s="1">
        <f>SUBTOTAL(9,E284:E295)</f>
        <v>7866793</v>
      </c>
      <c r="F296" s="1">
        <f>SUBTOTAL(9,F284:F295)</f>
        <v>0</v>
      </c>
      <c r="G296" s="1">
        <f>SUBTOTAL(9,G284:G295)</f>
        <v>0</v>
      </c>
      <c r="H296" s="1">
        <f>SUBTOTAL(9,H284:H295)</f>
        <v>8611740.8599999994</v>
      </c>
      <c r="I296" s="3">
        <f>+N296-J296</f>
        <v>0</v>
      </c>
      <c r="J296" s="8">
        <v>1847816.4490344897</v>
      </c>
      <c r="L296" s="1">
        <f>SUBTOTAL(9,L284:L295)</f>
        <v>4147745.8576000002</v>
      </c>
      <c r="M296" s="1">
        <f>+J296/L296</f>
        <v>0.44549895593258143</v>
      </c>
      <c r="N296" s="1">
        <f>SUBTOTAL(9,N284:N295)</f>
        <v>1847816.4490344895</v>
      </c>
      <c r="O296" s="1">
        <f t="shared" si="71"/>
        <v>882140.94955589564</v>
      </c>
      <c r="P296" s="1">
        <f t="shared" si="72"/>
        <v>0</v>
      </c>
      <c r="Q296" s="1">
        <f t="shared" si="73"/>
        <v>0</v>
      </c>
      <c r="R296" s="1">
        <f t="shared" si="74"/>
        <v>965675.4994785937</v>
      </c>
      <c r="S296" s="3">
        <f t="shared" si="75"/>
        <v>0</v>
      </c>
    </row>
    <row r="297" spans="19:19" ht="15.6" outlineLevel="1">
      <c r="S297" s="3"/>
    </row>
    <row r="298" spans="19:19" ht="15.6" outlineLevel="1">
      <c r="S298" s="3"/>
    </row>
    <row r="299" spans="19:19" ht="15.6" outlineLevel="1">
      <c r="S299" s="3"/>
    </row>
    <row r="300" spans="2:19" ht="15.6" outlineLevel="2">
      <c r="B300" s="2" t="s">
        <v>8</v>
      </c>
      <c r="C300" s="2">
        <v>2018</v>
      </c>
      <c r="S300" s="3"/>
    </row>
    <row r="301" spans="2:19" ht="15.6" outlineLevel="2">
      <c r="B301" s="2" t="s">
        <v>8</v>
      </c>
      <c r="C301" s="2">
        <v>2017</v>
      </c>
      <c r="D301" s="1">
        <v>645178.53000000003</v>
      </c>
      <c r="E301" s="1">
        <v>584813.42000000004</v>
      </c>
      <c r="H301" s="1">
        <v>60365.110000000001</v>
      </c>
      <c r="I301" s="2">
        <v>7</v>
      </c>
      <c r="J301" s="8">
        <v>2.5</v>
      </c>
      <c r="K301" s="10">
        <v>0.20000000000000001</v>
      </c>
      <c r="L301" s="1">
        <f t="shared" si="82" ref="L301:L308">+D301*(1-K301)*(1-J301/I301)</f>
        <v>331806.10114285711</v>
      </c>
      <c r="M301" s="1">
        <f t="shared" si="83" ref="M301:M303">$M$309</f>
        <v>0.17978827732411962</v>
      </c>
      <c r="N301" s="1">
        <f t="shared" si="84" ref="N301:N308">IF((D301*(1-K301)-L301*M301)&lt;0,D301*(1-K301),L301*M301)</f>
        <v>59654.847330106873</v>
      </c>
      <c r="O301" s="1">
        <f t="shared" si="85" ref="O301:O332">+E301/$D301*$N301</f>
        <v>54073.335773739513</v>
      </c>
      <c r="P301" s="1">
        <f t="shared" si="86" ref="P301:P332">+F301/$D301*$N301</f>
        <v>0</v>
      </c>
      <c r="Q301" s="1">
        <f t="shared" si="87" ref="Q301:Q332">+G301/$D301*$N301</f>
        <v>0</v>
      </c>
      <c r="R301" s="1">
        <f t="shared" si="88" ref="R301:R332">+H301/$D301*$N301</f>
        <v>5581.5115563673635</v>
      </c>
      <c r="S301" s="3">
        <f t="shared" si="75"/>
        <v>0</v>
      </c>
    </row>
    <row r="302" spans="2:19" ht="15.6" outlineLevel="2">
      <c r="B302" s="2" t="s">
        <v>8</v>
      </c>
      <c r="C302" s="2">
        <v>2016</v>
      </c>
      <c r="D302" s="1">
        <v>586280.77000000002</v>
      </c>
      <c r="E302" s="1">
        <v>586280.77000000002</v>
      </c>
      <c r="I302" s="2">
        <v>7</v>
      </c>
      <c r="J302" s="8">
        <v>1.5</v>
      </c>
      <c r="K302" s="10">
        <v>0.20000000000000001</v>
      </c>
      <c r="L302" s="1">
        <f t="shared" si="82"/>
        <v>368519.34114285716</v>
      </c>
      <c r="M302" s="1">
        <f t="shared" si="83"/>
        <v>0.17978827732411962</v>
      </c>
      <c r="N302" s="1">
        <f t="shared" si="84"/>
        <v>66255.457504693841</v>
      </c>
      <c r="O302" s="1">
        <f t="shared" si="85"/>
        <v>66255.457504693841</v>
      </c>
      <c r="P302" s="1">
        <f t="shared" si="86"/>
        <v>0</v>
      </c>
      <c r="Q302" s="1">
        <f t="shared" si="87"/>
        <v>0</v>
      </c>
      <c r="R302" s="1">
        <f t="shared" si="88"/>
        <v>0</v>
      </c>
      <c r="S302" s="3">
        <f t="shared" si="75"/>
        <v>0</v>
      </c>
    </row>
    <row r="303" spans="2:19" ht="15.6" outlineLevel="2">
      <c r="B303" s="2" t="s">
        <v>8</v>
      </c>
      <c r="C303" s="2">
        <v>2015</v>
      </c>
      <c r="D303" s="1">
        <v>841865.79000000004</v>
      </c>
      <c r="E303" s="1">
        <v>841865.79000000004</v>
      </c>
      <c r="I303" s="2">
        <v>7</v>
      </c>
      <c r="J303" s="8">
        <v>0.5</v>
      </c>
      <c r="K303" s="10">
        <v>0.20000000000000001</v>
      </c>
      <c r="L303" s="1">
        <f t="shared" si="82"/>
        <v>625386.0154285715</v>
      </c>
      <c r="M303" s="1">
        <f t="shared" si="83"/>
        <v>0.17978827732411962</v>
      </c>
      <c r="N303" s="1">
        <f t="shared" si="84"/>
        <v>112437.07437649816</v>
      </c>
      <c r="O303" s="1">
        <f t="shared" si="85"/>
        <v>112437.07437649816</v>
      </c>
      <c r="P303" s="1">
        <f t="shared" si="86"/>
        <v>0</v>
      </c>
      <c r="Q303" s="1">
        <f t="shared" si="87"/>
        <v>0</v>
      </c>
      <c r="R303" s="1">
        <f t="shared" si="88"/>
        <v>0</v>
      </c>
      <c r="S303" s="3">
        <f t="shared" si="75"/>
        <v>0</v>
      </c>
    </row>
    <row r="304" spans="2:19" ht="15.6" outlineLevel="2">
      <c r="B304" s="2" t="s">
        <v>8</v>
      </c>
      <c r="C304" s="2">
        <v>2014</v>
      </c>
      <c r="D304" s="1">
        <v>1003747.65</v>
      </c>
      <c r="E304" s="1">
        <v>1003747.65</v>
      </c>
      <c r="I304" s="2">
        <v>7</v>
      </c>
      <c r="J304" s="8">
        <v>0</v>
      </c>
      <c r="K304" s="10">
        <v>0.20000000000000001</v>
      </c>
      <c r="L304" s="1">
        <f t="shared" si="82"/>
        <v>802998.12000000011</v>
      </c>
      <c r="M304" s="1">
        <v>1</v>
      </c>
      <c r="N304" s="1">
        <f t="shared" si="84"/>
        <v>802998.12000000011</v>
      </c>
      <c r="O304" s="1">
        <f t="shared" si="85"/>
        <v>802998.12000000011</v>
      </c>
      <c r="P304" s="1">
        <f t="shared" si="86"/>
        <v>0</v>
      </c>
      <c r="Q304" s="1">
        <f t="shared" si="87"/>
        <v>0</v>
      </c>
      <c r="R304" s="1">
        <f t="shared" si="88"/>
        <v>0</v>
      </c>
      <c r="S304" s="3">
        <f t="shared" si="75"/>
        <v>0</v>
      </c>
    </row>
    <row r="305" spans="2:19" ht="15.6" outlineLevel="2">
      <c r="B305" s="2" t="s">
        <v>8</v>
      </c>
      <c r="C305" s="2">
        <v>2013</v>
      </c>
      <c r="D305" s="1">
        <v>485715.96000000002</v>
      </c>
      <c r="E305" s="1">
        <v>485715.96000000002</v>
      </c>
      <c r="I305" s="2">
        <v>7</v>
      </c>
      <c r="J305" s="8">
        <v>0</v>
      </c>
      <c r="K305" s="10">
        <v>0.20000000000000001</v>
      </c>
      <c r="L305" s="1">
        <f t="shared" si="82"/>
        <v>388572.76800000004</v>
      </c>
      <c r="M305" s="1">
        <v>1</v>
      </c>
      <c r="N305" s="1">
        <f t="shared" si="84"/>
        <v>388572.76800000004</v>
      </c>
      <c r="O305" s="1">
        <f t="shared" si="85"/>
        <v>388572.76800000004</v>
      </c>
      <c r="P305" s="1">
        <f t="shared" si="86"/>
        <v>0</v>
      </c>
      <c r="Q305" s="1">
        <f t="shared" si="87"/>
        <v>0</v>
      </c>
      <c r="R305" s="1">
        <f t="shared" si="88"/>
        <v>0</v>
      </c>
      <c r="S305" s="3">
        <f t="shared" si="75"/>
        <v>0</v>
      </c>
    </row>
    <row r="306" spans="2:19" ht="15.6" outlineLevel="2">
      <c r="B306" s="2" t="s">
        <v>8</v>
      </c>
      <c r="C306" s="2">
        <v>2012</v>
      </c>
      <c r="D306" s="1">
        <v>306416.79999999999</v>
      </c>
      <c r="E306" s="1">
        <v>306416.79999999999</v>
      </c>
      <c r="I306" s="2">
        <v>7</v>
      </c>
      <c r="J306" s="8">
        <v>0</v>
      </c>
      <c r="K306" s="10">
        <v>0.20000000000000001</v>
      </c>
      <c r="L306" s="1">
        <f t="shared" si="82"/>
        <v>245133.44</v>
      </c>
      <c r="M306" s="1">
        <v>1</v>
      </c>
      <c r="N306" s="1">
        <f t="shared" si="84"/>
        <v>245133.44</v>
      </c>
      <c r="O306" s="1">
        <f t="shared" si="85"/>
        <v>245133.44</v>
      </c>
      <c r="P306" s="1">
        <f t="shared" si="86"/>
        <v>0</v>
      </c>
      <c r="Q306" s="1">
        <f t="shared" si="87"/>
        <v>0</v>
      </c>
      <c r="R306" s="1">
        <f t="shared" si="88"/>
        <v>0</v>
      </c>
      <c r="S306" s="3">
        <f t="shared" si="75"/>
        <v>0</v>
      </c>
    </row>
    <row r="307" spans="2:19" ht="15.6" outlineLevel="2">
      <c r="B307" s="2" t="s">
        <v>8</v>
      </c>
      <c r="C307" s="2">
        <v>2011</v>
      </c>
      <c r="D307" s="1">
        <v>45362.630000000005</v>
      </c>
      <c r="E307" s="1">
        <v>45362.630000000005</v>
      </c>
      <c r="I307" s="2">
        <v>7</v>
      </c>
      <c r="J307" s="8">
        <v>0</v>
      </c>
      <c r="K307" s="10">
        <v>0.20000000000000001</v>
      </c>
      <c r="L307" s="1">
        <f t="shared" si="82"/>
        <v>36290.104000000007</v>
      </c>
      <c r="M307" s="1">
        <v>1</v>
      </c>
      <c r="N307" s="1">
        <f t="shared" si="84"/>
        <v>36290.104000000007</v>
      </c>
      <c r="O307" s="1">
        <f t="shared" si="85"/>
        <v>36290.104000000007</v>
      </c>
      <c r="P307" s="1">
        <f t="shared" si="86"/>
        <v>0</v>
      </c>
      <c r="Q307" s="1">
        <f t="shared" si="87"/>
        <v>0</v>
      </c>
      <c r="R307" s="1">
        <f t="shared" si="88"/>
        <v>0</v>
      </c>
      <c r="S307" s="3">
        <f t="shared" si="75"/>
        <v>0</v>
      </c>
    </row>
    <row r="308" spans="2:19" ht="15.6" outlineLevel="2">
      <c r="B308" s="2" t="s">
        <v>8</v>
      </c>
      <c r="C308" s="2">
        <v>2010</v>
      </c>
      <c r="D308" s="1">
        <v>42098.610000000001</v>
      </c>
      <c r="E308" s="1">
        <v>42098.610000000001</v>
      </c>
      <c r="I308" s="2">
        <v>7</v>
      </c>
      <c r="J308" s="8">
        <v>0</v>
      </c>
      <c r="K308" s="10">
        <v>0.20000000000000001</v>
      </c>
      <c r="L308" s="1">
        <f t="shared" si="82"/>
        <v>33678.887999999999</v>
      </c>
      <c r="M308" s="1">
        <v>1</v>
      </c>
      <c r="N308" s="1">
        <f t="shared" si="84"/>
        <v>33678.887999999999</v>
      </c>
      <c r="O308" s="1">
        <f t="shared" si="85"/>
        <v>33678.887999999999</v>
      </c>
      <c r="P308" s="1">
        <f t="shared" si="86"/>
        <v>0</v>
      </c>
      <c r="Q308" s="1">
        <f t="shared" si="87"/>
        <v>0</v>
      </c>
      <c r="R308" s="1">
        <f t="shared" si="88"/>
        <v>0</v>
      </c>
      <c r="S308" s="3">
        <f t="shared" si="75"/>
        <v>0</v>
      </c>
    </row>
    <row r="309" spans="1:19" ht="15.6" outlineLevel="1">
      <c r="A309" s="4" t="s">
        <v>29</v>
      </c>
      <c r="B309" s="2" t="s">
        <v>32</v>
      </c>
      <c r="D309" s="1">
        <f>SUBTOTAL(9,D300:D308)</f>
        <v>3956666.7399999998</v>
      </c>
      <c r="E309" s="1">
        <f>SUBTOTAL(9,E300:E308)</f>
        <v>3896301.6299999994</v>
      </c>
      <c r="F309" s="1">
        <f>SUBTOTAL(9,F300:F308)</f>
        <v>0</v>
      </c>
      <c r="G309" s="1">
        <f>SUBTOTAL(9,G300:G308)</f>
        <v>0</v>
      </c>
      <c r="H309" s="1">
        <f>SUBTOTAL(9,H300:H308)</f>
        <v>60365.110000000001</v>
      </c>
      <c r="L309" s="1">
        <f>SUBTOTAL(9,L300:L308)</f>
        <v>2832384.7777142855</v>
      </c>
      <c r="M309" s="1">
        <v>0.17978827732411962</v>
      </c>
      <c r="N309" s="1">
        <f>SUBTOTAL(9,N300:N308)</f>
        <v>1745020.699211299</v>
      </c>
      <c r="O309" s="1">
        <f t="shared" si="85"/>
        <v>1718397.6921747834</v>
      </c>
      <c r="P309" s="1">
        <f t="shared" si="86"/>
        <v>0</v>
      </c>
      <c r="Q309" s="1">
        <f t="shared" si="87"/>
        <v>0</v>
      </c>
      <c r="R309" s="1">
        <f t="shared" si="88"/>
        <v>26623.007036515533</v>
      </c>
      <c r="S309" s="3">
        <f t="shared" si="75"/>
        <v>0</v>
      </c>
    </row>
    <row r="310" spans="2:19" ht="15.6" outlineLevel="2">
      <c r="B310" s="2" t="s">
        <v>6</v>
      </c>
      <c r="C310" s="2">
        <v>2021</v>
      </c>
      <c r="D310" s="2">
        <v>202209.48000000001</v>
      </c>
      <c r="E310" s="1">
        <v>178154.49000000002</v>
      </c>
      <c r="F310" s="1">
        <v>14498.869999999999</v>
      </c>
      <c r="G310" s="1">
        <v>0</v>
      </c>
      <c r="H310" s="1">
        <v>9556.119999999999</v>
      </c>
      <c r="I310" s="2">
        <v>35</v>
      </c>
      <c r="J310" s="8">
        <v>34.5</v>
      </c>
      <c r="K310" s="10">
        <v>0</v>
      </c>
      <c r="L310" s="1">
        <f t="shared" si="89" ref="L310:L343">+D310*(1-K310)*(1-J310/I310)</f>
        <v>2888.7068571428472</v>
      </c>
      <c r="M310" s="1">
        <f t="shared" si="90" ref="M310:M343">$M$344</f>
        <v>0.44742825701206435</v>
      </c>
      <c r="N310" s="1">
        <f t="shared" si="91" ref="N310:N343">IF((D310*(1-K310)-L310*M310)&lt;0,D310*(1-K310),L310*M310)</f>
        <v>1292.4890741102224</v>
      </c>
      <c r="O310" s="1">
        <f t="shared" si="85"/>
        <v>1138.7336134224711</v>
      </c>
      <c r="P310" s="1">
        <f t="shared" si="86"/>
        <v>92.674344753492662</v>
      </c>
      <c r="Q310" s="1">
        <f t="shared" si="87"/>
        <v>0</v>
      </c>
      <c r="R310" s="1">
        <f t="shared" si="88"/>
        <v>61.081115934258754</v>
      </c>
      <c r="S310" s="3">
        <f t="shared" si="75"/>
        <v>-7.815970093361102E-14</v>
      </c>
    </row>
    <row r="311" spans="2:19" ht="15.6" outlineLevel="2">
      <c r="B311" s="2" t="s">
        <v>6</v>
      </c>
      <c r="C311" s="2">
        <v>2020</v>
      </c>
      <c r="D311" s="2">
        <v>1034324.0500000005</v>
      </c>
      <c r="E311" s="1">
        <v>922479.51000000036</v>
      </c>
      <c r="F311" s="1">
        <v>79351.400000000052</v>
      </c>
      <c r="G311" s="1">
        <v>0</v>
      </c>
      <c r="H311" s="1">
        <v>32493.139999999999</v>
      </c>
      <c r="I311" s="2">
        <v>35</v>
      </c>
      <c r="J311" s="8">
        <f>+J310-1</f>
        <v>33.5</v>
      </c>
      <c r="K311" s="10">
        <v>0</v>
      </c>
      <c r="L311" s="1">
        <f t="shared" si="89"/>
        <v>44328.173571428553</v>
      </c>
      <c r="M311" s="1">
        <f t="shared" si="90"/>
        <v>0.44742825701206435</v>
      </c>
      <c r="N311" s="1">
        <f t="shared" si="91"/>
        <v>19833.677437592534</v>
      </c>
      <c r="O311" s="1">
        <f t="shared" si="85"/>
        <v>17689.002826656128</v>
      </c>
      <c r="P311" s="1">
        <f t="shared" si="86"/>
        <v>1521.6025111485906</v>
      </c>
      <c r="Q311" s="1">
        <f t="shared" si="87"/>
        <v>0</v>
      </c>
      <c r="R311" s="1">
        <f t="shared" si="88"/>
        <v>623.07209978781316</v>
      </c>
      <c r="S311" s="3">
        <f t="shared" si="92" ref="S311:S374">+N311-O311-P311-Q311-R311</f>
        <v>2.9558577807620168E-12</v>
      </c>
    </row>
    <row r="312" spans="2:19" ht="15.6" outlineLevel="2">
      <c r="B312" s="2" t="s">
        <v>6</v>
      </c>
      <c r="C312" s="2">
        <v>2019</v>
      </c>
      <c r="D312" s="2">
        <v>1371160.45</v>
      </c>
      <c r="E312" s="1">
        <v>954959.55999999994</v>
      </c>
      <c r="F312" s="1">
        <v>107217.96000000001</v>
      </c>
      <c r="G312" s="1">
        <v>0</v>
      </c>
      <c r="H312" s="1">
        <v>308982.92999999999</v>
      </c>
      <c r="I312" s="2">
        <v>35</v>
      </c>
      <c r="J312" s="8">
        <f t="shared" si="93" ref="J312:J343">+J311-1</f>
        <v>32.5</v>
      </c>
      <c r="K312" s="10">
        <v>0</v>
      </c>
      <c r="L312" s="1">
        <f t="shared" si="89"/>
        <v>97940.03214285709</v>
      </c>
      <c r="M312" s="1">
        <f t="shared" si="90"/>
        <v>0.44742825701206435</v>
      </c>
      <c r="N312" s="1">
        <f t="shared" si="91"/>
        <v>43821.137873384105</v>
      </c>
      <c r="O312" s="1">
        <f t="shared" si="85"/>
        <v>30519.706531986263</v>
      </c>
      <c r="P312" s="1">
        <f t="shared" si="86"/>
        <v>3426.5960687992297</v>
      </c>
      <c r="Q312" s="1">
        <f t="shared" si="87"/>
        <v>0</v>
      </c>
      <c r="R312" s="1">
        <f t="shared" si="88"/>
        <v>9874.8352725986151</v>
      </c>
      <c r="S312" s="3">
        <f t="shared" si="92"/>
        <v>0</v>
      </c>
    </row>
    <row r="313" spans="2:19" ht="15.6" outlineLevel="2">
      <c r="B313" s="2" t="s">
        <v>6</v>
      </c>
      <c r="C313" s="2">
        <v>2018</v>
      </c>
      <c r="D313" s="2">
        <v>809709.44999999995</v>
      </c>
      <c r="E313" s="1">
        <v>645358.57999999996</v>
      </c>
      <c r="F313" s="1">
        <v>56915.19999999999</v>
      </c>
      <c r="G313" s="1">
        <v>0</v>
      </c>
      <c r="H313" s="1">
        <v>107435.66999999998</v>
      </c>
      <c r="I313" s="2">
        <v>35</v>
      </c>
      <c r="J313" s="8">
        <f t="shared" si="93"/>
        <v>31.5</v>
      </c>
      <c r="K313" s="10">
        <v>0</v>
      </c>
      <c r="L313" s="1">
        <f t="shared" si="89"/>
        <v>80970.944999999978</v>
      </c>
      <c r="M313" s="1">
        <f t="shared" si="90"/>
        <v>0.44742825701206435</v>
      </c>
      <c r="N313" s="1">
        <f t="shared" si="91"/>
        <v>36228.688789969718</v>
      </c>
      <c r="O313" s="1">
        <f t="shared" si="85"/>
        <v>28875.166459718079</v>
      </c>
      <c r="P313" s="1">
        <f t="shared" si="86"/>
        <v>2546.5468733493035</v>
      </c>
      <c r="Q313" s="1">
        <f t="shared" si="87"/>
        <v>0</v>
      </c>
      <c r="R313" s="1">
        <f t="shared" si="88"/>
        <v>4806.9754569023316</v>
      </c>
      <c r="S313" s="3">
        <f t="shared" si="92"/>
        <v>0</v>
      </c>
    </row>
    <row r="314" spans="2:19" ht="15.6" outlineLevel="2">
      <c r="B314" s="2" t="s">
        <v>6</v>
      </c>
      <c r="C314" s="2">
        <v>2017</v>
      </c>
      <c r="D314" s="2">
        <v>1041196.6599999999</v>
      </c>
      <c r="E314" s="1">
        <v>599036.87</v>
      </c>
      <c r="F314" s="1">
        <v>64532.880000000005</v>
      </c>
      <c r="G314" s="1">
        <v>0</v>
      </c>
      <c r="H314" s="1">
        <v>377626.90999999992</v>
      </c>
      <c r="I314" s="2">
        <v>35</v>
      </c>
      <c r="J314" s="8">
        <f t="shared" si="93"/>
        <v>30.5</v>
      </c>
      <c r="K314" s="10">
        <v>0</v>
      </c>
      <c r="L314" s="1">
        <f t="shared" si="89"/>
        <v>133868.14199999996</v>
      </c>
      <c r="M314" s="1">
        <f t="shared" si="90"/>
        <v>0.44742825701206435</v>
      </c>
      <c r="N314" s="1">
        <f t="shared" si="91"/>
        <v>59896.389444503511</v>
      </c>
      <c r="O314" s="1">
        <f t="shared" si="85"/>
        <v>34460.488623865182</v>
      </c>
      <c r="P314" s="1">
        <f t="shared" si="86"/>
        <v>3712.3500880759761</v>
      </c>
      <c r="Q314" s="1">
        <f t="shared" si="87"/>
        <v>0</v>
      </c>
      <c r="R314" s="1">
        <f t="shared" si="88"/>
        <v>21723.550732562351</v>
      </c>
      <c r="S314" s="3">
        <f t="shared" si="92"/>
        <v>0</v>
      </c>
    </row>
    <row r="315" spans="2:19" ht="15.6" outlineLevel="2">
      <c r="B315" s="2" t="s">
        <v>6</v>
      </c>
      <c r="C315" s="2">
        <v>2016</v>
      </c>
      <c r="D315" s="2">
        <v>1622952.1100000003</v>
      </c>
      <c r="E315" s="1">
        <v>1221654.4900000002</v>
      </c>
      <c r="F315" s="1">
        <v>162891.52000000005</v>
      </c>
      <c r="G315" s="1">
        <v>0</v>
      </c>
      <c r="H315" s="1">
        <v>238406.09999999998</v>
      </c>
      <c r="I315" s="2">
        <v>35</v>
      </c>
      <c r="J315" s="8">
        <f t="shared" si="93"/>
        <v>29.5</v>
      </c>
      <c r="K315" s="10">
        <v>0</v>
      </c>
      <c r="L315" s="1">
        <f t="shared" si="89"/>
        <v>255035.33157142863</v>
      </c>
      <c r="M315" s="1">
        <f t="shared" si="90"/>
        <v>0.44742825701206435</v>
      </c>
      <c r="N315" s="1">
        <f t="shared" si="91"/>
        <v>114110.01388149822</v>
      </c>
      <c r="O315" s="1">
        <f t="shared" si="85"/>
        <v>85894.716149261265</v>
      </c>
      <c r="P315" s="1">
        <f t="shared" si="86"/>
        <v>11452.927966172918</v>
      </c>
      <c r="Q315" s="1">
        <f t="shared" si="87"/>
        <v>0</v>
      </c>
      <c r="R315" s="1">
        <f t="shared" si="88"/>
        <v>16762.369766064043</v>
      </c>
      <c r="S315" s="3">
        <f t="shared" si="92"/>
        <v>0</v>
      </c>
    </row>
    <row r="316" spans="2:19" ht="15.6" outlineLevel="2">
      <c r="B316" s="2" t="s">
        <v>6</v>
      </c>
      <c r="C316" s="2">
        <v>2015</v>
      </c>
      <c r="D316" s="2">
        <v>370521.72000000015</v>
      </c>
      <c r="E316" s="1">
        <v>311357.60000000009</v>
      </c>
      <c r="F316" s="1">
        <v>42211.900000000001</v>
      </c>
      <c r="G316" s="1">
        <v>0</v>
      </c>
      <c r="H316" s="1">
        <v>16952.220000000005</v>
      </c>
      <c r="I316" s="2">
        <v>35</v>
      </c>
      <c r="J316" s="8">
        <f t="shared" si="93"/>
        <v>28.5</v>
      </c>
      <c r="K316" s="10">
        <v>0</v>
      </c>
      <c r="L316" s="1">
        <f t="shared" si="89"/>
        <v>68811.176571428601</v>
      </c>
      <c r="M316" s="1">
        <f t="shared" si="90"/>
        <v>0.44742825701206435</v>
      </c>
      <c r="N316" s="1">
        <f t="shared" si="91"/>
        <v>30788.064796303697</v>
      </c>
      <c r="O316" s="1">
        <f t="shared" si="85"/>
        <v>25871.892108299635</v>
      </c>
      <c r="P316" s="1">
        <f t="shared" si="86"/>
        <v>3507.5479849739754</v>
      </c>
      <c r="Q316" s="1">
        <f t="shared" si="87"/>
        <v>0</v>
      </c>
      <c r="R316" s="1">
        <f t="shared" si="88"/>
        <v>1408.6247030300826</v>
      </c>
      <c r="S316" s="3">
        <f t="shared" si="92"/>
        <v>4.3200998334214091E-12</v>
      </c>
    </row>
    <row r="317" spans="2:19" ht="15.6" outlineLevel="2">
      <c r="B317" s="2" t="s">
        <v>6</v>
      </c>
      <c r="C317" s="2">
        <v>2014</v>
      </c>
      <c r="D317" s="2">
        <v>451645.21999999997</v>
      </c>
      <c r="E317" s="1">
        <v>148759.94999999998</v>
      </c>
      <c r="F317" s="1">
        <v>21436.82</v>
      </c>
      <c r="G317" s="1">
        <v>0</v>
      </c>
      <c r="H317" s="1">
        <v>281448.45000000001</v>
      </c>
      <c r="I317" s="2">
        <v>35</v>
      </c>
      <c r="J317" s="8">
        <f t="shared" si="93"/>
        <v>27.5</v>
      </c>
      <c r="K317" s="10">
        <v>0</v>
      </c>
      <c r="L317" s="1">
        <f t="shared" si="89"/>
        <v>96781.118571428568</v>
      </c>
      <c r="M317" s="1">
        <f t="shared" si="90"/>
        <v>0.44742825701206435</v>
      </c>
      <c r="N317" s="1">
        <f t="shared" si="91"/>
        <v>43302.607194092212</v>
      </c>
      <c r="O317" s="1">
        <f t="shared" si="85"/>
        <v>14262.72967322182</v>
      </c>
      <c r="P317" s="1">
        <f t="shared" si="86"/>
        <v>2055.3083589602916</v>
      </c>
      <c r="Q317" s="1">
        <f t="shared" si="87"/>
        <v>0</v>
      </c>
      <c r="R317" s="1">
        <f t="shared" si="88"/>
        <v>26984.569161910098</v>
      </c>
      <c r="S317" s="3">
        <f t="shared" si="92"/>
        <v>0</v>
      </c>
    </row>
    <row r="318" spans="2:19" ht="15.6" outlineLevel="2">
      <c r="B318" s="2" t="s">
        <v>6</v>
      </c>
      <c r="C318" s="2">
        <v>2013</v>
      </c>
      <c r="D318" s="2">
        <v>378586.77000000002</v>
      </c>
      <c r="E318" s="1">
        <v>184007.73000000001</v>
      </c>
      <c r="F318" s="1">
        <v>34328.959999999999</v>
      </c>
      <c r="G318" s="1">
        <v>0</v>
      </c>
      <c r="H318" s="1">
        <v>160250.08000000002</v>
      </c>
      <c r="I318" s="2">
        <v>35</v>
      </c>
      <c r="J318" s="8">
        <f t="shared" si="93"/>
        <v>26.5</v>
      </c>
      <c r="K318" s="10">
        <v>0</v>
      </c>
      <c r="L318" s="1">
        <f t="shared" si="89"/>
        <v>91942.501285714301</v>
      </c>
      <c r="M318" s="1">
        <f t="shared" si="90"/>
        <v>0.44742825701206435</v>
      </c>
      <c r="N318" s="1">
        <f t="shared" si="91"/>
        <v>41137.673095596634</v>
      </c>
      <c r="O318" s="1">
        <f t="shared" si="85"/>
        <v>19994.491206871306</v>
      </c>
      <c r="P318" s="1">
        <f t="shared" si="86"/>
        <v>3730.2242077603846</v>
      </c>
      <c r="Q318" s="1">
        <f t="shared" si="87"/>
        <v>0</v>
      </c>
      <c r="R318" s="1">
        <f t="shared" si="88"/>
        <v>17412.957680964944</v>
      </c>
      <c r="S318" s="3">
        <f t="shared" si="92"/>
        <v>0</v>
      </c>
    </row>
    <row r="319" spans="2:19" ht="15.6" outlineLevel="2">
      <c r="B319" s="2" t="s">
        <v>6</v>
      </c>
      <c r="C319" s="2">
        <v>2012</v>
      </c>
      <c r="D319" s="2">
        <v>228971.68999999997</v>
      </c>
      <c r="E319" s="1">
        <v>112163.28999999998</v>
      </c>
      <c r="F319" s="1">
        <v>16360.35</v>
      </c>
      <c r="G319" s="1">
        <v>0</v>
      </c>
      <c r="H319" s="1">
        <v>100448.04999999999</v>
      </c>
      <c r="I319" s="2">
        <v>35</v>
      </c>
      <c r="J319" s="8">
        <f t="shared" si="93"/>
        <v>25.5</v>
      </c>
      <c r="K319" s="10">
        <v>0</v>
      </c>
      <c r="L319" s="1">
        <f t="shared" si="89"/>
        <v>62149.458714285713</v>
      </c>
      <c r="M319" s="1">
        <f t="shared" si="90"/>
        <v>0.44742825701206435</v>
      </c>
      <c r="N319" s="1">
        <f t="shared" si="91"/>
        <v>27807.42398677611</v>
      </c>
      <c r="O319" s="1">
        <f t="shared" si="85"/>
        <v>13621.649736619076</v>
      </c>
      <c r="P319" s="1">
        <f t="shared" si="86"/>
        <v>1986.8796401077032</v>
      </c>
      <c r="Q319" s="1">
        <f t="shared" si="87"/>
        <v>0</v>
      </c>
      <c r="R319" s="1">
        <f t="shared" si="88"/>
        <v>12198.89461004933</v>
      </c>
      <c r="S319" s="3">
        <f t="shared" si="92"/>
        <v>0</v>
      </c>
    </row>
    <row r="320" spans="2:19" ht="15.6" outlineLevel="2">
      <c r="B320" s="2" t="s">
        <v>6</v>
      </c>
      <c r="C320" s="2">
        <v>2011</v>
      </c>
      <c r="D320" s="2">
        <v>473924.83000000007</v>
      </c>
      <c r="E320" s="1">
        <v>64514.800000000003</v>
      </c>
      <c r="F320" s="1">
        <v>59499.609999999986</v>
      </c>
      <c r="G320" s="1">
        <v>0</v>
      </c>
      <c r="H320" s="1">
        <v>349910.42000000004</v>
      </c>
      <c r="I320" s="2">
        <v>35</v>
      </c>
      <c r="J320" s="8">
        <f t="shared" si="93"/>
        <v>24.5</v>
      </c>
      <c r="K320" s="10">
        <v>0</v>
      </c>
      <c r="L320" s="1">
        <f t="shared" si="89"/>
        <v>142177.44900000005</v>
      </c>
      <c r="M320" s="1">
        <f t="shared" si="90"/>
        <v>0.44742825701206435</v>
      </c>
      <c r="N320" s="1">
        <f t="shared" si="91"/>
        <v>63614.208192491693</v>
      </c>
      <c r="O320" s="1">
        <f t="shared" si="85"/>
        <v>8659.7233546445805</v>
      </c>
      <c r="P320" s="1">
        <f t="shared" si="86"/>
        <v>7986.5420385592788</v>
      </c>
      <c r="Q320" s="1">
        <f t="shared" si="87"/>
        <v>0</v>
      </c>
      <c r="R320" s="1">
        <f t="shared" si="88"/>
        <v>46967.942799287834</v>
      </c>
      <c r="S320" s="3">
        <f t="shared" si="92"/>
        <v>0</v>
      </c>
    </row>
    <row r="321" spans="2:19" ht="15.6" outlineLevel="2">
      <c r="B321" s="2" t="s">
        <v>6</v>
      </c>
      <c r="C321" s="2">
        <v>2010</v>
      </c>
      <c r="D321" s="2">
        <v>1896278.54</v>
      </c>
      <c r="E321" s="1">
        <v>279574.13</v>
      </c>
      <c r="F321" s="1">
        <v>116381.13000000001</v>
      </c>
      <c r="G321" s="1">
        <v>0</v>
      </c>
      <c r="H321" s="1">
        <v>1500323.2799999998</v>
      </c>
      <c r="I321" s="2">
        <v>35</v>
      </c>
      <c r="J321" s="8">
        <f t="shared" si="93"/>
        <v>23.5</v>
      </c>
      <c r="K321" s="10">
        <v>0</v>
      </c>
      <c r="L321" s="1">
        <f t="shared" si="89"/>
        <v>623062.94885714294</v>
      </c>
      <c r="M321" s="1">
        <f t="shared" si="90"/>
        <v>0.44742825701206435</v>
      </c>
      <c r="N321" s="1">
        <f t="shared" si="91"/>
        <v>278775.96921594843</v>
      </c>
      <c r="O321" s="1">
        <f t="shared" si="85"/>
        <v>41100.791584371123</v>
      </c>
      <c r="P321" s="1">
        <f t="shared" si="86"/>
        <v>17109.439161926755</v>
      </c>
      <c r="Q321" s="1">
        <f t="shared" si="87"/>
        <v>0</v>
      </c>
      <c r="R321" s="1">
        <f t="shared" si="88"/>
        <v>220565.73846965053</v>
      </c>
      <c r="S321" s="3">
        <f t="shared" si="92"/>
        <v>0</v>
      </c>
    </row>
    <row r="322" spans="2:19" ht="15.6" outlineLevel="2">
      <c r="B322" s="2" t="s">
        <v>6</v>
      </c>
      <c r="C322" s="2">
        <v>2009</v>
      </c>
      <c r="D322" s="2">
        <v>326178.39000000001</v>
      </c>
      <c r="E322" s="1">
        <v>145036.51000000001</v>
      </c>
      <c r="F322" s="1">
        <v>17221.900000000001</v>
      </c>
      <c r="G322" s="1">
        <v>0</v>
      </c>
      <c r="H322" s="1">
        <v>163919.97999999998</v>
      </c>
      <c r="I322" s="2">
        <v>35</v>
      </c>
      <c r="J322" s="8">
        <f t="shared" si="93"/>
        <v>22.5</v>
      </c>
      <c r="K322" s="10">
        <v>0</v>
      </c>
      <c r="L322" s="1">
        <f t="shared" si="89"/>
        <v>116492.28214285713</v>
      </c>
      <c r="M322" s="1">
        <f t="shared" si="90"/>
        <v>0.44742825701206435</v>
      </c>
      <c r="N322" s="1">
        <f t="shared" si="91"/>
        <v>52121.938754536197</v>
      </c>
      <c r="O322" s="1">
        <f t="shared" si="85"/>
        <v>23176.226025861728</v>
      </c>
      <c r="P322" s="1">
        <f t="shared" si="86"/>
        <v>2751.9873926557398</v>
      </c>
      <c r="Q322" s="1">
        <f t="shared" si="87"/>
        <v>0</v>
      </c>
      <c r="R322" s="1">
        <f t="shared" si="88"/>
        <v>26193.725336018728</v>
      </c>
      <c r="S322" s="3">
        <f t="shared" si="92"/>
        <v>0</v>
      </c>
    </row>
    <row r="323" spans="2:19" ht="15.6" outlineLevel="2">
      <c r="B323" s="2" t="s">
        <v>6</v>
      </c>
      <c r="C323" s="2">
        <v>2008</v>
      </c>
      <c r="D323" s="2">
        <v>616939.52000000002</v>
      </c>
      <c r="E323" s="1">
        <v>301034.62</v>
      </c>
      <c r="F323" s="1">
        <v>48149.290000000001</v>
      </c>
      <c r="G323" s="1">
        <v>0</v>
      </c>
      <c r="H323" s="1">
        <v>267755.60999999999</v>
      </c>
      <c r="I323" s="2">
        <v>35</v>
      </c>
      <c r="J323" s="8">
        <f t="shared" si="93"/>
        <v>21.5</v>
      </c>
      <c r="K323" s="10">
        <v>0</v>
      </c>
      <c r="L323" s="1">
        <f t="shared" si="89"/>
        <v>237962.38628571428</v>
      </c>
      <c r="M323" s="1">
        <f t="shared" si="90"/>
        <v>0.44742825701206435</v>
      </c>
      <c r="N323" s="1">
        <f t="shared" si="91"/>
        <v>106471.09573024871</v>
      </c>
      <c r="O323" s="1">
        <f t="shared" si="85"/>
        <v>51952.39534037152</v>
      </c>
      <c r="P323" s="1">
        <f t="shared" si="86"/>
        <v>8309.5789761263914</v>
      </c>
      <c r="Q323" s="1">
        <f t="shared" si="87"/>
        <v>0</v>
      </c>
      <c r="R323" s="1">
        <f t="shared" si="88"/>
        <v>46209.121413750792</v>
      </c>
      <c r="S323" s="3">
        <f t="shared" si="92"/>
        <v>0</v>
      </c>
    </row>
    <row r="324" spans="2:19" ht="15.6" outlineLevel="2">
      <c r="B324" s="2" t="s">
        <v>6</v>
      </c>
      <c r="C324" s="2">
        <v>2007</v>
      </c>
      <c r="D324" s="2">
        <v>9237.1400000000031</v>
      </c>
      <c r="E324" s="1">
        <v>-10529.110000000001</v>
      </c>
      <c r="F324" s="1">
        <v>1460.6000000000004</v>
      </c>
      <c r="G324" s="1">
        <v>0</v>
      </c>
      <c r="H324" s="1">
        <v>18305.650000000001</v>
      </c>
      <c r="I324" s="2">
        <v>35</v>
      </c>
      <c r="J324" s="8">
        <f t="shared" si="93"/>
        <v>20.5</v>
      </c>
      <c r="K324" s="10">
        <v>0</v>
      </c>
      <c r="L324" s="1">
        <f t="shared" si="89"/>
        <v>3826.8151428571437</v>
      </c>
      <c r="M324" s="1">
        <f t="shared" si="90"/>
        <v>0.44742825701206435</v>
      </c>
      <c r="N324" s="1">
        <f t="shared" si="91"/>
        <v>1712.2252292759458</v>
      </c>
      <c r="O324" s="1">
        <f t="shared" si="85"/>
        <v>-1951.7088388637228</v>
      </c>
      <c r="P324" s="1">
        <f t="shared" si="86"/>
        <v>270.74139505089738</v>
      </c>
      <c r="Q324" s="1">
        <f t="shared" si="87"/>
        <v>0</v>
      </c>
      <c r="R324" s="1">
        <f t="shared" si="88"/>
        <v>3393.1926730887708</v>
      </c>
      <c r="S324" s="3">
        <f t="shared" si="92"/>
        <v>0</v>
      </c>
    </row>
    <row r="325" spans="2:19" ht="15.6" outlineLevel="2">
      <c r="B325" s="2" t="s">
        <v>6</v>
      </c>
      <c r="C325" s="2">
        <v>2006</v>
      </c>
      <c r="D325" s="2">
        <v>77349.600000000006</v>
      </c>
      <c r="E325" s="1">
        <v>7019.630000000001</v>
      </c>
      <c r="F325" s="1">
        <v>7407.6800000000003</v>
      </c>
      <c r="G325" s="1">
        <v>0</v>
      </c>
      <c r="H325" s="1">
        <v>62922.290000000001</v>
      </c>
      <c r="I325" s="2">
        <v>35</v>
      </c>
      <c r="J325" s="8">
        <f t="shared" si="93"/>
        <v>19.5</v>
      </c>
      <c r="K325" s="10">
        <v>0</v>
      </c>
      <c r="L325" s="1">
        <f t="shared" si="89"/>
        <v>34254.822857142855</v>
      </c>
      <c r="M325" s="1">
        <f t="shared" si="90"/>
        <v>0.44742825701206435</v>
      </c>
      <c r="N325" s="1">
        <f t="shared" si="91"/>
        <v>15326.57568522845</v>
      </c>
      <c r="O325" s="1">
        <f t="shared" si="85"/>
        <v>1390.9172184122504</v>
      </c>
      <c r="P325" s="1">
        <f t="shared" si="86"/>
        <v>1467.8080839713855</v>
      </c>
      <c r="Q325" s="1">
        <f t="shared" si="87"/>
        <v>0</v>
      </c>
      <c r="R325" s="1">
        <f t="shared" si="88"/>
        <v>12467.850382844814</v>
      </c>
      <c r="S325" s="3">
        <f t="shared" si="92"/>
        <v>0</v>
      </c>
    </row>
    <row r="326" spans="2:19" ht="15.6" outlineLevel="2">
      <c r="B326" s="2" t="s">
        <v>6</v>
      </c>
      <c r="C326" s="2">
        <v>2005</v>
      </c>
      <c r="D326" s="2">
        <v>333270.70000000001</v>
      </c>
      <c r="E326" s="1">
        <v>205248.37000000002</v>
      </c>
      <c r="F326" s="1">
        <v>31153.03000000001</v>
      </c>
      <c r="G326" s="1">
        <v>0</v>
      </c>
      <c r="H326" s="1">
        <v>96869.300000000003</v>
      </c>
      <c r="I326" s="2">
        <v>35</v>
      </c>
      <c r="J326" s="8">
        <f t="shared" si="93"/>
        <v>18.5</v>
      </c>
      <c r="K326" s="10">
        <v>0</v>
      </c>
      <c r="L326" s="1">
        <f t="shared" si="89"/>
        <v>157113.33000000002</v>
      </c>
      <c r="M326" s="1">
        <f t="shared" si="90"/>
        <v>0.44742825701206435</v>
      </c>
      <c r="N326" s="1">
        <f t="shared" si="91"/>
        <v>70296.943395261289</v>
      </c>
      <c r="O326" s="1">
        <f t="shared" si="85"/>
        <v>43293.133923443158</v>
      </c>
      <c r="P326" s="1">
        <f t="shared" si="86"/>
        <v>6571.1230735281479</v>
      </c>
      <c r="Q326" s="1">
        <f t="shared" si="87"/>
        <v>0</v>
      </c>
      <c r="R326" s="1">
        <f t="shared" si="88"/>
        <v>20432.686398289992</v>
      </c>
      <c r="S326" s="3">
        <f t="shared" si="92"/>
        <v>0</v>
      </c>
    </row>
    <row r="327" spans="2:19" ht="15.6" outlineLevel="2">
      <c r="B327" s="2" t="s">
        <v>6</v>
      </c>
      <c r="C327" s="2">
        <v>2004</v>
      </c>
      <c r="D327" s="2">
        <v>171437.02000000002</v>
      </c>
      <c r="E327" s="1">
        <v>60061.200000000004</v>
      </c>
      <c r="F327" s="1">
        <v>7721.75</v>
      </c>
      <c r="G327" s="1">
        <v>0</v>
      </c>
      <c r="H327" s="1">
        <v>103654.07000000001</v>
      </c>
      <c r="I327" s="2">
        <v>35</v>
      </c>
      <c r="J327" s="8">
        <f t="shared" si="93"/>
        <v>17.5</v>
      </c>
      <c r="K327" s="10">
        <v>0</v>
      </c>
      <c r="L327" s="1">
        <f t="shared" si="89"/>
        <v>85718.510000000009</v>
      </c>
      <c r="M327" s="1">
        <f t="shared" si="90"/>
        <v>0.44742825701206435</v>
      </c>
      <c r="N327" s="1">
        <f t="shared" si="91"/>
        <v>38352.883522971213</v>
      </c>
      <c r="O327" s="1">
        <f t="shared" si="85"/>
        <v>13436.539015026501</v>
      </c>
      <c r="P327" s="1">
        <f t="shared" si="86"/>
        <v>1727.4645717914541</v>
      </c>
      <c r="Q327" s="1">
        <f t="shared" si="87"/>
        <v>0</v>
      </c>
      <c r="R327" s="1">
        <f t="shared" si="88"/>
        <v>23188.879936153258</v>
      </c>
      <c r="S327" s="3">
        <f t="shared" si="92"/>
        <v>0</v>
      </c>
    </row>
    <row r="328" spans="2:19" ht="15.6" outlineLevel="2">
      <c r="B328" s="2" t="s">
        <v>6</v>
      </c>
      <c r="C328" s="2">
        <v>2003</v>
      </c>
      <c r="D328" s="2">
        <v>66694.960000000006</v>
      </c>
      <c r="E328" s="1">
        <v>46712.390000000007</v>
      </c>
      <c r="F328" s="1">
        <v>2354.0299999999997</v>
      </c>
      <c r="G328" s="1">
        <v>0</v>
      </c>
      <c r="H328" s="1">
        <v>17628.540000000001</v>
      </c>
      <c r="I328" s="2">
        <v>35</v>
      </c>
      <c r="J328" s="8">
        <f t="shared" si="93"/>
        <v>16.5</v>
      </c>
      <c r="K328" s="10">
        <v>0</v>
      </c>
      <c r="L328" s="1">
        <f t="shared" si="89"/>
        <v>35253.050285714293</v>
      </c>
      <c r="M328" s="1">
        <f t="shared" si="90"/>
        <v>0.44742825701206435</v>
      </c>
      <c r="N328" s="1">
        <f t="shared" si="91"/>
        <v>15773.210843695802</v>
      </c>
      <c r="O328" s="1">
        <f t="shared" si="85"/>
        <v>11047.37714038583</v>
      </c>
      <c r="P328" s="1">
        <f t="shared" si="86"/>
        <v>556.7228996371723</v>
      </c>
      <c r="Q328" s="1">
        <f t="shared" si="87"/>
        <v>0</v>
      </c>
      <c r="R328" s="1">
        <f t="shared" si="88"/>
        <v>4169.1108036727992</v>
      </c>
      <c r="S328" s="3">
        <f t="shared" si="92"/>
        <v>0</v>
      </c>
    </row>
    <row r="329" spans="2:19" ht="15.6" outlineLevel="2">
      <c r="B329" s="2" t="s">
        <v>6</v>
      </c>
      <c r="C329" s="2">
        <v>2002</v>
      </c>
      <c r="D329" s="2">
        <v>326809.88</v>
      </c>
      <c r="E329" s="1">
        <v>222953.83000000002</v>
      </c>
      <c r="F329" s="5">
        <v>23638.410000000003</v>
      </c>
      <c r="G329" s="1">
        <v>0</v>
      </c>
      <c r="H329" s="1">
        <v>80217.640000000014</v>
      </c>
      <c r="I329" s="2">
        <v>35</v>
      </c>
      <c r="J329" s="8">
        <f t="shared" si="93"/>
        <v>15.5</v>
      </c>
      <c r="K329" s="10">
        <v>0</v>
      </c>
      <c r="L329" s="1">
        <f t="shared" si="89"/>
        <v>182079.79028571429</v>
      </c>
      <c r="M329" s="1">
        <f t="shared" si="90"/>
        <v>0.44742825701206435</v>
      </c>
      <c r="N329" s="1">
        <f t="shared" si="91"/>
        <v>81467.643204659355</v>
      </c>
      <c r="O329" s="1">
        <f t="shared" si="85"/>
        <v>55578.255692735715</v>
      </c>
      <c r="P329" s="1">
        <f t="shared" si="86"/>
        <v>5892.6172972660806</v>
      </c>
      <c r="Q329" s="1">
        <f t="shared" si="87"/>
        <v>0</v>
      </c>
      <c r="R329" s="1">
        <f t="shared" si="88"/>
        <v>19996.770214657561</v>
      </c>
      <c r="S329" s="3">
        <f t="shared" si="92"/>
        <v>0</v>
      </c>
    </row>
    <row r="330" spans="2:19" ht="15.6" outlineLevel="2">
      <c r="B330" s="2" t="s">
        <v>6</v>
      </c>
      <c r="C330" s="2">
        <v>2001</v>
      </c>
      <c r="D330" s="2">
        <v>204382.76000000001</v>
      </c>
      <c r="E330" s="1">
        <v>83736.590000000026</v>
      </c>
      <c r="F330" s="1">
        <v>12306.649999999998</v>
      </c>
      <c r="G330" s="1">
        <v>0</v>
      </c>
      <c r="H330" s="1">
        <v>108339.51999999999</v>
      </c>
      <c r="I330" s="2">
        <v>35</v>
      </c>
      <c r="J330" s="8">
        <f t="shared" si="93"/>
        <v>14.5</v>
      </c>
      <c r="K330" s="10">
        <v>0</v>
      </c>
      <c r="L330" s="1">
        <f t="shared" si="89"/>
        <v>119709.90228571427</v>
      </c>
      <c r="M330" s="1">
        <f t="shared" si="90"/>
        <v>0.44742825701206435</v>
      </c>
      <c r="N330" s="1">
        <f t="shared" si="91"/>
        <v>53561.592926781675</v>
      </c>
      <c r="O330" s="1">
        <f t="shared" si="85"/>
        <v>21944.43967121698</v>
      </c>
      <c r="P330" s="1">
        <f t="shared" si="86"/>
        <v>3225.1437332208334</v>
      </c>
      <c r="Q330" s="1">
        <f t="shared" si="87"/>
        <v>0</v>
      </c>
      <c r="R330" s="1">
        <f t="shared" si="88"/>
        <v>28392.009522343866</v>
      </c>
      <c r="S330" s="3">
        <f t="shared" si="92"/>
        <v>0</v>
      </c>
    </row>
    <row r="331" spans="2:19" ht="15.6" outlineLevel="2">
      <c r="B331" s="2" t="s">
        <v>6</v>
      </c>
      <c r="C331" s="2">
        <v>2000</v>
      </c>
      <c r="D331" s="2">
        <v>193275.26999999999</v>
      </c>
      <c r="E331" s="1">
        <v>20758.919999999998</v>
      </c>
      <c r="F331" s="1">
        <v>23504.52</v>
      </c>
      <c r="G331" s="1">
        <v>0</v>
      </c>
      <c r="H331" s="1">
        <v>149011.82999999999</v>
      </c>
      <c r="I331" s="2">
        <v>35</v>
      </c>
      <c r="J331" s="8">
        <f t="shared" si="93"/>
        <v>13.5</v>
      </c>
      <c r="K331" s="10">
        <v>0</v>
      </c>
      <c r="L331" s="1">
        <f t="shared" si="89"/>
        <v>118726.23728571429</v>
      </c>
      <c r="M331" s="1">
        <f t="shared" si="90"/>
        <v>0.44742825701206435</v>
      </c>
      <c r="N331" s="1">
        <f t="shared" si="91"/>
        <v>53121.473410347913</v>
      </c>
      <c r="O331" s="1">
        <f t="shared" si="85"/>
        <v>5705.5639700181991</v>
      </c>
      <c r="P331" s="1">
        <f t="shared" si="86"/>
        <v>6460.1887980960564</v>
      </c>
      <c r="Q331" s="1">
        <f t="shared" si="87"/>
        <v>0</v>
      </c>
      <c r="R331" s="1">
        <f t="shared" si="88"/>
        <v>40955.720642233653</v>
      </c>
      <c r="S331" s="3">
        <f t="shared" si="92"/>
        <v>0</v>
      </c>
    </row>
    <row r="332" spans="2:19" ht="15.6" outlineLevel="2">
      <c r="B332" s="2" t="s">
        <v>6</v>
      </c>
      <c r="C332" s="2">
        <v>1999</v>
      </c>
      <c r="D332" s="2">
        <v>178313.53000000003</v>
      </c>
      <c r="E332" s="1">
        <v>87221.250000000015</v>
      </c>
      <c r="F332" s="1">
        <v>3675.8899999999971</v>
      </c>
      <c r="G332" s="1">
        <v>0</v>
      </c>
      <c r="H332" s="1">
        <v>87416.389999999999</v>
      </c>
      <c r="I332" s="2">
        <v>35</v>
      </c>
      <c r="J332" s="8">
        <f t="shared" si="93"/>
        <v>12.5</v>
      </c>
      <c r="K332" s="10">
        <v>0</v>
      </c>
      <c r="L332" s="1">
        <f t="shared" si="89"/>
        <v>114630.12642857144</v>
      </c>
      <c r="M332" s="1">
        <f t="shared" si="90"/>
        <v>0.44742825701206435</v>
      </c>
      <c r="N332" s="1">
        <f t="shared" si="91"/>
        <v>51288.757669008293</v>
      </c>
      <c r="O332" s="1">
        <f t="shared" si="85"/>
        <v>25087.661911230123</v>
      </c>
      <c r="P332" s="1">
        <f t="shared" si="86"/>
        <v>1057.3052500723345</v>
      </c>
      <c r="Q332" s="1">
        <f t="shared" si="87"/>
        <v>0</v>
      </c>
      <c r="R332" s="1">
        <f t="shared" si="88"/>
        <v>25143.790507705831</v>
      </c>
      <c r="S332" s="3">
        <f t="shared" si="92"/>
        <v>0</v>
      </c>
    </row>
    <row r="333" spans="2:19" ht="15.6" outlineLevel="2">
      <c r="B333" s="2" t="s">
        <v>6</v>
      </c>
      <c r="C333" s="2">
        <v>1998</v>
      </c>
      <c r="D333" s="2">
        <v>348050.54000000004</v>
      </c>
      <c r="E333" s="1">
        <v>54406.009999999995</v>
      </c>
      <c r="F333" s="1">
        <v>4232.1200000000008</v>
      </c>
      <c r="G333" s="1">
        <v>0</v>
      </c>
      <c r="H333" s="1">
        <v>289412.40999999997</v>
      </c>
      <c r="I333" s="2">
        <v>35</v>
      </c>
      <c r="J333" s="8">
        <f t="shared" si="93"/>
        <v>11.5</v>
      </c>
      <c r="K333" s="10">
        <v>0</v>
      </c>
      <c r="L333" s="1">
        <f t="shared" si="89"/>
        <v>233691.07685714291</v>
      </c>
      <c r="M333" s="1">
        <f t="shared" si="90"/>
        <v>0.44742825701206435</v>
      </c>
      <c r="N333" s="1">
        <f t="shared" si="91"/>
        <v>104559.99119746382</v>
      </c>
      <c r="O333" s="1">
        <f t="shared" si="94" ref="O333:O364">+E333/$D333*$N333</f>
        <v>16344.442179831493</v>
      </c>
      <c r="P333" s="1">
        <f t="shared" si="95" ref="P333:P364">+F333/$D333*$N333</f>
        <v>1271.3970504013889</v>
      </c>
      <c r="Q333" s="1">
        <f t="shared" si="96" ref="Q333:Q364">+G333/$D333*$N333</f>
        <v>0</v>
      </c>
      <c r="R333" s="1">
        <f t="shared" si="97" ref="R333:R364">+H333/$D333*$N333</f>
        <v>86944.151967230922</v>
      </c>
      <c r="S333" s="3">
        <f t="shared" si="92"/>
        <v>0</v>
      </c>
    </row>
    <row r="334" spans="2:19" ht="15.6" outlineLevel="2">
      <c r="B334" s="2" t="s">
        <v>6</v>
      </c>
      <c r="C334" s="2">
        <v>1997</v>
      </c>
      <c r="D334" s="2">
        <v>94213.549999999988</v>
      </c>
      <c r="E334" s="1">
        <v>43852.049999999996</v>
      </c>
      <c r="F334" s="1">
        <v>2180.3100000000004</v>
      </c>
      <c r="G334" s="1">
        <v>0</v>
      </c>
      <c r="H334" s="1">
        <v>48181.189999999995</v>
      </c>
      <c r="I334" s="2">
        <v>35</v>
      </c>
      <c r="J334" s="8">
        <f t="shared" si="93"/>
        <v>10.5</v>
      </c>
      <c r="K334" s="10">
        <v>0</v>
      </c>
      <c r="L334" s="1">
        <f t="shared" si="89"/>
        <v>65949.484999999986</v>
      </c>
      <c r="M334" s="1">
        <f t="shared" si="90"/>
        <v>0.44742825701206435</v>
      </c>
      <c r="N334" s="1">
        <f t="shared" si="91"/>
        <v>29507.663124393275</v>
      </c>
      <c r="O334" s="1">
        <f t="shared" si="94"/>
        <v>13734.452408534125</v>
      </c>
      <c r="P334" s="1">
        <f t="shared" si="95"/>
        <v>682.87261213218187</v>
      </c>
      <c r="Q334" s="1">
        <f t="shared" si="96"/>
        <v>0</v>
      </c>
      <c r="R334" s="1">
        <f t="shared" si="97"/>
        <v>15090.338103726968</v>
      </c>
      <c r="S334" s="3">
        <f t="shared" si="92"/>
        <v>0</v>
      </c>
    </row>
    <row r="335" spans="2:19" ht="15.6" outlineLevel="2">
      <c r="B335" s="2" t="s">
        <v>6</v>
      </c>
      <c r="C335" s="2">
        <v>1996</v>
      </c>
      <c r="D335" s="2">
        <v>1208980.8000000001</v>
      </c>
      <c r="E335" s="1">
        <v>941287.22000000009</v>
      </c>
      <c r="F335" s="1">
        <v>36780.760000000009</v>
      </c>
      <c r="G335" s="1">
        <v>0</v>
      </c>
      <c r="H335" s="1">
        <v>230912.82000000001</v>
      </c>
      <c r="I335" s="2">
        <v>35</v>
      </c>
      <c r="J335" s="8">
        <f t="shared" si="93"/>
        <v>9.5</v>
      </c>
      <c r="K335" s="10">
        <v>0</v>
      </c>
      <c r="L335" s="1">
        <f t="shared" si="89"/>
        <v>880828.8685714287</v>
      </c>
      <c r="M335" s="1">
        <f t="shared" si="90"/>
        <v>0.44742825701206435</v>
      </c>
      <c r="N335" s="1">
        <f t="shared" si="91"/>
        <v>394107.72539082303</v>
      </c>
      <c r="O335" s="1">
        <f t="shared" si="94"/>
        <v>306844.05014012731</v>
      </c>
      <c r="P335" s="1">
        <f t="shared" si="95"/>
        <v>11989.918832247602</v>
      </c>
      <c r="Q335" s="1">
        <f t="shared" si="96"/>
        <v>0</v>
      </c>
      <c r="R335" s="1">
        <f t="shared" si="97"/>
        <v>75273.756418448131</v>
      </c>
      <c r="S335" s="3">
        <f t="shared" si="92"/>
        <v>0</v>
      </c>
    </row>
    <row r="336" spans="2:19" ht="15.6" outlineLevel="2">
      <c r="B336" s="2" t="s">
        <v>6</v>
      </c>
      <c r="C336" s="2">
        <v>1995</v>
      </c>
      <c r="D336" s="2">
        <v>723193.91000000015</v>
      </c>
      <c r="E336" s="1">
        <v>557994.75000000023</v>
      </c>
      <c r="F336" s="1">
        <v>27969.57</v>
      </c>
      <c r="G336" s="1">
        <v>0</v>
      </c>
      <c r="H336" s="1">
        <v>137229.58999999997</v>
      </c>
      <c r="I336" s="2">
        <v>35</v>
      </c>
      <c r="J336" s="8">
        <f t="shared" si="93"/>
        <v>8.5</v>
      </c>
      <c r="K336" s="10">
        <v>0</v>
      </c>
      <c r="L336" s="1">
        <f t="shared" si="89"/>
        <v>547561.1032857144</v>
      </c>
      <c r="M336" s="1">
        <f t="shared" si="90"/>
        <v>0.44742825701206435</v>
      </c>
      <c r="N336" s="1">
        <f t="shared" si="91"/>
        <v>244994.31005073013</v>
      </c>
      <c r="O336" s="1">
        <f t="shared" si="94"/>
        <v>189030.26822803263</v>
      </c>
      <c r="P336" s="1">
        <f t="shared" si="95"/>
        <v>9475.1703655325273</v>
      </c>
      <c r="Q336" s="1">
        <f t="shared" si="96"/>
        <v>0</v>
      </c>
      <c r="R336" s="1">
        <f t="shared" si="97"/>
        <v>46488.871457165005</v>
      </c>
      <c r="S336" s="3">
        <f t="shared" si="92"/>
        <v>0</v>
      </c>
    </row>
    <row r="337" spans="2:19" ht="15.6" outlineLevel="2">
      <c r="B337" s="2" t="s">
        <v>6</v>
      </c>
      <c r="C337" s="2">
        <v>1994</v>
      </c>
      <c r="D337" s="2">
        <v>1654442.6499999997</v>
      </c>
      <c r="E337" s="1">
        <v>1114245.2999999998</v>
      </c>
      <c r="F337" s="1">
        <v>66079.690000000002</v>
      </c>
      <c r="G337" s="1">
        <v>0</v>
      </c>
      <c r="H337" s="1">
        <v>474117.65999999997</v>
      </c>
      <c r="I337" s="2">
        <v>35</v>
      </c>
      <c r="J337" s="8">
        <f t="shared" si="93"/>
        <v>7.5</v>
      </c>
      <c r="K337" s="10">
        <v>0</v>
      </c>
      <c r="L337" s="1">
        <f t="shared" si="89"/>
        <v>1299919.2249999996</v>
      </c>
      <c r="M337" s="1">
        <f t="shared" si="90"/>
        <v>0.44742825701206435</v>
      </c>
      <c r="N337" s="1">
        <f t="shared" si="91"/>
        <v>581620.59309822333</v>
      </c>
      <c r="O337" s="1">
        <f t="shared" si="94"/>
        <v>391713.79693512362</v>
      </c>
      <c r="P337" s="1">
        <f t="shared" si="95"/>
        <v>23230.366123326636</v>
      </c>
      <c r="Q337" s="1">
        <f t="shared" si="96"/>
        <v>0</v>
      </c>
      <c r="R337" s="1">
        <f t="shared" si="97"/>
        <v>166676.43003977311</v>
      </c>
      <c r="S337" s="3">
        <f t="shared" si="92"/>
        <v>0</v>
      </c>
    </row>
    <row r="338" spans="2:19" ht="15.6" outlineLevel="2">
      <c r="B338" s="2" t="s">
        <v>6</v>
      </c>
      <c r="C338" s="2">
        <v>1993</v>
      </c>
      <c r="D338" s="2">
        <v>432039.37000000005</v>
      </c>
      <c r="E338" s="1">
        <v>335352.82000000007</v>
      </c>
      <c r="F338" s="1">
        <v>20623.180000000008</v>
      </c>
      <c r="G338" s="1">
        <v>0</v>
      </c>
      <c r="H338" s="1">
        <v>76063.369999999995</v>
      </c>
      <c r="I338" s="2">
        <v>35</v>
      </c>
      <c r="J338" s="8">
        <f t="shared" si="93"/>
        <v>6.5</v>
      </c>
      <c r="K338" s="10">
        <v>0</v>
      </c>
      <c r="L338" s="1">
        <f t="shared" si="89"/>
        <v>351803.48700000002</v>
      </c>
      <c r="M338" s="1">
        <f t="shared" si="90"/>
        <v>0.44742825701206435</v>
      </c>
      <c r="N338" s="1">
        <f t="shared" si="91"/>
        <v>157406.82099917645</v>
      </c>
      <c r="O338" s="1">
        <f t="shared" si="94"/>
        <v>122180.58115701132</v>
      </c>
      <c r="P338" s="1">
        <f t="shared" si="95"/>
        <v>7513.7346920346554</v>
      </c>
      <c r="Q338" s="1">
        <f t="shared" si="96"/>
        <v>0</v>
      </c>
      <c r="R338" s="1">
        <f t="shared" si="97"/>
        <v>27712.505150130477</v>
      </c>
      <c r="S338" s="3">
        <f t="shared" si="92"/>
        <v>0</v>
      </c>
    </row>
    <row r="339" spans="2:19" ht="15.6" outlineLevel="2">
      <c r="B339" s="2" t="s">
        <v>6</v>
      </c>
      <c r="C339" s="2">
        <v>1992</v>
      </c>
      <c r="D339" s="2">
        <v>206234.96000000005</v>
      </c>
      <c r="E339" s="1">
        <v>190084.72000000003</v>
      </c>
      <c r="F339" s="1">
        <v>15986.639999999999</v>
      </c>
      <c r="G339" s="1">
        <v>0</v>
      </c>
      <c r="H339" s="1">
        <v>163.59999999999999</v>
      </c>
      <c r="I339" s="2">
        <v>35</v>
      </c>
      <c r="J339" s="8">
        <f t="shared" si="93"/>
        <v>5.5</v>
      </c>
      <c r="K339" s="10">
        <v>0</v>
      </c>
      <c r="L339" s="1">
        <f t="shared" si="89"/>
        <v>173826.6091428572</v>
      </c>
      <c r="M339" s="1">
        <f t="shared" si="90"/>
        <v>0.44742825701206435</v>
      </c>
      <c r="N339" s="1">
        <f t="shared" si="91"/>
        <v>77774.936751105968</v>
      </c>
      <c r="O339" s="1">
        <f t="shared" si="94"/>
        <v>71684.388889990747</v>
      </c>
      <c r="P339" s="1">
        <f t="shared" si="95"/>
        <v>6028.851339572594</v>
      </c>
      <c r="Q339" s="1">
        <f t="shared" si="96"/>
        <v>0</v>
      </c>
      <c r="R339" s="1">
        <f t="shared" si="97"/>
        <v>61.696521542617859</v>
      </c>
      <c r="S339" s="3">
        <f t="shared" si="92"/>
        <v>9.2654772743117064E-12</v>
      </c>
    </row>
    <row r="340" spans="2:19" ht="15.6" outlineLevel="2">
      <c r="B340" s="2" t="s">
        <v>6</v>
      </c>
      <c r="C340" s="2">
        <v>1991</v>
      </c>
      <c r="D340" s="2">
        <v>352446.94000000012</v>
      </c>
      <c r="E340" s="1">
        <v>289977.50000000006</v>
      </c>
      <c r="F340" s="1">
        <v>20295.889999999999</v>
      </c>
      <c r="G340" s="1">
        <v>0</v>
      </c>
      <c r="H340" s="1">
        <v>42173.550000000003</v>
      </c>
      <c r="I340" s="2">
        <v>35</v>
      </c>
      <c r="J340" s="8">
        <f t="shared" si="93"/>
        <v>4.5</v>
      </c>
      <c r="K340" s="10">
        <v>0</v>
      </c>
      <c r="L340" s="1">
        <f t="shared" si="89"/>
        <v>307132.33342857152</v>
      </c>
      <c r="M340" s="1">
        <f t="shared" si="90"/>
        <v>0.44742825701206435</v>
      </c>
      <c r="N340" s="1">
        <f t="shared" si="91"/>
        <v>137419.68461799395</v>
      </c>
      <c r="O340" s="1">
        <f t="shared" si="94"/>
        <v>113062.73958943815</v>
      </c>
      <c r="P340" s="1">
        <f t="shared" si="95"/>
        <v>7913.4033702817687</v>
      </c>
      <c r="Q340" s="1">
        <f t="shared" si="96"/>
        <v>0</v>
      </c>
      <c r="R340" s="1">
        <f t="shared" si="97"/>
        <v>16443.541658274</v>
      </c>
      <c r="S340" s="3">
        <f t="shared" si="92"/>
        <v>2.9103830456733704E-11</v>
      </c>
    </row>
    <row r="341" spans="2:19" ht="15.6" outlineLevel="2">
      <c r="B341" s="2" t="s">
        <v>6</v>
      </c>
      <c r="C341" s="2">
        <v>1990</v>
      </c>
      <c r="D341" s="2">
        <v>247662.69</v>
      </c>
      <c r="E341" s="1">
        <v>186391.44</v>
      </c>
      <c r="F341" s="1">
        <v>7898.4800000000005</v>
      </c>
      <c r="G341" s="1">
        <v>0</v>
      </c>
      <c r="H341" s="1">
        <v>53372.769999999997</v>
      </c>
      <c r="I341" s="2">
        <v>35</v>
      </c>
      <c r="J341" s="8">
        <f t="shared" si="93"/>
        <v>3.5</v>
      </c>
      <c r="K341" s="10">
        <v>0</v>
      </c>
      <c r="L341" s="1">
        <f t="shared" si="89"/>
        <v>222896.421</v>
      </c>
      <c r="M341" s="1">
        <f t="shared" si="90"/>
        <v>0.44742825701206435</v>
      </c>
      <c r="N341" s="1">
        <f t="shared" si="91"/>
        <v>99730.157142257303</v>
      </c>
      <c r="O341" s="1">
        <f t="shared" si="94"/>
        <v>75057.117409051891</v>
      </c>
      <c r="P341" s="1">
        <f t="shared" si="95"/>
        <v>3180.6028255001852</v>
      </c>
      <c r="Q341" s="1">
        <f t="shared" si="96"/>
        <v>0</v>
      </c>
      <c r="R341" s="1">
        <f t="shared" si="97"/>
        <v>21492.436907705218</v>
      </c>
      <c r="S341" s="3">
        <f t="shared" si="92"/>
        <v>0</v>
      </c>
    </row>
    <row r="342" spans="2:19" ht="15.6" outlineLevel="2">
      <c r="B342" s="2" t="s">
        <v>6</v>
      </c>
      <c r="C342" s="2">
        <v>1989</v>
      </c>
      <c r="D342" s="2">
        <v>226762.85999999999</v>
      </c>
      <c r="E342" s="1">
        <v>155058.73999999999</v>
      </c>
      <c r="F342" s="1">
        <v>12344.330000000002</v>
      </c>
      <c r="G342" s="1">
        <v>0</v>
      </c>
      <c r="H342" s="1">
        <v>59359.789999999994</v>
      </c>
      <c r="I342" s="2">
        <v>35</v>
      </c>
      <c r="J342" s="8">
        <f t="shared" si="93"/>
        <v>2.5</v>
      </c>
      <c r="K342" s="10">
        <v>0</v>
      </c>
      <c r="L342" s="1">
        <f t="shared" si="89"/>
        <v>210565.51285714287</v>
      </c>
      <c r="M342" s="1">
        <f t="shared" si="90"/>
        <v>0.44742825701206435</v>
      </c>
      <c r="N342" s="1">
        <f t="shared" si="91"/>
        <v>94212.960404522863</v>
      </c>
      <c r="O342" s="1">
        <f t="shared" si="94"/>
        <v>64422.114503209239</v>
      </c>
      <c r="P342" s="1">
        <f t="shared" si="95"/>
        <v>5128.6876233187568</v>
      </c>
      <c r="Q342" s="1">
        <f t="shared" si="96"/>
        <v>0</v>
      </c>
      <c r="R342" s="1">
        <f t="shared" si="97"/>
        <v>24662.158277994869</v>
      </c>
      <c r="S342" s="3">
        <f t="shared" si="92"/>
        <v>0</v>
      </c>
    </row>
    <row r="343" spans="2:19" ht="15.6" outlineLevel="2">
      <c r="B343" s="2" t="s">
        <v>6</v>
      </c>
      <c r="C343" s="2">
        <v>1988</v>
      </c>
      <c r="D343" s="2">
        <v>397863.66999999998</v>
      </c>
      <c r="E343" s="1">
        <v>324048.82999999996</v>
      </c>
      <c r="F343" s="1">
        <v>19598.939999999999</v>
      </c>
      <c r="G343" s="1">
        <v>0</v>
      </c>
      <c r="H343" s="1">
        <v>54215.899999999994</v>
      </c>
      <c r="I343" s="2">
        <v>35</v>
      </c>
      <c r="J343" s="8">
        <f t="shared" si="93"/>
        <v>1.5</v>
      </c>
      <c r="K343" s="10">
        <v>0</v>
      </c>
      <c r="L343" s="1">
        <f t="shared" si="89"/>
        <v>380812.36985714285</v>
      </c>
      <c r="M343" s="1">
        <f t="shared" si="90"/>
        <v>0.44742825701206435</v>
      </c>
      <c r="N343" s="1">
        <f t="shared" si="91"/>
        <v>170386.21489381502</v>
      </c>
      <c r="O343" s="1">
        <f t="shared" si="94"/>
        <v>138774.8059139688</v>
      </c>
      <c r="P343" s="1">
        <f t="shared" si="95"/>
        <v>8393.3001536204265</v>
      </c>
      <c r="Q343" s="1">
        <f t="shared" si="96"/>
        <v>0</v>
      </c>
      <c r="R343" s="1">
        <f t="shared" si="97"/>
        <v>23218.108826225791</v>
      </c>
      <c r="S343" s="3">
        <f t="shared" si="92"/>
        <v>0</v>
      </c>
    </row>
    <row r="344" spans="1:19" ht="15.6" outlineLevel="1">
      <c r="A344" s="4" t="s">
        <v>30</v>
      </c>
      <c r="B344" s="2" t="s">
        <v>32</v>
      </c>
      <c r="D344" s="1">
        <f>SUBTOTAL(9,D310:D343)</f>
        <v>18277261.680000007</v>
      </c>
      <c r="E344" s="1">
        <f>SUBTOTAL(9,E310:E343)</f>
        <v>10983974.580000002</v>
      </c>
      <c r="F344" s="1">
        <f>SUBTOTAL(9,F310:F343)</f>
        <v>1188210.26</v>
      </c>
      <c r="G344" s="1">
        <f>SUBTOTAL(9,G310:G343)</f>
        <v>0</v>
      </c>
      <c r="H344" s="1">
        <f>SUBTOTAL(9,H310:H343)</f>
        <v>6105076.8399999989</v>
      </c>
      <c r="I344" s="3"/>
      <c r="L344" s="1">
        <f>SUBTOTAL(9,L310:L343)</f>
        <v>7580709.7291428577</v>
      </c>
      <c r="M344" s="1">
        <v>0.44742825701206435</v>
      </c>
      <c r="N344" s="1">
        <f>SUBTOTAL(9,N310:N343)</f>
        <v>3391823.7410247866</v>
      </c>
      <c r="O344" s="1">
        <f t="shared" si="94"/>
        <v>2038363.6456890053</v>
      </c>
      <c r="P344" s="1">
        <f t="shared" si="95"/>
        <v>220503.47802413435</v>
      </c>
      <c r="Q344" s="1">
        <f t="shared" si="96"/>
        <v>0</v>
      </c>
      <c r="R344" s="1">
        <f t="shared" si="97"/>
        <v>1132956.617311646</v>
      </c>
      <c r="S344" s="3">
        <f t="shared" si="92"/>
        <v>0</v>
      </c>
    </row>
    <row r="345" spans="2:19" ht="15.6" outlineLevel="2">
      <c r="B345" s="2" t="s">
        <v>5</v>
      </c>
      <c r="C345" s="2">
        <v>2021</v>
      </c>
      <c r="D345" s="1">
        <v>2326208.3499999996</v>
      </c>
      <c r="E345" s="1">
        <v>1356904.1299999999</v>
      </c>
      <c r="F345" s="1">
        <v>83736.140000000014</v>
      </c>
      <c r="G345" s="1">
        <v>0</v>
      </c>
      <c r="H345" s="1">
        <v>885568.07999999996</v>
      </c>
      <c r="I345" s="2">
        <v>10</v>
      </c>
      <c r="J345" s="8">
        <v>9.5</v>
      </c>
      <c r="K345" s="10">
        <v>0</v>
      </c>
      <c r="L345" s="1">
        <f t="shared" si="98" ref="L345:L378">+D345*(1-K345)*(1-J345/I345)</f>
        <v>116310.41750000008</v>
      </c>
      <c r="M345" s="1">
        <f t="shared" si="99" ref="M345:M354">$M$379</f>
        <v>0.43943678395763019</v>
      </c>
      <c r="N345" s="1">
        <f t="shared" si="100" ref="N345:N378">IF((D345*(1-K345)-L345*M345)&lt;0,D345*(1-K345),L345*M345)</f>
        <v>51111.075806969304</v>
      </c>
      <c r="O345" s="1">
        <f t="shared" si="94"/>
        <v>29813.679351301329</v>
      </c>
      <c r="P345" s="1">
        <f t="shared" si="95"/>
        <v>1839.8370031312957</v>
      </c>
      <c r="Q345" s="1">
        <f t="shared" si="96"/>
        <v>0</v>
      </c>
      <c r="R345" s="1">
        <f t="shared" si="97"/>
        <v>19457.559452536683</v>
      </c>
      <c r="S345" s="3">
        <f t="shared" si="92"/>
        <v>0</v>
      </c>
    </row>
    <row r="346" spans="2:19" ht="15.6" outlineLevel="2">
      <c r="B346" s="2" t="s">
        <v>5</v>
      </c>
      <c r="C346" s="2">
        <v>2020</v>
      </c>
      <c r="D346" s="1">
        <v>4462400.7799999984</v>
      </c>
      <c r="E346" s="1">
        <v>1369091.7499999995</v>
      </c>
      <c r="F346" s="1">
        <v>120475.60000000001</v>
      </c>
      <c r="G346" s="1">
        <v>0</v>
      </c>
      <c r="H346" s="1">
        <v>2972833.4299999992</v>
      </c>
      <c r="I346" s="2">
        <v>10</v>
      </c>
      <c r="J346" s="8">
        <v>8.5</v>
      </c>
      <c r="K346" s="10">
        <v>0</v>
      </c>
      <c r="L346" s="1">
        <f t="shared" si="98"/>
        <v>669360.11699999985</v>
      </c>
      <c r="M346" s="1">
        <f t="shared" si="99"/>
        <v>0.43943678395763019</v>
      </c>
      <c r="N346" s="1">
        <f t="shared" si="100"/>
        <v>294141.45712398301</v>
      </c>
      <c r="O346" s="1">
        <f t="shared" si="94"/>
        <v>90244.391334438551</v>
      </c>
      <c r="P346" s="1">
        <f t="shared" si="95"/>
        <v>7941.2115314048824</v>
      </c>
      <c r="Q346" s="1">
        <f t="shared" si="96"/>
        <v>0</v>
      </c>
      <c r="R346" s="1">
        <f t="shared" si="97"/>
        <v>195955.85425813959</v>
      </c>
      <c r="S346" s="3">
        <f t="shared" si="92"/>
        <v>0</v>
      </c>
    </row>
    <row r="347" spans="2:19" ht="15.6" outlineLevel="2">
      <c r="B347" s="2" t="s">
        <v>5</v>
      </c>
      <c r="C347" s="2">
        <v>2019</v>
      </c>
      <c r="D347" s="1">
        <v>881082.39000000036</v>
      </c>
      <c r="E347" s="1">
        <v>695749.0500000004</v>
      </c>
      <c r="F347" s="1">
        <v>63915.760000000002</v>
      </c>
      <c r="G347" s="1">
        <v>0</v>
      </c>
      <c r="H347" s="1">
        <v>121417.58</v>
      </c>
      <c r="I347" s="2">
        <v>10</v>
      </c>
      <c r="J347" s="8">
        <v>7.5</v>
      </c>
      <c r="K347" s="10">
        <v>0</v>
      </c>
      <c r="L347" s="1">
        <f t="shared" si="98"/>
        <v>220270.59750000009</v>
      </c>
      <c r="M347" s="1">
        <f t="shared" si="99"/>
        <v>0.43943678395763019</v>
      </c>
      <c r="N347" s="1">
        <f t="shared" si="100"/>
        <v>96795.002965825654</v>
      </c>
      <c r="O347" s="1">
        <f t="shared" si="94"/>
        <v>76434.431243394152</v>
      </c>
      <c r="P347" s="1">
        <f t="shared" si="95"/>
        <v>7021.7340046519357</v>
      </c>
      <c r="Q347" s="1">
        <f t="shared" si="96"/>
        <v>0</v>
      </c>
      <c r="R347" s="1">
        <f t="shared" si="97"/>
        <v>13338.837717779568</v>
      </c>
      <c r="S347" s="3">
        <f t="shared" si="92"/>
        <v>0</v>
      </c>
    </row>
    <row r="348" spans="2:19" ht="15.6" outlineLevel="2">
      <c r="B348" s="2" t="s">
        <v>5</v>
      </c>
      <c r="C348" s="2">
        <v>2018</v>
      </c>
      <c r="D348" s="1">
        <v>1451504.5800000001</v>
      </c>
      <c r="E348" s="1">
        <v>801126.54000000004</v>
      </c>
      <c r="F348" s="1">
        <v>93872.360000000015</v>
      </c>
      <c r="G348" s="1">
        <v>0</v>
      </c>
      <c r="H348" s="1">
        <v>556505.67999999993</v>
      </c>
      <c r="I348" s="2">
        <v>10</v>
      </c>
      <c r="J348" s="8">
        <v>6.5</v>
      </c>
      <c r="K348" s="10">
        <v>0</v>
      </c>
      <c r="L348" s="1">
        <f t="shared" si="98"/>
        <v>508026.603</v>
      </c>
      <c r="M348" s="1">
        <f t="shared" si="99"/>
        <v>0.43943678395763019</v>
      </c>
      <c r="N348" s="1">
        <f t="shared" si="100"/>
        <v>223245.57658723978</v>
      </c>
      <c r="O348" s="1">
        <f t="shared" si="94"/>
        <v>123215.56459824633</v>
      </c>
      <c r="P348" s="1">
        <f t="shared" si="95"/>
        <v>14437.838793319514</v>
      </c>
      <c r="Q348" s="1">
        <f t="shared" si="96"/>
        <v>0</v>
      </c>
      <c r="R348" s="1">
        <f t="shared" si="97"/>
        <v>85592.17319567391</v>
      </c>
      <c r="S348" s="3">
        <f t="shared" si="92"/>
        <v>0</v>
      </c>
    </row>
    <row r="349" spans="2:19" ht="15.6" outlineLevel="2">
      <c r="B349" s="2" t="s">
        <v>5</v>
      </c>
      <c r="C349" s="2">
        <v>2017</v>
      </c>
      <c r="D349" s="1">
        <v>438430.68999999994</v>
      </c>
      <c r="E349" s="1">
        <v>336620.34999999992</v>
      </c>
      <c r="F349" s="1">
        <v>26943.190000000002</v>
      </c>
      <c r="G349" s="1">
        <v>0</v>
      </c>
      <c r="H349" s="1">
        <v>74867.150000000009</v>
      </c>
      <c r="I349" s="2">
        <v>10</v>
      </c>
      <c r="J349" s="8">
        <v>5.5</v>
      </c>
      <c r="K349" s="10">
        <v>0</v>
      </c>
      <c r="L349" s="1">
        <f t="shared" si="98"/>
        <v>197293.81049999996</v>
      </c>
      <c r="M349" s="1">
        <f t="shared" si="99"/>
        <v>0.43943678395763019</v>
      </c>
      <c r="N349" s="1">
        <f t="shared" si="100"/>
        <v>86698.157580866115</v>
      </c>
      <c r="O349" s="1">
        <f t="shared" si="94"/>
        <v>66565.513808411313</v>
      </c>
      <c r="P349" s="1">
        <f t="shared" si="95"/>
        <v>5327.9229434217223</v>
      </c>
      <c r="Q349" s="1">
        <f t="shared" si="96"/>
        <v>0</v>
      </c>
      <c r="R349" s="1">
        <f t="shared" si="97"/>
        <v>14804.720829033073</v>
      </c>
      <c r="S349" s="3">
        <f t="shared" si="92"/>
        <v>0</v>
      </c>
    </row>
    <row r="350" spans="2:19" ht="15.6" outlineLevel="2">
      <c r="B350" s="2" t="s">
        <v>5</v>
      </c>
      <c r="C350" s="2">
        <v>2016</v>
      </c>
      <c r="D350" s="1">
        <v>882285.44000000018</v>
      </c>
      <c r="E350" s="1">
        <v>764255.19000000006</v>
      </c>
      <c r="F350" s="1">
        <v>51133.560000000005</v>
      </c>
      <c r="G350" s="1">
        <v>0</v>
      </c>
      <c r="H350" s="1">
        <v>66896.690000000002</v>
      </c>
      <c r="I350" s="2">
        <v>10</v>
      </c>
      <c r="J350" s="8">
        <v>4.5</v>
      </c>
      <c r="K350" s="10">
        <v>0</v>
      </c>
      <c r="L350" s="1">
        <f t="shared" si="98"/>
        <v>485256.99200000014</v>
      </c>
      <c r="M350" s="1">
        <f t="shared" si="99"/>
        <v>0.43943678395763019</v>
      </c>
      <c r="N350" s="1">
        <f t="shared" si="100"/>
        <v>213239.77195743355</v>
      </c>
      <c r="O350" s="1">
        <f t="shared" si="94"/>
        <v>184713.01354909022</v>
      </c>
      <c r="P350" s="1">
        <f t="shared" si="95"/>
        <v>12358.481937287488</v>
      </c>
      <c r="Q350" s="1">
        <f t="shared" si="96"/>
        <v>0</v>
      </c>
      <c r="R350" s="1">
        <f t="shared" si="97"/>
        <v>16168.27647105581</v>
      </c>
      <c r="S350" s="3">
        <f t="shared" si="92"/>
        <v>3.4560798667371273E-11</v>
      </c>
    </row>
    <row r="351" spans="2:19" ht="15.6" outlineLevel="2">
      <c r="B351" s="2" t="s">
        <v>5</v>
      </c>
      <c r="C351" s="2">
        <v>2015</v>
      </c>
      <c r="D351" s="1">
        <v>1139521.6600000004</v>
      </c>
      <c r="E351" s="1">
        <v>888118.24000000034</v>
      </c>
      <c r="F351" s="1">
        <v>149421.99999999997</v>
      </c>
      <c r="G351" s="1">
        <v>0</v>
      </c>
      <c r="H351" s="1">
        <v>101981.42000000001</v>
      </c>
      <c r="I351" s="2">
        <v>10</v>
      </c>
      <c r="J351" s="8">
        <v>3.5</v>
      </c>
      <c r="K351" s="10">
        <v>0</v>
      </c>
      <c r="L351" s="1">
        <f t="shared" si="98"/>
        <v>740689.07900000026</v>
      </c>
      <c r="M351" s="1">
        <f t="shared" si="99"/>
        <v>0.43943678395763019</v>
      </c>
      <c r="N351" s="1">
        <f t="shared" si="100"/>
        <v>325486.0267882992</v>
      </c>
      <c r="O351" s="1">
        <f t="shared" si="94"/>
        <v>253676.68505381208</v>
      </c>
      <c r="P351" s="1">
        <f t="shared" si="95"/>
        <v>42679.990036136056</v>
      </c>
      <c r="Q351" s="1">
        <f t="shared" si="96"/>
        <v>0</v>
      </c>
      <c r="R351" s="1">
        <f t="shared" si="97"/>
        <v>29129.351698351031</v>
      </c>
      <c r="S351" s="3">
        <f t="shared" si="92"/>
        <v>4.0017766878008842E-11</v>
      </c>
    </row>
    <row r="352" spans="2:19" ht="15.6" outlineLevel="2">
      <c r="B352" s="2" t="s">
        <v>5</v>
      </c>
      <c r="C352" s="2">
        <v>2014</v>
      </c>
      <c r="D352" s="1">
        <v>596917.45000000007</v>
      </c>
      <c r="E352" s="1">
        <v>423146.88</v>
      </c>
      <c r="F352" s="1">
        <v>21563.16</v>
      </c>
      <c r="G352" s="1">
        <v>0</v>
      </c>
      <c r="H352" s="1">
        <v>152207.41</v>
      </c>
      <c r="I352" s="2">
        <v>10</v>
      </c>
      <c r="J352" s="8">
        <v>2.5</v>
      </c>
      <c r="K352" s="10">
        <v>0</v>
      </c>
      <c r="L352" s="1">
        <f t="shared" si="98"/>
        <v>447688.08750000002</v>
      </c>
      <c r="M352" s="1">
        <f t="shared" si="99"/>
        <v>0.43943678395763019</v>
      </c>
      <c r="N352" s="1">
        <f t="shared" si="100"/>
        <v>196730.61338714216</v>
      </c>
      <c r="O352" s="1">
        <f t="shared" si="94"/>
        <v>139459.72806667895</v>
      </c>
      <c r="P352" s="1">
        <f t="shared" si="95"/>
        <v>7106.7342617728591</v>
      </c>
      <c r="Q352" s="1">
        <f t="shared" si="96"/>
        <v>0</v>
      </c>
      <c r="R352" s="1">
        <f t="shared" si="97"/>
        <v>50164.151058690331</v>
      </c>
      <c r="S352" s="3">
        <f t="shared" si="92"/>
        <v>0</v>
      </c>
    </row>
    <row r="353" spans="2:19" ht="15.6" outlineLevel="2">
      <c r="B353" s="2" t="s">
        <v>5</v>
      </c>
      <c r="C353" s="2">
        <v>2013</v>
      </c>
      <c r="D353" s="1">
        <v>1082585.8100000001</v>
      </c>
      <c r="E353" s="1">
        <v>885155.4700000002</v>
      </c>
      <c r="F353" s="1">
        <v>103751.85999999997</v>
      </c>
      <c r="G353" s="1">
        <v>0</v>
      </c>
      <c r="H353" s="1">
        <v>93678.479999999996</v>
      </c>
      <c r="I353" s="2">
        <v>10</v>
      </c>
      <c r="J353" s="8">
        <v>1.5</v>
      </c>
      <c r="K353" s="10">
        <v>0</v>
      </c>
      <c r="L353" s="1">
        <f t="shared" si="98"/>
        <v>920197.93850000005</v>
      </c>
      <c r="M353" s="1">
        <f t="shared" si="99"/>
        <v>0.43943678395763019</v>
      </c>
      <c r="N353" s="1">
        <f t="shared" si="100"/>
        <v>404368.82269888121</v>
      </c>
      <c r="O353" s="1">
        <f t="shared" si="94"/>
        <v>330624.39208340901</v>
      </c>
      <c r="P353" s="1">
        <f t="shared" si="95"/>
        <v>38753.526134818938</v>
      </c>
      <c r="Q353" s="1">
        <f t="shared" si="96"/>
        <v>0</v>
      </c>
      <c r="R353" s="1">
        <f t="shared" si="97"/>
        <v>34990.904480653306</v>
      </c>
      <c r="S353" s="3">
        <f t="shared" si="92"/>
        <v>0</v>
      </c>
    </row>
    <row r="354" spans="2:19" ht="15.6" outlineLevel="2">
      <c r="B354" s="2" t="s">
        <v>5</v>
      </c>
      <c r="C354" s="2">
        <v>2012</v>
      </c>
      <c r="D354" s="1">
        <v>494813.87</v>
      </c>
      <c r="E354" s="1">
        <v>404692.28000000003</v>
      </c>
      <c r="F354" s="1">
        <v>32280.420000000002</v>
      </c>
      <c r="G354" s="1">
        <v>0</v>
      </c>
      <c r="H354" s="1">
        <v>57841.169999999998</v>
      </c>
      <c r="I354" s="2">
        <v>10</v>
      </c>
      <c r="J354" s="8">
        <v>0.5</v>
      </c>
      <c r="K354" s="10">
        <v>0</v>
      </c>
      <c r="L354" s="1">
        <f t="shared" si="98"/>
        <v>470073.1765</v>
      </c>
      <c r="M354" s="1">
        <f t="shared" si="99"/>
        <v>0.43943678395763019</v>
      </c>
      <c r="N354" s="1">
        <f t="shared" si="100"/>
        <v>206567.44490590747</v>
      </c>
      <c r="O354" s="1">
        <f t="shared" si="94"/>
        <v>168944.84031489678</v>
      </c>
      <c r="P354" s="1">
        <f t="shared" si="95"/>
        <v>13475.943752121488</v>
      </c>
      <c r="Q354" s="1">
        <f t="shared" si="96"/>
        <v>0</v>
      </c>
      <c r="R354" s="1">
        <f t="shared" si="97"/>
        <v>24146.660838889231</v>
      </c>
      <c r="S354" s="3">
        <f t="shared" si="92"/>
        <v>0</v>
      </c>
    </row>
    <row r="355" spans="2:19" ht="15.6" outlineLevel="2">
      <c r="B355" s="2" t="s">
        <v>5</v>
      </c>
      <c r="C355" s="2">
        <v>2011</v>
      </c>
      <c r="D355" s="1">
        <v>892225.4600000002</v>
      </c>
      <c r="E355" s="1">
        <v>544923.49000000011</v>
      </c>
      <c r="F355" s="1">
        <v>119851.42999999999</v>
      </c>
      <c r="G355" s="1">
        <v>0</v>
      </c>
      <c r="H355" s="1">
        <v>227450.53999999998</v>
      </c>
      <c r="I355" s="2">
        <v>10</v>
      </c>
      <c r="J355" s="8">
        <v>0</v>
      </c>
      <c r="K355" s="10">
        <v>0</v>
      </c>
      <c r="L355" s="1">
        <f t="shared" si="98"/>
        <v>892225.4600000002</v>
      </c>
      <c r="M355" s="1">
        <v>1</v>
      </c>
      <c r="N355" s="1">
        <f t="shared" si="100"/>
        <v>892225.4600000002</v>
      </c>
      <c r="O355" s="1">
        <f t="shared" si="94"/>
        <v>544923.49000000011</v>
      </c>
      <c r="P355" s="1">
        <f t="shared" si="95"/>
        <v>119851.42999999999</v>
      </c>
      <c r="Q355" s="1">
        <f t="shared" si="96"/>
        <v>0</v>
      </c>
      <c r="R355" s="1">
        <f t="shared" si="97"/>
        <v>227450.53999999998</v>
      </c>
      <c r="S355" s="3">
        <f t="shared" si="92"/>
        <v>0</v>
      </c>
    </row>
    <row r="356" spans="2:19" ht="15.6" outlineLevel="2">
      <c r="B356" s="2" t="s">
        <v>5</v>
      </c>
      <c r="C356" s="2">
        <v>2010</v>
      </c>
      <c r="D356" s="1">
        <v>308101.08000000007</v>
      </c>
      <c r="E356" s="1">
        <v>79899.709999999992</v>
      </c>
      <c r="F356" s="1">
        <v>19013.720000000001</v>
      </c>
      <c r="G356" s="1">
        <v>0</v>
      </c>
      <c r="H356" s="1">
        <v>209187.65000000005</v>
      </c>
      <c r="I356" s="2">
        <v>10</v>
      </c>
      <c r="J356" s="8">
        <v>0</v>
      </c>
      <c r="K356" s="10">
        <v>0</v>
      </c>
      <c r="L356" s="1">
        <f t="shared" si="98"/>
        <v>308101.08000000007</v>
      </c>
      <c r="M356" s="1">
        <v>1</v>
      </c>
      <c r="N356" s="1">
        <f t="shared" si="100"/>
        <v>308101.08000000007</v>
      </c>
      <c r="O356" s="1">
        <f t="shared" si="94"/>
        <v>79899.709999999992</v>
      </c>
      <c r="P356" s="1">
        <f t="shared" si="95"/>
        <v>19013.720000000001</v>
      </c>
      <c r="Q356" s="1">
        <f t="shared" si="96"/>
        <v>0</v>
      </c>
      <c r="R356" s="1">
        <f t="shared" si="97"/>
        <v>209187.65000000008</v>
      </c>
      <c r="S356" s="3">
        <f t="shared" si="92"/>
        <v>0</v>
      </c>
    </row>
    <row r="357" spans="2:19" ht="15.6" outlineLevel="2">
      <c r="B357" s="2" t="s">
        <v>5</v>
      </c>
      <c r="C357" s="2">
        <v>2009</v>
      </c>
      <c r="D357" s="1">
        <v>1029417.3100000003</v>
      </c>
      <c r="E357" s="1">
        <v>914601.37000000023</v>
      </c>
      <c r="F357" s="1">
        <v>55141</v>
      </c>
      <c r="G357" s="1">
        <v>0</v>
      </c>
      <c r="H357" s="1">
        <v>59674.940000000002</v>
      </c>
      <c r="I357" s="2">
        <v>10</v>
      </c>
      <c r="J357" s="8">
        <v>0</v>
      </c>
      <c r="K357" s="10">
        <v>0</v>
      </c>
      <c r="L357" s="1">
        <f t="shared" si="98"/>
        <v>1029417.3100000003</v>
      </c>
      <c r="M357" s="1">
        <v>1</v>
      </c>
      <c r="N357" s="1">
        <f t="shared" si="100"/>
        <v>1029417.3100000003</v>
      </c>
      <c r="O357" s="1">
        <f t="shared" si="94"/>
        <v>914601.37000000023</v>
      </c>
      <c r="P357" s="1">
        <f t="shared" si="95"/>
        <v>55141</v>
      </c>
      <c r="Q357" s="1">
        <f t="shared" si="96"/>
        <v>0</v>
      </c>
      <c r="R357" s="1">
        <f t="shared" si="97"/>
        <v>59674.940000000002</v>
      </c>
      <c r="S357" s="3">
        <f t="shared" si="92"/>
        <v>5.8207660913467407E-11</v>
      </c>
    </row>
    <row r="358" spans="2:19" ht="15.6" outlineLevel="2">
      <c r="B358" s="2" t="s">
        <v>5</v>
      </c>
      <c r="C358" s="2">
        <v>2008</v>
      </c>
      <c r="D358" s="1">
        <v>2083896.9900000002</v>
      </c>
      <c r="E358" s="1">
        <v>1528774.9200000002</v>
      </c>
      <c r="F358" s="1">
        <v>159130</v>
      </c>
      <c r="G358" s="1">
        <v>0</v>
      </c>
      <c r="H358" s="1">
        <v>395992.06999999995</v>
      </c>
      <c r="I358" s="2">
        <v>10</v>
      </c>
      <c r="J358" s="8">
        <v>0</v>
      </c>
      <c r="K358" s="10">
        <v>0</v>
      </c>
      <c r="L358" s="1">
        <f t="shared" si="98"/>
        <v>2083896.9900000002</v>
      </c>
      <c r="M358" s="1">
        <v>1</v>
      </c>
      <c r="N358" s="1">
        <f t="shared" si="100"/>
        <v>2083896.9900000002</v>
      </c>
      <c r="O358" s="1">
        <f t="shared" si="94"/>
        <v>1528774.9200000002</v>
      </c>
      <c r="P358" s="1">
        <f t="shared" si="95"/>
        <v>159130</v>
      </c>
      <c r="Q358" s="1">
        <f t="shared" si="96"/>
        <v>0</v>
      </c>
      <c r="R358" s="1">
        <f t="shared" si="97"/>
        <v>395992.06999999995</v>
      </c>
      <c r="S358" s="3">
        <f t="shared" si="92"/>
        <v>0</v>
      </c>
    </row>
    <row r="359" spans="2:19" ht="15.6" outlineLevel="2">
      <c r="B359" s="2" t="s">
        <v>5</v>
      </c>
      <c r="C359" s="2">
        <v>2007</v>
      </c>
      <c r="D359" s="1">
        <v>138731.05000000002</v>
      </c>
      <c r="E359" s="1">
        <v>34948.690000000002</v>
      </c>
      <c r="F359" s="1">
        <v>2696.1599999999999</v>
      </c>
      <c r="G359" s="1">
        <v>0</v>
      </c>
      <c r="H359" s="1">
        <v>101086.20000000001</v>
      </c>
      <c r="I359" s="2">
        <v>10</v>
      </c>
      <c r="J359" s="8">
        <v>0</v>
      </c>
      <c r="K359" s="10">
        <v>0</v>
      </c>
      <c r="L359" s="1">
        <f t="shared" si="98"/>
        <v>138731.05000000002</v>
      </c>
      <c r="M359" s="1">
        <v>1</v>
      </c>
      <c r="N359" s="1">
        <f t="shared" si="100"/>
        <v>138731.05000000002</v>
      </c>
      <c r="O359" s="1">
        <f t="shared" si="94"/>
        <v>34948.689999999995</v>
      </c>
      <c r="P359" s="1">
        <f t="shared" si="95"/>
        <v>2696.1599999999999</v>
      </c>
      <c r="Q359" s="1">
        <f t="shared" si="96"/>
        <v>0</v>
      </c>
      <c r="R359" s="1">
        <f t="shared" si="97"/>
        <v>101086.20000000001</v>
      </c>
      <c r="S359" s="3">
        <f t="shared" si="92"/>
        <v>0</v>
      </c>
    </row>
    <row r="360" spans="2:19" ht="15.6" outlineLevel="2">
      <c r="B360" s="2" t="s">
        <v>5</v>
      </c>
      <c r="C360" s="2">
        <v>2006</v>
      </c>
      <c r="D360" s="1">
        <v>266547.86999999994</v>
      </c>
      <c r="E360" s="1">
        <v>26050.759999999995</v>
      </c>
      <c r="F360" s="1">
        <v>4340.4299999999994</v>
      </c>
      <c r="G360" s="1">
        <v>0</v>
      </c>
      <c r="H360" s="1">
        <v>236156.67999999996</v>
      </c>
      <c r="I360" s="2">
        <v>10</v>
      </c>
      <c r="J360" s="8">
        <v>0</v>
      </c>
      <c r="K360" s="10">
        <v>0</v>
      </c>
      <c r="L360" s="1">
        <f t="shared" si="98"/>
        <v>266547.86999999994</v>
      </c>
      <c r="M360" s="1">
        <v>1</v>
      </c>
      <c r="N360" s="1">
        <f t="shared" si="100"/>
        <v>266547.86999999994</v>
      </c>
      <c r="O360" s="1">
        <f t="shared" si="94"/>
        <v>26050.759999999995</v>
      </c>
      <c r="P360" s="1">
        <f t="shared" si="95"/>
        <v>4340.4299999999994</v>
      </c>
      <c r="Q360" s="1">
        <f t="shared" si="96"/>
        <v>0</v>
      </c>
      <c r="R360" s="1">
        <f t="shared" si="97"/>
        <v>236156.67999999996</v>
      </c>
      <c r="S360" s="3">
        <f t="shared" si="92"/>
        <v>0</v>
      </c>
    </row>
    <row r="361" spans="2:19" ht="15.6" outlineLevel="2">
      <c r="B361" s="2" t="s">
        <v>5</v>
      </c>
      <c r="C361" s="2">
        <v>2005</v>
      </c>
      <c r="D361" s="1">
        <v>583621.54999999993</v>
      </c>
      <c r="E361" s="1">
        <v>314019.53999999998</v>
      </c>
      <c r="F361" s="1">
        <v>16188.290000000001</v>
      </c>
      <c r="G361" s="1">
        <v>0</v>
      </c>
      <c r="H361" s="1">
        <v>253413.72</v>
      </c>
      <c r="I361" s="2">
        <v>10</v>
      </c>
      <c r="J361" s="8">
        <v>0</v>
      </c>
      <c r="K361" s="10">
        <v>0</v>
      </c>
      <c r="L361" s="1">
        <f t="shared" si="98"/>
        <v>583621.54999999993</v>
      </c>
      <c r="M361" s="1">
        <v>1</v>
      </c>
      <c r="N361" s="1">
        <f t="shared" si="100"/>
        <v>583621.54999999993</v>
      </c>
      <c r="O361" s="1">
        <f t="shared" si="94"/>
        <v>314019.53999999998</v>
      </c>
      <c r="P361" s="1">
        <f t="shared" si="95"/>
        <v>16188.290000000001</v>
      </c>
      <c r="Q361" s="1">
        <f t="shared" si="96"/>
        <v>0</v>
      </c>
      <c r="R361" s="1">
        <f t="shared" si="97"/>
        <v>253413.72</v>
      </c>
      <c r="S361" s="3">
        <f t="shared" si="92"/>
        <v>0</v>
      </c>
    </row>
    <row r="362" spans="2:19" ht="15.6" outlineLevel="2">
      <c r="B362" s="2" t="s">
        <v>5</v>
      </c>
      <c r="C362" s="2">
        <v>2004</v>
      </c>
      <c r="D362" s="1">
        <v>1287883.6900000002</v>
      </c>
      <c r="E362" s="1">
        <v>824874.04000000004</v>
      </c>
      <c r="F362" s="1">
        <v>47018.64999999998</v>
      </c>
      <c r="G362" s="1">
        <v>0</v>
      </c>
      <c r="H362" s="1">
        <v>415991</v>
      </c>
      <c r="I362" s="2">
        <v>10</v>
      </c>
      <c r="J362" s="8">
        <v>0</v>
      </c>
      <c r="K362" s="10">
        <v>0</v>
      </c>
      <c r="L362" s="1">
        <f t="shared" si="98"/>
        <v>1287883.6900000002</v>
      </c>
      <c r="M362" s="1">
        <v>1</v>
      </c>
      <c r="N362" s="1">
        <f t="shared" si="100"/>
        <v>1287883.6900000002</v>
      </c>
      <c r="O362" s="1">
        <f t="shared" si="94"/>
        <v>824874.04000000004</v>
      </c>
      <c r="P362" s="1">
        <f t="shared" si="95"/>
        <v>47018.64999999998</v>
      </c>
      <c r="Q362" s="1">
        <f t="shared" si="96"/>
        <v>0</v>
      </c>
      <c r="R362" s="1">
        <f t="shared" si="97"/>
        <v>415991</v>
      </c>
      <c r="S362" s="3">
        <f t="shared" si="92"/>
        <v>0</v>
      </c>
    </row>
    <row r="363" spans="2:19" ht="15.6" outlineLevel="2">
      <c r="B363" s="2" t="s">
        <v>5</v>
      </c>
      <c r="C363" s="2">
        <v>2003</v>
      </c>
      <c r="D363" s="1">
        <v>664933.2300000001</v>
      </c>
      <c r="E363" s="1">
        <v>388478.74000000005</v>
      </c>
      <c r="F363" s="1">
        <v>21966.220000000001</v>
      </c>
      <c r="G363" s="1">
        <v>0</v>
      </c>
      <c r="H363" s="1">
        <v>254488.27000000002</v>
      </c>
      <c r="I363" s="2">
        <v>10</v>
      </c>
      <c r="J363" s="8">
        <v>0</v>
      </c>
      <c r="K363" s="10">
        <v>0</v>
      </c>
      <c r="L363" s="1">
        <f t="shared" si="98"/>
        <v>664933.2300000001</v>
      </c>
      <c r="M363" s="1">
        <v>1</v>
      </c>
      <c r="N363" s="1">
        <f t="shared" si="100"/>
        <v>664933.2300000001</v>
      </c>
      <c r="O363" s="1">
        <f t="shared" si="94"/>
        <v>388478.74000000005</v>
      </c>
      <c r="P363" s="1">
        <f t="shared" si="95"/>
        <v>21966.220000000001</v>
      </c>
      <c r="Q363" s="1">
        <f t="shared" si="96"/>
        <v>0</v>
      </c>
      <c r="R363" s="1">
        <f t="shared" si="97"/>
        <v>254488.27000000005</v>
      </c>
      <c r="S363" s="3">
        <f t="shared" si="92"/>
        <v>0</v>
      </c>
    </row>
    <row r="364" spans="2:19" ht="15.6" outlineLevel="2">
      <c r="B364" s="2" t="s">
        <v>5</v>
      </c>
      <c r="C364" s="2">
        <v>2002</v>
      </c>
      <c r="D364" s="1">
        <v>1005911.48</v>
      </c>
      <c r="E364" s="1">
        <v>783243.42999999993</v>
      </c>
      <c r="F364" s="1">
        <v>33921.200000000004</v>
      </c>
      <c r="G364" s="1">
        <v>0</v>
      </c>
      <c r="H364" s="1">
        <v>188746.85000000004</v>
      </c>
      <c r="I364" s="2">
        <v>10</v>
      </c>
      <c r="J364" s="8">
        <v>0</v>
      </c>
      <c r="K364" s="10">
        <v>0</v>
      </c>
      <c r="L364" s="1">
        <f t="shared" si="98"/>
        <v>1005911.48</v>
      </c>
      <c r="M364" s="1">
        <v>1</v>
      </c>
      <c r="N364" s="1">
        <f t="shared" si="100"/>
        <v>1005911.48</v>
      </c>
      <c r="O364" s="1">
        <f t="shared" si="94"/>
        <v>783243.42999999993</v>
      </c>
      <c r="P364" s="1">
        <f t="shared" si="95"/>
        <v>33921.200000000004</v>
      </c>
      <c r="Q364" s="1">
        <f t="shared" si="96"/>
        <v>0</v>
      </c>
      <c r="R364" s="1">
        <f t="shared" si="97"/>
        <v>188746.85000000004</v>
      </c>
      <c r="S364" s="3">
        <f t="shared" si="92"/>
        <v>0</v>
      </c>
    </row>
    <row r="365" spans="2:19" ht="15.6" outlineLevel="2">
      <c r="B365" s="2" t="s">
        <v>5</v>
      </c>
      <c r="C365" s="2">
        <v>2001</v>
      </c>
      <c r="D365" s="1">
        <v>340905.34999999998</v>
      </c>
      <c r="E365" s="1">
        <v>69057.73000000001</v>
      </c>
      <c r="F365" s="1">
        <v>11416.600000000002</v>
      </c>
      <c r="G365" s="1">
        <v>0</v>
      </c>
      <c r="H365" s="1">
        <v>260431.01999999999</v>
      </c>
      <c r="I365" s="2">
        <v>10</v>
      </c>
      <c r="J365" s="8">
        <v>0</v>
      </c>
      <c r="K365" s="10">
        <v>0</v>
      </c>
      <c r="L365" s="1">
        <f t="shared" si="98"/>
        <v>340905.34999999998</v>
      </c>
      <c r="M365" s="1">
        <v>1</v>
      </c>
      <c r="N365" s="1">
        <f t="shared" si="100"/>
        <v>340905.34999999998</v>
      </c>
      <c r="O365" s="1">
        <f t="shared" si="101" ref="O365:O379">+E365/$D365*$N365</f>
        <v>69057.73000000001</v>
      </c>
      <c r="P365" s="1">
        <f t="shared" si="102" ref="P365:P379">+F365/$D365*$N365</f>
        <v>11416.600000000002</v>
      </c>
      <c r="Q365" s="1">
        <f t="shared" si="103" ref="Q365:Q379">+G365/$D365*$N365</f>
        <v>0</v>
      </c>
      <c r="R365" s="1">
        <f t="shared" si="104" ref="R365:R379">+H365/$D365*$N365</f>
        <v>260431.01999999999</v>
      </c>
      <c r="S365" s="3">
        <f t="shared" si="92"/>
        <v>0</v>
      </c>
    </row>
    <row r="366" spans="2:19" ht="15.6" outlineLevel="2">
      <c r="B366" s="2" t="s">
        <v>5</v>
      </c>
      <c r="C366" s="2">
        <v>2000</v>
      </c>
      <c r="D366" s="1">
        <v>310393.19</v>
      </c>
      <c r="E366" s="1">
        <v>39554.68</v>
      </c>
      <c r="F366" s="1">
        <v>27747.749999999996</v>
      </c>
      <c r="G366" s="1">
        <v>0</v>
      </c>
      <c r="H366" s="1">
        <v>243090.76000000001</v>
      </c>
      <c r="I366" s="2">
        <v>10</v>
      </c>
      <c r="J366" s="8">
        <v>0</v>
      </c>
      <c r="K366" s="10">
        <v>0</v>
      </c>
      <c r="L366" s="1">
        <f t="shared" si="98"/>
        <v>310393.19</v>
      </c>
      <c r="M366" s="1">
        <v>1</v>
      </c>
      <c r="N366" s="1">
        <f t="shared" si="100"/>
        <v>310393.19</v>
      </c>
      <c r="O366" s="1">
        <f t="shared" si="101"/>
        <v>39554.68</v>
      </c>
      <c r="P366" s="1">
        <f t="shared" si="102"/>
        <v>27747.749999999996</v>
      </c>
      <c r="Q366" s="1">
        <f t="shared" si="103"/>
        <v>0</v>
      </c>
      <c r="R366" s="1">
        <f t="shared" si="104"/>
        <v>243090.76000000001</v>
      </c>
      <c r="S366" s="3">
        <f t="shared" si="92"/>
        <v>0</v>
      </c>
    </row>
    <row r="367" spans="2:19" ht="15.6" outlineLevel="2">
      <c r="B367" s="2" t="s">
        <v>5</v>
      </c>
      <c r="C367" s="2">
        <v>1999</v>
      </c>
      <c r="D367" s="1">
        <v>553519.08999999997</v>
      </c>
      <c r="E367" s="1">
        <v>166149.60000000001</v>
      </c>
      <c r="F367" s="1">
        <v>7488.6700000000001</v>
      </c>
      <c r="G367" s="1">
        <v>0</v>
      </c>
      <c r="H367" s="1">
        <v>379880.82000000001</v>
      </c>
      <c r="I367" s="2">
        <v>10</v>
      </c>
      <c r="J367" s="8">
        <v>0</v>
      </c>
      <c r="K367" s="10">
        <v>0</v>
      </c>
      <c r="L367" s="1">
        <f t="shared" si="98"/>
        <v>553519.08999999997</v>
      </c>
      <c r="M367" s="1">
        <v>1</v>
      </c>
      <c r="N367" s="1">
        <f t="shared" si="100"/>
        <v>553519.08999999997</v>
      </c>
      <c r="O367" s="1">
        <f t="shared" si="101"/>
        <v>166149.60000000001</v>
      </c>
      <c r="P367" s="1">
        <f t="shared" si="102"/>
        <v>7488.6700000000001</v>
      </c>
      <c r="Q367" s="1">
        <f t="shared" si="103"/>
        <v>0</v>
      </c>
      <c r="R367" s="1">
        <f t="shared" si="104"/>
        <v>379880.82000000001</v>
      </c>
      <c r="S367" s="3">
        <f t="shared" si="92"/>
        <v>0</v>
      </c>
    </row>
    <row r="368" spans="2:19" ht="15.6" outlineLevel="2">
      <c r="B368" s="2" t="s">
        <v>5</v>
      </c>
      <c r="C368" s="2">
        <v>1998</v>
      </c>
      <c r="D368" s="1">
        <v>172504.48999999999</v>
      </c>
      <c r="E368" s="1">
        <v>66076.130000000005</v>
      </c>
      <c r="F368" s="1">
        <v>1927.0599999999995</v>
      </c>
      <c r="G368" s="1">
        <v>0</v>
      </c>
      <c r="H368" s="1">
        <v>104501.29999999999</v>
      </c>
      <c r="I368" s="2">
        <v>10</v>
      </c>
      <c r="J368" s="8">
        <v>0</v>
      </c>
      <c r="K368" s="10">
        <v>0</v>
      </c>
      <c r="L368" s="1">
        <f t="shared" si="98"/>
        <v>172504.48999999999</v>
      </c>
      <c r="M368" s="1">
        <v>1</v>
      </c>
      <c r="N368" s="1">
        <f t="shared" si="100"/>
        <v>172504.48999999999</v>
      </c>
      <c r="O368" s="1">
        <f t="shared" si="101"/>
        <v>66076.130000000005</v>
      </c>
      <c r="P368" s="1">
        <f t="shared" si="102"/>
        <v>1927.0599999999995</v>
      </c>
      <c r="Q368" s="1">
        <f t="shared" si="103"/>
        <v>0</v>
      </c>
      <c r="R368" s="1">
        <f t="shared" si="104"/>
        <v>104501.29999999999</v>
      </c>
      <c r="S368" s="3">
        <f t="shared" si="92"/>
        <v>0</v>
      </c>
    </row>
    <row r="369" spans="2:19" ht="15.6" outlineLevel="2">
      <c r="B369" s="2" t="s">
        <v>5</v>
      </c>
      <c r="C369" s="2">
        <v>1997</v>
      </c>
      <c r="D369" s="1">
        <v>129748.93000000002</v>
      </c>
      <c r="E369" s="1">
        <v>93571.190000000017</v>
      </c>
      <c r="F369" s="1">
        <v>13512.360000000001</v>
      </c>
      <c r="G369" s="1">
        <v>0</v>
      </c>
      <c r="H369" s="1">
        <v>22665.380000000001</v>
      </c>
      <c r="I369" s="2">
        <v>10</v>
      </c>
      <c r="J369" s="8">
        <v>0</v>
      </c>
      <c r="K369" s="10">
        <v>0</v>
      </c>
      <c r="L369" s="1">
        <f t="shared" si="98"/>
        <v>129748.93000000002</v>
      </c>
      <c r="M369" s="1">
        <v>1</v>
      </c>
      <c r="N369" s="1">
        <f t="shared" si="100"/>
        <v>129748.93000000002</v>
      </c>
      <c r="O369" s="1">
        <f t="shared" si="101"/>
        <v>93571.190000000017</v>
      </c>
      <c r="P369" s="1">
        <f t="shared" si="102"/>
        <v>13512.360000000001</v>
      </c>
      <c r="Q369" s="1">
        <f t="shared" si="103"/>
        <v>0</v>
      </c>
      <c r="R369" s="1">
        <f t="shared" si="104"/>
        <v>22665.380000000001</v>
      </c>
      <c r="S369" s="3">
        <f t="shared" si="92"/>
        <v>0</v>
      </c>
    </row>
    <row r="370" spans="2:19" ht="15.6" outlineLevel="2">
      <c r="B370" s="2" t="s">
        <v>5</v>
      </c>
      <c r="C370" s="2">
        <v>1996</v>
      </c>
      <c r="D370" s="1">
        <v>209878.04999999999</v>
      </c>
      <c r="E370" s="1">
        <v>132341.62</v>
      </c>
      <c r="F370" s="1">
        <v>30269.43</v>
      </c>
      <c r="G370" s="1">
        <v>0</v>
      </c>
      <c r="H370" s="1">
        <v>47267</v>
      </c>
      <c r="I370" s="2">
        <v>10</v>
      </c>
      <c r="J370" s="8">
        <v>0</v>
      </c>
      <c r="K370" s="10">
        <v>0</v>
      </c>
      <c r="L370" s="1">
        <f t="shared" si="98"/>
        <v>209878.04999999999</v>
      </c>
      <c r="M370" s="1">
        <v>1</v>
      </c>
      <c r="N370" s="1">
        <f t="shared" si="100"/>
        <v>209878.04999999999</v>
      </c>
      <c r="O370" s="1">
        <f t="shared" si="101"/>
        <v>132341.62</v>
      </c>
      <c r="P370" s="1">
        <f t="shared" si="102"/>
        <v>30269.43</v>
      </c>
      <c r="Q370" s="1">
        <f t="shared" si="103"/>
        <v>0</v>
      </c>
      <c r="R370" s="1">
        <f t="shared" si="104"/>
        <v>47267</v>
      </c>
      <c r="S370" s="3">
        <f t="shared" si="92"/>
        <v>0</v>
      </c>
    </row>
    <row r="371" spans="2:19" ht="15.6" outlineLevel="2">
      <c r="B371" s="2" t="s">
        <v>5</v>
      </c>
      <c r="C371" s="2">
        <v>1995</v>
      </c>
      <c r="D371" s="1">
        <v>245755.85999999996</v>
      </c>
      <c r="E371" s="1">
        <v>164341.96999999997</v>
      </c>
      <c r="F371" s="1">
        <v>14087.959999999999</v>
      </c>
      <c r="G371" s="1">
        <v>0</v>
      </c>
      <c r="H371" s="1">
        <v>67325.929999999993</v>
      </c>
      <c r="I371" s="2">
        <v>10</v>
      </c>
      <c r="J371" s="8">
        <v>0</v>
      </c>
      <c r="K371" s="10">
        <v>0</v>
      </c>
      <c r="L371" s="1">
        <f t="shared" si="98"/>
        <v>245755.85999999996</v>
      </c>
      <c r="M371" s="1">
        <v>1</v>
      </c>
      <c r="N371" s="1">
        <f t="shared" si="100"/>
        <v>245755.85999999996</v>
      </c>
      <c r="O371" s="1">
        <f t="shared" si="101"/>
        <v>164341.96999999997</v>
      </c>
      <c r="P371" s="1">
        <f t="shared" si="102"/>
        <v>14087.959999999999</v>
      </c>
      <c r="Q371" s="1">
        <f t="shared" si="103"/>
        <v>0</v>
      </c>
      <c r="R371" s="1">
        <f t="shared" si="104"/>
        <v>67325.929999999993</v>
      </c>
      <c r="S371" s="3">
        <f t="shared" si="92"/>
        <v>0</v>
      </c>
    </row>
    <row r="372" spans="2:19" ht="15.6" outlineLevel="2">
      <c r="B372" s="2" t="s">
        <v>5</v>
      </c>
      <c r="C372" s="2">
        <v>1994</v>
      </c>
      <c r="D372" s="1">
        <v>190650.92000000004</v>
      </c>
      <c r="E372" s="1">
        <v>147889.50000000003</v>
      </c>
      <c r="F372" s="1">
        <v>548.0300000000002</v>
      </c>
      <c r="G372" s="1">
        <v>0</v>
      </c>
      <c r="H372" s="1">
        <v>42213.389999999999</v>
      </c>
      <c r="I372" s="2">
        <v>10</v>
      </c>
      <c r="J372" s="8">
        <v>0</v>
      </c>
      <c r="K372" s="10">
        <v>0</v>
      </c>
      <c r="L372" s="1">
        <f t="shared" si="98"/>
        <v>190650.92000000004</v>
      </c>
      <c r="M372" s="1">
        <v>1</v>
      </c>
      <c r="N372" s="1">
        <f t="shared" si="100"/>
        <v>190650.92000000004</v>
      </c>
      <c r="O372" s="1">
        <f t="shared" si="101"/>
        <v>147889.50000000003</v>
      </c>
      <c r="P372" s="1">
        <f t="shared" si="102"/>
        <v>548.0300000000002</v>
      </c>
      <c r="Q372" s="1">
        <f t="shared" si="103"/>
        <v>0</v>
      </c>
      <c r="R372" s="1">
        <f t="shared" si="104"/>
        <v>42213.389999999999</v>
      </c>
      <c r="S372" s="3">
        <f t="shared" si="92"/>
        <v>0</v>
      </c>
    </row>
    <row r="373" spans="2:19" ht="15.6" outlineLevel="2">
      <c r="B373" s="2" t="s">
        <v>5</v>
      </c>
      <c r="C373" s="2">
        <v>1993</v>
      </c>
      <c r="D373" s="1">
        <v>52690.519999999997</v>
      </c>
      <c r="E373" s="1">
        <v>48769.789999999994</v>
      </c>
      <c r="F373" s="1">
        <v>1432.4800000000009</v>
      </c>
      <c r="G373" s="1">
        <v>0</v>
      </c>
      <c r="H373" s="1">
        <v>2488.25</v>
      </c>
      <c r="I373" s="2">
        <v>10</v>
      </c>
      <c r="J373" s="8">
        <v>0</v>
      </c>
      <c r="K373" s="10">
        <v>0</v>
      </c>
      <c r="L373" s="1">
        <f t="shared" si="98"/>
        <v>52690.519999999997</v>
      </c>
      <c r="M373" s="1">
        <v>1</v>
      </c>
      <c r="N373" s="1">
        <f t="shared" si="100"/>
        <v>52690.519999999997</v>
      </c>
      <c r="O373" s="1">
        <f t="shared" si="101"/>
        <v>48769.789999999994</v>
      </c>
      <c r="P373" s="1">
        <f t="shared" si="102"/>
        <v>1432.4800000000009</v>
      </c>
      <c r="Q373" s="1">
        <f t="shared" si="103"/>
        <v>0</v>
      </c>
      <c r="R373" s="1">
        <f t="shared" si="104"/>
        <v>2488.25</v>
      </c>
      <c r="S373" s="3">
        <f t="shared" si="92"/>
        <v>0</v>
      </c>
    </row>
    <row r="374" spans="2:19" ht="15.6" outlineLevel="2">
      <c r="B374" s="2" t="s">
        <v>5</v>
      </c>
      <c r="C374" s="2">
        <v>1992</v>
      </c>
      <c r="D374" s="1">
        <v>50850.040000000001</v>
      </c>
      <c r="E374" s="1">
        <v>47823.190000000002</v>
      </c>
      <c r="F374" s="1">
        <v>940.46000000000004</v>
      </c>
      <c r="G374" s="1">
        <v>0</v>
      </c>
      <c r="H374" s="1">
        <v>2086.3899999999999</v>
      </c>
      <c r="I374" s="2">
        <v>10</v>
      </c>
      <c r="J374" s="8">
        <v>0</v>
      </c>
      <c r="K374" s="10">
        <v>0</v>
      </c>
      <c r="L374" s="1">
        <f t="shared" si="98"/>
        <v>50850.040000000001</v>
      </c>
      <c r="M374" s="1">
        <v>1</v>
      </c>
      <c r="N374" s="1">
        <f t="shared" si="100"/>
        <v>50850.040000000001</v>
      </c>
      <c r="O374" s="1">
        <f t="shared" si="101"/>
        <v>47823.190000000002</v>
      </c>
      <c r="P374" s="1">
        <f t="shared" si="102"/>
        <v>940.46000000000004</v>
      </c>
      <c r="Q374" s="1">
        <f t="shared" si="103"/>
        <v>0</v>
      </c>
      <c r="R374" s="1">
        <f t="shared" si="104"/>
        <v>2086.3899999999999</v>
      </c>
      <c r="S374" s="3">
        <f t="shared" si="92"/>
        <v>0</v>
      </c>
    </row>
    <row r="375" spans="2:19" ht="15.6" outlineLevel="2">
      <c r="B375" s="2" t="s">
        <v>5</v>
      </c>
      <c r="C375" s="2">
        <v>1991</v>
      </c>
      <c r="D375" s="1">
        <v>274080.65999999997</v>
      </c>
      <c r="E375" s="1">
        <v>220292.29999999999</v>
      </c>
      <c r="F375" s="1">
        <v>15357.239999999998</v>
      </c>
      <c r="G375" s="1">
        <v>0</v>
      </c>
      <c r="H375" s="1">
        <v>38431.120000000003</v>
      </c>
      <c r="I375" s="2">
        <v>10</v>
      </c>
      <c r="J375" s="8">
        <v>0</v>
      </c>
      <c r="K375" s="10">
        <v>0</v>
      </c>
      <c r="L375" s="1">
        <f t="shared" si="98"/>
        <v>274080.65999999997</v>
      </c>
      <c r="M375" s="1">
        <v>1</v>
      </c>
      <c r="N375" s="1">
        <f t="shared" si="100"/>
        <v>274080.65999999997</v>
      </c>
      <c r="O375" s="1">
        <f t="shared" si="101"/>
        <v>220292.29999999999</v>
      </c>
      <c r="P375" s="1">
        <f t="shared" si="102"/>
        <v>15357.239999999998</v>
      </c>
      <c r="Q375" s="1">
        <f t="shared" si="103"/>
        <v>0</v>
      </c>
      <c r="R375" s="1">
        <f t="shared" si="104"/>
        <v>38431.120000000003</v>
      </c>
      <c r="S375" s="3">
        <f t="shared" si="105" ref="S375:S379">+N375-O375-P375-Q375-R375</f>
        <v>0</v>
      </c>
    </row>
    <row r="376" spans="2:19" ht="15.6" outlineLevel="2">
      <c r="B376" s="2" t="s">
        <v>5</v>
      </c>
      <c r="C376" s="2">
        <v>1990</v>
      </c>
      <c r="D376" s="1">
        <v>191611.68999999997</v>
      </c>
      <c r="E376" s="1">
        <v>161522.98999999999</v>
      </c>
      <c r="F376" s="1">
        <v>14358.939999999997</v>
      </c>
      <c r="G376" s="1">
        <v>0</v>
      </c>
      <c r="H376" s="1">
        <v>15729.76</v>
      </c>
      <c r="I376" s="2">
        <v>10</v>
      </c>
      <c r="J376" s="8">
        <v>0</v>
      </c>
      <c r="K376" s="10">
        <v>0</v>
      </c>
      <c r="L376" s="1">
        <f t="shared" si="98"/>
        <v>191611.68999999997</v>
      </c>
      <c r="M376" s="1">
        <v>1</v>
      </c>
      <c r="N376" s="1">
        <f t="shared" si="100"/>
        <v>191611.68999999997</v>
      </c>
      <c r="O376" s="1">
        <f t="shared" si="101"/>
        <v>161522.98999999999</v>
      </c>
      <c r="P376" s="1">
        <f t="shared" si="102"/>
        <v>14358.939999999997</v>
      </c>
      <c r="Q376" s="1">
        <f t="shared" si="103"/>
        <v>0</v>
      </c>
      <c r="R376" s="1">
        <f t="shared" si="104"/>
        <v>15729.76</v>
      </c>
      <c r="S376" s="3">
        <f t="shared" si="105"/>
        <v>-1.4551915228366852E-11</v>
      </c>
    </row>
    <row r="377" spans="2:19" ht="15.6" outlineLevel="2">
      <c r="B377" s="2" t="s">
        <v>5</v>
      </c>
      <c r="C377" s="2">
        <v>1989</v>
      </c>
      <c r="D377" s="1">
        <v>124054.89000000006</v>
      </c>
      <c r="E377" s="1">
        <v>106080.79000000007</v>
      </c>
      <c r="F377" s="1">
        <v>6015.7400000000025</v>
      </c>
      <c r="G377" s="1">
        <v>0</v>
      </c>
      <c r="H377" s="1">
        <v>11958.360000000001</v>
      </c>
      <c r="I377" s="2">
        <v>10</v>
      </c>
      <c r="J377" s="8">
        <v>0</v>
      </c>
      <c r="K377" s="10">
        <v>0</v>
      </c>
      <c r="L377" s="1">
        <f t="shared" si="98"/>
        <v>124054.89000000006</v>
      </c>
      <c r="M377" s="1">
        <v>1</v>
      </c>
      <c r="N377" s="1">
        <f t="shared" si="100"/>
        <v>124054.89000000006</v>
      </c>
      <c r="O377" s="1">
        <f t="shared" si="101"/>
        <v>106080.79000000007</v>
      </c>
      <c r="P377" s="1">
        <f t="shared" si="102"/>
        <v>6015.7400000000025</v>
      </c>
      <c r="Q377" s="1">
        <f t="shared" si="103"/>
        <v>0</v>
      </c>
      <c r="R377" s="1">
        <f t="shared" si="104"/>
        <v>11958.360000000001</v>
      </c>
      <c r="S377" s="3">
        <f t="shared" si="105"/>
        <v>0</v>
      </c>
    </row>
    <row r="378" spans="2:19" ht="15.6" outlineLevel="2">
      <c r="B378" s="2" t="s">
        <v>5</v>
      </c>
      <c r="C378" s="2">
        <v>1988</v>
      </c>
      <c r="D378" s="1">
        <v>204307.51000000001</v>
      </c>
      <c r="E378" s="1">
        <v>170415.85999999999</v>
      </c>
      <c r="F378" s="1">
        <v>9297.8899999999994</v>
      </c>
      <c r="G378" s="1">
        <v>0</v>
      </c>
      <c r="H378" s="1">
        <v>24593.759999999998</v>
      </c>
      <c r="I378" s="2">
        <v>10</v>
      </c>
      <c r="J378" s="8">
        <v>0</v>
      </c>
      <c r="K378" s="10">
        <v>0</v>
      </c>
      <c r="L378" s="1">
        <f t="shared" si="98"/>
        <v>204307.51000000001</v>
      </c>
      <c r="M378" s="1">
        <v>1</v>
      </c>
      <c r="N378" s="1">
        <f t="shared" si="100"/>
        <v>204307.51000000001</v>
      </c>
      <c r="O378" s="1">
        <f t="shared" si="101"/>
        <v>170415.85999999999</v>
      </c>
      <c r="P378" s="1">
        <f t="shared" si="102"/>
        <v>9297.8899999999994</v>
      </c>
      <c r="Q378" s="1">
        <f t="shared" si="103"/>
        <v>0</v>
      </c>
      <c r="R378" s="1">
        <f t="shared" si="104"/>
        <v>24593.759999999998</v>
      </c>
      <c r="S378" s="3">
        <f t="shared" si="105"/>
        <v>0</v>
      </c>
    </row>
    <row r="379" spans="1:19" ht="15.6" outlineLevel="1">
      <c r="A379" s="4" t="s">
        <v>31</v>
      </c>
      <c r="B379" s="2" t="s">
        <v>32</v>
      </c>
      <c r="D379" s="1">
        <f>SUBTOTAL(9,D345:D378)</f>
        <v>25067971.920000009</v>
      </c>
      <c r="E379" s="1">
        <f>SUBTOTAL(9,E345:E378)</f>
        <v>14998561.909999998</v>
      </c>
      <c r="F379" s="1">
        <f>SUBTOTAL(9,F345:F378)</f>
        <v>1380761.7599999995</v>
      </c>
      <c r="G379" s="1">
        <f>SUBTOTAL(9,G345:G378)</f>
        <v>0</v>
      </c>
      <c r="H379" s="1">
        <f>SUBTOTAL(9,H345:H378)</f>
        <v>8688648.2500000019</v>
      </c>
      <c r="L379" s="1">
        <f>SUBTOTAL(9,L345:L378)</f>
        <v>16087387.719000001</v>
      </c>
      <c r="M379" s="1">
        <v>0.43943678395763019</v>
      </c>
      <c r="N379" s="1">
        <f>SUBTOTAL(9,N345:N378)</f>
        <v>13410604.849802546</v>
      </c>
      <c r="O379" s="1">
        <f t="shared" si="101"/>
        <v>8023775.8256715666</v>
      </c>
      <c r="P379" s="1">
        <f t="shared" si="102"/>
        <v>738665.67324118363</v>
      </c>
      <c r="Q379" s="1">
        <f t="shared" si="103"/>
        <v>0</v>
      </c>
      <c r="R379" s="1">
        <f t="shared" si="104"/>
        <v>4648163.3508897908</v>
      </c>
      <c r="S379" s="3">
        <f t="shared" si="105"/>
        <v>0</v>
      </c>
    </row>
    <row r="380" spans="1:14" ht="15.6">
      <c r="A380" s="4" t="s">
        <v>4</v>
      </c>
      <c r="B380" s="2" t="s">
        <v>32</v>
      </c>
      <c r="D380" s="1">
        <f>SUBTOTAL(9,D3:D379)</f>
        <v>575643485.42000008</v>
      </c>
      <c r="E380" s="1">
        <f>SUBTOTAL(9,E3:E379)</f>
        <v>285597649.15000004</v>
      </c>
      <c r="F380" s="1">
        <f>SUBTOTAL(9,F3:F379)</f>
        <v>39237367.49000001</v>
      </c>
      <c r="G380" s="1">
        <f>SUBTOTAL(9,G3:G379)</f>
        <v>16091522.240000004</v>
      </c>
      <c r="H380" s="1">
        <f>SUBTOTAL(9,H3:H379)</f>
        <v>234716946.54000011</v>
      </c>
      <c r="L380" s="1">
        <f>SUBTOTAL(9,L3:L379)</f>
        <v>154018167.15111801</v>
      </c>
      <c r="N380" s="1">
        <f>SUBTOTAL(9,N3:N379)</f>
        <v>78169177.17689395</v>
      </c>
    </row>
    <row r="383" spans="12:19" ht="15.6">
      <c r="L383" s="12" t="s">
        <v>40</v>
      </c>
      <c r="N383" s="6" t="s">
        <v>16</v>
      </c>
      <c r="O383" s="6" t="s">
        <v>0</v>
      </c>
      <c r="P383" s="6" t="s">
        <v>1</v>
      </c>
      <c r="Q383" s="6" t="s">
        <v>2</v>
      </c>
      <c r="R383" s="6" t="s">
        <v>3</v>
      </c>
      <c r="S383" s="14" t="s">
        <v>42</v>
      </c>
    </row>
    <row r="384" spans="12:18" ht="15.6">
      <c r="L384" s="13" t="s">
        <v>34</v>
      </c>
      <c r="N384" s="1">
        <f>N119</f>
        <v>1370565.4272373365</v>
      </c>
      <c r="O384" s="1">
        <f t="shared" si="106" ref="O384:R384">O119</f>
        <v>636974.64845655428</v>
      </c>
      <c r="P384" s="1">
        <f t="shared" si="106"/>
        <v>81287.340383660994</v>
      </c>
      <c r="Q384" s="1">
        <f t="shared" si="106"/>
        <v>65735.891744623237</v>
      </c>
      <c r="R384" s="1">
        <f t="shared" si="106"/>
        <v>586567.54665249842</v>
      </c>
    </row>
    <row r="385" spans="12:19" ht="15.6">
      <c r="L385" s="13" t="s">
        <v>41</v>
      </c>
      <c r="N385" s="1">
        <f>SUM(O385:S385)</f>
        <v>153328911.18626258</v>
      </c>
      <c r="O385" s="1">
        <v>42607380.587678827</v>
      </c>
      <c r="P385" s="1">
        <v>37221370.687614001</v>
      </c>
      <c r="Q385" s="1">
        <v>40904289.320271313</v>
      </c>
      <c r="R385" s="1">
        <v>32588846.745698433</v>
      </c>
      <c r="S385" s="1">
        <v>7023.8450000000003</v>
      </c>
    </row>
    <row r="386" spans="12:19" ht="15.6">
      <c r="L386" s="13" t="s">
        <v>43</v>
      </c>
      <c r="N386" s="1">
        <v>794032.15000000002</v>
      </c>
      <c r="O386" s="1">
        <v>0</v>
      </c>
      <c r="P386" s="1">
        <v>0</v>
      </c>
      <c r="Q386" s="1">
        <v>0</v>
      </c>
      <c r="R386" s="1">
        <v>0</v>
      </c>
      <c r="S386" s="1">
        <v>794032.15000000002</v>
      </c>
    </row>
    <row r="388" spans="14:19" ht="16.35" thickBot="1">
      <c r="N388" s="15">
        <f>SUM(N384:N386)</f>
        <v>155493508.76349992</v>
      </c>
      <c r="O388" s="15">
        <f t="shared" si="107" ref="O388:S388">SUM(O384:O386)</f>
        <v>43244355.236135378</v>
      </c>
      <c r="P388" s="15">
        <f t="shared" si="107"/>
        <v>37302658.027997665</v>
      </c>
      <c r="Q388" s="15">
        <f t="shared" si="107"/>
        <v>40970025.212015934</v>
      </c>
      <c r="R388" s="15">
        <f t="shared" si="107"/>
        <v>33175414.292350933</v>
      </c>
      <c r="S388" s="15">
        <f t="shared" si="107"/>
        <v>801055.995</v>
      </c>
    </row>
    <row r="389" ht="16.35" thickTop="1"/>
    <row r="390" spans="12:19" ht="15.6">
      <c r="L390" s="12" t="s">
        <v>44</v>
      </c>
      <c r="N390" s="6" t="s">
        <v>16</v>
      </c>
      <c r="O390" s="6" t="s">
        <v>0</v>
      </c>
      <c r="P390" s="6" t="s">
        <v>1</v>
      </c>
      <c r="Q390" s="6" t="s">
        <v>2</v>
      </c>
      <c r="R390" s="6" t="s">
        <v>3</v>
      </c>
      <c r="S390" s="14" t="s">
        <v>42</v>
      </c>
    </row>
    <row r="391" spans="12:19" ht="15.6">
      <c r="L391" s="13" t="s">
        <v>45</v>
      </c>
      <c r="N391" s="1">
        <f>N231+N251</f>
        <v>19948766.489442866</v>
      </c>
      <c r="O391" s="1">
        <f t="shared" si="108" ref="O391:R391">O231+O251</f>
        <v>7510868.3645423753</v>
      </c>
      <c r="P391" s="1">
        <f t="shared" si="108"/>
        <v>603373.69262452458</v>
      </c>
      <c r="Q391" s="1">
        <f t="shared" si="108"/>
        <v>274004.37946038198</v>
      </c>
      <c r="R391" s="1">
        <f t="shared" si="108"/>
        <v>11560520.052815588</v>
      </c>
      <c r="S391" s="1">
        <v>0</v>
      </c>
    </row>
    <row r="392" spans="12:19" ht="15.6">
      <c r="L392" s="13" t="s">
        <v>46</v>
      </c>
      <c r="N392" s="1">
        <v>41548504.43</v>
      </c>
      <c r="O392" s="1">
        <v>0</v>
      </c>
      <c r="P392" s="1">
        <v>41548504.43</v>
      </c>
      <c r="Q392" s="1">
        <v>0</v>
      </c>
      <c r="R392" s="1">
        <v>0</v>
      </c>
      <c r="S392" s="1">
        <v>0</v>
      </c>
    </row>
    <row r="393" spans="12:19" ht="15.6">
      <c r="L393" s="13" t="s">
        <v>47</v>
      </c>
      <c r="N393" s="1">
        <v>8285.4099999999999</v>
      </c>
      <c r="O393" s="1">
        <v>0</v>
      </c>
      <c r="P393" s="1">
        <v>0</v>
      </c>
      <c r="Q393" s="1">
        <v>0</v>
      </c>
      <c r="R393" s="1">
        <v>0</v>
      </c>
      <c r="S393" s="1">
        <v>8285.4099999999999</v>
      </c>
    </row>
    <row r="394" spans="12:12" ht="15.6">
      <c r="L394" s="13"/>
    </row>
    <row r="395" spans="12:19" ht="16.35" thickBot="1">
      <c r="L395" s="13"/>
      <c r="N395" s="15">
        <f>SUM(N391:N393)</f>
        <v>61505556.329442859</v>
      </c>
      <c r="O395" s="15">
        <f t="shared" si="109" ref="O395:S395">SUM(O391:O393)</f>
        <v>7510868.3645423753</v>
      </c>
      <c r="P395" s="15">
        <f t="shared" si="109"/>
        <v>42151878.122624524</v>
      </c>
      <c r="Q395" s="15">
        <f t="shared" si="109"/>
        <v>274004.37946038198</v>
      </c>
      <c r="R395" s="15">
        <f t="shared" si="109"/>
        <v>11560520.052815588</v>
      </c>
      <c r="S395" s="15">
        <f t="shared" si="109"/>
        <v>8285.4099999999999</v>
      </c>
    </row>
    <row r="396" spans="12:12" ht="16.35" thickTop="1">
      <c r="L396" s="13"/>
    </row>
  </sheetData>
  <sortState ref="B4:H379">
    <sortCondition sortBy="value" ref="B4:B379"/>
    <sortCondition descending="1" sortBy="value" ref="C4:C379"/>
  </sortState>
  <mergeCells count="2">
    <mergeCell ref="O1:R1"/>
    <mergeCell ref="E1:H1"/>
  </mergeCells>
  <pageMargins left="0.75" right="0.75" top="2" bottom="1" header="0.75" footer="0.5"/>
  <pageSetup orientation="landscape" scale="50" r:id="rId1"/>
  <headerFooter>
    <oddHeader>&amp;C
&amp;"Arial,Bold"
2002 RATE CASE
ONCOR ELECTRIC DELIVERY COMPANY LLC
WP II-B-5_09  ONCOR LEGACY GENERAL PLANT
TEST YEAR ENDING DECEMBER 31, 2021
SPONSOR: D.A. WATSON&amp;R&amp;"Arial,Bold"WP/II-B-5/09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II-B-5_09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