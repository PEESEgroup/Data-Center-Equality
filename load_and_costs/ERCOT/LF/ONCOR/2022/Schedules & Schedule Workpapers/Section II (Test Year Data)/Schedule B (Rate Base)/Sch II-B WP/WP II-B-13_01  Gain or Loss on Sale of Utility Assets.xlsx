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drawings/drawing3.xml" ContentType="application/vnd.openxmlformats-officedocument.drawing+xml"/>
  <Override PartName="/xl/worksheets/sheet3.xml" ContentType="application/vnd.openxmlformats-officedocument.spreadsheetml.worksheet+xml"/>
  <Override PartName="/xl/drawings/drawing4.xml" ContentType="application/vnd.openxmlformats-officedocument.drawing+xml"/>
  <Override PartName="/xl/worksheets/sheet4.xml" ContentType="application/vnd.openxmlformats-officedocument.spreadsheetml.worksheet+xml"/>
  <Override PartName="/xl/drawings/drawing5.xml" ContentType="application/vnd.openxmlformats-officedocument.drawing+xml"/>
  <Override PartName="/xl/worksheets/sheet5.xml" ContentType="application/vnd.openxmlformats-officedocument.spreadsheetml.worksheet+xml"/>
  <Override PartName="/xl/drawings/drawing6.xml" ContentType="application/vnd.openxmlformats-officedocument.drawing+xml"/>
  <Override PartName="/xl/worksheets/sheet6.xml" ContentType="application/vnd.openxmlformats-officedocument.spreadsheetml.worksheet+xml"/>
  <Override PartName="/xl/drawings/drawing7.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externalLinks/externalLink1.xml" ContentType="application/vnd.openxmlformats-officedocument.spreadsheetml.externalLink+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4" Type="http://schemas.openxmlformats.org/officeDocument/2006/relationships/custom-properties" Target="docProps/custom.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N:\2022 Rate Case\Section II (Test Year Data)\Schedule B (Rate Base)\Sch II-B WP\"/>
    </mc:Choice>
  </mc:AlternateContent>
  <bookViews>
    <workbookView xWindow="0" yWindow="0" windowWidth="28800" windowHeight="12045" tabRatio="761" activeTab="2"/>
  </bookViews>
  <sheets>
    <sheet name="Sale of 33.006 Acres" sheetId="2" r:id="rId2"/>
    <sheet name="Sale of 0.1813 acres" sheetId="3" r:id="rId3"/>
    <sheet name="Sale of 0.684 acres" sheetId="4" r:id="rId4"/>
    <sheet name="Sale of  0.147 acres" sheetId="5" r:id="rId5"/>
    <sheet name="Sale of 0.035 acres" sheetId="6" r:id="rId6"/>
    <sheet name="Sale of 5.4851 Acres" sheetId="7" r:id="rId7"/>
    <sheet name="Sale of 0.0209 acres" sheetId="8" r:id="rId8"/>
    <sheet name="Sale of 515 Park Ave" sheetId="9" r:id="rId9"/>
  </sheets>
  <externalReferences>
    <externalReference r:id="rId16"/>
  </externalReferences>
  <definedNames>
    <definedName name="_xlnm._FilterDatabase" localSheetId="4" hidden="1">'Sale of 0.035 acres'!$A$14:$W$17</definedName>
    <definedName name="_xlnm._FilterDatabase" localSheetId="2" hidden="1">'Sale of 0.684 acres'!$A$14:$W$23</definedName>
    <definedName name="Account">#REF!</definedName>
    <definedName name="Account2">#REF!</definedName>
    <definedName name="AccountDescr">#REF!</definedName>
    <definedName name="AccountDescr2">#REF!</definedName>
    <definedName name="Activity">#REF!</definedName>
    <definedName name="Activity2">#REF!</definedName>
    <definedName name="ActivityDescr">#REF!</definedName>
    <definedName name="ActivityDescr2">#REF!</definedName>
    <definedName name="Affiliate">#REF!</definedName>
    <definedName name="Affiliate2">#REF!</definedName>
    <definedName name="AffiliateDescr">#REF!</definedName>
    <definedName name="ASD">#REF!</definedName>
    <definedName name="CURRENTMONTH">[1]Month!$H$5</definedName>
    <definedName name="DeptDescr">#REF!</definedName>
    <definedName name="DeptDescr2">#REF!</definedName>
    <definedName name="DeptID">#REF!</definedName>
    <definedName name="DeptID2">#REF!</definedName>
    <definedName name="EC">#REF!</definedName>
    <definedName name="ECDescr">#REF!</definedName>
    <definedName name="ECDescr2">#REF!</definedName>
    <definedName name="ECID">#REF!</definedName>
    <definedName name="Location">#REF!</definedName>
    <definedName name="Location2">#REF!</definedName>
    <definedName name="LocationDescr">#REF!</definedName>
    <definedName name="LocationDescr2">#REF!</definedName>
    <definedName name="NvsASD">"V2019-12-31"</definedName>
    <definedName name="NvsAutoDrillOk">"VN"</definedName>
    <definedName name="NvsElapsedTime">0.000312499993015081</definedName>
    <definedName name="NvsEndTime">43852.4466666667</definedName>
    <definedName name="NvsInstLang">"VENG"</definedName>
    <definedName name="NvsInstSpec">"%,LTU_SUM01,SBAL,FACCOUNT,V1070000"</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"V1997-01-01"</definedName>
    <definedName name="NvsPanelSetid">"VSHARE"</definedName>
    <definedName name="NvsParentRef">"'[NTUSU Trial Balance Dec 2019.xls]Sheet1'!$O$19"</definedName>
    <definedName name="NvsReqBU">"VNTUSU"</definedName>
    <definedName name="NvsReqBUOnly">"VY"</definedName>
    <definedName name="NvsTransLed">"VY"</definedName>
    <definedName name="NvsTreeASD">"V2019-12-31"</definedName>
    <definedName name="NvsValTbl.ACCOUNT">"GL_ACCOUNT_TBL"</definedName>
    <definedName name="NvsValTbl.AFFILIATE">"BUS_UNIT_TBL_FS"</definedName>
    <definedName name="NvsValTbl.CURRENCY_CD">"CURRENCY_CD_TBL"</definedName>
    <definedName name="NvsValTbl.DEPTID">"DEPARTMENT_TBL"</definedName>
    <definedName name="NvsValTbl.PROJECT_ID">"PROJECT"</definedName>
    <definedName name="NvsValTbl.TU_EC">"TU_EC_TBL"</definedName>
    <definedName name="_xlnm.Print_Area" localSheetId="3">'Sale of  0.147 acres'!$A$1:$W$60</definedName>
    <definedName name="_xlnm.Print_Area" localSheetId="6">'Sale of 0.0209 acres'!$A$1:$X$56</definedName>
    <definedName name="_xlnm.Print_Area" localSheetId="4">'Sale of 0.035 acres'!$A$1:$W$54</definedName>
    <definedName name="_xlnm.Print_Area" localSheetId="1">'Sale of 0.1813 acres'!$A$1:$X$54</definedName>
    <definedName name="_xlnm.Print_Area" localSheetId="2">'Sale of 0.684 acres'!$A$1:$W$64</definedName>
    <definedName name="_xlnm.Print_Area" localSheetId="0">'Sale of 33.006 Acres'!$A$1:$W$102</definedName>
    <definedName name="_xlnm.Print_Area" localSheetId="5">'Sale of 5.4851 Acres'!$A$1:$W$132</definedName>
    <definedName name="Task">#REF!</definedName>
    <definedName name="Task2">#REF!</definedName>
    <definedName name="TaskDescr">#REF!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99" i="2" l="1"/>
</calcChain>
</file>

<file path=xl/sharedStrings.xml><?xml version="1.0" encoding="utf-8"?>
<sst xmlns="http://schemas.openxmlformats.org/spreadsheetml/2006/main" count="3872" uniqueCount="339">
  <si>
    <t>Unit</t>
  </si>
  <si>
    <t>Year</t>
  </si>
  <si>
    <t>T R</t>
  </si>
  <si>
    <t>DSR</t>
  </si>
  <si>
    <t>ACREAGE SOLD: 33.006 acres</t>
  </si>
  <si>
    <t>Dept</t>
  </si>
  <si>
    <t>Account</t>
  </si>
  <si>
    <t>EC</t>
  </si>
  <si>
    <t>Project</t>
  </si>
  <si>
    <t>Location</t>
  </si>
  <si>
    <t>Activity</t>
  </si>
  <si>
    <t>Affiliate</t>
  </si>
  <si>
    <t>BU Amount</t>
  </si>
  <si>
    <t>Journal ID</t>
  </si>
  <si>
    <t>DelivDt-PO</t>
  </si>
  <si>
    <t>Period</t>
  </si>
  <si>
    <t>Source Type</t>
  </si>
  <si>
    <t>Sys Source</t>
  </si>
  <si>
    <t>Descr</t>
  </si>
  <si>
    <t>TRN</t>
  </si>
  <si>
    <t>515660</t>
  </si>
  <si>
    <t>1070000</t>
  </si>
  <si>
    <t>856</t>
  </si>
  <si>
    <t>0PT44078</t>
  </si>
  <si>
    <t>0000</t>
  </si>
  <si>
    <t/>
  </si>
  <si>
    <t>BIBI954980</t>
  </si>
  <si>
    <t>CIAC</t>
  </si>
  <si>
    <t>BIL</t>
  </si>
  <si>
    <t>CIAC-Sale of Oncor Facilities</t>
  </si>
  <si>
    <t>Cost of Land:</t>
  </si>
  <si>
    <t>Deed</t>
  </si>
  <si>
    <t>Asset ID</t>
  </si>
  <si>
    <t>CnstrWrkLc</t>
  </si>
  <si>
    <t>Func code</t>
  </si>
  <si>
    <t>Plant Acct</t>
  </si>
  <si>
    <t>Sub Acct</t>
  </si>
  <si>
    <t>Prop Unit</t>
  </si>
  <si>
    <t>Trans Type</t>
  </si>
  <si>
    <t>Vntg Yr</t>
  </si>
  <si>
    <t>Gross Amt</t>
  </si>
  <si>
    <t>Net Amt</t>
  </si>
  <si>
    <t>CIAC Amt</t>
  </si>
  <si>
    <t>AFUDC Amt</t>
  </si>
  <si>
    <t>Qty</t>
  </si>
  <si>
    <t>Posted</t>
  </si>
  <si>
    <t>Reference</t>
  </si>
  <si>
    <t>User</t>
  </si>
  <si>
    <t>Easement</t>
  </si>
  <si>
    <t>Veh Class</t>
  </si>
  <si>
    <t>00624624</t>
  </si>
  <si>
    <t>0500503</t>
  </si>
  <si>
    <t>Jacksboro-Denton, West 345 KV</t>
  </si>
  <si>
    <t>1010201</t>
  </si>
  <si>
    <t>349</t>
  </si>
  <si>
    <t>7000</t>
  </si>
  <si>
    <t>0010</t>
  </si>
  <si>
    <t>FEE LAND</t>
  </si>
  <si>
    <t>AD</t>
  </si>
  <si>
    <t>06T80031</t>
  </si>
  <si>
    <t>2006</t>
  </si>
  <si>
    <t>BATCH UNITIZATION</t>
  </si>
  <si>
    <t>5493</t>
  </si>
  <si>
    <t>BATCH UNITIZATION REVERSAL</t>
  </si>
  <si>
    <t>SA</t>
  </si>
  <si>
    <t>2007</t>
  </si>
  <si>
    <t>TI</t>
  </si>
  <si>
    <t>UVD2</t>
  </si>
  <si>
    <t>TRANSFER IN ALL VINTAGE YEARS</t>
  </si>
  <si>
    <t>MA</t>
  </si>
  <si>
    <t>Adj acreage to 76.59 per Wayne Wright</t>
  </si>
  <si>
    <t>RT</t>
  </si>
  <si>
    <t>08T80061</t>
  </si>
  <si>
    <t>JUN 2011</t>
  </si>
  <si>
    <t>SALE OF 13.626 ACRES</t>
  </si>
  <si>
    <t>RV</t>
  </si>
  <si>
    <t>CORRECT</t>
  </si>
  <si>
    <t>REVERSE RT TO XFER EASEMENT</t>
  </si>
  <si>
    <t>REVERSE RV FOR EASEMENT</t>
  </si>
  <si>
    <t>CORRECT VINTAGE ON RV</t>
  </si>
  <si>
    <t>TO</t>
  </si>
  <si>
    <t>XFER TO EASEMENT 272866</t>
  </si>
  <si>
    <t>SALE OF 13.626 ACRES AFTER EASEMENT</t>
  </si>
  <si>
    <t>XFER EASEMENT 272866</t>
  </si>
  <si>
    <t>CORRECT RT FOR EASEMENT</t>
  </si>
  <si>
    <t>CORRECT VINTAGE ON RV CORRECTION</t>
  </si>
  <si>
    <t>SALES 13.626 ACRES AFTER EASEMENT</t>
  </si>
  <si>
    <t>14T80003</t>
  </si>
  <si>
    <t>SALE</t>
  </si>
  <si>
    <t>SALE OF 29.833 ACRES</t>
  </si>
  <si>
    <t>ADJUST ACREAGE TO SURVEY</t>
  </si>
  <si>
    <t>U6ZI</t>
  </si>
  <si>
    <t>To transfer 80% of easement value of 7.996 acres</t>
  </si>
  <si>
    <t>Land ROW</t>
  </si>
  <si>
    <t>To transfer 7.996 Acres of Land to Right of Way</t>
  </si>
  <si>
    <t>To reverse previous transfer</t>
  </si>
  <si>
    <t>Adjust acreage to match the survery so we can calculate how much dollars to move to easement. We will not adjust the quantity in FIM since we will retire the whole land</t>
  </si>
  <si>
    <t>Cost per Acre</t>
  </si>
  <si>
    <t xml:space="preserve">Cost of Land Sold </t>
  </si>
  <si>
    <t xml:space="preserve"> Acres</t>
  </si>
  <si>
    <t>Calculation of Gain/Loss:</t>
  </si>
  <si>
    <t>Cost of Land</t>
  </si>
  <si>
    <t>Total acreage</t>
  </si>
  <si>
    <t>Gross Proceeds</t>
  </si>
  <si>
    <t>&lt;Removal Cost&gt;</t>
  </si>
  <si>
    <t>Net Proceeds</t>
  </si>
  <si>
    <t>Cost of land under easements</t>
  </si>
  <si>
    <t>&lt;Cost of Land Sold&gt;</t>
  </si>
  <si>
    <t>Easement Value = 80% of land</t>
  </si>
  <si>
    <t>Gain (Neg) or Loss (Pos)</t>
  </si>
  <si>
    <t>New book cost of land being sold</t>
  </si>
  <si>
    <t>Proceeds</t>
  </si>
  <si>
    <t>Loss</t>
  </si>
  <si>
    <t>Journal Entry:</t>
  </si>
  <si>
    <t>Gain if Credit</t>
  </si>
  <si>
    <t>BU</t>
  </si>
  <si>
    <t>DeptID</t>
  </si>
  <si>
    <t>Amount</t>
  </si>
  <si>
    <t>Description</t>
  </si>
  <si>
    <t>1084201</t>
  </si>
  <si>
    <t>941</t>
  </si>
  <si>
    <t>4210100</t>
  </si>
  <si>
    <t>000</t>
  </si>
  <si>
    <t>Loss if Debit</t>
  </si>
  <si>
    <t>4210200</t>
  </si>
  <si>
    <t>Loss on Sale of 33.006 Acres</t>
  </si>
  <si>
    <t>Reclass Removal Cost from 1070000 to 1080xxx</t>
  </si>
  <si>
    <t>Retire the Land Sold</t>
  </si>
  <si>
    <t>Refund of Overpaid Taxes</t>
  </si>
  <si>
    <t>ACREAGE SOLD: 0.1813 acres from 2.5387 acres</t>
  </si>
  <si>
    <t>302</t>
  </si>
  <si>
    <t>0PT40699</t>
  </si>
  <si>
    <t>XPR0949657</t>
  </si>
  <si>
    <t>MISCL</t>
  </si>
  <si>
    <t>PUR</t>
  </si>
  <si>
    <t>Personal Vehicles (Mileage Onl</t>
  </si>
  <si>
    <t>870</t>
  </si>
  <si>
    <t>ALO0949701</t>
  </si>
  <si>
    <t>INDOH</t>
  </si>
  <si>
    <t>ALO</t>
  </si>
  <si>
    <t>Indirect Construction Overhead</t>
  </si>
  <si>
    <t>0000955108</t>
  </si>
  <si>
    <t>PEZ</t>
  </si>
  <si>
    <t>1080201</t>
  </si>
  <si>
    <t>00051279</t>
  </si>
  <si>
    <t>0000349</t>
  </si>
  <si>
    <t>North Lake-Northaven</t>
  </si>
  <si>
    <t>CONVERSN</t>
  </si>
  <si>
    <t>1962</t>
  </si>
  <si>
    <t>GRANTOR: J. FRED SMITH.</t>
  </si>
  <si>
    <t>004491</t>
  </si>
  <si>
    <t>14T80060</t>
  </si>
  <si>
    <t>SALE 0.6412 ACRES</t>
  </si>
  <si>
    <t>15T80003</t>
  </si>
  <si>
    <t>SALE OF 0.0301 ACRES</t>
  </si>
  <si>
    <t>Gain on Sale of 0.1813 acres</t>
  </si>
  <si>
    <t>ACREAGE SOLD: 0.684 acres from 29.36 acres</t>
  </si>
  <si>
    <t>0PT45456</t>
  </si>
  <si>
    <t>0000873623</t>
  </si>
  <si>
    <t>UJE</t>
  </si>
  <si>
    <t>00051649</t>
  </si>
  <si>
    <t>0000322</t>
  </si>
  <si>
    <t>Centerville-Forney</t>
  </si>
  <si>
    <t>1969</t>
  </si>
  <si>
    <t>GRANTOR: EUGENE B. SMITH JR.</t>
  </si>
  <si>
    <t>004895</t>
  </si>
  <si>
    <t>GRANTOR: EUGENE B SMITH JR.</t>
  </si>
  <si>
    <t>Sale of 0.684 acres</t>
  </si>
  <si>
    <t>Loss on Sale of 11.399 Acres</t>
  </si>
  <si>
    <t>U6ZI_PROJ_TXNS</t>
  </si>
  <si>
    <t>Land Sold</t>
  </si>
  <si>
    <t>ACREAGE SOLD: 0.147 acres from 4.63 acres</t>
  </si>
  <si>
    <t>0PT46301</t>
  </si>
  <si>
    <t>0300410</t>
  </si>
  <si>
    <t>West Plano-Lavon 138 Kv</t>
  </si>
  <si>
    <t>No comment,ECS</t>
  </si>
  <si>
    <t>1960</t>
  </si>
  <si>
    <t>00402534</t>
  </si>
  <si>
    <t>2562</t>
  </si>
  <si>
    <t xml:space="preserve">Sale of  0.147 acres </t>
  </si>
  <si>
    <t>ACREAGE SOLD: 0.035 acres from 0.70 acres</t>
  </si>
  <si>
    <t>0PT46613</t>
  </si>
  <si>
    <t>BIBI965055</t>
  </si>
  <si>
    <t>00000378</t>
  </si>
  <si>
    <t>0007002</t>
  </si>
  <si>
    <t>Oakhill Tap (South) 138Kv (Off</t>
  </si>
  <si>
    <t>1968</t>
  </si>
  <si>
    <t>INITIAL ADD - CONVERTED FROM ID CPR</t>
  </si>
  <si>
    <t>D01927</t>
  </si>
  <si>
    <t>Sale of 0.035 acres</t>
  </si>
  <si>
    <t>Average Sold: 0.035 acres from 0.70 acres</t>
  </si>
  <si>
    <t>ACREAGE SOLD: 5.4851 acres from 43.608 acres</t>
  </si>
  <si>
    <t>572000</t>
  </si>
  <si>
    <t>413</t>
  </si>
  <si>
    <t>0PT39534</t>
  </si>
  <si>
    <t>0000405528</t>
  </si>
  <si>
    <t>OS Legal Cost-Intrnl Legal</t>
  </si>
  <si>
    <t>PUR0958812</t>
  </si>
  <si>
    <t>ALO0958820</t>
  </si>
  <si>
    <t>PUR0960895</t>
  </si>
  <si>
    <t>ALO0961007</t>
  </si>
  <si>
    <t>PUR0964481</t>
  </si>
  <si>
    <t>PUR0964421</t>
  </si>
  <si>
    <t>ALO0964508</t>
  </si>
  <si>
    <t>PUR0965293</t>
  </si>
  <si>
    <t>ALO0965786</t>
  </si>
  <si>
    <t>00403392</t>
  </si>
  <si>
    <t>0100524</t>
  </si>
  <si>
    <t>Jewett-Tricorner</t>
  </si>
  <si>
    <t>CORRECT ACREAGE TO MATCH DEED</t>
  </si>
  <si>
    <t>2486</t>
  </si>
  <si>
    <t>00403393</t>
  </si>
  <si>
    <t>1964</t>
  </si>
  <si>
    <t>2920</t>
  </si>
  <si>
    <t>00403395</t>
  </si>
  <si>
    <t>2930</t>
  </si>
  <si>
    <t>00403394</t>
  </si>
  <si>
    <t>2933</t>
  </si>
  <si>
    <t>Loss on Sale of 5.4851 Acres</t>
  </si>
  <si>
    <t>Reclass Removal Costs</t>
  </si>
  <si>
    <t>ACREAGE SOLD: 0.2003 acres from 2.9630 acres</t>
  </si>
  <si>
    <t>ACREAGE SOLD: 1.5171 acres from 3.8380 acres</t>
  </si>
  <si>
    <t>ACREAGE SOLD: 3.2714 acres from 10.5440 acres</t>
  </si>
  <si>
    <t>ACREAGE SOLD: 0.4963 acres from 26.263 acres</t>
  </si>
  <si>
    <t>ACREAGE SOLD: 0.0209 acres</t>
  </si>
  <si>
    <t>0PT43611</t>
  </si>
  <si>
    <t>515521</t>
  </si>
  <si>
    <t>BIBI959087</t>
  </si>
  <si>
    <t>00607057</t>
  </si>
  <si>
    <t>0101611</t>
  </si>
  <si>
    <t>Rockwall, East 138KV</t>
  </si>
  <si>
    <t>1010311</t>
  </si>
  <si>
    <t>374</t>
  </si>
  <si>
    <t>Land in fee</t>
  </si>
  <si>
    <t>02T80003</t>
  </si>
  <si>
    <t>2004</t>
  </si>
  <si>
    <t>5412</t>
  </si>
  <si>
    <t>ADJ ACREAGE TO MATCH SURVEY</t>
  </si>
  <si>
    <t>1084311</t>
  </si>
  <si>
    <t>Gain on Sale of 0.0209 acres</t>
  </si>
  <si>
    <t>Acreage sold 0.0209 from 4.461 acres</t>
  </si>
  <si>
    <t>Allocation % from WP II-1_09 FERC 362 for Location 0101611</t>
  </si>
  <si>
    <t>DIST %</t>
  </si>
  <si>
    <t>TRAN %</t>
  </si>
  <si>
    <t>DIST</t>
  </si>
  <si>
    <t xml:space="preserve">Sale of 515 Park Ave. </t>
  </si>
  <si>
    <t>ESD</t>
  </si>
  <si>
    <t>584340</t>
  </si>
  <si>
    <t>499</t>
  </si>
  <si>
    <t>02006403</t>
  </si>
  <si>
    <t>8171</t>
  </si>
  <si>
    <t>4300</t>
  </si>
  <si>
    <t>PUR0927712</t>
  </si>
  <si>
    <t>Other Services</t>
  </si>
  <si>
    <t>PUR0927854</t>
  </si>
  <si>
    <t>0000929625</t>
  </si>
  <si>
    <t>PUR0929638</t>
  </si>
  <si>
    <t>0000930256</t>
  </si>
  <si>
    <t>PUR0930685</t>
  </si>
  <si>
    <t>PUR0931196</t>
  </si>
  <si>
    <t>PUR0932834</t>
  </si>
  <si>
    <t>PUR0934039</t>
  </si>
  <si>
    <t>0000936515</t>
  </si>
  <si>
    <t>PUR0936381</t>
  </si>
  <si>
    <t>PUR0937326</t>
  </si>
  <si>
    <t>PUR0937092</t>
  </si>
  <si>
    <t>0000937502</t>
  </si>
  <si>
    <t>PUR0938233</t>
  </si>
  <si>
    <t>0000938443</t>
  </si>
  <si>
    <t>PUR0938281</t>
  </si>
  <si>
    <t>0000939365</t>
  </si>
  <si>
    <t>PUR0938889</t>
  </si>
  <si>
    <t>PUR0939894</t>
  </si>
  <si>
    <t>PUR0940145</t>
  </si>
  <si>
    <t>PUR0941123</t>
  </si>
  <si>
    <t>128</t>
  </si>
  <si>
    <t>PUR0946819</t>
  </si>
  <si>
    <t>CTROT</t>
  </si>
  <si>
    <t>Other Contractor_Contract Expe</t>
  </si>
  <si>
    <t>0000947185</t>
  </si>
  <si>
    <t>9230000</t>
  </si>
  <si>
    <t>PUR0946609</t>
  </si>
  <si>
    <t>PUR0947483</t>
  </si>
  <si>
    <t>JPR0947921</t>
  </si>
  <si>
    <t>PUR0949787</t>
  </si>
  <si>
    <t>PUR0953587</t>
  </si>
  <si>
    <t>0000959859</t>
  </si>
  <si>
    <t>511011</t>
  </si>
  <si>
    <t>1080700</t>
  </si>
  <si>
    <t>1080798</t>
  </si>
  <si>
    <t>No Expense Code Used</t>
  </si>
  <si>
    <t>BIBI959572</t>
  </si>
  <si>
    <t>00522942</t>
  </si>
  <si>
    <t>0000962</t>
  </si>
  <si>
    <t>Central Service Ctr - 515 Park</t>
  </si>
  <si>
    <t>1010700</t>
  </si>
  <si>
    <t>G R</t>
  </si>
  <si>
    <t>388</t>
  </si>
  <si>
    <t>LAND IN FEE</t>
  </si>
  <si>
    <t>1938</t>
  </si>
  <si>
    <t>999</t>
  </si>
  <si>
    <t>XFER</t>
  </si>
  <si>
    <t>Transfer from PA. 388 to PA. 121</t>
  </si>
  <si>
    <t>00522943</t>
  </si>
  <si>
    <t>1958</t>
  </si>
  <si>
    <t>99999</t>
  </si>
  <si>
    <t>00522944</t>
  </si>
  <si>
    <t>1921</t>
  </si>
  <si>
    <t>00522945</t>
  </si>
  <si>
    <t>1922</t>
  </si>
  <si>
    <t>00522946</t>
  </si>
  <si>
    <t>1925</t>
  </si>
  <si>
    <t>00522947</t>
  </si>
  <si>
    <t>00522948</t>
  </si>
  <si>
    <t>1924</t>
  </si>
  <si>
    <t>00522949</t>
  </si>
  <si>
    <t>00522950</t>
  </si>
  <si>
    <t>1951</t>
  </si>
  <si>
    <t>00522951</t>
  </si>
  <si>
    <t>1952</t>
  </si>
  <si>
    <t>00522952</t>
  </si>
  <si>
    <t>1084700</t>
  </si>
  <si>
    <t>Sale of 515 Park Ave</t>
  </si>
  <si>
    <t>00619612</t>
  </si>
  <si>
    <t>1210000</t>
  </si>
  <si>
    <t>121</t>
  </si>
  <si>
    <t>XFER TO 101 TO RETIRE</t>
  </si>
  <si>
    <t>00619613</t>
  </si>
  <si>
    <t>00619614</t>
  </si>
  <si>
    <t>00619615</t>
  </si>
  <si>
    <t>00619616</t>
  </si>
  <si>
    <t>00619617</t>
  </si>
  <si>
    <t>00619618</t>
  </si>
  <si>
    <t>00619619</t>
  </si>
  <si>
    <t>00619620</t>
  </si>
  <si>
    <t>00619621</t>
  </si>
  <si>
    <t>00619622</t>
  </si>
  <si>
    <t>RETIRE</t>
  </si>
  <si>
    <t>RETIRE - PROPERTY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</si>
</sst>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0.000"/>
    <numFmt numFmtId="165" formatCode="0.0000"/>
    <numFmt numFmtId="166" formatCode="mm/dd/yy"/>
    <numFmt numFmtId="167" formatCode="#,##0.000000000_);[Red]\(#,##0.000000000\)"/>
    <numFmt numFmtId="168" formatCode="0.000000000"/>
    <numFmt numFmtId="169" formatCode="_(* #,##0_);_(* \(#,##0\);_(* &quot;-&quot;??_);_(@_)"/>
  </numFmts>
  <fonts count="6">
    <font>
      <sz val="11"/>
      <color theme="1"/>
      <name val="Calibri"/>
      <family val="2"/>
      <scheme val="minor"/>
    </font>
    <font>
      <sz val="10"/>
      <color theme="1"/>
      <name val="Arial"/>
      <family val="2"/>
    </font>
    <font>
      <sz val="10"/>
      <name val="Arial"/>
      <family val="2"/>
    </font>
    <font>
      <b/>
      <sz val="10"/>
      <name val="Arial Unicode MS"/>
      <family val="2"/>
    </font>
    <font>
      <sz val="10"/>
      <name val="Arial Unicode MS"/>
      <family val="2"/>
    </font>
    <font>
      <b/>
      <sz val="10"/>
      <name val="Arial"/>
      <family val="2"/>
    </font>
  </fonts>
  <fills count="3">
    <fill>
      <patternFill patternType="none"/>
    </fill>
    <fill>
      <patternFill patternType="gray125"/>
    </fill>
    <fill>
      <patternFill patternType="solid">
        <fgColor indexed="26"/>
        <bgColor indexed="64"/>
      </patternFill>
    </fill>
  </fills>
  <borders count="20">
    <border>
      <left/>
      <right/>
      <top/>
      <bottom/>
      <diagonal/>
    </border>
    <border>
      <left/>
      <right style="medium">
        <color auto="1"/>
      </right>
      <top/>
      <bottom/>
    </border>
    <border>
      <left style="double">
        <color auto="1"/>
      </left>
      <right style="double">
        <color auto="1"/>
      </right>
      <top style="double">
        <color auto="1"/>
      </top>
      <bottom style="double">
        <color auto="1"/>
      </bottom>
    </border>
    <border>
      <left/>
      <right/>
      <top style="thin">
        <color auto="1"/>
      </top>
      <bottom style="double">
        <color auto="1"/>
      </bottom>
    </border>
    <border>
      <left/>
      <right/>
      <top/>
      <bottom style="thin">
        <color auto="1"/>
      </bottom>
    </border>
    <border>
      <left style="medium">
        <color auto="1"/>
      </left>
      <right/>
      <top style="medium">
        <color auto="1"/>
      </top>
      <bottom/>
    </border>
    <border>
      <left/>
      <right/>
      <top style="medium">
        <color auto="1"/>
      </top>
      <bottom/>
    </border>
    <border>
      <left/>
      <right style="medium">
        <color auto="1"/>
      </right>
      <top style="medium">
        <color auto="1"/>
      </top>
      <bottom/>
    </border>
    <border>
      <left style="medium">
        <color auto="1"/>
      </left>
      <right/>
      <top/>
      <bottom/>
    </border>
    <border>
      <left style="medium">
        <color auto="1"/>
      </left>
      <right/>
      <top/>
      <bottom style="medium">
        <color auto="1"/>
      </bottom>
    </border>
    <border>
      <left/>
      <right/>
      <top/>
      <bottom style="medium">
        <color auto="1"/>
      </bottom>
    </border>
    <border>
      <left/>
      <right style="medium">
        <color auto="1"/>
      </right>
      <top/>
      <bottom style="medium">
        <color auto="1"/>
      </bottom>
    </border>
    <border>
      <left style="thin">
        <color auto="1"/>
      </left>
      <right style="thin">
        <color auto="1"/>
      </right>
      <top style="thin">
        <color auto="1"/>
      </top>
      <bottom style="thin">
        <color auto="1"/>
      </bottom>
    </border>
    <border>
      <left style="double">
        <color auto="1"/>
      </left>
      <right/>
      <top style="double">
        <color auto="1"/>
      </top>
      <bottom style="double">
        <color auto="1"/>
      </bottom>
    </border>
    <border>
      <left/>
      <right/>
      <top style="double">
        <color auto="1"/>
      </top>
      <bottom style="double">
        <color auto="1"/>
      </bottom>
    </border>
    <border>
      <left/>
      <right style="double">
        <color auto="1"/>
      </right>
      <top style="double">
        <color auto="1"/>
      </top>
      <bottom style="double">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s>
  <cellStyleXfs count="2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0" fillId="0" borderId="0" applyFont="0" applyFill="0" applyBorder="0" applyAlignment="0" applyProtection="0"/>
    <xf numFmtId="41" fontId="1" fillId="0" borderId="0" applyFont="0" applyFill="0" applyBorder="0" applyAlignment="0" applyProtection="0"/>
    <xf numFmtId="0" fontId="2" fillId="0" borderId="0">
      <alignment/>
      <protection/>
    </xf>
    <xf numFmtId="0" fontId="4" fillId="0" borderId="0">
      <alignment/>
      <protection/>
    </xf>
    <xf numFmtId="166" fontId="2" fillId="2" borderId="0">
      <alignment/>
      <protection/>
    </xf>
    <xf numFmtId="43" fontId="2" fillId="0" borderId="0" applyFont="0" applyFill="0" applyBorder="0" applyAlignment="0" applyProtection="0"/>
  </cellStyleXfs>
  <cellXfs count="77">
    <xf numFmtId="0" fontId="0" fillId="0" borderId="0" xfId="0"/>
    <xf numFmtId="0" fontId="2" fillId="0" borderId="0" xfId="20">
      <alignment/>
      <protection/>
    </xf>
    <xf numFmtId="40" fontId="2" fillId="0" borderId="0" xfId="20" applyNumberFormat="1">
      <alignment/>
      <protection/>
    </xf>
    <xf numFmtId="40" fontId="5" fillId="0" borderId="0" xfId="21" applyNumberFormat="1" applyFont="1" applyFill="1" applyBorder="1">
      <alignment/>
      <protection/>
    </xf>
    <xf numFmtId="164" fontId="5" fillId="0" borderId="0" xfId="20" applyNumberFormat="1" applyFont="1" applyFill="1" applyAlignment="1">
      <alignment horizontal="left"/>
      <protection/>
    </xf>
    <xf numFmtId="0" fontId="5" fillId="0" borderId="1" xfId="21" applyFont="1" applyFill="1" applyBorder="1" applyAlignment="1">
      <alignment horizontal="left"/>
      <protection/>
    </xf>
    <xf numFmtId="40" fontId="2" fillId="0" borderId="0" xfId="21" applyNumberFormat="1" applyFont="1" applyFill="1" applyBorder="1">
      <alignment/>
      <protection/>
    </xf>
    <xf numFmtId="0" fontId="2" fillId="0" borderId="0" xfId="21" applyFont="1" applyFill="1" applyBorder="1">
      <alignment/>
      <protection/>
    </xf>
    <xf numFmtId="0" fontId="5" fillId="0" borderId="0" xfId="21" applyFont="1" applyFill="1" applyBorder="1">
      <alignment/>
      <protection/>
    </xf>
    <xf numFmtId="43" fontId="2" fillId="0" borderId="0" xfId="18" applyFont="1" applyFill="1"/>
    <xf numFmtId="49" fontId="3" fillId="0" borderId="2" xfId="20" applyNumberFormat="1" applyFont="1" applyFill="1" applyBorder="1">
      <alignment/>
      <protection/>
    </xf>
    <xf numFmtId="40" fontId="3" fillId="0" borderId="2" xfId="20" applyNumberFormat="1" applyFont="1" applyFill="1" applyBorder="1">
      <alignment/>
      <protection/>
    </xf>
    <xf numFmtId="0" fontId="5" fillId="0" borderId="0" xfId="20" applyFont="1" applyFill="1">
      <alignment/>
      <protection/>
    </xf>
    <xf numFmtId="0" fontId="5" fillId="0" borderId="0" xfId="20" applyFont="1" applyFill="1" applyAlignment="1">
      <alignment horizontal="left"/>
      <protection/>
    </xf>
    <xf numFmtId="0" fontId="4" fillId="0" borderId="0" xfId="20" applyFont="1" applyFill="1">
      <alignment/>
      <protection/>
    </xf>
    <xf numFmtId="0" fontId="4" fillId="0" borderId="0" xfId="20" applyFont="1" applyFill="1" applyAlignment="1">
      <alignment horizontal="right"/>
      <protection/>
    </xf>
    <xf numFmtId="40" fontId="5" fillId="0" borderId="3" xfId="20" applyNumberFormat="1" applyFont="1" applyFill="1" applyBorder="1">
      <alignment/>
      <protection/>
    </xf>
    <xf numFmtId="164" fontId="5" fillId="0" borderId="3" xfId="20" applyNumberFormat="1" applyFont="1" applyFill="1" applyBorder="1">
      <alignment/>
      <protection/>
    </xf>
    <xf numFmtId="43" fontId="2" fillId="0" borderId="4" xfId="18" applyFont="1" applyFill="1" applyBorder="1"/>
    <xf numFmtId="0" fontId="2" fillId="0" borderId="0" xfId="20" applyFont="1" applyFill="1">
      <alignment/>
      <protection/>
    </xf>
    <xf numFmtId="40" fontId="2" fillId="0" borderId="0" xfId="20" applyNumberFormat="1" applyFont="1" applyFill="1">
      <alignment/>
      <protection/>
    </xf>
    <xf numFmtId="49" fontId="2" fillId="0" borderId="0" xfId="20" applyNumberFormat="1" applyFont="1" applyFill="1">
      <alignment/>
      <protection/>
    </xf>
    <xf numFmtId="14" fontId="2" fillId="0" borderId="0" xfId="20" applyNumberFormat="1" applyFont="1" applyFill="1">
      <alignment/>
      <protection/>
    </xf>
    <xf numFmtId="165" fontId="2" fillId="0" borderId="0" xfId="20" applyNumberFormat="1" applyFont="1" applyFill="1">
      <alignment/>
      <protection/>
    </xf>
    <xf numFmtId="0" fontId="2" fillId="0" borderId="5" xfId="20" applyFont="1" applyFill="1" applyBorder="1">
      <alignment/>
      <protection/>
    </xf>
    <xf numFmtId="0" fontId="2" fillId="0" borderId="6" xfId="20" applyFont="1" applyFill="1" applyBorder="1">
      <alignment/>
      <protection/>
    </xf>
    <xf numFmtId="0" fontId="2" fillId="0" borderId="7" xfId="20" applyFont="1" applyFill="1" applyBorder="1">
      <alignment/>
      <protection/>
    </xf>
    <xf numFmtId="0" fontId="2" fillId="0" borderId="8" xfId="20" applyFont="1" applyFill="1" applyBorder="1">
      <alignment/>
      <protection/>
    </xf>
    <xf numFmtId="0" fontId="2" fillId="0" borderId="0" xfId="20" applyFont="1" applyFill="1" applyBorder="1">
      <alignment/>
      <protection/>
    </xf>
    <xf numFmtId="40" fontId="2" fillId="0" borderId="4" xfId="20" applyNumberFormat="1" applyFont="1" applyFill="1" applyBorder="1">
      <alignment/>
      <protection/>
    </xf>
    <xf numFmtId="0" fontId="2" fillId="0" borderId="4" xfId="20" applyFont="1" applyFill="1" applyBorder="1">
      <alignment/>
      <protection/>
    </xf>
    <xf numFmtId="0" fontId="2" fillId="0" borderId="9" xfId="20" applyFont="1" applyFill="1" applyBorder="1">
      <alignment/>
      <protection/>
    </xf>
    <xf numFmtId="0" fontId="2" fillId="0" borderId="10" xfId="20" applyFont="1" applyFill="1" applyBorder="1">
      <alignment/>
      <protection/>
    </xf>
    <xf numFmtId="0" fontId="2" fillId="0" borderId="11" xfId="20" applyFont="1" applyFill="1" applyBorder="1">
      <alignment/>
      <protection/>
    </xf>
    <xf numFmtId="49" fontId="5" fillId="0" borderId="12" xfId="22" applyNumberFormat="1" applyFont="1" applyFill="1" applyBorder="1" applyAlignment="1" applyProtection="1">
      <alignment horizontal="center" vertical="top" wrapText="1"/>
      <protection locked="0"/>
    </xf>
    <xf numFmtId="49" fontId="2" fillId="0" borderId="12" xfId="22" applyNumberFormat="1" applyFont="1" applyFill="1" applyBorder="1" applyAlignment="1" applyProtection="1">
      <alignment horizontal="center"/>
      <protection locked="0"/>
    </xf>
    <xf numFmtId="40" fontId="2" fillId="0" borderId="12" xfId="22" applyNumberFormat="1" applyFont="1" applyFill="1" applyBorder="1" applyAlignment="1" applyProtection="1">
      <alignment horizontal="right"/>
      <protection locked="0"/>
    </xf>
    <xf numFmtId="49" fontId="2" fillId="0" borderId="0" xfId="22" applyNumberFormat="1" applyFont="1" applyFill="1" applyBorder="1" applyAlignment="1" applyProtection="1">
      <alignment horizontal="center"/>
      <protection locked="0"/>
    </xf>
    <xf numFmtId="40" fontId="2" fillId="0" borderId="0" xfId="22" applyNumberFormat="1" applyFont="1" applyFill="1" applyBorder="1" applyAlignment="1" applyProtection="1">
      <alignment horizontal="right"/>
      <protection locked="0"/>
    </xf>
    <xf numFmtId="49" fontId="2" fillId="0" borderId="0" xfId="22" applyNumberFormat="1" applyFont="1" applyFill="1" applyBorder="1" applyAlignment="1" applyProtection="1">
      <alignment horizontal="left"/>
      <protection locked="0"/>
    </xf>
    <xf numFmtId="43" fontId="2" fillId="0" borderId="0" xfId="18" applyFont="1" applyFill="1" applyBorder="1"/>
    <xf numFmtId="43" fontId="2" fillId="0" borderId="3" xfId="18" applyFont="1" applyFill="1" applyBorder="1"/>
    <xf numFmtId="43" fontId="2" fillId="0" borderId="12" xfId="18" applyFont="1" applyFill="1" applyBorder="1" applyAlignment="1" applyProtection="1">
      <alignment horizontal="right"/>
      <protection locked="0"/>
    </xf>
    <xf numFmtId="165" fontId="5" fillId="0" borderId="0" xfId="20" applyNumberFormat="1" applyFont="1" applyFill="1" applyAlignment="1">
      <alignment horizontal="left"/>
      <protection/>
    </xf>
    <xf numFmtId="40" fontId="2" fillId="0" borderId="3" xfId="20" applyNumberFormat="1" applyFont="1" applyFill="1" applyBorder="1">
      <alignment/>
      <protection/>
    </xf>
    <xf numFmtId="165" fontId="5" fillId="0" borderId="3" xfId="20" applyNumberFormat="1" applyFont="1" applyFill="1" applyBorder="1">
      <alignment/>
      <protection/>
    </xf>
    <xf numFmtId="0" fontId="4" fillId="0" borderId="0" xfId="20" applyFont="1" applyFill="1" applyBorder="1">
      <alignment/>
      <protection/>
    </xf>
    <xf numFmtId="0" fontId="4" fillId="0" borderId="0" xfId="20" applyFont="1" applyFill="1" applyBorder="1" applyAlignment="1">
      <alignment horizontal="right"/>
      <protection/>
    </xf>
    <xf numFmtId="0" fontId="5" fillId="0" borderId="0" xfId="20" applyFont="1" applyFill="1" applyAlignment="1">
      <alignment/>
      <protection/>
    </xf>
    <xf numFmtId="40" fontId="2" fillId="0" borderId="0" xfId="20" applyNumberFormat="1" applyFont="1" applyFill="1" applyBorder="1">
      <alignment/>
      <protection/>
    </xf>
    <xf numFmtId="40" fontId="5" fillId="0" borderId="12" xfId="22" applyNumberFormat="1" applyFont="1" applyFill="1" applyBorder="1" applyAlignment="1" applyProtection="1">
      <alignment horizontal="center" vertical="top" wrapText="1"/>
      <protection locked="0"/>
    </xf>
    <xf numFmtId="0" fontId="2" fillId="0" borderId="12" xfId="22" applyNumberFormat="1" applyFont="1" applyFill="1" applyBorder="1" applyAlignment="1" applyProtection="1">
      <alignment horizontal="center"/>
      <protection locked="0"/>
    </xf>
    <xf numFmtId="43" fontId="5" fillId="0" borderId="0" xfId="23" applyFont="1" applyFill="1"/>
    <xf numFmtId="164" fontId="2" fillId="0" borderId="3" xfId="20" applyNumberFormat="1" applyFont="1" applyFill="1" applyBorder="1">
      <alignment/>
      <protection/>
    </xf>
    <xf numFmtId="43" fontId="5" fillId="0" borderId="3" xfId="18" applyFont="1" applyFill="1" applyBorder="1"/>
    <xf numFmtId="49" fontId="2" fillId="0" borderId="4" xfId="20" applyNumberFormat="1" applyFont="1" applyFill="1" applyBorder="1">
      <alignment/>
      <protection/>
    </xf>
    <xf numFmtId="0" fontId="2" fillId="0" borderId="0" xfId="20" applyFont="1" applyFill="1" applyAlignment="1">
      <alignment horizontal="left"/>
      <protection/>
    </xf>
    <xf numFmtId="165" fontId="2" fillId="0" borderId="0" xfId="20" applyNumberFormat="1" applyFont="1" applyFill="1" applyAlignment="1">
      <alignment horizontal="left"/>
      <protection/>
    </xf>
    <xf numFmtId="167" fontId="2" fillId="0" borderId="0" xfId="20" applyNumberFormat="1" applyFont="1" applyFill="1">
      <alignment/>
      <protection/>
    </xf>
    <xf numFmtId="168" fontId="2" fillId="0" borderId="0" xfId="20" applyNumberFormat="1" applyFont="1" applyFill="1">
      <alignment/>
      <protection/>
    </xf>
    <xf numFmtId="169" fontId="2" fillId="0" borderId="0" xfId="18" applyNumberFormat="1" applyFont="1" applyFill="1"/>
    <xf numFmtId="40" fontId="5" fillId="0" borderId="0" xfId="20" applyNumberFormat="1" applyFont="1" applyFill="1">
      <alignment/>
      <protection/>
    </xf>
    <xf numFmtId="0" fontId="5" fillId="0" borderId="0" xfId="20" applyFont="1" applyFill="1" applyAlignment="1">
      <alignment horizontal="left"/>
      <protection/>
    </xf>
    <xf numFmtId="49" fontId="3" fillId="0" borderId="13" xfId="20" applyNumberFormat="1" applyFont="1" applyFill="1" applyBorder="1" applyAlignment="1">
      <alignment horizontal="left"/>
      <protection/>
    </xf>
    <xf numFmtId="49" fontId="3" fillId="0" borderId="14" xfId="20" applyNumberFormat="1" applyFont="1" applyFill="1" applyBorder="1" applyAlignment="1">
      <alignment horizontal="left"/>
      <protection/>
    </xf>
    <xf numFmtId="49" fontId="3" fillId="0" borderId="15" xfId="20" applyNumberFormat="1" applyFont="1" applyFill="1" applyBorder="1" applyAlignment="1">
      <alignment horizontal="left"/>
      <protection/>
    </xf>
    <xf numFmtId="0" fontId="5" fillId="0" borderId="0" xfId="21" applyFont="1" applyFill="1" applyBorder="1" applyAlignment="1">
      <alignment horizontal="left"/>
      <protection/>
    </xf>
    <xf numFmtId="0" fontId="5" fillId="0" borderId="4" xfId="21" applyFont="1" applyFill="1" applyBorder="1" applyAlignment="1">
      <alignment horizontal="left"/>
      <protection/>
    </xf>
    <xf numFmtId="0" fontId="2" fillId="0" borderId="0" xfId="20" applyFont="1" applyFill="1" applyAlignment="1">
      <alignment horizontal="center" vertical="top" wrapText="1"/>
      <protection/>
    </xf>
    <xf numFmtId="0" fontId="5" fillId="0" borderId="1" xfId="21" applyFont="1" applyFill="1" applyBorder="1" applyAlignment="1">
      <alignment horizontal="left"/>
      <protection/>
    </xf>
    <xf numFmtId="49" fontId="5" fillId="0" borderId="16" xfId="22" applyNumberFormat="1" applyFont="1" applyFill="1" applyBorder="1" applyAlignment="1" applyProtection="1">
      <alignment horizontal="center" vertical="top" wrapText="1"/>
      <protection locked="0"/>
    </xf>
    <xf numFmtId="49" fontId="5" fillId="0" borderId="17" xfId="22" applyNumberFormat="1" applyFont="1" applyFill="1" applyBorder="1" applyAlignment="1" applyProtection="1">
      <alignment horizontal="center" vertical="top" wrapText="1"/>
      <protection locked="0"/>
    </xf>
    <xf numFmtId="49" fontId="5" fillId="0" borderId="18" xfId="22" applyNumberFormat="1" applyFont="1" applyFill="1" applyBorder="1" applyAlignment="1" applyProtection="1">
      <alignment horizontal="center" vertical="top" wrapText="1"/>
      <protection locked="0"/>
    </xf>
    <xf numFmtId="49" fontId="2" fillId="0" borderId="12" xfId="22" applyNumberFormat="1" applyFont="1" applyFill="1" applyBorder="1" applyAlignment="1" applyProtection="1">
      <alignment horizontal="left"/>
      <protection locked="0"/>
    </xf>
    <xf numFmtId="0" fontId="2" fillId="0" borderId="12" xfId="22" applyNumberFormat="1" applyFont="1" applyFill="1" applyBorder="1" applyAlignment="1" applyProtection="1">
      <alignment horizontal="left"/>
      <protection locked="0"/>
    </xf>
    <xf numFmtId="49" fontId="5" fillId="0" borderId="19" xfId="22" applyNumberFormat="1" applyFont="1" applyFill="1" applyBorder="1" applyAlignment="1" applyProtection="1">
      <alignment horizontal="center" vertical="top" wrapText="1"/>
      <protection locked="0"/>
    </xf>
    <xf numFmtId="49" fontId="5" fillId="0" borderId="0" xfId="22" applyNumberFormat="1" applyFont="1" applyFill="1" applyBorder="1" applyAlignment="1" applyProtection="1">
      <alignment horizontal="center" vertical="top" wrapText="1"/>
      <protection locked="0"/>
    </xf>
  </cellXfs>
  <cellStyles count="10">
    <cellStyle name="Normal" xfId="0" builtinId="0"/>
    <cellStyle name="Percent" xfId="15" builtinId="5"/>
    <cellStyle name="Currency" xfId="16" builtinId="4"/>
    <cellStyle name="Currency [0]" xfId="17" builtinId="7"/>
    <cellStyle name="Comma" xfId="18" builtinId="3"/>
    <cellStyle name="Comma [0]" xfId="19" builtinId="6"/>
    <cellStyle name="Normal 2 3" xfId="20"/>
    <cellStyle name="Normal 3" xfId="21"/>
    <cellStyle name="Normal_JE_UPLOAD_sub" xfId="22"/>
    <cellStyle name="Comma 2" xfId="2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2.xml" /><Relationship Id="rId5" Type="http://schemas.openxmlformats.org/officeDocument/2006/relationships/worksheet" Target="worksheets/sheet4.xml" /><Relationship Id="rId7" Type="http://schemas.openxmlformats.org/officeDocument/2006/relationships/worksheet" Target="worksheets/sheet6.xml" /><Relationship Id="rId9" Type="http://schemas.openxmlformats.org/officeDocument/2006/relationships/worksheet" Target="worksheets/sheet8.xml" /><Relationship Id="rId2" Type="http://schemas.openxmlformats.org/officeDocument/2006/relationships/worksheet" Target="worksheets/sheet1.xml" /><Relationship Id="rId14" Type="http://schemas.openxmlformats.org/officeDocument/2006/relationships/customXml" Target="../customXml/item3.xml" /><Relationship Id="rId15" Type="http://schemas.openxmlformats.org/officeDocument/2006/relationships/customXml" Target="../customXml/item4.xml" /><Relationship Id="rId16" Type="http://schemas.openxmlformats.org/officeDocument/2006/relationships/externalLink" Target="externalLinks/externalLink1.xml" /><Relationship Id="rId17" Type="http://schemas.openxmlformats.org/officeDocument/2006/relationships/calcChain" Target="calcChain.xml" /><Relationship Id="rId10" Type="http://schemas.openxmlformats.org/officeDocument/2006/relationships/styles" Target="styles.xml" /><Relationship Id="rId11" Type="http://schemas.openxmlformats.org/officeDocument/2006/relationships/sharedStrings" Target="sharedStrings.xml" /><Relationship Id="rId12" Type="http://schemas.openxmlformats.org/officeDocument/2006/relationships/customXml" Target="../customXml/item1.xml" /><Relationship Id="rId1" Type="http://schemas.openxmlformats.org/officeDocument/2006/relationships/theme" Target="theme/theme1.xml" /><Relationship Id="rId4" Type="http://schemas.openxmlformats.org/officeDocument/2006/relationships/worksheet" Target="worksheets/sheet3.xml" /><Relationship Id="rId6" Type="http://schemas.openxmlformats.org/officeDocument/2006/relationships/worksheet" Target="worksheets/sheet5.xml" /><Relationship Id="rId8" Type="http://schemas.openxmlformats.org/officeDocument/2006/relationships/worksheet" Target="worksheets/sheet7.xml" /><Relationship Id="rId13" Type="http://schemas.openxmlformats.org/officeDocument/2006/relationships/customXml" Target="../customXml/item2.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2.png" /></Relationships>
</file>

<file path=xl/drawings/_rels/drawing3.xml.rels><?xml version="1.0" encoding="UTF-8" standalone="yes"?><Relationships xmlns="http://schemas.openxmlformats.org/package/2006/relationships"><Relationship Id="rId1" Type="http://schemas.openxmlformats.org/officeDocument/2006/relationships/image" Target="../media/image3.png" /></Relationships>
</file>

<file path=xl/drawings/_rels/drawing4.xml.rels><?xml version="1.0" encoding="UTF-8" standalone="yes"?><Relationships xmlns="http://schemas.openxmlformats.org/package/2006/relationships"><Relationship Id="rId1" Type="http://schemas.openxmlformats.org/officeDocument/2006/relationships/image" Target="../media/image4.png" /></Relationships>
</file>

<file path=xl/drawings/_rels/drawing5.xml.rels><?xml version="1.0" encoding="UTF-8" standalone="yes"?><Relationships xmlns="http://schemas.openxmlformats.org/package/2006/relationships"><Relationship Id="rId1" Type="http://schemas.openxmlformats.org/officeDocument/2006/relationships/image" Target="../media/image5.png" /></Relationships>
</file>

<file path=xl/drawings/_rels/drawing6.xml.rels><?xml version="1.0" encoding="UTF-8" standalone="yes"?><Relationships xmlns="http://schemas.openxmlformats.org/package/2006/relationships"><Relationship Id="rId1" Type="http://schemas.openxmlformats.org/officeDocument/2006/relationships/image" Target="../media/image6.png" /><Relationship Id="rId2" Type="http://schemas.openxmlformats.org/officeDocument/2006/relationships/image" Target="../media/image7.png" /></Relationships>
</file>

<file path=xl/drawings/_rels/drawing7.xml.rels><?xml version="1.0" encoding="UTF-8" standalone="yes"?><Relationships xmlns="http://schemas.openxmlformats.org/package/2006/relationships"><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13</xdr:col>
      <xdr:colOff>736601</xdr:colOff>
      <xdr:row>78</xdr:row>
      <xdr:rowOff>85726</xdr:rowOff>
    </xdr:from>
    <xdr:to>
      <xdr:col>20</xdr:col>
      <xdr:colOff>1955874</xdr:colOff>
      <xdr:row>100</xdr:row>
      <xdr:rowOff>9526</xdr:rowOff>
    </xdr:to>
    <xdr:pic>
      <xdr:nvPicPr>
        <xdr:cNvPr id="2" name="Picture 1"/>
        <xdr:cNvPicPr>
          <a:picLocks noChangeAspect="1"/>
        </xdr:cNvPicPr>
      </xdr:nvPicPr>
      <xdr:blipFill>
        <a:blip r:embed="rId1"/>
        <a:stretch>
          <a:fillRect/>
        </a:stretch>
      </xdr:blipFill>
      <xdr:spPr>
        <a:xfrm>
          <a:off x="10601325" y="13420725"/>
          <a:ext cx="7800975" cy="3524250"/>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14</xdr:col>
      <xdr:colOff>9525</xdr:colOff>
      <xdr:row>27</xdr:row>
      <xdr:rowOff>6351</xdr:rowOff>
    </xdr:from>
    <xdr:to>
      <xdr:col>21</xdr:col>
      <xdr:colOff>538995</xdr:colOff>
      <xdr:row>49</xdr:row>
      <xdr:rowOff>111125</xdr:rowOff>
    </xdr:to>
    <xdr:pic>
      <xdr:nvPicPr>
        <xdr:cNvPr id="2" name="Picture 1"/>
        <xdr:cNvPicPr>
          <a:picLocks noChangeAspect="1"/>
        </xdr:cNvPicPr>
      </xdr:nvPicPr>
      <xdr:blipFill>
        <a:blip r:embed="rId1"/>
        <a:stretch>
          <a:fillRect/>
        </a:stretch>
      </xdr:blipFill>
      <xdr:spPr>
        <a:xfrm>
          <a:off x="10344150" y="4629150"/>
          <a:ext cx="7753350" cy="3705225"/>
        </a:xfrm>
        <a:prstGeom prst="rect"/>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13</xdr:col>
      <xdr:colOff>517525</xdr:colOff>
      <xdr:row>29</xdr:row>
      <xdr:rowOff>184150</xdr:rowOff>
    </xdr:from>
    <xdr:to>
      <xdr:col>20</xdr:col>
      <xdr:colOff>470766</xdr:colOff>
      <xdr:row>53</xdr:row>
      <xdr:rowOff>92641</xdr:rowOff>
    </xdr:to>
    <xdr:pic>
      <xdr:nvPicPr>
        <xdr:cNvPr id="2" name="Picture 1"/>
        <xdr:cNvPicPr>
          <a:picLocks noChangeAspect="1"/>
        </xdr:cNvPicPr>
      </xdr:nvPicPr>
      <xdr:blipFill>
        <a:blip r:embed="rId1"/>
        <a:stretch>
          <a:fillRect/>
        </a:stretch>
      </xdr:blipFill>
      <xdr:spPr>
        <a:xfrm>
          <a:off x="10991850" y="5114925"/>
          <a:ext cx="8782050" cy="4057650"/>
        </a:xfrm>
        <a:prstGeom prst="rect"/>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13</xdr:col>
      <xdr:colOff>584200</xdr:colOff>
      <xdr:row>23</xdr:row>
      <xdr:rowOff>22225</xdr:rowOff>
    </xdr:from>
    <xdr:to>
      <xdr:col>20</xdr:col>
      <xdr:colOff>2056923</xdr:colOff>
      <xdr:row>51</xdr:row>
      <xdr:rowOff>86291</xdr:rowOff>
    </xdr:to>
    <xdr:pic>
      <xdr:nvPicPr>
        <xdr:cNvPr id="2" name="Picture 1"/>
        <xdr:cNvPicPr>
          <a:picLocks noChangeAspect="1"/>
        </xdr:cNvPicPr>
      </xdr:nvPicPr>
      <xdr:blipFill>
        <a:blip r:embed="rId1"/>
        <a:stretch>
          <a:fillRect/>
        </a:stretch>
      </xdr:blipFill>
      <xdr:spPr>
        <a:xfrm>
          <a:off x="11496675" y="3981450"/>
          <a:ext cx="8143875" cy="4057650"/>
        </a:xfrm>
        <a:prstGeom prst="rect"/>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14</xdr:col>
      <xdr:colOff>15875</xdr:colOff>
      <xdr:row>23</xdr:row>
      <xdr:rowOff>31750</xdr:rowOff>
    </xdr:from>
    <xdr:to>
      <xdr:col>20</xdr:col>
      <xdr:colOff>159066</xdr:colOff>
      <xdr:row>42</xdr:row>
      <xdr:rowOff>31917</xdr:rowOff>
    </xdr:to>
    <xdr:pic>
      <xdr:nvPicPr>
        <xdr:cNvPr id="2" name="Picture 1"/>
        <xdr:cNvPicPr>
          <a:picLocks noChangeAspect="1"/>
        </xdr:cNvPicPr>
      </xdr:nvPicPr>
      <xdr:blipFill>
        <a:blip r:embed="rId1"/>
        <a:stretch>
          <a:fillRect/>
        </a:stretch>
      </xdr:blipFill>
      <xdr:spPr>
        <a:xfrm>
          <a:off x="12106275" y="3990975"/>
          <a:ext cx="5895975" cy="3343275"/>
        </a:xfrm>
        <a:prstGeom prst="rect"/>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14</xdr:col>
      <xdr:colOff>1</xdr:colOff>
      <xdr:row>66</xdr:row>
      <xdr:rowOff>104775</xdr:rowOff>
    </xdr:from>
    <xdr:to>
      <xdr:col>20</xdr:col>
      <xdr:colOff>1893880</xdr:colOff>
      <xdr:row>87</xdr:row>
      <xdr:rowOff>57150</xdr:rowOff>
    </xdr:to>
    <xdr:pic>
      <xdr:nvPicPr>
        <xdr:cNvPr id="2" name="Picture 1"/>
        <xdr:cNvPicPr>
          <a:picLocks noChangeAspect="1"/>
        </xdr:cNvPicPr>
      </xdr:nvPicPr>
      <xdr:blipFill>
        <a:blip r:embed="rId1"/>
        <a:stretch>
          <a:fillRect/>
        </a:stretch>
      </xdr:blipFill>
      <xdr:spPr>
        <a:xfrm>
          <a:off x="11315700" y="11029950"/>
          <a:ext cx="7658100" cy="3590925"/>
        </a:xfrm>
        <a:prstGeom prst="rect"/>
      </xdr:spPr>
    </xdr:pic>
    <xdr:clientData/>
  </xdr:twoCellAnchor>
  <xdr:twoCellAnchor editAs="oneCell">
    <xdr:from>
      <xdr:col>13</xdr:col>
      <xdr:colOff>828675</xdr:colOff>
      <xdr:row>50</xdr:row>
      <xdr:rowOff>57150</xdr:rowOff>
    </xdr:from>
    <xdr:to>
      <xdr:col>20</xdr:col>
      <xdr:colOff>1961643</xdr:colOff>
      <xdr:row>58</xdr:row>
      <xdr:rowOff>28752</xdr:rowOff>
    </xdr:to>
    <xdr:pic>
      <xdr:nvPicPr>
        <xdr:cNvPr id="3" name="Picture 2"/>
        <xdr:cNvPicPr>
          <a:picLocks noChangeAspect="1"/>
        </xdr:cNvPicPr>
      </xdr:nvPicPr>
      <xdr:blipFill>
        <a:blip r:embed="rId2"/>
        <a:stretch>
          <a:fillRect/>
        </a:stretch>
      </xdr:blipFill>
      <xdr:spPr>
        <a:xfrm>
          <a:off x="11106150" y="8372475"/>
          <a:ext cx="7934325" cy="1266825"/>
        </a:xfrm>
        <a:prstGeom prst="rect"/>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14</xdr:col>
      <xdr:colOff>9525</xdr:colOff>
      <xdr:row>24</xdr:row>
      <xdr:rowOff>85725</xdr:rowOff>
    </xdr:from>
    <xdr:to>
      <xdr:col>22</xdr:col>
      <xdr:colOff>35902</xdr:colOff>
      <xdr:row>49</xdr:row>
      <xdr:rowOff>0</xdr:rowOff>
    </xdr:to>
    <xdr:pic>
      <xdr:nvPicPr>
        <xdr:cNvPr id="2" name="Picture 1"/>
        <xdr:cNvPicPr>
          <a:picLocks noChangeAspect="1"/>
        </xdr:cNvPicPr>
      </xdr:nvPicPr>
      <xdr:blipFill>
        <a:blip r:embed="rId1"/>
        <a:stretch>
          <a:fillRect/>
        </a:stretch>
      </xdr:blipFill>
      <xdr:spPr>
        <a:xfrm>
          <a:off x="13554075" y="4219575"/>
          <a:ext cx="8724900" cy="4229100"/>
        </a:xfrm>
        <a:prstGeom prst="rect"/>
      </xdr:spPr>
    </xdr:pic>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http://intranet.corp.oncor.com/Users/kevin.hunsicker/Documents/Troy/2016-07-19%20--%202016%20CapEx%20July%20Reforecast%206+6%20--%20Plan%20v3%20-TLV.XLSM"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ummary"/>
      <sheetName val="Summary with Time Lag"/>
      <sheetName val="Summary by lease -- 5 year plan"/>
      <sheetName val="TRUE UP TO 5 YEAR PLAN"/>
      <sheetName val="ISD Summary by WBS"/>
      <sheetName val="Cross Valley Recon"/>
      <sheetName val="ISD Data"/>
      <sheetName val="Projects by Lease SDTS"/>
      <sheetName val="12-31-14 TCOS SDTS DETAIL"/>
      <sheetName val="7-31-14 TCOS FILING SDTS DETAI2"/>
      <sheetName val="INTERFACE"/>
      <sheetName val="PRIOR YR DATA"/>
      <sheetName val="Ref Line Lookup"/>
      <sheetName val="MasterData"/>
      <sheetName val="2015 PIS"/>
      <sheetName val="Transmission ONLY Tab"/>
      <sheetName val="Prior Update Comparison"/>
      <sheetName val="Trans INPUT tab (2)"/>
      <sheetName val="Transmission Summary"/>
      <sheetName val="Plan Check"/>
      <sheetName val="Transmission Plan 2017"/>
      <sheetName val="Transmission Tier 2"/>
      <sheetName val="Transmission Tier 3"/>
      <sheetName val="NonPlan Transmission"/>
      <sheetName val="Julian Hoover"/>
      <sheetName val="Jason Avent"/>
      <sheetName val="Chris Reynolds"/>
      <sheetName val="Q2 Fcst"/>
      <sheetName val="Q1 Fcst"/>
      <sheetName val="2016 Project Budget-Troy"/>
      <sheetName val="New&amp;RR - Brady"/>
      <sheetName val="Footprint"/>
      <sheetName val="MPSUs"/>
      <sheetName val="Mon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5">
          <cell r="H5" t="str">
            <v>06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 Id="rId2"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 Id="rId2"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 Id="rId2"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 /><Relationship Id="rId2"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 /><Relationship Id="rId2" Type="http://schemas.openxmlformats.org/officeDocument/2006/relationships/printerSettings" Target="../printerSettings/printerSettings5.bin" /></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 /><Relationship Id="rId2" Type="http://schemas.openxmlformats.org/officeDocument/2006/relationships/printerSettings" Target="../printerSettings/printerSettings6.bin" /></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 /><Relationship Id="rId2" Type="http://schemas.openxmlformats.org/officeDocument/2006/relationships/printerSettings" Target="../printerSettings/printerSettings7.bin" /></Relationships>
</file>

<file path=xl/worksheets/_rels/sheet8.xml.rels><?xml version="1.0" encoding="UTF-8" standalone="yes"?><Relationships xmlns="http://schemas.openxmlformats.org/package/2006/relationships"><Relationship Id="rId1" Type="http://schemas.openxmlformats.org/officeDocument/2006/relationships/printerSettings" Target="../printerSettings/printerSettings8.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W101"/>
  <sheetViews>
    <sheetView workbookViewId="0" topLeftCell="A1">
      <selection pane="topLeft" activeCell="H31" sqref="H31"/>
    </sheetView>
  </sheetViews>
  <sheetFormatPr defaultColWidth="9.14428571428571" defaultRowHeight="12.75"/>
  <cols>
    <col min="1" max="1" width="4.85714285714286" style="19" bestFit="1" customWidth="1"/>
    <col min="2" max="2" width="9.28571428571429" style="19" bestFit="1" customWidth="1"/>
    <col min="3" max="3" width="12.1428571428571" style="19" bestFit="1" customWidth="1"/>
    <col min="4" max="4" width="28.7142857142857" style="19" bestFit="1" customWidth="1"/>
    <col min="5" max="5" width="9.28571428571429" style="19" bestFit="1" customWidth="1"/>
    <col min="6" max="6" width="11" style="19" bestFit="1" customWidth="1"/>
    <col min="7" max="7" width="11.1428571428571" style="19" bestFit="1" customWidth="1"/>
    <col min="8" max="8" width="9.85714285714286" style="19" bestFit="1" customWidth="1"/>
    <col min="9" max="9" width="11.8571428571429" style="20" bestFit="1" customWidth="1"/>
    <col min="10" max="10" width="10.7142857142857" style="19" bestFit="1" customWidth="1"/>
    <col min="11" max="11" width="11.8571428571429" style="19" bestFit="1" customWidth="1"/>
    <col min="12" max="12" width="9" style="19" bestFit="1" customWidth="1"/>
    <col min="13" max="13" width="8.28571428571429" style="19" bestFit="1" customWidth="1"/>
    <col min="14" max="15" width="13.5714285714286" style="19" bestFit="1" customWidth="1"/>
    <col min="16" max="16" width="25.7142857142857" style="19" bestFit="1" customWidth="1"/>
    <col min="17" max="17" width="15.8571428571429" style="19" customWidth="1"/>
    <col min="18" max="18" width="7.57142857142857" style="19" bestFit="1" customWidth="1"/>
    <col min="19" max="19" width="10.1428571428571" style="19" customWidth="1"/>
    <col min="20" max="20" width="12.2857142857143" style="19" bestFit="1" customWidth="1"/>
    <col min="21" max="21" width="42.8571428571429" style="19" bestFit="1" customWidth="1"/>
    <col min="22" max="22" width="11.7142857142857" style="19" customWidth="1"/>
    <col min="23" max="23" width="10.8571428571429" style="19" customWidth="1"/>
    <col min="24" max="16384" width="9.14285714285714" style="19"/>
  </cols>
  <sheetData>
    <row r="1" spans="1:6" ht="12.75">
      <c r="A1" s="62" t="s">
        <v>4</v>
      </c>
      <c r="B1" s="62"/>
      <c r="C1" s="62"/>
      <c r="D1" s="62"/>
      <c r="E1" s="62"/>
      <c r="F1" s="62"/>
    </row>
    <row r="2" spans="1:1" ht="13.5" thickBot="1">
      <c r="A2" s="12"/>
    </row>
    <row r="3" spans="1:5" ht="16.5" thickTop="1" thickBot="1">
      <c r="A3" s="63"/>
      <c r="B3" s="64"/>
      <c r="C3" s="64"/>
      <c r="D3" s="64"/>
      <c r="E3" s="65"/>
    </row>
    <row r="4" spans="1:16" ht="16.5" thickTop="1" thickBot="1">
      <c r="A4" s="10" t="s">
        <v>0</v>
      </c>
      <c r="B4" s="10" t="s">
        <v>5</v>
      </c>
      <c r="C4" s="10" t="s">
        <v>6</v>
      </c>
      <c r="D4" s="10" t="s">
        <v>7</v>
      </c>
      <c r="E4" s="10" t="s">
        <v>8</v>
      </c>
      <c r="F4" s="10" t="s">
        <v>9</v>
      </c>
      <c r="G4" s="10" t="s">
        <v>10</v>
      </c>
      <c r="H4" s="10" t="s">
        <v>11</v>
      </c>
      <c r="I4" s="11" t="s">
        <v>12</v>
      </c>
      <c r="J4" s="10" t="s">
        <v>13</v>
      </c>
      <c r="K4" s="10" t="s">
        <v>14</v>
      </c>
      <c r="L4" s="10" t="s">
        <v>15</v>
      </c>
      <c r="M4" s="10" t="s">
        <v>1</v>
      </c>
      <c r="N4" s="10" t="s">
        <v>16</v>
      </c>
      <c r="O4" s="10" t="s">
        <v>17</v>
      </c>
      <c r="P4" s="10" t="s">
        <v>18</v>
      </c>
    </row>
    <row r="5" spans="1:16" ht="13.5" thickTop="1">
      <c r="A5" s="21" t="s">
        <v>19</v>
      </c>
      <c r="B5" s="21" t="s">
        <v>20</v>
      </c>
      <c r="C5" s="21" t="s">
        <v>21</v>
      </c>
      <c r="D5" s="21" t="s">
        <v>22</v>
      </c>
      <c r="E5" s="21" t="s">
        <v>23</v>
      </c>
      <c r="F5" s="21" t="s">
        <v>24</v>
      </c>
      <c r="G5" s="21" t="s">
        <v>24</v>
      </c>
      <c r="H5" s="21" t="s">
        <v>25</v>
      </c>
      <c r="I5" s="9">
        <v>-275970.57000000001</v>
      </c>
      <c r="J5" s="21" t="s">
        <v>26</v>
      </c>
      <c r="L5" s="19">
        <v>3</v>
      </c>
      <c r="M5" s="19">
        <v>2021</v>
      </c>
      <c r="N5" s="21" t="s">
        <v>27</v>
      </c>
      <c r="O5" s="21" t="s">
        <v>28</v>
      </c>
      <c r="P5" s="21" t="s">
        <v>29</v>
      </c>
    </row>
    <row r="6" spans="1:16" ht="12.75">
      <c r="A6" s="21"/>
      <c r="B6" s="21"/>
      <c r="C6" s="21"/>
      <c r="D6" s="21"/>
      <c r="E6" s="21"/>
      <c r="F6" s="21"/>
      <c r="G6" s="21"/>
      <c r="H6" s="21"/>
      <c r="J6" s="21"/>
      <c r="N6" s="21"/>
      <c r="O6" s="21"/>
      <c r="P6" s="21"/>
    </row>
    <row r="7" spans="1:16" ht="12.75">
      <c r="A7" s="21"/>
      <c r="B7" s="21"/>
      <c r="C7" s="21"/>
      <c r="D7" s="21"/>
      <c r="E7" s="21"/>
      <c r="F7" s="21"/>
      <c r="G7" s="21"/>
      <c r="H7" s="21"/>
      <c r="J7" s="21"/>
      <c r="N7" s="21"/>
      <c r="O7" s="21"/>
      <c r="P7" s="21"/>
    </row>
    <row r="10" spans="1:1" ht="12.75">
      <c r="A10" s="8" t="s">
        <v>30</v>
      </c>
    </row>
    <row r="11" spans="1:1" ht="13.5" thickBot="1">
      <c r="A11" s="8"/>
    </row>
    <row r="12" spans="1:22" ht="16.5" thickTop="1" thickBot="1">
      <c r="A12" s="63"/>
      <c r="B12" s="64"/>
      <c r="C12" s="64"/>
      <c r="D12" s="65"/>
      <c r="V12" s="12" t="s">
        <v>31</v>
      </c>
    </row>
    <row r="13" spans="1:23" ht="16.5" thickTop="1" thickBot="1">
      <c r="A13" s="10" t="s">
        <v>0</v>
      </c>
      <c r="B13" s="10" t="s">
        <v>32</v>
      </c>
      <c r="C13" s="10" t="s">
        <v>33</v>
      </c>
      <c r="D13" s="10" t="s">
        <v>18</v>
      </c>
      <c r="E13" s="10" t="s">
        <v>6</v>
      </c>
      <c r="F13" s="10" t="s">
        <v>34</v>
      </c>
      <c r="G13" s="10" t="s">
        <v>35</v>
      </c>
      <c r="H13" s="10" t="s">
        <v>36</v>
      </c>
      <c r="I13" s="10" t="s">
        <v>37</v>
      </c>
      <c r="J13" s="10" t="s">
        <v>18</v>
      </c>
      <c r="K13" s="10" t="s">
        <v>38</v>
      </c>
      <c r="L13" s="10" t="s">
        <v>8</v>
      </c>
      <c r="M13" s="10" t="s">
        <v>39</v>
      </c>
      <c r="N13" s="10" t="s">
        <v>40</v>
      </c>
      <c r="O13" s="10" t="s">
        <v>41</v>
      </c>
      <c r="P13" s="10" t="s">
        <v>42</v>
      </c>
      <c r="Q13" s="10" t="s">
        <v>43</v>
      </c>
      <c r="R13" s="10" t="s">
        <v>44</v>
      </c>
      <c r="S13" s="10" t="s">
        <v>45</v>
      </c>
      <c r="T13" s="10" t="s">
        <v>46</v>
      </c>
      <c r="U13" s="10" t="s">
        <v>18</v>
      </c>
      <c r="V13" s="10" t="s">
        <v>48</v>
      </c>
      <c r="W13" s="10" t="s">
        <v>49</v>
      </c>
    </row>
    <row r="14" spans="1:23" ht="13.5" thickTop="1">
      <c r="A14" s="21" t="s">
        <v>19</v>
      </c>
      <c r="B14" s="21" t="s">
        <v>50</v>
      </c>
      <c r="C14" s="21" t="s">
        <v>51</v>
      </c>
      <c r="D14" s="21" t="s">
        <v>52</v>
      </c>
      <c r="E14" s="21" t="s">
        <v>53</v>
      </c>
      <c r="F14" s="21" t="s">
        <v>2</v>
      </c>
      <c r="G14" s="21" t="s">
        <v>54</v>
      </c>
      <c r="H14" s="21" t="s">
        <v>55</v>
      </c>
      <c r="I14" s="21" t="s">
        <v>56</v>
      </c>
      <c r="J14" s="21" t="s">
        <v>57</v>
      </c>
      <c r="K14" s="21" t="s">
        <v>58</v>
      </c>
      <c r="L14" s="21" t="s">
        <v>59</v>
      </c>
      <c r="M14" s="21" t="s">
        <v>60</v>
      </c>
      <c r="N14" s="9">
        <v>2189239.2999999998</v>
      </c>
      <c r="O14" s="9">
        <v>2189239.2999999998</v>
      </c>
      <c r="P14" s="19">
        <v>0</v>
      </c>
      <c r="Q14" s="19">
        <v>0</v>
      </c>
      <c r="R14" s="19">
        <v>1</v>
      </c>
      <c r="S14" s="22">
        <v>39082</v>
      </c>
      <c r="T14" s="21" t="s">
        <v>25</v>
      </c>
      <c r="U14" s="21" t="s">
        <v>61</v>
      </c>
      <c r="V14" s="21" t="s">
        <v>62</v>
      </c>
      <c r="W14" s="21" t="s">
        <v>25</v>
      </c>
    </row>
    <row r="15" spans="1:23" ht="12.75">
      <c r="A15" s="19" t="s">
        <v>19</v>
      </c>
      <c r="B15" s="19" t="s">
        <v>50</v>
      </c>
      <c r="C15" s="19" t="s">
        <v>51</v>
      </c>
      <c r="D15" s="19" t="s">
        <v>52</v>
      </c>
      <c r="E15" s="19" t="s">
        <v>53</v>
      </c>
      <c r="F15" s="19" t="s">
        <v>2</v>
      </c>
      <c r="G15" s="19" t="s">
        <v>54</v>
      </c>
      <c r="H15" s="19" t="s">
        <v>55</v>
      </c>
      <c r="I15" s="20" t="s">
        <v>56</v>
      </c>
      <c r="J15" s="19" t="s">
        <v>57</v>
      </c>
      <c r="K15" s="19" t="s">
        <v>58</v>
      </c>
      <c r="L15" s="19" t="s">
        <v>59</v>
      </c>
      <c r="M15" s="19" t="s">
        <v>60</v>
      </c>
      <c r="N15" s="9">
        <v>-2189239.2999999998</v>
      </c>
      <c r="O15" s="9">
        <v>-2189239.2999999998</v>
      </c>
      <c r="P15" s="19">
        <v>0</v>
      </c>
      <c r="Q15" s="19">
        <v>0</v>
      </c>
      <c r="R15" s="19">
        <v>-1</v>
      </c>
      <c r="S15" s="22">
        <v>39172</v>
      </c>
      <c r="T15" s="19" t="s">
        <v>25</v>
      </c>
      <c r="U15" s="19" t="s">
        <v>63</v>
      </c>
      <c r="V15" s="19" t="s">
        <v>62</v>
      </c>
      <c r="W15" s="19" t="s">
        <v>25</v>
      </c>
    </row>
    <row r="16" spans="1:23" ht="12.75">
      <c r="A16" s="19" t="s">
        <v>19</v>
      </c>
      <c r="B16" s="19" t="s">
        <v>50</v>
      </c>
      <c r="C16" s="19" t="s">
        <v>51</v>
      </c>
      <c r="D16" s="19" t="s">
        <v>52</v>
      </c>
      <c r="E16" s="19" t="s">
        <v>53</v>
      </c>
      <c r="F16" s="19" t="s">
        <v>2</v>
      </c>
      <c r="G16" s="19" t="s">
        <v>54</v>
      </c>
      <c r="H16" s="19" t="s">
        <v>55</v>
      </c>
      <c r="I16" s="20" t="s">
        <v>56</v>
      </c>
      <c r="J16" s="19" t="s">
        <v>57</v>
      </c>
      <c r="K16" s="19" t="s">
        <v>58</v>
      </c>
      <c r="L16" s="19" t="s">
        <v>59</v>
      </c>
      <c r="M16" s="19" t="s">
        <v>60</v>
      </c>
      <c r="N16" s="9">
        <v>1068567.7</v>
      </c>
      <c r="O16" s="9">
        <v>1068567.7</v>
      </c>
      <c r="P16" s="19">
        <v>0</v>
      </c>
      <c r="Q16" s="19">
        <v>0</v>
      </c>
      <c r="R16" s="19">
        <v>20.690000000000001</v>
      </c>
      <c r="S16" s="22">
        <v>39172</v>
      </c>
      <c r="T16" s="19" t="s">
        <v>25</v>
      </c>
      <c r="U16" s="19" t="s">
        <v>61</v>
      </c>
      <c r="V16" s="19" t="s">
        <v>62</v>
      </c>
      <c r="W16" s="19" t="s">
        <v>25</v>
      </c>
    </row>
    <row r="17" spans="1:23" ht="12.75">
      <c r="A17" s="19" t="s">
        <v>19</v>
      </c>
      <c r="B17" s="19" t="s">
        <v>50</v>
      </c>
      <c r="C17" s="19" t="s">
        <v>51</v>
      </c>
      <c r="D17" s="19" t="s">
        <v>52</v>
      </c>
      <c r="E17" s="19" t="s">
        <v>53</v>
      </c>
      <c r="F17" s="19" t="s">
        <v>2</v>
      </c>
      <c r="G17" s="19" t="s">
        <v>54</v>
      </c>
      <c r="H17" s="19" t="s">
        <v>55</v>
      </c>
      <c r="I17" s="20" t="s">
        <v>56</v>
      </c>
      <c r="J17" s="19" t="s">
        <v>57</v>
      </c>
      <c r="K17" s="19" t="s">
        <v>64</v>
      </c>
      <c r="L17" s="19" t="s">
        <v>59</v>
      </c>
      <c r="M17" s="19" t="s">
        <v>65</v>
      </c>
      <c r="N17" s="9">
        <v>-505787.52000000002</v>
      </c>
      <c r="O17" s="9">
        <v>-505787.52000000002</v>
      </c>
      <c r="P17" s="19">
        <v>0</v>
      </c>
      <c r="Q17" s="19">
        <v>0</v>
      </c>
      <c r="R17" s="19">
        <v>0</v>
      </c>
      <c r="S17" s="22">
        <v>39325</v>
      </c>
      <c r="T17" s="19" t="s">
        <v>25</v>
      </c>
      <c r="U17" s="19" t="s">
        <v>61</v>
      </c>
      <c r="V17" s="19" t="s">
        <v>62</v>
      </c>
      <c r="W17" s="19" t="s">
        <v>25</v>
      </c>
    </row>
    <row r="18" spans="1:23" ht="12.75">
      <c r="A18" s="19" t="s">
        <v>19</v>
      </c>
      <c r="B18" s="19" t="s">
        <v>50</v>
      </c>
      <c r="C18" s="19" t="s">
        <v>51</v>
      </c>
      <c r="D18" s="19" t="s">
        <v>52</v>
      </c>
      <c r="E18" s="19" t="s">
        <v>53</v>
      </c>
      <c r="F18" s="19" t="s">
        <v>2</v>
      </c>
      <c r="G18" s="19" t="s">
        <v>54</v>
      </c>
      <c r="H18" s="19" t="s">
        <v>55</v>
      </c>
      <c r="I18" s="20" t="s">
        <v>56</v>
      </c>
      <c r="J18" s="19" t="s">
        <v>57</v>
      </c>
      <c r="K18" s="19" t="s">
        <v>66</v>
      </c>
      <c r="L18" s="19" t="s">
        <v>25</v>
      </c>
      <c r="M18" s="19" t="s">
        <v>60</v>
      </c>
      <c r="N18" s="9">
        <v>1120671.6000000001</v>
      </c>
      <c r="O18" s="9">
        <v>1120671.6000000001</v>
      </c>
      <c r="P18" s="19">
        <v>0</v>
      </c>
      <c r="Q18" s="19">
        <v>0</v>
      </c>
      <c r="R18" s="19">
        <v>23.390000000000001</v>
      </c>
      <c r="S18" s="22">
        <v>40694</v>
      </c>
      <c r="T18" s="19" t="s">
        <v>59</v>
      </c>
      <c r="U18" s="19" t="s">
        <v>68</v>
      </c>
      <c r="V18" s="19" t="s">
        <v>62</v>
      </c>
      <c r="W18" s="19" t="s">
        <v>25</v>
      </c>
    </row>
    <row r="19" spans="1:23" ht="12.75">
      <c r="A19" s="19" t="s">
        <v>19</v>
      </c>
      <c r="B19" s="19" t="s">
        <v>50</v>
      </c>
      <c r="C19" s="19" t="s">
        <v>51</v>
      </c>
      <c r="D19" s="19" t="s">
        <v>52</v>
      </c>
      <c r="E19" s="19" t="s">
        <v>53</v>
      </c>
      <c r="F19" s="19" t="s">
        <v>2</v>
      </c>
      <c r="G19" s="19" t="s">
        <v>54</v>
      </c>
      <c r="H19" s="19" t="s">
        <v>55</v>
      </c>
      <c r="I19" s="20" t="s">
        <v>56</v>
      </c>
      <c r="J19" s="19" t="s">
        <v>57</v>
      </c>
      <c r="K19" s="19" t="s">
        <v>69</v>
      </c>
      <c r="L19" s="19" t="s">
        <v>25</v>
      </c>
      <c r="M19" s="19" t="s">
        <v>60</v>
      </c>
      <c r="N19" s="9">
        <v>0</v>
      </c>
      <c r="O19" s="9">
        <v>0</v>
      </c>
      <c r="P19" s="19">
        <v>0</v>
      </c>
      <c r="Q19" s="19">
        <v>0</v>
      </c>
      <c r="R19" s="19">
        <v>32.509999999999998</v>
      </c>
      <c r="S19" s="22">
        <v>40694</v>
      </c>
      <c r="T19" s="19" t="s">
        <v>25</v>
      </c>
      <c r="U19" s="19" t="s">
        <v>70</v>
      </c>
      <c r="V19" s="19" t="s">
        <v>62</v>
      </c>
      <c r="W19" s="19" t="s">
        <v>25</v>
      </c>
    </row>
    <row r="20" spans="1:23" ht="12.75">
      <c r="A20" s="19" t="s">
        <v>19</v>
      </c>
      <c r="B20" s="19" t="s">
        <v>50</v>
      </c>
      <c r="C20" s="19" t="s">
        <v>51</v>
      </c>
      <c r="D20" s="19" t="s">
        <v>52</v>
      </c>
      <c r="E20" s="19" t="s">
        <v>53</v>
      </c>
      <c r="F20" s="19" t="s">
        <v>2</v>
      </c>
      <c r="G20" s="19" t="s">
        <v>54</v>
      </c>
      <c r="H20" s="19" t="s">
        <v>55</v>
      </c>
      <c r="I20" s="20" t="s">
        <v>56</v>
      </c>
      <c r="J20" s="19" t="s">
        <v>57</v>
      </c>
      <c r="K20" s="19" t="s">
        <v>66</v>
      </c>
      <c r="L20" s="19" t="s">
        <v>25</v>
      </c>
      <c r="M20" s="19" t="s">
        <v>65</v>
      </c>
      <c r="N20" s="9">
        <v>-530449.98999999999</v>
      </c>
      <c r="O20" s="9">
        <v>-530449.98999999999</v>
      </c>
      <c r="P20" s="19">
        <v>0</v>
      </c>
      <c r="Q20" s="19">
        <v>0</v>
      </c>
      <c r="R20" s="19">
        <v>0</v>
      </c>
      <c r="S20" s="22">
        <v>40694</v>
      </c>
      <c r="T20" s="19" t="s">
        <v>59</v>
      </c>
      <c r="U20" s="19" t="s">
        <v>68</v>
      </c>
      <c r="V20" s="19" t="s">
        <v>62</v>
      </c>
      <c r="W20" s="19" t="s">
        <v>25</v>
      </c>
    </row>
    <row r="21" spans="1:23" ht="12.75">
      <c r="A21" s="19" t="s">
        <v>19</v>
      </c>
      <c r="B21" s="19" t="s">
        <v>50</v>
      </c>
      <c r="C21" s="19" t="s">
        <v>51</v>
      </c>
      <c r="D21" s="19" t="s">
        <v>52</v>
      </c>
      <c r="E21" s="19" t="s">
        <v>53</v>
      </c>
      <c r="F21" s="19" t="s">
        <v>2</v>
      </c>
      <c r="G21" s="19" t="s">
        <v>54</v>
      </c>
      <c r="H21" s="19" t="s">
        <v>55</v>
      </c>
      <c r="I21" s="20" t="s">
        <v>56</v>
      </c>
      <c r="J21" s="19" t="s">
        <v>57</v>
      </c>
      <c r="K21" s="19" t="s">
        <v>71</v>
      </c>
      <c r="L21" s="19" t="s">
        <v>72</v>
      </c>
      <c r="M21" s="19" t="s">
        <v>60</v>
      </c>
      <c r="N21" s="9">
        <v>-389483.94</v>
      </c>
      <c r="O21" s="9">
        <v>-389483.94</v>
      </c>
      <c r="P21" s="19">
        <v>0</v>
      </c>
      <c r="Q21" s="19">
        <v>0</v>
      </c>
      <c r="R21" s="19">
        <v>-13.625999999999999</v>
      </c>
      <c r="S21" s="22">
        <v>40724</v>
      </c>
      <c r="T21" s="19" t="s">
        <v>73</v>
      </c>
      <c r="U21" s="19" t="s">
        <v>74</v>
      </c>
      <c r="V21" s="19" t="s">
        <v>62</v>
      </c>
      <c r="W21" s="19" t="s">
        <v>25</v>
      </c>
    </row>
    <row r="22" spans="1:23" ht="12.75">
      <c r="A22" s="19" t="s">
        <v>19</v>
      </c>
      <c r="B22" s="19" t="s">
        <v>50</v>
      </c>
      <c r="C22" s="19" t="s">
        <v>51</v>
      </c>
      <c r="D22" s="19" t="s">
        <v>52</v>
      </c>
      <c r="E22" s="19" t="s">
        <v>53</v>
      </c>
      <c r="F22" s="19" t="s">
        <v>2</v>
      </c>
      <c r="G22" s="19" t="s">
        <v>54</v>
      </c>
      <c r="H22" s="19" t="s">
        <v>55</v>
      </c>
      <c r="I22" s="20" t="s">
        <v>56</v>
      </c>
      <c r="J22" s="19" t="s">
        <v>57</v>
      </c>
      <c r="K22" s="19" t="s">
        <v>75</v>
      </c>
      <c r="L22" s="19" t="s">
        <v>72</v>
      </c>
      <c r="M22" s="19" t="s">
        <v>65</v>
      </c>
      <c r="N22" s="9">
        <v>184355.29999999999</v>
      </c>
      <c r="O22" s="9">
        <v>184355.29999999999</v>
      </c>
      <c r="P22" s="19">
        <v>0</v>
      </c>
      <c r="Q22" s="19">
        <v>0</v>
      </c>
      <c r="R22" s="19">
        <v>0</v>
      </c>
      <c r="S22" s="22">
        <v>40724</v>
      </c>
      <c r="T22" s="19" t="s">
        <v>73</v>
      </c>
      <c r="U22" s="19" t="s">
        <v>74</v>
      </c>
      <c r="V22" s="19" t="s">
        <v>62</v>
      </c>
      <c r="W22" s="19" t="s">
        <v>25</v>
      </c>
    </row>
    <row r="23" spans="1:23" ht="12.75">
      <c r="A23" s="19" t="s">
        <v>19</v>
      </c>
      <c r="B23" s="19" t="s">
        <v>50</v>
      </c>
      <c r="C23" s="19" t="s">
        <v>51</v>
      </c>
      <c r="D23" s="19" t="s">
        <v>52</v>
      </c>
      <c r="E23" s="19" t="s">
        <v>53</v>
      </c>
      <c r="F23" s="19" t="s">
        <v>2</v>
      </c>
      <c r="G23" s="19" t="s">
        <v>54</v>
      </c>
      <c r="H23" s="19" t="s">
        <v>55</v>
      </c>
      <c r="I23" s="20" t="s">
        <v>56</v>
      </c>
      <c r="J23" s="19" t="s">
        <v>57</v>
      </c>
      <c r="K23" s="19" t="s">
        <v>75</v>
      </c>
      <c r="L23" s="19" t="s">
        <v>72</v>
      </c>
      <c r="M23" s="19" t="s">
        <v>60</v>
      </c>
      <c r="N23" s="9">
        <v>389483.94</v>
      </c>
      <c r="O23" s="9">
        <v>389483.94</v>
      </c>
      <c r="P23" s="19">
        <v>0</v>
      </c>
      <c r="Q23" s="19">
        <v>0</v>
      </c>
      <c r="R23" s="19">
        <v>13.625999999999999</v>
      </c>
      <c r="S23" s="22">
        <v>40755</v>
      </c>
      <c r="T23" s="19" t="s">
        <v>76</v>
      </c>
      <c r="U23" s="19" t="s">
        <v>77</v>
      </c>
      <c r="V23" s="19" t="s">
        <v>62</v>
      </c>
      <c r="W23" s="19" t="s">
        <v>25</v>
      </c>
    </row>
    <row r="24" spans="1:23" ht="12.75">
      <c r="A24" s="19" t="s">
        <v>19</v>
      </c>
      <c r="B24" s="19" t="s">
        <v>50</v>
      </c>
      <c r="C24" s="19" t="s">
        <v>51</v>
      </c>
      <c r="D24" s="19" t="s">
        <v>52</v>
      </c>
      <c r="E24" s="19" t="s">
        <v>53</v>
      </c>
      <c r="F24" s="19" t="s">
        <v>2</v>
      </c>
      <c r="G24" s="19" t="s">
        <v>54</v>
      </c>
      <c r="H24" s="19" t="s">
        <v>55</v>
      </c>
      <c r="I24" s="20" t="s">
        <v>56</v>
      </c>
      <c r="J24" s="19" t="s">
        <v>57</v>
      </c>
      <c r="K24" s="19" t="s">
        <v>71</v>
      </c>
      <c r="L24" s="19" t="s">
        <v>72</v>
      </c>
      <c r="M24" s="19" t="s">
        <v>60</v>
      </c>
      <c r="N24" s="9">
        <v>-184355.29999999999</v>
      </c>
      <c r="O24" s="9">
        <v>-184355.29999999999</v>
      </c>
      <c r="P24" s="19">
        <v>0</v>
      </c>
      <c r="Q24" s="19">
        <v>0</v>
      </c>
      <c r="R24" s="19">
        <v>0</v>
      </c>
      <c r="S24" s="22">
        <v>40755</v>
      </c>
      <c r="T24" s="19" t="s">
        <v>76</v>
      </c>
      <c r="U24" s="19" t="s">
        <v>78</v>
      </c>
      <c r="V24" s="19" t="s">
        <v>62</v>
      </c>
      <c r="W24" s="19" t="s">
        <v>25</v>
      </c>
    </row>
    <row r="25" spans="1:23" ht="12.75">
      <c r="A25" s="19" t="s">
        <v>19</v>
      </c>
      <c r="B25" s="19" t="s">
        <v>50</v>
      </c>
      <c r="C25" s="19" t="s">
        <v>51</v>
      </c>
      <c r="D25" s="19" t="s">
        <v>52</v>
      </c>
      <c r="E25" s="19" t="s">
        <v>53</v>
      </c>
      <c r="F25" s="19" t="s">
        <v>2</v>
      </c>
      <c r="G25" s="19" t="s">
        <v>54</v>
      </c>
      <c r="H25" s="19" t="s">
        <v>55</v>
      </c>
      <c r="I25" s="20" t="s">
        <v>56</v>
      </c>
      <c r="J25" s="19" t="s">
        <v>57</v>
      </c>
      <c r="K25" s="19" t="s">
        <v>69</v>
      </c>
      <c r="L25" s="19" t="s">
        <v>25</v>
      </c>
      <c r="M25" s="19" t="s">
        <v>60</v>
      </c>
      <c r="N25" s="9">
        <v>184355.29999999999</v>
      </c>
      <c r="O25" s="9">
        <v>184355.29999999999</v>
      </c>
      <c r="P25" s="19">
        <v>0</v>
      </c>
      <c r="Q25" s="19">
        <v>0</v>
      </c>
      <c r="R25" s="19">
        <v>0</v>
      </c>
      <c r="S25" s="22">
        <v>40755</v>
      </c>
      <c r="T25" s="19" t="s">
        <v>25</v>
      </c>
      <c r="U25" s="19" t="s">
        <v>79</v>
      </c>
      <c r="V25" s="19" t="s">
        <v>62</v>
      </c>
      <c r="W25" s="19" t="s">
        <v>25</v>
      </c>
    </row>
    <row r="26" spans="1:23" ht="12.75">
      <c r="A26" s="19" t="s">
        <v>19</v>
      </c>
      <c r="B26" s="19" t="s">
        <v>50</v>
      </c>
      <c r="C26" s="19" t="s">
        <v>51</v>
      </c>
      <c r="D26" s="19" t="s">
        <v>52</v>
      </c>
      <c r="E26" s="19" t="s">
        <v>53</v>
      </c>
      <c r="F26" s="19" t="s">
        <v>2</v>
      </c>
      <c r="G26" s="19" t="s">
        <v>54</v>
      </c>
      <c r="H26" s="19" t="s">
        <v>55</v>
      </c>
      <c r="I26" s="20" t="s">
        <v>56</v>
      </c>
      <c r="J26" s="19" t="s">
        <v>57</v>
      </c>
      <c r="K26" s="19" t="s">
        <v>80</v>
      </c>
      <c r="L26" s="19" t="s">
        <v>25</v>
      </c>
      <c r="M26" s="19" t="s">
        <v>60</v>
      </c>
      <c r="N26" s="9">
        <v>-292112.96000000002</v>
      </c>
      <c r="O26" s="9">
        <v>-292112.96000000002</v>
      </c>
      <c r="P26" s="19">
        <v>0</v>
      </c>
      <c r="Q26" s="19">
        <v>0</v>
      </c>
      <c r="R26" s="19">
        <v>0</v>
      </c>
      <c r="S26" s="22">
        <v>40755</v>
      </c>
      <c r="T26" s="19" t="s">
        <v>72</v>
      </c>
      <c r="U26" s="19" t="s">
        <v>81</v>
      </c>
      <c r="V26" s="19" t="s">
        <v>62</v>
      </c>
      <c r="W26" s="19" t="s">
        <v>25</v>
      </c>
    </row>
    <row r="27" spans="1:23" ht="12.75">
      <c r="A27" s="19" t="s">
        <v>19</v>
      </c>
      <c r="B27" s="19" t="s">
        <v>50</v>
      </c>
      <c r="C27" s="19" t="s">
        <v>51</v>
      </c>
      <c r="D27" s="19" t="s">
        <v>52</v>
      </c>
      <c r="E27" s="19" t="s">
        <v>53</v>
      </c>
      <c r="F27" s="19" t="s">
        <v>2</v>
      </c>
      <c r="G27" s="19" t="s">
        <v>54</v>
      </c>
      <c r="H27" s="19" t="s">
        <v>55</v>
      </c>
      <c r="I27" s="20" t="s">
        <v>56</v>
      </c>
      <c r="J27" s="19" t="s">
        <v>57</v>
      </c>
      <c r="K27" s="19" t="s">
        <v>71</v>
      </c>
      <c r="L27" s="19" t="s">
        <v>72</v>
      </c>
      <c r="M27" s="19" t="s">
        <v>60</v>
      </c>
      <c r="N27" s="9">
        <v>-97370.979999999996</v>
      </c>
      <c r="O27" s="9">
        <v>-97370.979999999996</v>
      </c>
      <c r="P27" s="19">
        <v>0</v>
      </c>
      <c r="Q27" s="19">
        <v>0</v>
      </c>
      <c r="R27" s="19">
        <v>-13.625999999999999</v>
      </c>
      <c r="S27" s="22">
        <v>40755</v>
      </c>
      <c r="T27" s="19" t="s">
        <v>72</v>
      </c>
      <c r="U27" s="19" t="s">
        <v>82</v>
      </c>
      <c r="V27" s="19" t="s">
        <v>62</v>
      </c>
      <c r="W27" s="19" t="s">
        <v>25</v>
      </c>
    </row>
    <row r="28" spans="1:23" ht="12.75">
      <c r="A28" s="19" t="s">
        <v>19</v>
      </c>
      <c r="B28" s="19" t="s">
        <v>50</v>
      </c>
      <c r="C28" s="19" t="s">
        <v>51</v>
      </c>
      <c r="D28" s="19" t="s">
        <v>52</v>
      </c>
      <c r="E28" s="19" t="s">
        <v>53</v>
      </c>
      <c r="F28" s="19" t="s">
        <v>2</v>
      </c>
      <c r="G28" s="19" t="s">
        <v>54</v>
      </c>
      <c r="H28" s="19" t="s">
        <v>55</v>
      </c>
      <c r="I28" s="20" t="s">
        <v>56</v>
      </c>
      <c r="J28" s="19" t="s">
        <v>57</v>
      </c>
      <c r="K28" s="19" t="s">
        <v>66</v>
      </c>
      <c r="L28" s="19" t="s">
        <v>25</v>
      </c>
      <c r="M28" s="19" t="s">
        <v>60</v>
      </c>
      <c r="N28" s="9">
        <v>292112.96000000002</v>
      </c>
      <c r="O28" s="9">
        <v>292112.96000000002</v>
      </c>
      <c r="P28" s="19">
        <v>0</v>
      </c>
      <c r="Q28" s="19">
        <v>0</v>
      </c>
      <c r="R28" s="19">
        <v>4.242</v>
      </c>
      <c r="S28" s="22">
        <v>40755</v>
      </c>
      <c r="T28" s="19" t="s">
        <v>72</v>
      </c>
      <c r="U28" s="19" t="s">
        <v>68</v>
      </c>
      <c r="V28" s="19" t="s">
        <v>62</v>
      </c>
      <c r="W28" s="19" t="s">
        <v>25</v>
      </c>
    </row>
    <row r="29" spans="1:23" ht="12.75">
      <c r="A29" s="19" t="s">
        <v>19</v>
      </c>
      <c r="B29" s="19" t="s">
        <v>50</v>
      </c>
      <c r="C29" s="19" t="s">
        <v>51</v>
      </c>
      <c r="D29" s="19" t="s">
        <v>52</v>
      </c>
      <c r="E29" s="19" t="s">
        <v>53</v>
      </c>
      <c r="F29" s="19" t="s">
        <v>2</v>
      </c>
      <c r="G29" s="19" t="s">
        <v>54</v>
      </c>
      <c r="H29" s="19" t="s">
        <v>55</v>
      </c>
      <c r="I29" s="20" t="s">
        <v>56</v>
      </c>
      <c r="J29" s="19" t="s">
        <v>57</v>
      </c>
      <c r="K29" s="19" t="s">
        <v>80</v>
      </c>
      <c r="L29" s="19" t="s">
        <v>25</v>
      </c>
      <c r="M29" s="19" t="s">
        <v>60</v>
      </c>
      <c r="N29" s="9">
        <v>-90939.610000000001</v>
      </c>
      <c r="O29" s="9">
        <v>-90939.610000000001</v>
      </c>
      <c r="P29" s="19">
        <v>0</v>
      </c>
      <c r="Q29" s="19">
        <v>0</v>
      </c>
      <c r="R29" s="19">
        <v>-4.242</v>
      </c>
      <c r="S29" s="22">
        <v>40755</v>
      </c>
      <c r="T29" s="19" t="s">
        <v>72</v>
      </c>
      <c r="U29" s="19" t="s">
        <v>83</v>
      </c>
      <c r="V29" s="19" t="s">
        <v>62</v>
      </c>
      <c r="W29" s="19" t="s">
        <v>25</v>
      </c>
    </row>
    <row r="30" spans="1:23" ht="12.75">
      <c r="A30" s="19" t="s">
        <v>19</v>
      </c>
      <c r="B30" s="19" t="s">
        <v>50</v>
      </c>
      <c r="C30" s="19" t="s">
        <v>51</v>
      </c>
      <c r="D30" s="19" t="s">
        <v>52</v>
      </c>
      <c r="E30" s="19" t="s">
        <v>53</v>
      </c>
      <c r="F30" s="19" t="s">
        <v>2</v>
      </c>
      <c r="G30" s="19" t="s">
        <v>54</v>
      </c>
      <c r="H30" s="19" t="s">
        <v>55</v>
      </c>
      <c r="I30" s="20" t="s">
        <v>56</v>
      </c>
      <c r="J30" s="19" t="s">
        <v>57</v>
      </c>
      <c r="K30" s="19" t="s">
        <v>71</v>
      </c>
      <c r="L30" s="19" t="s">
        <v>72</v>
      </c>
      <c r="M30" s="19" t="s">
        <v>60</v>
      </c>
      <c r="N30" s="9">
        <v>-201173.35000000001</v>
      </c>
      <c r="O30" s="9">
        <v>-201173.35000000001</v>
      </c>
      <c r="P30" s="19">
        <v>0</v>
      </c>
      <c r="Q30" s="19">
        <v>0</v>
      </c>
      <c r="R30" s="19">
        <v>0</v>
      </c>
      <c r="S30" s="22">
        <v>40755</v>
      </c>
      <c r="T30" s="19" t="s">
        <v>76</v>
      </c>
      <c r="U30" s="19" t="s">
        <v>84</v>
      </c>
      <c r="V30" s="19" t="s">
        <v>62</v>
      </c>
      <c r="W30" s="19" t="s">
        <v>25</v>
      </c>
    </row>
    <row r="31" spans="1:23" ht="12.75">
      <c r="A31" s="19" t="s">
        <v>19</v>
      </c>
      <c r="B31" s="19" t="s">
        <v>50</v>
      </c>
      <c r="C31" s="19" t="s">
        <v>51</v>
      </c>
      <c r="D31" s="19" t="s">
        <v>52</v>
      </c>
      <c r="E31" s="19" t="s">
        <v>53</v>
      </c>
      <c r="F31" s="19" t="s">
        <v>2</v>
      </c>
      <c r="G31" s="19" t="s">
        <v>54</v>
      </c>
      <c r="H31" s="19" t="s">
        <v>55</v>
      </c>
      <c r="I31" s="20" t="s">
        <v>56</v>
      </c>
      <c r="J31" s="19" t="s">
        <v>57</v>
      </c>
      <c r="K31" s="19" t="s">
        <v>69</v>
      </c>
      <c r="L31" s="19" t="s">
        <v>25</v>
      </c>
      <c r="M31" s="19" t="s">
        <v>65</v>
      </c>
      <c r="N31" s="9">
        <v>-184355.29999999999</v>
      </c>
      <c r="O31" s="9">
        <v>-184355.29999999999</v>
      </c>
      <c r="P31" s="19">
        <v>0</v>
      </c>
      <c r="Q31" s="19">
        <v>0</v>
      </c>
      <c r="R31" s="19">
        <v>0</v>
      </c>
      <c r="S31" s="22">
        <v>40755</v>
      </c>
      <c r="T31" s="19" t="s">
        <v>25</v>
      </c>
      <c r="U31" s="19" t="s">
        <v>85</v>
      </c>
      <c r="V31" s="19" t="s">
        <v>62</v>
      </c>
      <c r="W31" s="19" t="s">
        <v>25</v>
      </c>
    </row>
    <row r="32" spans="1:23" ht="12.75">
      <c r="A32" s="19" t="s">
        <v>19</v>
      </c>
      <c r="B32" s="19" t="s">
        <v>50</v>
      </c>
      <c r="C32" s="19" t="s">
        <v>51</v>
      </c>
      <c r="D32" s="19" t="s">
        <v>52</v>
      </c>
      <c r="E32" s="19" t="s">
        <v>53</v>
      </c>
      <c r="F32" s="19" t="s">
        <v>2</v>
      </c>
      <c r="G32" s="19" t="s">
        <v>54</v>
      </c>
      <c r="H32" s="19" t="s">
        <v>55</v>
      </c>
      <c r="I32" s="20" t="s">
        <v>56</v>
      </c>
      <c r="J32" s="19" t="s">
        <v>57</v>
      </c>
      <c r="K32" s="19" t="s">
        <v>80</v>
      </c>
      <c r="L32" s="19" t="s">
        <v>25</v>
      </c>
      <c r="M32" s="19" t="s">
        <v>65</v>
      </c>
      <c r="N32" s="9">
        <v>138266.48000000001</v>
      </c>
      <c r="O32" s="9">
        <v>138266.48000000001</v>
      </c>
      <c r="P32" s="19">
        <v>0</v>
      </c>
      <c r="Q32" s="19">
        <v>0</v>
      </c>
      <c r="R32" s="19">
        <v>0</v>
      </c>
      <c r="S32" s="22">
        <v>40755</v>
      </c>
      <c r="T32" s="19" t="s">
        <v>72</v>
      </c>
      <c r="U32" s="19" t="s">
        <v>81</v>
      </c>
      <c r="V32" s="19" t="s">
        <v>62</v>
      </c>
      <c r="W32" s="19" t="s">
        <v>25</v>
      </c>
    </row>
    <row r="33" spans="1:23" ht="12.75">
      <c r="A33" s="19" t="s">
        <v>19</v>
      </c>
      <c r="B33" s="19" t="s">
        <v>50</v>
      </c>
      <c r="C33" s="19" t="s">
        <v>51</v>
      </c>
      <c r="D33" s="19" t="s">
        <v>52</v>
      </c>
      <c r="E33" s="19" t="s">
        <v>53</v>
      </c>
      <c r="F33" s="19" t="s">
        <v>2</v>
      </c>
      <c r="G33" s="19" t="s">
        <v>54</v>
      </c>
      <c r="H33" s="19" t="s">
        <v>55</v>
      </c>
      <c r="I33" s="20" t="s">
        <v>56</v>
      </c>
      <c r="J33" s="19" t="s">
        <v>57</v>
      </c>
      <c r="K33" s="19" t="s">
        <v>75</v>
      </c>
      <c r="L33" s="19" t="s">
        <v>72</v>
      </c>
      <c r="M33" s="19" t="s">
        <v>65</v>
      </c>
      <c r="N33" s="9">
        <v>46088.82</v>
      </c>
      <c r="O33" s="9">
        <v>46088.82</v>
      </c>
      <c r="P33" s="19">
        <v>0</v>
      </c>
      <c r="Q33" s="19">
        <v>0</v>
      </c>
      <c r="R33" s="19">
        <v>0</v>
      </c>
      <c r="S33" s="22">
        <v>40755</v>
      </c>
      <c r="T33" s="19" t="s">
        <v>72</v>
      </c>
      <c r="U33" s="19" t="s">
        <v>86</v>
      </c>
      <c r="V33" s="19" t="s">
        <v>62</v>
      </c>
      <c r="W33" s="19" t="s">
        <v>25</v>
      </c>
    </row>
    <row r="34" spans="1:23" ht="12.75">
      <c r="A34" s="19" t="s">
        <v>19</v>
      </c>
      <c r="B34" s="19" t="s">
        <v>50</v>
      </c>
      <c r="C34" s="19" t="s">
        <v>51</v>
      </c>
      <c r="D34" s="19" t="s">
        <v>52</v>
      </c>
      <c r="E34" s="19" t="s">
        <v>53</v>
      </c>
      <c r="F34" s="19" t="s">
        <v>2</v>
      </c>
      <c r="G34" s="19" t="s">
        <v>54</v>
      </c>
      <c r="H34" s="19" t="s">
        <v>55</v>
      </c>
      <c r="I34" s="20" t="s">
        <v>56</v>
      </c>
      <c r="J34" s="19" t="s">
        <v>57</v>
      </c>
      <c r="K34" s="19" t="s">
        <v>66</v>
      </c>
      <c r="L34" s="19" t="s">
        <v>25</v>
      </c>
      <c r="M34" s="19" t="s">
        <v>65</v>
      </c>
      <c r="N34" s="9">
        <v>-138266.48000000001</v>
      </c>
      <c r="O34" s="9">
        <v>-138266.48000000001</v>
      </c>
      <c r="P34" s="19">
        <v>0</v>
      </c>
      <c r="Q34" s="19">
        <v>0</v>
      </c>
      <c r="R34" s="19">
        <v>0</v>
      </c>
      <c r="S34" s="22">
        <v>40755</v>
      </c>
      <c r="T34" s="19" t="s">
        <v>72</v>
      </c>
      <c r="U34" s="19" t="s">
        <v>68</v>
      </c>
      <c r="V34" s="19" t="s">
        <v>62</v>
      </c>
      <c r="W34" s="19" t="s">
        <v>25</v>
      </c>
    </row>
    <row r="35" spans="1:23" ht="12.75">
      <c r="A35" s="19" t="s">
        <v>19</v>
      </c>
      <c r="B35" s="19" t="s">
        <v>50</v>
      </c>
      <c r="C35" s="19" t="s">
        <v>51</v>
      </c>
      <c r="D35" s="19" t="s">
        <v>52</v>
      </c>
      <c r="E35" s="19" t="s">
        <v>53</v>
      </c>
      <c r="F35" s="19" t="s">
        <v>2</v>
      </c>
      <c r="G35" s="19" t="s">
        <v>54</v>
      </c>
      <c r="H35" s="19" t="s">
        <v>55</v>
      </c>
      <c r="I35" s="20" t="s">
        <v>56</v>
      </c>
      <c r="J35" s="19" t="s">
        <v>57</v>
      </c>
      <c r="K35" s="19" t="s">
        <v>80</v>
      </c>
      <c r="L35" s="19" t="s">
        <v>25</v>
      </c>
      <c r="M35" s="19" t="s">
        <v>65</v>
      </c>
      <c r="N35" s="9">
        <v>43044.650000000001</v>
      </c>
      <c r="O35" s="9">
        <v>43044.650000000001</v>
      </c>
      <c r="P35" s="19">
        <v>0</v>
      </c>
      <c r="Q35" s="19">
        <v>0</v>
      </c>
      <c r="R35" s="19">
        <v>0</v>
      </c>
      <c r="S35" s="22">
        <v>40755</v>
      </c>
      <c r="T35" s="19" t="s">
        <v>72</v>
      </c>
      <c r="U35" s="19" t="s">
        <v>83</v>
      </c>
      <c r="V35" s="19" t="s">
        <v>62</v>
      </c>
      <c r="W35" s="19" t="s">
        <v>25</v>
      </c>
    </row>
    <row r="36" spans="1:23" ht="12.75">
      <c r="A36" s="19" t="s">
        <v>19</v>
      </c>
      <c r="B36" s="19" t="s">
        <v>50</v>
      </c>
      <c r="C36" s="19" t="s">
        <v>51</v>
      </c>
      <c r="D36" s="19" t="s">
        <v>52</v>
      </c>
      <c r="E36" s="19" t="s">
        <v>53</v>
      </c>
      <c r="F36" s="19" t="s">
        <v>2</v>
      </c>
      <c r="G36" s="19" t="s">
        <v>54</v>
      </c>
      <c r="H36" s="19" t="s">
        <v>55</v>
      </c>
      <c r="I36" s="20" t="s">
        <v>56</v>
      </c>
      <c r="J36" s="19" t="s">
        <v>57</v>
      </c>
      <c r="K36" s="19" t="s">
        <v>75</v>
      </c>
      <c r="L36" s="19" t="s">
        <v>72</v>
      </c>
      <c r="M36" s="19" t="s">
        <v>65</v>
      </c>
      <c r="N36" s="9">
        <v>95221.830000000002</v>
      </c>
      <c r="O36" s="9">
        <v>95221.830000000002</v>
      </c>
      <c r="P36" s="19">
        <v>0</v>
      </c>
      <c r="Q36" s="19">
        <v>0</v>
      </c>
      <c r="R36" s="19">
        <v>0</v>
      </c>
      <c r="S36" s="22">
        <v>40755</v>
      </c>
      <c r="T36" s="19" t="s">
        <v>76</v>
      </c>
      <c r="U36" s="19" t="s">
        <v>84</v>
      </c>
      <c r="V36" s="19" t="s">
        <v>62</v>
      </c>
      <c r="W36" s="19" t="s">
        <v>25</v>
      </c>
    </row>
    <row r="37" spans="1:23" ht="12.75">
      <c r="A37" s="19" t="s">
        <v>19</v>
      </c>
      <c r="B37" s="19" t="s">
        <v>50</v>
      </c>
      <c r="C37" s="19" t="s">
        <v>51</v>
      </c>
      <c r="D37" s="19" t="s">
        <v>52</v>
      </c>
      <c r="E37" s="19" t="s">
        <v>53</v>
      </c>
      <c r="F37" s="19" t="s">
        <v>2</v>
      </c>
      <c r="G37" s="19" t="s">
        <v>54</v>
      </c>
      <c r="H37" s="19" t="s">
        <v>55</v>
      </c>
      <c r="I37" s="20" t="s">
        <v>56</v>
      </c>
      <c r="J37" s="19" t="s">
        <v>57</v>
      </c>
      <c r="K37" s="19" t="s">
        <v>71</v>
      </c>
      <c r="L37" s="19" t="s">
        <v>87</v>
      </c>
      <c r="M37" s="19" t="s">
        <v>60</v>
      </c>
      <c r="N37" s="9">
        <v>-852742.85999999999</v>
      </c>
      <c r="O37" s="9">
        <v>-852742.85999999999</v>
      </c>
      <c r="P37" s="19">
        <v>0</v>
      </c>
      <c r="Q37" s="19">
        <v>0</v>
      </c>
      <c r="R37" s="19">
        <v>-29.832999999999998</v>
      </c>
      <c r="S37" s="22">
        <v>41698</v>
      </c>
      <c r="T37" s="19" t="s">
        <v>88</v>
      </c>
      <c r="U37" s="19" t="s">
        <v>89</v>
      </c>
      <c r="V37" s="19" t="s">
        <v>62</v>
      </c>
      <c r="W37" s="19" t="s">
        <v>25</v>
      </c>
    </row>
    <row r="38" spans="1:23" ht="12.75">
      <c r="A38" s="19" t="s">
        <v>19</v>
      </c>
      <c r="B38" s="19" t="s">
        <v>50</v>
      </c>
      <c r="C38" s="19" t="s">
        <v>51</v>
      </c>
      <c r="D38" s="19" t="s">
        <v>52</v>
      </c>
      <c r="E38" s="19" t="s">
        <v>53</v>
      </c>
      <c r="F38" s="19" t="s">
        <v>2</v>
      </c>
      <c r="G38" s="19" t="s">
        <v>54</v>
      </c>
      <c r="H38" s="19" t="s">
        <v>55</v>
      </c>
      <c r="I38" s="20" t="s">
        <v>56</v>
      </c>
      <c r="J38" s="19" t="s">
        <v>57</v>
      </c>
      <c r="K38" s="19" t="s">
        <v>75</v>
      </c>
      <c r="L38" s="19" t="s">
        <v>87</v>
      </c>
      <c r="M38" s="19" t="s">
        <v>65</v>
      </c>
      <c r="N38" s="9">
        <v>403630.67999999999</v>
      </c>
      <c r="O38" s="9">
        <v>403630.67999999999</v>
      </c>
      <c r="P38" s="19">
        <v>0</v>
      </c>
      <c r="Q38" s="19">
        <v>0</v>
      </c>
      <c r="R38" s="19">
        <v>0</v>
      </c>
      <c r="S38" s="22">
        <v>41698</v>
      </c>
      <c r="T38" s="19" t="s">
        <v>88</v>
      </c>
      <c r="U38" s="19" t="s">
        <v>89</v>
      </c>
      <c r="V38" s="19" t="s">
        <v>62</v>
      </c>
      <c r="W38" s="19" t="s">
        <v>25</v>
      </c>
    </row>
    <row r="39" spans="1:23" ht="12.75">
      <c r="A39" s="19" t="s">
        <v>19</v>
      </c>
      <c r="B39" s="19" t="s">
        <v>50</v>
      </c>
      <c r="C39" s="19" t="s">
        <v>51</v>
      </c>
      <c r="D39" s="19" t="s">
        <v>52</v>
      </c>
      <c r="E39" s="19" t="s">
        <v>53</v>
      </c>
      <c r="F39" s="19" t="s">
        <v>2</v>
      </c>
      <c r="G39" s="19" t="s">
        <v>54</v>
      </c>
      <c r="H39" s="19" t="s">
        <v>55</v>
      </c>
      <c r="I39" s="20" t="s">
        <v>56</v>
      </c>
      <c r="J39" s="19" t="s">
        <v>57</v>
      </c>
      <c r="K39" s="19" t="s">
        <v>69</v>
      </c>
      <c r="L39" s="19" t="s">
        <v>25</v>
      </c>
      <c r="M39" s="19" t="s">
        <v>60</v>
      </c>
      <c r="N39" s="9">
        <v>0</v>
      </c>
      <c r="O39" s="9">
        <v>0</v>
      </c>
      <c r="P39" s="19">
        <v>0</v>
      </c>
      <c r="Q39" s="19">
        <v>0</v>
      </c>
      <c r="R39" s="19">
        <v>-0.0082000000000000007</v>
      </c>
      <c r="S39" s="22">
        <v>44196</v>
      </c>
      <c r="T39" s="19" t="s">
        <v>25</v>
      </c>
      <c r="U39" s="19" t="s">
        <v>90</v>
      </c>
      <c r="V39" s="19" t="s">
        <v>62</v>
      </c>
      <c r="W39" s="19" t="s">
        <v>25</v>
      </c>
    </row>
    <row r="40" spans="1:23" ht="12.75">
      <c r="A40" s="19" t="s">
        <v>19</v>
      </c>
      <c r="B40" s="19" t="s">
        <v>50</v>
      </c>
      <c r="C40" s="19" t="s">
        <v>51</v>
      </c>
      <c r="D40" s="19" t="s">
        <v>52</v>
      </c>
      <c r="E40" s="19" t="s">
        <v>53</v>
      </c>
      <c r="F40" s="19" t="s">
        <v>2</v>
      </c>
      <c r="G40" s="19" t="s">
        <v>54</v>
      </c>
      <c r="H40" s="19" t="s">
        <v>55</v>
      </c>
      <c r="I40" s="20" t="s">
        <v>56</v>
      </c>
      <c r="J40" s="19" t="s">
        <v>57</v>
      </c>
      <c r="K40" s="19" t="s">
        <v>69</v>
      </c>
      <c r="L40" s="19" t="s">
        <v>25</v>
      </c>
      <c r="M40" s="19" t="s">
        <v>60</v>
      </c>
      <c r="N40" s="9">
        <v>0</v>
      </c>
      <c r="O40" s="9">
        <v>0</v>
      </c>
      <c r="P40" s="19">
        <v>0</v>
      </c>
      <c r="Q40" s="19">
        <v>0</v>
      </c>
      <c r="R40" s="19">
        <v>-0.073800000000000004</v>
      </c>
      <c r="S40" s="22">
        <v>44196</v>
      </c>
      <c r="T40" s="19" t="s">
        <v>25</v>
      </c>
      <c r="U40" s="19" t="s">
        <v>90</v>
      </c>
      <c r="V40" s="19" t="s">
        <v>62</v>
      </c>
      <c r="W40" s="19" t="s">
        <v>25</v>
      </c>
    </row>
    <row r="41" spans="1:23" ht="12.75">
      <c r="A41" s="19" t="s">
        <v>19</v>
      </c>
      <c r="B41" s="19" t="s">
        <v>50</v>
      </c>
      <c r="C41" s="19" t="s">
        <v>51</v>
      </c>
      <c r="D41" s="19" t="s">
        <v>52</v>
      </c>
      <c r="E41" s="19" t="s">
        <v>53</v>
      </c>
      <c r="F41" s="19" t="s">
        <v>2</v>
      </c>
      <c r="G41" s="19" t="s">
        <v>54</v>
      </c>
      <c r="H41" s="19" t="s">
        <v>55</v>
      </c>
      <c r="I41" s="20" t="s">
        <v>56</v>
      </c>
      <c r="J41" s="19" t="s">
        <v>57</v>
      </c>
      <c r="K41" s="19" t="s">
        <v>80</v>
      </c>
      <c r="L41" s="19" t="s">
        <v>25</v>
      </c>
      <c r="M41" s="19" t="s">
        <v>65</v>
      </c>
      <c r="N41" s="9">
        <v>-96663.460000000006</v>
      </c>
      <c r="O41" s="9">
        <v>-96663.460000000006</v>
      </c>
      <c r="P41" s="19">
        <v>0</v>
      </c>
      <c r="Q41" s="19">
        <v>0</v>
      </c>
      <c r="R41" s="19">
        <v>0</v>
      </c>
      <c r="S41" s="22"/>
      <c r="T41" s="19" t="s">
        <v>23</v>
      </c>
      <c r="U41" s="19" t="s">
        <v>92</v>
      </c>
      <c r="V41" s="19" t="s">
        <v>62</v>
      </c>
      <c r="W41" s="19" t="s">
        <v>25</v>
      </c>
    </row>
    <row r="42" spans="1:23" ht="12.75">
      <c r="A42" s="19" t="s">
        <v>19</v>
      </c>
      <c r="B42" s="19" t="s">
        <v>50</v>
      </c>
      <c r="C42" s="19" t="s">
        <v>51</v>
      </c>
      <c r="D42" s="19" t="s">
        <v>52</v>
      </c>
      <c r="E42" s="19" t="s">
        <v>53</v>
      </c>
      <c r="F42" s="19" t="s">
        <v>2</v>
      </c>
      <c r="G42" s="19" t="s">
        <v>54</v>
      </c>
      <c r="H42" s="19" t="s">
        <v>55</v>
      </c>
      <c r="I42" s="20" t="s">
        <v>56</v>
      </c>
      <c r="J42" s="19" t="s">
        <v>57</v>
      </c>
      <c r="K42" s="19" t="s">
        <v>80</v>
      </c>
      <c r="L42" s="19" t="s">
        <v>25</v>
      </c>
      <c r="M42" s="19" t="s">
        <v>65</v>
      </c>
      <c r="N42" s="9">
        <v>-120829.32000000001</v>
      </c>
      <c r="O42" s="9">
        <v>-120829.32000000001</v>
      </c>
      <c r="P42" s="19">
        <v>0</v>
      </c>
      <c r="Q42" s="19">
        <v>0</v>
      </c>
      <c r="R42" s="19">
        <v>0</v>
      </c>
      <c r="S42" s="22"/>
      <c r="T42" s="19" t="s">
        <v>93</v>
      </c>
      <c r="U42" s="19" t="s">
        <v>94</v>
      </c>
      <c r="V42" s="19" t="s">
        <v>62</v>
      </c>
      <c r="W42" s="19" t="s">
        <v>25</v>
      </c>
    </row>
    <row r="43" spans="1:23" ht="12.75">
      <c r="A43" s="19" t="s">
        <v>19</v>
      </c>
      <c r="B43" s="19" t="s">
        <v>50</v>
      </c>
      <c r="C43" s="19" t="s">
        <v>51</v>
      </c>
      <c r="D43" s="19" t="s">
        <v>52</v>
      </c>
      <c r="E43" s="19" t="s">
        <v>53</v>
      </c>
      <c r="F43" s="19" t="s">
        <v>2</v>
      </c>
      <c r="G43" s="19" t="s">
        <v>54</v>
      </c>
      <c r="H43" s="19" t="s">
        <v>55</v>
      </c>
      <c r="I43" s="20" t="s">
        <v>56</v>
      </c>
      <c r="J43" s="19" t="s">
        <v>57</v>
      </c>
      <c r="K43" s="19" t="s">
        <v>80</v>
      </c>
      <c r="L43" s="19" t="s">
        <v>25</v>
      </c>
      <c r="M43" s="19" t="s">
        <v>65</v>
      </c>
      <c r="N43" s="9">
        <v>120829.32000000001</v>
      </c>
      <c r="O43" s="9">
        <v>120829.32000000001</v>
      </c>
      <c r="P43" s="19">
        <v>0</v>
      </c>
      <c r="Q43" s="19">
        <v>0</v>
      </c>
      <c r="R43" s="19">
        <v>0</v>
      </c>
      <c r="S43" s="22"/>
      <c r="T43" s="19" t="s">
        <v>93</v>
      </c>
      <c r="U43" s="19" t="s">
        <v>95</v>
      </c>
      <c r="V43" s="19" t="s">
        <v>62</v>
      </c>
      <c r="W43" s="19" t="s">
        <v>25</v>
      </c>
    </row>
    <row r="44" spans="15:23" ht="30.2" customHeight="1">
      <c r="O44" s="20"/>
      <c r="R44" s="19">
        <v>-0.042999999999999997</v>
      </c>
      <c r="S44" s="68" t="s">
        <v>96</v>
      </c>
      <c r="T44" s="68"/>
      <c r="U44" s="68"/>
      <c r="V44" s="68"/>
      <c r="W44" s="68"/>
    </row>
    <row r="45" spans="15:15" ht="12.75">
      <c r="O45" s="20"/>
    </row>
    <row r="46" spans="15:18" ht="13.5" thickBot="1">
      <c r="O46" s="16">
        <f>SUM(O14:O44)</f>
        <v>402097.51000000001</v>
      </c>
      <c r="R46" s="17">
        <f>SUM(R14:R44)</f>
        <v>33.006000000000007</v>
      </c>
    </row>
    <row r="47" spans="18:18" ht="13.5" thickTop="1">
      <c r="R47" s="23"/>
    </row>
    <row r="48" spans="15:16" ht="12.75">
      <c r="O48" s="20">
        <f>ROUND(O46/R46,2)</f>
        <v>12182.56</v>
      </c>
      <c r="P48" s="3" t="s">
        <v>97</v>
      </c>
    </row>
    <row r="49" spans="15:18" ht="12.75">
      <c r="O49" s="20">
        <f>ROUND(O48*Q49,2)</f>
        <v>402097.51000000001</v>
      </c>
      <c r="P49" s="3" t="s">
        <v>98</v>
      </c>
      <c r="Q49" s="4">
        <v>33.005994999999999</v>
      </c>
      <c r="R49" s="13" t="s">
        <v>99</v>
      </c>
    </row>
    <row r="52" spans="1:16" ht="15">
      <c r="A52" s="8" t="s">
        <v>100</v>
      </c>
      <c r="O52" s="14" t="s">
        <v>101</v>
      </c>
      <c r="P52" s="20">
        <v>498760.96999999997</v>
      </c>
    </row>
    <row r="53" spans="15:20" ht="15.75" thickBot="1">
      <c r="O53" s="14" t="s">
        <v>97</v>
      </c>
      <c r="P53" s="20">
        <f>P52/S53</f>
        <v>15111.221293098224</v>
      </c>
      <c r="S53" s="19">
        <v>33.006</v>
      </c>
      <c r="T53" s="14" t="s">
        <v>102</v>
      </c>
    </row>
    <row r="54" spans="2:16" ht="12.75">
      <c r="B54" s="24"/>
      <c r="C54" s="25"/>
      <c r="D54" s="25"/>
      <c r="E54" s="25"/>
      <c r="F54" s="25"/>
      <c r="G54" s="26"/>
      <c r="P54" s="20"/>
    </row>
    <row r="55" spans="2:20" ht="12.75">
      <c r="B55" s="27"/>
      <c r="C55" s="40">
        <f>I5</f>
        <v>-275970.57000000001</v>
      </c>
      <c r="D55" s="28"/>
      <c r="E55" s="66" t="s">
        <v>103</v>
      </c>
      <c r="F55" s="66"/>
      <c r="G55" s="5"/>
      <c r="P55" s="20">
        <f>ROUND(T55*P53,2)</f>
        <v>64101.800000000003</v>
      </c>
      <c r="T55" s="19">
        <v>4.242</v>
      </c>
    </row>
    <row r="56" spans="2:20" ht="12.75">
      <c r="B56" s="27"/>
      <c r="C56" s="18">
        <f>I6+I7</f>
        <v>0</v>
      </c>
      <c r="D56" s="28"/>
      <c r="E56" s="67" t="s">
        <v>104</v>
      </c>
      <c r="F56" s="67"/>
      <c r="G56" s="5"/>
      <c r="P56" s="29">
        <f>ROUND(T56*P53,2)</f>
        <v>56727.519999999997</v>
      </c>
      <c r="T56" s="30">
        <v>3.754</v>
      </c>
    </row>
    <row r="57" spans="2:20" ht="15">
      <c r="B57" s="27"/>
      <c r="C57" s="40">
        <f>C55+C56</f>
        <v>-275970.57000000001</v>
      </c>
      <c r="D57" s="28"/>
      <c r="E57" s="66" t="s">
        <v>105</v>
      </c>
      <c r="F57" s="66"/>
      <c r="G57" s="5"/>
      <c r="O57" s="15" t="s">
        <v>106</v>
      </c>
      <c r="P57" s="20">
        <f>SUBTOTAL(9,P55:P56)</f>
        <v>120829.32000000001</v>
      </c>
      <c r="T57" s="19">
        <f>SUBTOTAL(9,T55:T56)</f>
        <v>7.9960000000000004</v>
      </c>
    </row>
    <row r="58" spans="2:16" ht="15">
      <c r="B58" s="27"/>
      <c r="C58" s="40">
        <f>O49</f>
        <v>402097.51000000001</v>
      </c>
      <c r="D58" s="28"/>
      <c r="E58" s="67" t="s">
        <v>107</v>
      </c>
      <c r="F58" s="67"/>
      <c r="G58" s="5"/>
      <c r="O58" s="15" t="s">
        <v>108</v>
      </c>
      <c r="P58" s="20">
        <f>ROUND(P57*0.8,2)</f>
        <v>96663.460000000006</v>
      </c>
    </row>
    <row r="59" spans="2:16" ht="13.5" thickBot="1">
      <c r="B59" s="27"/>
      <c r="C59" s="41">
        <f>SUM(C57:C58)</f>
        <v>126126.94</v>
      </c>
      <c r="D59" s="28"/>
      <c r="E59" s="66" t="s">
        <v>109</v>
      </c>
      <c r="F59" s="66"/>
      <c r="G59" s="69"/>
      <c r="P59" s="20"/>
    </row>
    <row r="60" spans="2:17" ht="16.5" thickTop="1" thickBot="1">
      <c r="B60" s="31"/>
      <c r="C60" s="32"/>
      <c r="D60" s="32"/>
      <c r="E60" s="32"/>
      <c r="F60" s="32"/>
      <c r="G60" s="33"/>
      <c r="P60" s="20">
        <f>P52-P58</f>
        <v>402097.50999999995</v>
      </c>
      <c r="Q60" s="14" t="s">
        <v>110</v>
      </c>
    </row>
    <row r="61" spans="16:17" ht="15">
      <c r="P61" s="18">
        <v>-275970.57000000001</v>
      </c>
      <c r="Q61" s="14" t="s">
        <v>111</v>
      </c>
    </row>
    <row r="62" spans="16:17" ht="15">
      <c r="P62" s="20">
        <f>SUBTOTAL(9,P60:P61)</f>
        <v>126126.93999999994</v>
      </c>
      <c r="Q62" s="14" t="s">
        <v>112</v>
      </c>
    </row>
    <row r="63" spans="1:11" ht="12.75">
      <c r="A63" s="8" t="s">
        <v>113</v>
      </c>
      <c r="B63" s="7"/>
      <c r="C63" s="7"/>
      <c r="D63" s="7"/>
      <c r="E63" s="7"/>
      <c r="F63" s="7"/>
      <c r="G63" s="7"/>
      <c r="H63" s="7"/>
      <c r="I63" s="6"/>
      <c r="J63" s="7"/>
      <c r="K63" s="7"/>
    </row>
    <row r="64" spans="1:11" ht="12.75">
      <c r="A64" s="8"/>
      <c r="B64" s="7"/>
      <c r="C64" s="7"/>
      <c r="D64" s="7"/>
      <c r="E64" s="7"/>
      <c r="F64" s="7"/>
      <c r="G64" s="7"/>
      <c r="H64" s="7"/>
      <c r="I64" s="6"/>
      <c r="J64" s="7"/>
      <c r="K64" s="7"/>
    </row>
    <row r="65" spans="1:11" s="28" customFormat="1" ht="12.75">
      <c r="A65" s="37"/>
      <c r="B65" s="37"/>
      <c r="C65" s="37"/>
      <c r="D65" s="37"/>
      <c r="E65" s="37"/>
      <c r="F65" s="37"/>
      <c r="G65" s="37"/>
      <c r="H65" s="37"/>
      <c r="I65" s="38"/>
      <c r="J65" s="37"/>
      <c r="K65" s="39"/>
    </row>
    <row r="66" spans="1:11" s="28" customFormat="1" ht="12.75">
      <c r="A66" s="8" t="s">
        <v>123</v>
      </c>
      <c r="B66" s="37"/>
      <c r="C66" s="37"/>
      <c r="D66" s="37"/>
      <c r="E66" s="37"/>
      <c r="F66" s="37"/>
      <c r="G66" s="37"/>
      <c r="H66" s="37"/>
      <c r="I66" s="38"/>
      <c r="J66" s="37"/>
      <c r="K66" s="39"/>
    </row>
    <row r="67" spans="1:11" s="28" customFormat="1" ht="12.75">
      <c r="A67" s="37"/>
      <c r="B67" s="37"/>
      <c r="C67" s="37"/>
      <c r="D67" s="37"/>
      <c r="E67" s="37"/>
      <c r="F67" s="37"/>
      <c r="G67" s="37"/>
      <c r="H67" s="37"/>
      <c r="I67" s="38"/>
      <c r="J67" s="37"/>
      <c r="K67" s="39"/>
    </row>
    <row r="68" spans="1:13" s="28" customFormat="1" ht="12.75">
      <c r="A68" s="34" t="s">
        <v>115</v>
      </c>
      <c r="B68" s="34" t="s">
        <v>116</v>
      </c>
      <c r="C68" s="34" t="s">
        <v>6</v>
      </c>
      <c r="D68" s="34" t="s">
        <v>7</v>
      </c>
      <c r="E68" s="34" t="s">
        <v>8</v>
      </c>
      <c r="F68" s="34" t="s">
        <v>9</v>
      </c>
      <c r="G68" s="34" t="s">
        <v>10</v>
      </c>
      <c r="H68" s="34" t="s">
        <v>11</v>
      </c>
      <c r="I68" s="34" t="s">
        <v>117</v>
      </c>
      <c r="J68" s="34" t="s">
        <v>46</v>
      </c>
      <c r="K68" s="70" t="s">
        <v>118</v>
      </c>
      <c r="L68" s="71"/>
      <c r="M68" s="72"/>
    </row>
    <row r="69" spans="1:13" ht="12.75">
      <c r="A69" s="35" t="s">
        <v>19</v>
      </c>
      <c r="B69" s="35" t="str">
        <f>B5</f>
        <v>515660</v>
      </c>
      <c r="C69" s="35" t="s">
        <v>124</v>
      </c>
      <c r="D69" s="35" t="s">
        <v>122</v>
      </c>
      <c r="E69" s="35" t="str">
        <f>E5</f>
        <v>0PT44078</v>
      </c>
      <c r="F69" s="35" t="s">
        <v>24</v>
      </c>
      <c r="G69" s="35" t="s">
        <v>24</v>
      </c>
      <c r="H69" s="35" t="s">
        <v>25</v>
      </c>
      <c r="I69" s="42">
        <f>ROUND(C59,2)</f>
        <v>126126.94</v>
      </c>
      <c r="J69" s="35"/>
      <c r="K69" s="73" t="s">
        <v>125</v>
      </c>
      <c r="L69" s="73"/>
      <c r="M69" s="73"/>
    </row>
    <row r="70" spans="1:13" ht="12.75">
      <c r="A70" s="35" t="s">
        <v>19</v>
      </c>
      <c r="B70" s="35" t="str">
        <f>B5</f>
        <v>515660</v>
      </c>
      <c r="C70" s="35" t="s">
        <v>119</v>
      </c>
      <c r="D70" s="35" t="s">
        <v>120</v>
      </c>
      <c r="E70" s="35" t="str">
        <f>E5</f>
        <v>0PT44078</v>
      </c>
      <c r="F70" s="35" t="s">
        <v>24</v>
      </c>
      <c r="G70" s="35" t="s">
        <v>24</v>
      </c>
      <c r="H70" s="35" t="s">
        <v>25</v>
      </c>
      <c r="I70" s="42">
        <f>-I69</f>
        <v>-126126.94</v>
      </c>
      <c r="J70" s="35"/>
      <c r="K70" s="73" t="str">
        <f>K69</f>
        <v>Loss on Sale of 33.006 Acres</v>
      </c>
      <c r="L70" s="74"/>
      <c r="M70" s="74"/>
    </row>
    <row r="71" spans="1:11" ht="12.75">
      <c r="A71" s="37"/>
      <c r="B71" s="37"/>
      <c r="C71" s="37"/>
      <c r="D71" s="37"/>
      <c r="E71" s="37"/>
      <c r="F71" s="37"/>
      <c r="G71" s="37"/>
      <c r="H71" s="37"/>
      <c r="I71" s="38"/>
      <c r="J71" s="37"/>
      <c r="K71" s="39"/>
    </row>
    <row r="73" spans="1:1" ht="12.75">
      <c r="A73" s="8"/>
    </row>
    <row r="76" spans="1:1" ht="12.75">
      <c r="A76" s="8"/>
    </row>
    <row r="81" spans="1:13" ht="12.75">
      <c r="A81" s="1"/>
      <c r="B81" s="1"/>
      <c r="C81" s="1"/>
      <c r="D81" s="1"/>
      <c r="E81" s="1"/>
      <c r="F81" s="1"/>
      <c r="G81" s="1"/>
      <c r="H81" s="1"/>
      <c r="I81" s="2"/>
      <c r="J81" s="1"/>
      <c r="K81" s="1"/>
      <c r="L81" s="1"/>
      <c r="M81" s="1"/>
    </row>
    <row r="82" spans="1:1" ht="12.75">
      <c r="A82" s="8" t="s">
        <v>100</v>
      </c>
    </row>
    <row r="83" ht="13.5" thickBot="1"/>
    <row r="84" spans="2:7" ht="12.75">
      <c r="B84" s="24"/>
      <c r="C84" s="25"/>
      <c r="D84" s="25"/>
      <c r="E84" s="25"/>
      <c r="F84" s="25"/>
      <c r="G84" s="26"/>
    </row>
    <row r="85" spans="2:7" ht="12.75">
      <c r="B85" s="27"/>
      <c r="C85" s="40">
        <v>-6110.7399999999998</v>
      </c>
      <c r="D85" s="28"/>
      <c r="E85" s="66" t="s">
        <v>103</v>
      </c>
      <c r="F85" s="66"/>
      <c r="G85" s="5"/>
    </row>
    <row r="86" spans="2:7" ht="12.75">
      <c r="B86" s="27"/>
      <c r="C86" s="18">
        <v>0</v>
      </c>
      <c r="D86" s="28"/>
      <c r="E86" s="67" t="s">
        <v>104</v>
      </c>
      <c r="F86" s="67"/>
      <c r="G86" s="5"/>
    </row>
    <row r="87" spans="2:7" ht="12.75">
      <c r="B87" s="27"/>
      <c r="C87" s="40">
        <f>C85+C86</f>
        <v>-6110.7399999999998</v>
      </c>
      <c r="D87" s="28"/>
      <c r="E87" s="66" t="s">
        <v>105</v>
      </c>
      <c r="F87" s="66"/>
      <c r="G87" s="5"/>
    </row>
    <row r="88" spans="2:7" ht="12.75">
      <c r="B88" s="27"/>
      <c r="C88" s="40">
        <v>0</v>
      </c>
      <c r="D88" s="28"/>
      <c r="E88" s="67" t="s">
        <v>107</v>
      </c>
      <c r="F88" s="67"/>
      <c r="G88" s="5"/>
    </row>
    <row r="89" spans="2:7" ht="13.5" thickBot="1">
      <c r="B89" s="27"/>
      <c r="C89" s="41">
        <f>SUM(C87:C88)</f>
        <v>-6110.7399999999998</v>
      </c>
      <c r="D89" s="28"/>
      <c r="E89" s="66" t="s">
        <v>109</v>
      </c>
      <c r="F89" s="66"/>
      <c r="G89" s="69"/>
    </row>
    <row r="90" spans="2:7" ht="14.25" thickTop="1" thickBot="1">
      <c r="B90" s="31"/>
      <c r="C90" s="32"/>
      <c r="D90" s="32"/>
      <c r="E90" s="32"/>
      <c r="F90" s="32"/>
      <c r="G90" s="33"/>
    </row>
    <row r="93" spans="1:11" ht="12.75">
      <c r="A93" s="8" t="s">
        <v>113</v>
      </c>
      <c r="B93" s="7"/>
      <c r="C93" s="7"/>
      <c r="D93" s="7"/>
      <c r="E93" s="7"/>
      <c r="F93" s="7"/>
      <c r="G93" s="7"/>
      <c r="H93" s="7"/>
      <c r="I93" s="6"/>
      <c r="J93" s="7"/>
      <c r="K93" s="7"/>
    </row>
    <row r="94" spans="1:11" ht="12.75">
      <c r="A94" s="8"/>
      <c r="B94" s="7"/>
      <c r="C94" s="7"/>
      <c r="D94" s="7"/>
      <c r="E94" s="7"/>
      <c r="F94" s="7"/>
      <c r="G94" s="7"/>
      <c r="H94" s="7"/>
      <c r="I94" s="6"/>
      <c r="J94" s="7"/>
      <c r="K94" s="7"/>
    </row>
    <row r="95" spans="1:11" ht="12.75">
      <c r="A95" s="8" t="s">
        <v>114</v>
      </c>
      <c r="B95" s="7"/>
      <c r="C95" s="7"/>
      <c r="D95" s="7"/>
      <c r="E95" s="7"/>
      <c r="F95" s="7"/>
      <c r="G95" s="7"/>
      <c r="H95" s="7"/>
      <c r="I95" s="6"/>
      <c r="J95" s="7"/>
      <c r="K95" s="7"/>
    </row>
    <row r="96" spans="1:11" ht="12.75">
      <c r="A96" s="7"/>
      <c r="B96" s="7"/>
      <c r="C96" s="7"/>
      <c r="D96" s="7"/>
      <c r="E96" s="7"/>
      <c r="F96" s="7"/>
      <c r="G96" s="7"/>
      <c r="H96" s="7"/>
      <c r="I96" s="6"/>
      <c r="J96" s="7"/>
      <c r="K96" s="7"/>
    </row>
    <row r="97" spans="1:13" ht="12.75">
      <c r="A97" s="34" t="s">
        <v>115</v>
      </c>
      <c r="B97" s="34" t="s">
        <v>116</v>
      </c>
      <c r="C97" s="34" t="s">
        <v>6</v>
      </c>
      <c r="D97" s="34" t="s">
        <v>7</v>
      </c>
      <c r="E97" s="34" t="s">
        <v>8</v>
      </c>
      <c r="F97" s="34" t="s">
        <v>9</v>
      </c>
      <c r="G97" s="34" t="s">
        <v>10</v>
      </c>
      <c r="H97" s="34" t="s">
        <v>11</v>
      </c>
      <c r="I97" s="34" t="s">
        <v>117</v>
      </c>
      <c r="J97" s="34" t="s">
        <v>46</v>
      </c>
      <c r="K97" s="70" t="s">
        <v>118</v>
      </c>
      <c r="L97" s="71"/>
      <c r="M97" s="72"/>
    </row>
    <row r="98" spans="1:13" ht="12.75">
      <c r="A98" s="35" t="s">
        <v>19</v>
      </c>
      <c r="B98" s="35" t="s">
        <v>20</v>
      </c>
      <c r="C98" s="35" t="s">
        <v>119</v>
      </c>
      <c r="D98" s="35" t="s">
        <v>120</v>
      </c>
      <c r="E98" s="35" t="s">
        <v>23</v>
      </c>
      <c r="F98" s="35" t="s">
        <v>24</v>
      </c>
      <c r="G98" s="35" t="s">
        <v>24</v>
      </c>
      <c r="H98" s="35" t="s">
        <v>25</v>
      </c>
      <c r="I98" s="42">
        <f>-I99</f>
        <v>6110.7399999999998</v>
      </c>
      <c r="J98" s="35"/>
      <c r="K98" s="73" t="s">
        <v>128</v>
      </c>
      <c r="L98" s="73"/>
      <c r="M98" s="73"/>
    </row>
    <row r="99" spans="1:13" ht="12.75">
      <c r="A99" s="35" t="s">
        <v>19</v>
      </c>
      <c r="B99" s="35" t="s">
        <v>20</v>
      </c>
      <c r="C99" s="35" t="s">
        <v>124</v>
      </c>
      <c r="D99" s="35" t="s">
        <v>122</v>
      </c>
      <c r="E99" s="35" t="s">
        <v>23</v>
      </c>
      <c r="F99" s="35" t="s">
        <v>24</v>
      </c>
      <c r="G99" s="35" t="s">
        <v>24</v>
      </c>
      <c r="H99" s="35" t="s">
        <v>25</v>
      </c>
      <c r="I99" s="42">
        <f>ROUND(C89,2)</f>
        <v>-6110.7399999999998</v>
      </c>
      <c r="J99" s="35"/>
      <c r="K99" s="73" t="s">
        <v>128</v>
      </c>
      <c r="L99" s="73"/>
      <c r="M99" s="73"/>
    </row>
    <row r="100" spans="1:13" ht="12.75">
      <c r="A100" s="37"/>
      <c r="B100" s="37"/>
      <c r="C100" s="37"/>
      <c r="D100" s="37"/>
      <c r="E100" s="37"/>
      <c r="F100" s="37"/>
      <c r="G100" s="37"/>
      <c r="H100" s="37"/>
      <c r="I100" s="38"/>
      <c r="J100" s="37"/>
      <c r="K100" s="39"/>
      <c r="L100" s="28"/>
      <c r="M100" s="28"/>
    </row>
    <row r="101" spans="1:13" ht="12.75">
      <c r="A101" s="1"/>
      <c r="B101" s="1"/>
      <c r="C101" s="1"/>
      <c r="D101" s="1"/>
      <c r="E101" s="1"/>
      <c r="F101" s="1"/>
      <c r="G101" s="1"/>
      <c r="H101" s="1"/>
      <c r="I101" s="2"/>
      <c r="J101" s="1"/>
      <c r="K101" s="1"/>
      <c r="L101" s="1"/>
      <c r="M101" s="1"/>
    </row>
  </sheetData>
  <mergeCells count="20">
    <mergeCell ref="S44:W44"/>
    <mergeCell ref="E89:G89"/>
    <mergeCell ref="K97:M97"/>
    <mergeCell ref="K98:M98"/>
    <mergeCell ref="K99:M99"/>
    <mergeCell ref="K69:M69"/>
    <mergeCell ref="K70:M70"/>
    <mergeCell ref="E85:F85"/>
    <mergeCell ref="E86:F86"/>
    <mergeCell ref="E87:F87"/>
    <mergeCell ref="E88:F88"/>
    <mergeCell ref="E58:F58"/>
    <mergeCell ref="E59:G59"/>
    <mergeCell ref="K68:M68"/>
    <mergeCell ref="E57:F57"/>
    <mergeCell ref="A1:F1"/>
    <mergeCell ref="A3:E3"/>
    <mergeCell ref="A12:D12"/>
    <mergeCell ref="E55:F55"/>
    <mergeCell ref="E56:F56"/>
  </mergeCells>
  <dataValidations count="10">
    <dataValidation type="textLength" showInputMessage="1" showErrorMessage="1" error="Text exceeds maximum character length of 30 characters" sqref="K69:K71 K98:K100 K65:K67">
      <formula1>0</formula1>
      <formula2>30</formula2>
    </dataValidation>
    <dataValidation type="textLength" showInputMessage="1" showErrorMessage="1" error="Text exceeds maximum character length of 10 characters" sqref="J69:J71 J98:J100 J65:J67">
      <formula1>0</formula1>
      <formula2>10</formula2>
    </dataValidation>
    <dataValidation type="textLength" showInputMessage="1" showErrorMessage="1" error="Text exceeds maximum character length of 23 characters" sqref="I69:I71 I98:I100 I65:I67">
      <formula1>0</formula1>
      <formula2>23</formula2>
    </dataValidation>
    <dataValidation type="textLength" showInputMessage="1" showErrorMessage="1" error="Text exceeds maximum character length of 5 characters" sqref="A69:A71 H69:H71 A67 H98:H100 A98:A100 A65 H65:H67">
      <formula1>0</formula1>
      <formula2>5</formula2>
    </dataValidation>
    <dataValidation type="textLength" showInputMessage="1" showErrorMessage="1" error="Text exceeds maximum character length of 4 characters" sqref="F69:G71 F98:G100 F65:G67">
      <formula1>0</formula1>
      <formula2>4</formula2>
    </dataValidation>
    <dataValidation type="textLength" showInputMessage="1" showErrorMessage="1" error="Text exceeds maximum character length of 8 characters" sqref="E69:E71 E98:E100 E65:E67">
      <formula1>0</formula1>
      <formula2>8</formula2>
    </dataValidation>
    <dataValidation type="textLength" showInputMessage="1" showErrorMessage="1" error="Text exceeds maximum character length of 3 characters" sqref="D69:D71 D98:D100 D65:D67">
      <formula1>0</formula1>
      <formula2>3</formula2>
    </dataValidation>
    <dataValidation type="textLength" showInputMessage="1" showErrorMessage="1" error="Text exceeds maximum character length of 7 characters" sqref="C69:C71 C98:C100 C65:C67">
      <formula1>0</formula1>
      <formula2>7</formula2>
    </dataValidation>
    <dataValidation type="textLength" showInputMessage="1" showErrorMessage="1" error="Text exceeds maximum character length of 6 characters" sqref="B69:B71 B98:B100 B65:B67">
      <formula1>0</formula1>
      <formula2>6</formula2>
    </dataValidation>
    <dataValidation errorStyle="information" type="list" allowBlank="1" showInputMessage="1" showErrorMessage="1" prompt="This field only accepts 'NEXT' or the current journal ID - OK to accept this value" error="This field only accepts 'NEXT' or the current journal ID - OK to accept this value" sqref="F2">
      <formula1>"NEXT"</formula1>
    </dataValidation>
  </dataValidations>
  <pageMargins left="0.7" right="0.7" top="2.5" bottom="0.75" header="1.25" footer="0.3"/>
  <pageSetup fitToHeight="0" orientation="landscape" scale="39" r:id="rId2"/>
  <headerFooter>
    <oddHeader>&amp;C&amp;"Arial,Bold"&amp;12 
2022 RATE CASE
ONCOR ELECTRIC DELIVERY COMPANY LLC
GAIN OR LOSS ON SALE OF UTILITY ASSETS
FOR THE TEST YEAR ENDING DECEMBER 31, 2021
SPONSOR: W. A. LEDBETTER&amp;R&amp;"Arial,Bold"&amp;12WP/II-B-13/01
Page &amp;P of &amp;N</oddHeader>
  </headerFooter>
  <colBreaks count="1" manualBreakCount="1">
    <brk id="23"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W52"/>
  <sheetViews>
    <sheetView workbookViewId="0" topLeftCell="A1">
      <selection pane="topLeft" activeCell="H31" sqref="H31"/>
    </sheetView>
  </sheetViews>
  <sheetFormatPr defaultColWidth="9.14428571428571" defaultRowHeight="12.75"/>
  <cols>
    <col min="1" max="1" width="4.85714285714286" style="19" bestFit="1" customWidth="1"/>
    <col min="2" max="2" width="9.28571428571429" style="19" bestFit="1" customWidth="1"/>
    <col min="3" max="3" width="12.1428571428571" style="19" bestFit="1" customWidth="1"/>
    <col min="4" max="4" width="19" style="19" bestFit="1" customWidth="1"/>
    <col min="5" max="5" width="9.28571428571429" style="19" bestFit="1" customWidth="1"/>
    <col min="6" max="6" width="11" style="19" bestFit="1" customWidth="1"/>
    <col min="7" max="7" width="11.1428571428571" style="19" bestFit="1" customWidth="1"/>
    <col min="8" max="8" width="9.85714285714286" style="19" bestFit="1" customWidth="1"/>
    <col min="9" max="9" width="11.8571428571429" style="20" bestFit="1" customWidth="1"/>
    <col min="10" max="10" width="11.7142857142857" style="19" bestFit="1" customWidth="1"/>
    <col min="11" max="11" width="11.8571428571429" style="19" bestFit="1" customWidth="1"/>
    <col min="12" max="12" width="11.4285714285714" style="19" bestFit="1" customWidth="1"/>
    <col min="13" max="13" width="8.28571428571429" style="19" bestFit="1" customWidth="1"/>
    <col min="14" max="14" width="13.2857142857143" style="19" bestFit="1" customWidth="1"/>
    <col min="15" max="15" width="12.1428571428571" style="19" bestFit="1" customWidth="1"/>
    <col min="16" max="16" width="27.5714285714286" style="19" bestFit="1" customWidth="1"/>
    <col min="17" max="17" width="15.8571428571429" style="19" customWidth="1"/>
    <col min="18" max="18" width="7.57142857142857" style="19" bestFit="1" customWidth="1"/>
    <col min="19" max="19" width="9.14285714285714" style="19" bestFit="1" customWidth="1"/>
    <col min="20" max="20" width="10.7142857142857" style="19" bestFit="1" customWidth="1"/>
    <col min="21" max="21" width="25.2857142857143" style="19" bestFit="1" customWidth="1"/>
    <col min="22" max="22" width="11.7142857142857" style="19" customWidth="1"/>
    <col min="23" max="23" width="10.8571428571429" style="19" customWidth="1"/>
    <col min="24" max="16384" width="9.14285714285714" style="19"/>
  </cols>
  <sheetData>
    <row r="1" spans="1:6" ht="12.75">
      <c r="A1" s="62" t="s">
        <v>129</v>
      </c>
      <c r="B1" s="62"/>
      <c r="C1" s="62"/>
      <c r="D1" s="62"/>
      <c r="E1" s="62"/>
      <c r="F1" s="62"/>
    </row>
    <row r="2" spans="1:1" ht="13.5" thickBot="1">
      <c r="A2" s="12"/>
    </row>
    <row r="3" spans="1:5" ht="16.5" thickTop="1" thickBot="1">
      <c r="A3" s="63"/>
      <c r="B3" s="64"/>
      <c r="C3" s="64"/>
      <c r="D3" s="64"/>
      <c r="E3" s="65"/>
    </row>
    <row r="4" spans="1:16" ht="16.5" thickTop="1" thickBot="1">
      <c r="A4" s="10" t="s">
        <v>0</v>
      </c>
      <c r="B4" s="10" t="s">
        <v>5</v>
      </c>
      <c r="C4" s="10" t="s">
        <v>6</v>
      </c>
      <c r="D4" s="10" t="s">
        <v>7</v>
      </c>
      <c r="E4" s="10" t="s">
        <v>8</v>
      </c>
      <c r="F4" s="10" t="s">
        <v>9</v>
      </c>
      <c r="G4" s="10" t="s">
        <v>10</v>
      </c>
      <c r="H4" s="10" t="s">
        <v>11</v>
      </c>
      <c r="I4" s="11" t="s">
        <v>12</v>
      </c>
      <c r="J4" s="10" t="s">
        <v>13</v>
      </c>
      <c r="K4" s="10" t="s">
        <v>14</v>
      </c>
      <c r="L4" s="10" t="s">
        <v>15</v>
      </c>
      <c r="M4" s="10" t="s">
        <v>1</v>
      </c>
      <c r="N4" s="10" t="s">
        <v>16</v>
      </c>
      <c r="O4" s="10" t="s">
        <v>17</v>
      </c>
      <c r="P4" s="10" t="s">
        <v>18</v>
      </c>
    </row>
    <row r="5" spans="1:16" ht="13.5" thickTop="1">
      <c r="A5" s="21" t="s">
        <v>19</v>
      </c>
      <c r="B5" s="21" t="s">
        <v>20</v>
      </c>
      <c r="C5" s="21" t="s">
        <v>21</v>
      </c>
      <c r="D5" s="21" t="s">
        <v>130</v>
      </c>
      <c r="E5" s="21" t="s">
        <v>131</v>
      </c>
      <c r="F5" s="21" t="s">
        <v>24</v>
      </c>
      <c r="G5" s="21" t="s">
        <v>24</v>
      </c>
      <c r="H5" s="21" t="s">
        <v>25</v>
      </c>
      <c r="I5" s="9">
        <v>44.850000000000001</v>
      </c>
      <c r="J5" s="21" t="s">
        <v>132</v>
      </c>
      <c r="L5" s="19">
        <v>9</v>
      </c>
      <c r="M5" s="19">
        <v>2020</v>
      </c>
      <c r="N5" s="21" t="s">
        <v>133</v>
      </c>
      <c r="O5" s="21" t="s">
        <v>134</v>
      </c>
      <c r="P5" s="21" t="s">
        <v>135</v>
      </c>
    </row>
    <row r="6" spans="1:16" ht="12.75">
      <c r="A6" s="21" t="s">
        <v>19</v>
      </c>
      <c r="B6" s="21" t="s">
        <v>20</v>
      </c>
      <c r="C6" s="21" t="s">
        <v>21</v>
      </c>
      <c r="D6" s="21" t="s">
        <v>136</v>
      </c>
      <c r="E6" s="21" t="s">
        <v>131</v>
      </c>
      <c r="F6" s="21" t="s">
        <v>24</v>
      </c>
      <c r="G6" s="21" t="s">
        <v>24</v>
      </c>
      <c r="H6" s="21" t="s">
        <v>25</v>
      </c>
      <c r="I6" s="9">
        <v>2.8799999999999999</v>
      </c>
      <c r="J6" s="21" t="s">
        <v>137</v>
      </c>
      <c r="L6" s="19">
        <v>9</v>
      </c>
      <c r="M6" s="19">
        <v>2020</v>
      </c>
      <c r="N6" s="21" t="s">
        <v>138</v>
      </c>
      <c r="O6" s="21" t="s">
        <v>139</v>
      </c>
      <c r="P6" s="21" t="s">
        <v>140</v>
      </c>
    </row>
    <row r="7" spans="1:16" ht="12.75">
      <c r="A7" s="21" t="s">
        <v>19</v>
      </c>
      <c r="B7" s="21" t="s">
        <v>20</v>
      </c>
      <c r="C7" s="21" t="s">
        <v>21</v>
      </c>
      <c r="D7" s="21" t="s">
        <v>130</v>
      </c>
      <c r="E7" s="21" t="s">
        <v>131</v>
      </c>
      <c r="F7" s="21" t="s">
        <v>24</v>
      </c>
      <c r="G7" s="21" t="s">
        <v>24</v>
      </c>
      <c r="H7" s="21" t="s">
        <v>25</v>
      </c>
      <c r="I7" s="9">
        <v>-44.850000000000001</v>
      </c>
      <c r="J7" s="21" t="s">
        <v>141</v>
      </c>
      <c r="L7" s="19">
        <v>2</v>
      </c>
      <c r="M7" s="19">
        <v>2021</v>
      </c>
      <c r="N7" s="21" t="s">
        <v>133</v>
      </c>
      <c r="O7" s="21" t="s">
        <v>142</v>
      </c>
      <c r="P7" s="21" t="s">
        <v>135</v>
      </c>
    </row>
    <row r="8" spans="1:16" ht="12.75">
      <c r="A8" s="21" t="s">
        <v>19</v>
      </c>
      <c r="B8" s="21" t="s">
        <v>20</v>
      </c>
      <c r="C8" s="21" t="s">
        <v>21</v>
      </c>
      <c r="D8" s="21" t="s">
        <v>136</v>
      </c>
      <c r="E8" s="21" t="s">
        <v>131</v>
      </c>
      <c r="F8" s="21" t="s">
        <v>24</v>
      </c>
      <c r="G8" s="21" t="s">
        <v>24</v>
      </c>
      <c r="H8" s="21" t="s">
        <v>25</v>
      </c>
      <c r="I8" s="9">
        <v>-2.8799999999999999</v>
      </c>
      <c r="J8" s="21" t="s">
        <v>141</v>
      </c>
      <c r="L8" s="19">
        <v>2</v>
      </c>
      <c r="M8" s="19">
        <v>2021</v>
      </c>
      <c r="N8" s="21" t="s">
        <v>138</v>
      </c>
      <c r="O8" s="21" t="s">
        <v>142</v>
      </c>
      <c r="P8" s="21" t="s">
        <v>140</v>
      </c>
    </row>
    <row r="9" spans="1:16" ht="12.75">
      <c r="A9" s="21" t="s">
        <v>19</v>
      </c>
      <c r="B9" s="21" t="s">
        <v>20</v>
      </c>
      <c r="C9" s="21" t="s">
        <v>143</v>
      </c>
      <c r="D9" s="21" t="s">
        <v>130</v>
      </c>
      <c r="E9" s="21" t="s">
        <v>131</v>
      </c>
      <c r="F9" s="21" t="s">
        <v>24</v>
      </c>
      <c r="G9" s="21" t="s">
        <v>24</v>
      </c>
      <c r="H9" s="21" t="s">
        <v>25</v>
      </c>
      <c r="I9" s="9">
        <v>44.850000000000001</v>
      </c>
      <c r="J9" s="21" t="s">
        <v>141</v>
      </c>
      <c r="L9" s="19">
        <v>2</v>
      </c>
      <c r="M9" s="19">
        <v>2021</v>
      </c>
      <c r="N9" s="21" t="s">
        <v>133</v>
      </c>
      <c r="O9" s="21" t="s">
        <v>142</v>
      </c>
      <c r="P9" s="21" t="s">
        <v>135</v>
      </c>
    </row>
    <row r="10" spans="1:16" ht="12.75">
      <c r="A10" s="19" t="s">
        <v>19</v>
      </c>
      <c r="B10" s="19" t="s">
        <v>20</v>
      </c>
      <c r="C10" s="19" t="s">
        <v>143</v>
      </c>
      <c r="D10" s="19" t="s">
        <v>136</v>
      </c>
      <c r="E10" s="19" t="s">
        <v>131</v>
      </c>
      <c r="F10" s="19" t="s">
        <v>24</v>
      </c>
      <c r="G10" s="19" t="s">
        <v>24</v>
      </c>
      <c r="H10" s="19" t="s">
        <v>25</v>
      </c>
      <c r="I10" s="9">
        <v>2.8799999999999999</v>
      </c>
      <c r="J10" s="19" t="s">
        <v>141</v>
      </c>
      <c r="L10" s="19">
        <v>2</v>
      </c>
      <c r="M10" s="19">
        <v>2021</v>
      </c>
      <c r="N10" s="19" t="s">
        <v>138</v>
      </c>
      <c r="O10" s="19" t="s">
        <v>142</v>
      </c>
      <c r="P10" s="19" t="s">
        <v>140</v>
      </c>
    </row>
    <row r="11" spans="1:16" ht="12.75">
      <c r="A11" s="19" t="s">
        <v>19</v>
      </c>
      <c r="B11" s="19" t="s">
        <v>20</v>
      </c>
      <c r="C11" s="19" t="s">
        <v>21</v>
      </c>
      <c r="D11" s="19" t="s">
        <v>22</v>
      </c>
      <c r="E11" s="19" t="s">
        <v>131</v>
      </c>
      <c r="F11" s="19" t="s">
        <v>24</v>
      </c>
      <c r="G11" s="19" t="s">
        <v>24</v>
      </c>
      <c r="H11" s="19" t="s">
        <v>25</v>
      </c>
      <c r="I11" s="9">
        <v>-17773</v>
      </c>
      <c r="J11" s="19" t="s">
        <v>26</v>
      </c>
      <c r="L11" s="19">
        <v>3</v>
      </c>
      <c r="M11" s="19">
        <v>2021</v>
      </c>
      <c r="N11" s="19" t="s">
        <v>27</v>
      </c>
      <c r="O11" s="19" t="s">
        <v>28</v>
      </c>
      <c r="P11" s="19" t="s">
        <v>29</v>
      </c>
    </row>
    <row r="14" spans="1:1" ht="12.75">
      <c r="A14" s="8" t="s">
        <v>30</v>
      </c>
    </row>
    <row r="15" spans="1:1" ht="13.5" thickBot="1">
      <c r="A15" s="8"/>
    </row>
    <row r="16" spans="1:22" ht="16.5" thickTop="1" thickBot="1">
      <c r="A16" s="63"/>
      <c r="B16" s="64"/>
      <c r="C16" s="64"/>
      <c r="D16" s="65"/>
      <c r="V16" s="12" t="s">
        <v>31</v>
      </c>
    </row>
    <row r="17" spans="1:23" ht="16.5" thickTop="1" thickBot="1">
      <c r="A17" s="10" t="s">
        <v>0</v>
      </c>
      <c r="B17" s="10" t="s">
        <v>32</v>
      </c>
      <c r="C17" s="10" t="s">
        <v>33</v>
      </c>
      <c r="D17" s="10" t="s">
        <v>18</v>
      </c>
      <c r="E17" s="10" t="s">
        <v>6</v>
      </c>
      <c r="F17" s="10" t="s">
        <v>34</v>
      </c>
      <c r="G17" s="10" t="s">
        <v>35</v>
      </c>
      <c r="H17" s="10" t="s">
        <v>36</v>
      </c>
      <c r="I17" s="10" t="s">
        <v>37</v>
      </c>
      <c r="J17" s="10" t="s">
        <v>18</v>
      </c>
      <c r="K17" s="10" t="s">
        <v>38</v>
      </c>
      <c r="L17" s="10" t="s">
        <v>8</v>
      </c>
      <c r="M17" s="10" t="s">
        <v>39</v>
      </c>
      <c r="N17" s="10" t="s">
        <v>40</v>
      </c>
      <c r="O17" s="10" t="s">
        <v>41</v>
      </c>
      <c r="P17" s="10" t="s">
        <v>42</v>
      </c>
      <c r="Q17" s="10" t="s">
        <v>43</v>
      </c>
      <c r="R17" s="10" t="s">
        <v>44</v>
      </c>
      <c r="S17" s="10" t="s">
        <v>45</v>
      </c>
      <c r="T17" s="10" t="s">
        <v>46</v>
      </c>
      <c r="U17" s="10" t="s">
        <v>18</v>
      </c>
      <c r="V17" s="10" t="s">
        <v>48</v>
      </c>
      <c r="W17" s="10" t="s">
        <v>49</v>
      </c>
    </row>
    <row r="18" spans="1:23" ht="13.5" thickTop="1">
      <c r="A18" s="21" t="s">
        <v>19</v>
      </c>
      <c r="B18" s="21" t="s">
        <v>144</v>
      </c>
      <c r="C18" s="21" t="s">
        <v>145</v>
      </c>
      <c r="D18" s="21" t="s">
        <v>146</v>
      </c>
      <c r="E18" s="21" t="s">
        <v>53</v>
      </c>
      <c r="F18" s="21" t="s">
        <v>2</v>
      </c>
      <c r="G18" s="21" t="s">
        <v>54</v>
      </c>
      <c r="H18" s="21" t="s">
        <v>55</v>
      </c>
      <c r="I18" s="21" t="s">
        <v>56</v>
      </c>
      <c r="J18" s="21" t="s">
        <v>57</v>
      </c>
      <c r="K18" s="21" t="s">
        <v>58</v>
      </c>
      <c r="L18" s="21" t="s">
        <v>147</v>
      </c>
      <c r="M18" s="21" t="s">
        <v>148</v>
      </c>
      <c r="N18" s="9">
        <v>13967.969999999999</v>
      </c>
      <c r="O18" s="9">
        <v>13967.969999999999</v>
      </c>
      <c r="P18" s="19">
        <v>0</v>
      </c>
      <c r="Q18" s="19">
        <v>0</v>
      </c>
      <c r="R18" s="19">
        <v>3.21</v>
      </c>
      <c r="S18" s="22">
        <v>22678</v>
      </c>
      <c r="T18" s="21" t="s">
        <v>25</v>
      </c>
      <c r="U18" s="21" t="s">
        <v>149</v>
      </c>
      <c r="V18" s="21" t="s">
        <v>150</v>
      </c>
      <c r="W18" s="21" t="s">
        <v>25</v>
      </c>
    </row>
    <row r="19" spans="1:23" ht="12.75">
      <c r="A19" s="19" t="s">
        <v>19</v>
      </c>
      <c r="B19" s="19" t="s">
        <v>144</v>
      </c>
      <c r="C19" s="19" t="s">
        <v>145</v>
      </c>
      <c r="D19" s="19" t="s">
        <v>146</v>
      </c>
      <c r="E19" s="19" t="s">
        <v>53</v>
      </c>
      <c r="F19" s="19" t="s">
        <v>2</v>
      </c>
      <c r="G19" s="19" t="s">
        <v>54</v>
      </c>
      <c r="H19" s="19" t="s">
        <v>55</v>
      </c>
      <c r="I19" s="20" t="s">
        <v>56</v>
      </c>
      <c r="J19" s="19" t="s">
        <v>57</v>
      </c>
      <c r="K19" s="19" t="s">
        <v>71</v>
      </c>
      <c r="L19" s="19" t="s">
        <v>151</v>
      </c>
      <c r="M19" s="19" t="s">
        <v>148</v>
      </c>
      <c r="N19" s="9">
        <v>-2790.1100000000001</v>
      </c>
      <c r="O19" s="9">
        <v>-2790.1100000000001</v>
      </c>
      <c r="P19" s="19">
        <v>0</v>
      </c>
      <c r="Q19" s="19">
        <v>0</v>
      </c>
      <c r="R19" s="19">
        <v>-0.64119999999999999</v>
      </c>
      <c r="S19" s="22">
        <v>42155</v>
      </c>
      <c r="T19" s="19" t="s">
        <v>88</v>
      </c>
      <c r="U19" s="19" t="s">
        <v>152</v>
      </c>
      <c r="V19" s="19" t="s">
        <v>150</v>
      </c>
      <c r="W19" s="19" t="s">
        <v>25</v>
      </c>
    </row>
    <row r="20" spans="1:23" ht="12.75">
      <c r="A20" s="19" t="s">
        <v>19</v>
      </c>
      <c r="B20" s="19" t="s">
        <v>144</v>
      </c>
      <c r="C20" s="19" t="s">
        <v>145</v>
      </c>
      <c r="D20" s="19" t="s">
        <v>146</v>
      </c>
      <c r="E20" s="19" t="s">
        <v>53</v>
      </c>
      <c r="F20" s="19" t="s">
        <v>2</v>
      </c>
      <c r="G20" s="19" t="s">
        <v>54</v>
      </c>
      <c r="H20" s="19" t="s">
        <v>55</v>
      </c>
      <c r="I20" s="20" t="s">
        <v>56</v>
      </c>
      <c r="J20" s="19" t="s">
        <v>57</v>
      </c>
      <c r="K20" s="19" t="s">
        <v>71</v>
      </c>
      <c r="L20" s="19" t="s">
        <v>153</v>
      </c>
      <c r="M20" s="19" t="s">
        <v>148</v>
      </c>
      <c r="N20" s="9">
        <v>-130.97999999999999</v>
      </c>
      <c r="O20" s="9">
        <v>-130.97999999999999</v>
      </c>
      <c r="P20" s="19">
        <v>0</v>
      </c>
      <c r="Q20" s="19">
        <v>0</v>
      </c>
      <c r="R20" s="19">
        <v>-0.030099999999999998</v>
      </c>
      <c r="S20" s="22">
        <v>42155</v>
      </c>
      <c r="T20" s="19" t="s">
        <v>88</v>
      </c>
      <c r="U20" s="19" t="s">
        <v>154</v>
      </c>
      <c r="V20" s="19" t="s">
        <v>150</v>
      </c>
      <c r="W20" s="19" t="s">
        <v>25</v>
      </c>
    </row>
    <row r="21" spans="15:15" ht="12.75">
      <c r="O21" s="20"/>
    </row>
    <row r="22" spans="15:18" ht="13.5" thickBot="1">
      <c r="O22" s="16">
        <f>SUM(O18:O21)</f>
        <v>11046.879999999999</v>
      </c>
      <c r="R22" s="45">
        <f>SUM(R18:R21)</f>
        <v>2.5387</v>
      </c>
    </row>
    <row r="23" ht="13.5" thickTop="1"/>
    <row r="24" spans="15:16" ht="12.75">
      <c r="O24" s="20">
        <f>ROUND(O22/R22,2)</f>
        <v>4351.3900000000003</v>
      </c>
      <c r="P24" s="3" t="s">
        <v>97</v>
      </c>
    </row>
    <row r="25" spans="15:18" ht="12.75">
      <c r="O25" s="20">
        <f>ROUND(O24*Q25,2)</f>
        <v>788.90999999999997</v>
      </c>
      <c r="P25" s="3" t="s">
        <v>98</v>
      </c>
      <c r="Q25" s="43">
        <v>0.18129999999999999</v>
      </c>
      <c r="R25" s="13" t="s">
        <v>99</v>
      </c>
    </row>
    <row r="28" spans="1:1" ht="12.75">
      <c r="A28" s="8" t="s">
        <v>100</v>
      </c>
    </row>
    <row r="29" ht="13.5" thickBot="1"/>
    <row r="30" spans="2:7" ht="12.75">
      <c r="B30" s="24"/>
      <c r="C30" s="25"/>
      <c r="D30" s="25"/>
      <c r="E30" s="25"/>
      <c r="F30" s="25"/>
      <c r="G30" s="26"/>
    </row>
    <row r="31" spans="2:7" ht="12.75">
      <c r="B31" s="27"/>
      <c r="C31" s="40">
        <f>I11</f>
        <v>-17773</v>
      </c>
      <c r="D31" s="28"/>
      <c r="E31" s="66" t="s">
        <v>103</v>
      </c>
      <c r="F31" s="66"/>
      <c r="G31" s="5"/>
    </row>
    <row r="32" spans="2:7" ht="12.75">
      <c r="B32" s="27"/>
      <c r="C32" s="18">
        <f>I5+I6</f>
        <v>47.730000000000004</v>
      </c>
      <c r="D32" s="28"/>
      <c r="E32" s="67" t="s">
        <v>104</v>
      </c>
      <c r="F32" s="67"/>
      <c r="G32" s="5"/>
    </row>
    <row r="33" spans="2:7" ht="12.75">
      <c r="B33" s="27"/>
      <c r="C33" s="40">
        <f>C31+C32</f>
        <v>-17725.27</v>
      </c>
      <c r="D33" s="28"/>
      <c r="E33" s="66" t="s">
        <v>105</v>
      </c>
      <c r="F33" s="66"/>
      <c r="G33" s="5"/>
    </row>
    <row r="34" spans="2:7" ht="12.75">
      <c r="B34" s="27"/>
      <c r="C34" s="40">
        <f>O25</f>
        <v>788.90999999999997</v>
      </c>
      <c r="D34" s="28"/>
      <c r="E34" s="67" t="s">
        <v>107</v>
      </c>
      <c r="F34" s="67"/>
      <c r="G34" s="5"/>
    </row>
    <row r="35" spans="2:7" ht="13.5" thickBot="1">
      <c r="B35" s="27"/>
      <c r="C35" s="41">
        <f>SUM(C33:C34)</f>
        <v>-16936.360000000001</v>
      </c>
      <c r="D35" s="28"/>
      <c r="E35" s="66" t="s">
        <v>109</v>
      </c>
      <c r="F35" s="66"/>
      <c r="G35" s="69"/>
    </row>
    <row r="36" spans="2:7" ht="14.25" thickTop="1" thickBot="1">
      <c r="B36" s="31"/>
      <c r="C36" s="32"/>
      <c r="D36" s="32"/>
      <c r="E36" s="32"/>
      <c r="F36" s="32"/>
      <c r="G36" s="33"/>
    </row>
    <row r="39" spans="1:11" ht="12.75">
      <c r="A39" s="8" t="s">
        <v>113</v>
      </c>
      <c r="B39" s="7"/>
      <c r="C39" s="7"/>
      <c r="D39" s="7"/>
      <c r="E39" s="7"/>
      <c r="F39" s="7"/>
      <c r="G39" s="7"/>
      <c r="H39" s="7"/>
      <c r="I39" s="6"/>
      <c r="J39" s="7"/>
      <c r="K39" s="7"/>
    </row>
    <row r="40" spans="1:11" ht="12.75">
      <c r="A40" s="8"/>
      <c r="B40" s="7"/>
      <c r="C40" s="7"/>
      <c r="D40" s="7"/>
      <c r="E40" s="7"/>
      <c r="F40" s="7"/>
      <c r="G40" s="7"/>
      <c r="H40" s="7"/>
      <c r="I40" s="6"/>
      <c r="J40" s="7"/>
      <c r="K40" s="7"/>
    </row>
    <row r="41" spans="1:11" ht="12.75">
      <c r="A41" s="8" t="s">
        <v>114</v>
      </c>
      <c r="B41" s="7"/>
      <c r="C41" s="7"/>
      <c r="D41" s="7"/>
      <c r="E41" s="7"/>
      <c r="F41" s="7"/>
      <c r="G41" s="7"/>
      <c r="H41" s="7"/>
      <c r="I41" s="6"/>
      <c r="J41" s="7"/>
      <c r="K41" s="7"/>
    </row>
    <row r="42" spans="1:11" ht="12.75">
      <c r="A42" s="7"/>
      <c r="B42" s="7"/>
      <c r="C42" s="7"/>
      <c r="D42" s="7"/>
      <c r="E42" s="7"/>
      <c r="F42" s="7"/>
      <c r="G42" s="7"/>
      <c r="H42" s="7"/>
      <c r="I42" s="6"/>
      <c r="J42" s="7"/>
      <c r="K42" s="7"/>
    </row>
    <row r="43" spans="1:13" ht="12.75">
      <c r="A43" s="34" t="s">
        <v>115</v>
      </c>
      <c r="B43" s="34" t="s">
        <v>116</v>
      </c>
      <c r="C43" s="34" t="s">
        <v>6</v>
      </c>
      <c r="D43" s="34" t="s">
        <v>7</v>
      </c>
      <c r="E43" s="34" t="s">
        <v>8</v>
      </c>
      <c r="F43" s="34" t="s">
        <v>9</v>
      </c>
      <c r="G43" s="34" t="s">
        <v>10</v>
      </c>
      <c r="H43" s="34" t="s">
        <v>11</v>
      </c>
      <c r="I43" s="34" t="s">
        <v>117</v>
      </c>
      <c r="J43" s="34" t="s">
        <v>46</v>
      </c>
      <c r="K43" s="70" t="s">
        <v>118</v>
      </c>
      <c r="L43" s="71"/>
      <c r="M43" s="72"/>
    </row>
    <row r="44" spans="1:13" ht="12.75">
      <c r="A44" s="35" t="s">
        <v>19</v>
      </c>
      <c r="B44" s="35" t="str">
        <f>B5</f>
        <v>515660</v>
      </c>
      <c r="C44" s="35" t="s">
        <v>119</v>
      </c>
      <c r="D44" s="35" t="s">
        <v>120</v>
      </c>
      <c r="E44" s="35" t="str">
        <f>E5</f>
        <v>0PT40699</v>
      </c>
      <c r="F44" s="35" t="s">
        <v>24</v>
      </c>
      <c r="G44" s="35" t="s">
        <v>24</v>
      </c>
      <c r="H44" s="35" t="s">
        <v>25</v>
      </c>
      <c r="I44" s="42">
        <f>-I45</f>
        <v>16936.360000000001</v>
      </c>
      <c r="J44" s="35"/>
      <c r="K44" s="73" t="s">
        <v>155</v>
      </c>
      <c r="L44" s="73"/>
      <c r="M44" s="73"/>
    </row>
    <row r="45" spans="1:13" ht="12.75">
      <c r="A45" s="35" t="s">
        <v>19</v>
      </c>
      <c r="B45" s="35" t="str">
        <f>B5</f>
        <v>515660</v>
      </c>
      <c r="C45" s="35" t="s">
        <v>121</v>
      </c>
      <c r="D45" s="35" t="s">
        <v>122</v>
      </c>
      <c r="E45" s="35" t="str">
        <f>E5</f>
        <v>0PT40699</v>
      </c>
      <c r="F45" s="35" t="s">
        <v>24</v>
      </c>
      <c r="G45" s="35" t="s">
        <v>24</v>
      </c>
      <c r="H45" s="35" t="s">
        <v>25</v>
      </c>
      <c r="I45" s="42">
        <f>ROUND(C35,2)</f>
        <v>-16936.360000000001</v>
      </c>
      <c r="J45" s="35"/>
      <c r="K45" s="73" t="str">
        <f>K44</f>
        <v>Gain on Sale of 0.1813 acres</v>
      </c>
      <c r="L45" s="74"/>
      <c r="M45" s="74"/>
    </row>
    <row r="46" spans="1:11" s="28" customFormat="1" ht="12.75">
      <c r="A46" s="37"/>
      <c r="B46" s="37"/>
      <c r="C46" s="37"/>
      <c r="D46" s="37"/>
      <c r="E46" s="37"/>
      <c r="F46" s="37"/>
      <c r="G46" s="37"/>
      <c r="H46" s="37"/>
      <c r="I46" s="38"/>
      <c r="J46" s="37"/>
      <c r="K46" s="39"/>
    </row>
    <row r="49" spans="1:1" ht="12.75">
      <c r="A49" s="8"/>
    </row>
    <row r="52" spans="1:1" ht="12.75">
      <c r="A52" s="8"/>
    </row>
  </sheetData>
  <mergeCells count="11">
    <mergeCell ref="E34:F34"/>
    <mergeCell ref="E35:G35"/>
    <mergeCell ref="K43:M43"/>
    <mergeCell ref="K44:M44"/>
    <mergeCell ref="K45:M45"/>
    <mergeCell ref="E33:F33"/>
    <mergeCell ref="A1:F1"/>
    <mergeCell ref="A3:E3"/>
    <mergeCell ref="A16:D16"/>
    <mergeCell ref="E31:F31"/>
    <mergeCell ref="E32:F32"/>
  </mergeCells>
  <dataValidations count="10">
    <dataValidation type="textLength" showInputMessage="1" showErrorMessage="1" error="Text exceeds maximum character length of 6 characters" sqref="B44:B46">
      <formula1>0</formula1>
      <formula2>6</formula2>
    </dataValidation>
    <dataValidation type="textLength" showInputMessage="1" showErrorMessage="1" error="Text exceeds maximum character length of 7 characters" sqref="C44:C46">
      <formula1>0</formula1>
      <formula2>7</formula2>
    </dataValidation>
    <dataValidation type="textLength" showInputMessage="1" showErrorMessage="1" error="Text exceeds maximum character length of 3 characters" sqref="D44:D46">
      <formula1>0</formula1>
      <formula2>3</formula2>
    </dataValidation>
    <dataValidation type="textLength" showInputMessage="1" showErrorMessage="1" error="Text exceeds maximum character length of 8 characters" sqref="E44:E46">
      <formula1>0</formula1>
      <formula2>8</formula2>
    </dataValidation>
    <dataValidation type="textLength" showInputMessage="1" showErrorMessage="1" error="Text exceeds maximum character length of 4 characters" sqref="F44:G46">
      <formula1>0</formula1>
      <formula2>4</formula2>
    </dataValidation>
    <dataValidation type="textLength" showInputMessage="1" showErrorMessage="1" error="Text exceeds maximum character length of 5 characters" sqref="H44:H46 A44:A46">
      <formula1>0</formula1>
      <formula2>5</formula2>
    </dataValidation>
    <dataValidation type="textLength" showInputMessage="1" showErrorMessage="1" error="Text exceeds maximum character length of 23 characters" sqref="I44:I46">
      <formula1>0</formula1>
      <formula2>23</formula2>
    </dataValidation>
    <dataValidation type="textLength" showInputMessage="1" showErrorMessage="1" error="Text exceeds maximum character length of 10 characters" sqref="J44:J46">
      <formula1>0</formula1>
      <formula2>10</formula2>
    </dataValidation>
    <dataValidation type="textLength" showInputMessage="1" showErrorMessage="1" error="Text exceeds maximum character length of 30 characters" sqref="K44:K46">
      <formula1>0</formula1>
      <formula2>30</formula2>
    </dataValidation>
    <dataValidation errorStyle="information" type="list" allowBlank="1" showInputMessage="1" showErrorMessage="1" prompt="This field only accepts 'NEXT' or the current journal ID - OK to accept this value" error="This field only accepts 'NEXT' or the current journal ID - OK to accept this value" sqref="F2">
      <formula1>"NEXT"</formula1>
    </dataValidation>
  </dataValidations>
  <pageMargins left="0.7" right="0.7" top="2.5" bottom="0.75" header="1.25" footer="0.3"/>
  <pageSetup fitToHeight="0" orientation="landscape" scale="41" r:id="rId2"/>
  <headerFooter>
    <oddHeader>&amp;C&amp;"Arial,Bold"&amp;12 
2022 RATE CASE
ONCOR ELECTRIC DELIVERY COMPANY LLC
GAIN OR LOSS ON SALE OF UTILITY ASSETS
FOR THE TEST YEAR ENDING DECEMBER 31, 2021
SPONSOR: W. A. LEDBETTER&amp;"-,Regular"&amp;11
&amp;R&amp;"Arial,Bold"&amp;12WP/II-B-13/01
Page &amp;P of &amp;N</oddHead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W67"/>
  <sheetViews>
    <sheetView tabSelected="1" workbookViewId="0" topLeftCell="A34">
      <selection pane="topLeft" activeCell="H31" sqref="H31"/>
    </sheetView>
  </sheetViews>
  <sheetFormatPr defaultColWidth="9.14428571428571" defaultRowHeight="12.75"/>
  <cols>
    <col min="1" max="1" width="4.85714285714286" style="19" bestFit="1" customWidth="1"/>
    <col min="2" max="2" width="11.5714285714286" style="19" bestFit="1" customWidth="1"/>
    <col min="3" max="3" width="14.4285714285714" style="19" bestFit="1" customWidth="1"/>
    <col min="4" max="4" width="15.8571428571429" style="19" bestFit="1" customWidth="1"/>
    <col min="5" max="5" width="11.1428571428571" style="19" bestFit="1" customWidth="1"/>
    <col min="6" max="6" width="13.2857142857143" style="19" bestFit="1" customWidth="1"/>
    <col min="7" max="7" width="13.4285714285714" style="19" bestFit="1" customWidth="1"/>
    <col min="8" max="8" width="12.1428571428571" style="19" bestFit="1" customWidth="1"/>
    <col min="9" max="9" width="12.2857142857143" style="20" bestFit="1" customWidth="1"/>
    <col min="10" max="10" width="11.8571428571429" style="19" bestFit="1" customWidth="1"/>
    <col min="11" max="11" width="14.1428571428571" style="19" bestFit="1" customWidth="1"/>
    <col min="12" max="12" width="11.4285714285714" style="19" bestFit="1" customWidth="1"/>
    <col min="13" max="13" width="10.7142857142857" style="19" bestFit="1" customWidth="1"/>
    <col min="14" max="14" width="13.5714285714286" style="19" bestFit="1" customWidth="1"/>
    <col min="15" max="15" width="44.4285714285714" style="19" bestFit="1" customWidth="1"/>
    <col min="16" max="16" width="25.7142857142857" style="19" bestFit="1" customWidth="1"/>
    <col min="17" max="17" width="15.8571428571429" style="19" customWidth="1"/>
    <col min="18" max="18" width="9.85714285714286" style="19" bestFit="1" customWidth="1"/>
    <col min="19" max="19" width="10" style="19" bestFit="1" customWidth="1"/>
    <col min="20" max="20" width="13" style="19" bestFit="1" customWidth="1"/>
    <col min="21" max="21" width="31.5714285714286" style="19" bestFit="1" customWidth="1"/>
    <col min="22" max="22" width="11.7142857142857" style="19" customWidth="1"/>
    <col min="23" max="23" width="10.8571428571429" style="19" customWidth="1"/>
    <col min="24" max="16384" width="9.14285714285714" style="19"/>
  </cols>
  <sheetData>
    <row r="1" spans="1:6" ht="12.75">
      <c r="A1" s="48" t="s">
        <v>156</v>
      </c>
      <c r="B1" s="48"/>
      <c r="C1" s="48"/>
      <c r="D1" s="48"/>
      <c r="E1" s="48"/>
      <c r="F1" s="48"/>
    </row>
    <row r="2" spans="1:1" ht="13.5" thickBot="1">
      <c r="A2" s="12"/>
    </row>
    <row r="3" spans="1:5" ht="16.5" thickTop="1" thickBot="1">
      <c r="A3" s="63"/>
      <c r="B3" s="64"/>
      <c r="C3" s="64"/>
      <c r="D3" s="64"/>
      <c r="E3" s="65"/>
    </row>
    <row r="4" spans="1:16" ht="16.5" thickTop="1" thickBot="1">
      <c r="A4" s="10" t="s">
        <v>0</v>
      </c>
      <c r="B4" s="10" t="s">
        <v>5</v>
      </c>
      <c r="C4" s="10" t="s">
        <v>6</v>
      </c>
      <c r="D4" s="10" t="s">
        <v>7</v>
      </c>
      <c r="E4" s="10" t="s">
        <v>8</v>
      </c>
      <c r="F4" s="10" t="s">
        <v>9</v>
      </c>
      <c r="G4" s="10" t="s">
        <v>10</v>
      </c>
      <c r="H4" s="10" t="s">
        <v>11</v>
      </c>
      <c r="I4" s="11" t="s">
        <v>12</v>
      </c>
      <c r="J4" s="10" t="s">
        <v>13</v>
      </c>
      <c r="K4" s="10" t="s">
        <v>14</v>
      </c>
      <c r="L4" s="10" t="s">
        <v>15</v>
      </c>
      <c r="M4" s="10" t="s">
        <v>1</v>
      </c>
      <c r="N4" s="10" t="s">
        <v>16</v>
      </c>
      <c r="O4" s="10" t="s">
        <v>17</v>
      </c>
      <c r="P4" s="10" t="s">
        <v>18</v>
      </c>
    </row>
    <row r="5" spans="1:20" ht="12.75" customHeight="1" thickTop="1">
      <c r="A5" s="21" t="s">
        <v>19</v>
      </c>
      <c r="B5" s="21" t="s">
        <v>20</v>
      </c>
      <c r="C5" s="21" t="s">
        <v>21</v>
      </c>
      <c r="D5" s="21" t="s">
        <v>22</v>
      </c>
      <c r="E5" s="21" t="s">
        <v>157</v>
      </c>
      <c r="F5" s="21" t="s">
        <v>24</v>
      </c>
      <c r="G5" s="21" t="s">
        <v>24</v>
      </c>
      <c r="H5" s="21"/>
      <c r="I5" s="9">
        <v>-28674</v>
      </c>
      <c r="J5" s="21" t="s">
        <v>158</v>
      </c>
      <c r="K5" s="21"/>
      <c r="L5" s="21">
        <v>9</v>
      </c>
      <c r="M5" s="21">
        <v>2021</v>
      </c>
      <c r="N5" s="21" t="s">
        <v>27</v>
      </c>
      <c r="O5" s="21" t="s">
        <v>159</v>
      </c>
      <c r="P5" s="21" t="s">
        <v>29</v>
      </c>
      <c r="Q5" s="21"/>
      <c r="R5" s="21"/>
      <c r="S5" s="21"/>
      <c r="T5" s="21"/>
    </row>
    <row r="6" spans="1:20" ht="12.75" customHeight="1">
      <c r="A6" s="21" t="s">
        <v>19</v>
      </c>
      <c r="B6" s="21" t="s">
        <v>20</v>
      </c>
      <c r="C6" s="21" t="s">
        <v>21</v>
      </c>
      <c r="D6" s="21" t="s">
        <v>22</v>
      </c>
      <c r="E6" s="21" t="s">
        <v>157</v>
      </c>
      <c r="F6" s="21" t="s">
        <v>24</v>
      </c>
      <c r="G6" s="21" t="s">
        <v>24</v>
      </c>
      <c r="H6" s="21"/>
      <c r="I6" s="9">
        <v>28674</v>
      </c>
      <c r="J6" s="21" t="s">
        <v>158</v>
      </c>
      <c r="K6" s="21"/>
      <c r="L6" s="21">
        <v>10</v>
      </c>
      <c r="M6" s="21">
        <v>2021</v>
      </c>
      <c r="N6" s="21" t="s">
        <v>27</v>
      </c>
      <c r="O6" s="21" t="s">
        <v>159</v>
      </c>
      <c r="P6" s="21" t="s">
        <v>29</v>
      </c>
      <c r="Q6" s="21"/>
      <c r="R6" s="21"/>
      <c r="S6" s="21"/>
      <c r="T6" s="21"/>
    </row>
    <row r="7" spans="1:20" ht="12.75" customHeight="1">
      <c r="A7" s="21"/>
      <c r="B7" s="21"/>
      <c r="C7" s="21"/>
      <c r="D7" s="21"/>
      <c r="E7" s="21"/>
      <c r="F7" s="21"/>
      <c r="G7" s="21"/>
      <c r="H7" s="21"/>
      <c r="J7" s="21"/>
      <c r="K7" s="21"/>
      <c r="L7" s="21"/>
      <c r="M7" s="21"/>
      <c r="N7" s="21"/>
      <c r="O7" s="21"/>
      <c r="P7" s="21"/>
      <c r="Q7" s="21"/>
      <c r="R7" s="21"/>
      <c r="S7" s="21"/>
      <c r="T7" s="21"/>
    </row>
    <row r="8" spans="1:20" ht="12.75" customHeight="1">
      <c r="A8" s="21"/>
      <c r="B8" s="21"/>
      <c r="C8" s="21"/>
      <c r="D8" s="21"/>
      <c r="E8" s="21"/>
      <c r="F8" s="21"/>
      <c r="G8" s="21"/>
      <c r="H8" s="21"/>
      <c r="J8" s="21"/>
      <c r="K8" s="21"/>
      <c r="L8" s="21"/>
      <c r="M8" s="21"/>
      <c r="N8" s="21"/>
      <c r="O8" s="21"/>
      <c r="P8" s="21"/>
      <c r="Q8" s="21"/>
      <c r="R8" s="21"/>
      <c r="S8" s="21"/>
      <c r="T8" s="21"/>
    </row>
    <row r="9" spans="1:20" ht="12.75" customHeight="1">
      <c r="A9" s="21"/>
      <c r="B9" s="21"/>
      <c r="C9" s="21"/>
      <c r="D9" s="21"/>
      <c r="E9" s="21"/>
      <c r="F9" s="21"/>
      <c r="G9" s="21"/>
      <c r="H9" s="21"/>
      <c r="J9" s="21"/>
      <c r="K9" s="21"/>
      <c r="L9" s="21"/>
      <c r="M9" s="21"/>
      <c r="N9" s="21"/>
      <c r="O9" s="21"/>
      <c r="P9" s="21"/>
      <c r="Q9" s="21"/>
      <c r="R9" s="21"/>
      <c r="S9" s="21"/>
      <c r="T9" s="21"/>
    </row>
    <row r="10" ht="12.75" customHeight="1"/>
    <row r="11" spans="1:1" ht="12.75">
      <c r="A11" s="8" t="s">
        <v>30</v>
      </c>
    </row>
    <row r="12" spans="1:1" ht="13.5" thickBot="1">
      <c r="A12" s="8"/>
    </row>
    <row r="13" spans="1:22" ht="16.5" thickTop="1" thickBot="1">
      <c r="A13" s="63"/>
      <c r="B13" s="64"/>
      <c r="C13" s="64"/>
      <c r="D13" s="65"/>
      <c r="V13" s="12" t="s">
        <v>31</v>
      </c>
    </row>
    <row r="14" spans="1:23" ht="16.5" thickTop="1" thickBot="1">
      <c r="A14" s="10" t="s">
        <v>0</v>
      </c>
      <c r="B14" s="10" t="s">
        <v>32</v>
      </c>
      <c r="C14" s="10" t="s">
        <v>33</v>
      </c>
      <c r="D14" s="10" t="s">
        <v>18</v>
      </c>
      <c r="E14" s="10" t="s">
        <v>6</v>
      </c>
      <c r="F14" s="10" t="s">
        <v>34</v>
      </c>
      <c r="G14" s="10" t="s">
        <v>35</v>
      </c>
      <c r="H14" s="10" t="s">
        <v>36</v>
      </c>
      <c r="I14" s="11" t="s">
        <v>37</v>
      </c>
      <c r="J14" s="10" t="s">
        <v>18</v>
      </c>
      <c r="K14" s="10" t="s">
        <v>38</v>
      </c>
      <c r="L14" s="10" t="s">
        <v>8</v>
      </c>
      <c r="M14" s="10" t="s">
        <v>39</v>
      </c>
      <c r="N14" s="10" t="s">
        <v>40</v>
      </c>
      <c r="O14" s="10" t="s">
        <v>41</v>
      </c>
      <c r="P14" s="10" t="s">
        <v>42</v>
      </c>
      <c r="Q14" s="10" t="s">
        <v>43</v>
      </c>
      <c r="R14" s="10" t="s">
        <v>44</v>
      </c>
      <c r="S14" s="10" t="s">
        <v>45</v>
      </c>
      <c r="T14" s="10" t="s">
        <v>46</v>
      </c>
      <c r="U14" s="10" t="s">
        <v>18</v>
      </c>
      <c r="V14" s="10" t="s">
        <v>48</v>
      </c>
      <c r="W14" s="10" t="s">
        <v>49</v>
      </c>
    </row>
    <row r="15" spans="1:23" ht="13.5" thickTop="1">
      <c r="A15" s="21" t="s">
        <v>19</v>
      </c>
      <c r="B15" s="21" t="s">
        <v>160</v>
      </c>
      <c r="C15" s="21" t="s">
        <v>161</v>
      </c>
      <c r="D15" s="21" t="s">
        <v>162</v>
      </c>
      <c r="E15" s="21" t="s">
        <v>53</v>
      </c>
      <c r="F15" s="21" t="s">
        <v>2</v>
      </c>
      <c r="G15" s="21" t="s">
        <v>54</v>
      </c>
      <c r="H15" s="21" t="s">
        <v>55</v>
      </c>
      <c r="I15" s="20" t="s">
        <v>56</v>
      </c>
      <c r="J15" s="21" t="s">
        <v>57</v>
      </c>
      <c r="K15" s="21" t="s">
        <v>58</v>
      </c>
      <c r="L15" s="21" t="s">
        <v>147</v>
      </c>
      <c r="M15" s="21" t="s">
        <v>163</v>
      </c>
      <c r="N15" s="20">
        <v>1242.3</v>
      </c>
      <c r="O15" s="20">
        <v>1242.3</v>
      </c>
      <c r="P15" s="19">
        <v>0</v>
      </c>
      <c r="Q15" s="20">
        <v>0</v>
      </c>
      <c r="R15" s="19">
        <v>0.45000000000000001</v>
      </c>
      <c r="S15" s="22">
        <v>25538</v>
      </c>
      <c r="T15" s="21"/>
      <c r="U15" s="21" t="s">
        <v>164</v>
      </c>
      <c r="V15" s="21" t="s">
        <v>165</v>
      </c>
      <c r="W15" s="21"/>
    </row>
    <row r="16" spans="1:22" ht="12.75">
      <c r="A16" s="19" t="s">
        <v>19</v>
      </c>
      <c r="B16" s="19" t="s">
        <v>160</v>
      </c>
      <c r="C16" s="19" t="s">
        <v>161</v>
      </c>
      <c r="D16" s="19" t="s">
        <v>162</v>
      </c>
      <c r="E16" s="19" t="s">
        <v>53</v>
      </c>
      <c r="F16" s="19" t="s">
        <v>2</v>
      </c>
      <c r="G16" s="19" t="s">
        <v>54</v>
      </c>
      <c r="H16" s="19" t="s">
        <v>55</v>
      </c>
      <c r="I16" s="20" t="s">
        <v>56</v>
      </c>
      <c r="J16" s="19" t="s">
        <v>57</v>
      </c>
      <c r="K16" s="19" t="s">
        <v>58</v>
      </c>
      <c r="L16" s="19" t="s">
        <v>147</v>
      </c>
      <c r="M16" s="19" t="s">
        <v>163</v>
      </c>
      <c r="N16" s="20">
        <v>13610.139999999999</v>
      </c>
      <c r="O16" s="20">
        <v>13610.139999999999</v>
      </c>
      <c r="P16" s="19">
        <v>0</v>
      </c>
      <c r="Q16" s="20">
        <v>0</v>
      </c>
      <c r="R16" s="19">
        <v>4.9299999999999997</v>
      </c>
      <c r="S16" s="22">
        <v>25538</v>
      </c>
      <c r="U16" s="19" t="s">
        <v>164</v>
      </c>
      <c r="V16" s="19" t="s">
        <v>165</v>
      </c>
    </row>
    <row r="17" spans="1:22" ht="12.75">
      <c r="A17" s="19" t="s">
        <v>19</v>
      </c>
      <c r="B17" s="19" t="s">
        <v>160</v>
      </c>
      <c r="C17" s="19" t="s">
        <v>161</v>
      </c>
      <c r="D17" s="19" t="s">
        <v>162</v>
      </c>
      <c r="E17" s="19" t="s">
        <v>53</v>
      </c>
      <c r="F17" s="19" t="s">
        <v>2</v>
      </c>
      <c r="G17" s="19" t="s">
        <v>54</v>
      </c>
      <c r="H17" s="19" t="s">
        <v>55</v>
      </c>
      <c r="I17" s="20" t="s">
        <v>56</v>
      </c>
      <c r="J17" s="19" t="s">
        <v>57</v>
      </c>
      <c r="K17" s="19" t="s">
        <v>58</v>
      </c>
      <c r="L17" s="19" t="s">
        <v>147</v>
      </c>
      <c r="M17" s="19" t="s">
        <v>163</v>
      </c>
      <c r="N17" s="20">
        <v>36937.879999999997</v>
      </c>
      <c r="O17" s="20">
        <v>36937.879999999997</v>
      </c>
      <c r="P17" s="19">
        <v>0</v>
      </c>
      <c r="Q17" s="20">
        <v>0</v>
      </c>
      <c r="R17" s="19">
        <v>13.380000000000001</v>
      </c>
      <c r="S17" s="22">
        <v>25538</v>
      </c>
      <c r="U17" s="19" t="s">
        <v>164</v>
      </c>
      <c r="V17" s="19" t="s">
        <v>165</v>
      </c>
    </row>
    <row r="18" spans="1:22" ht="12.75">
      <c r="A18" s="19" t="s">
        <v>19</v>
      </c>
      <c r="B18" s="19" t="s">
        <v>160</v>
      </c>
      <c r="C18" s="19" t="s">
        <v>161</v>
      </c>
      <c r="D18" s="19" t="s">
        <v>162</v>
      </c>
      <c r="E18" s="19" t="s">
        <v>53</v>
      </c>
      <c r="F18" s="19" t="s">
        <v>2</v>
      </c>
      <c r="G18" s="19" t="s">
        <v>54</v>
      </c>
      <c r="H18" s="19" t="s">
        <v>55</v>
      </c>
      <c r="I18" s="20" t="s">
        <v>56</v>
      </c>
      <c r="J18" s="19" t="s">
        <v>57</v>
      </c>
      <c r="K18" s="19" t="s">
        <v>58</v>
      </c>
      <c r="L18" s="19" t="s">
        <v>147</v>
      </c>
      <c r="M18" s="19" t="s">
        <v>163</v>
      </c>
      <c r="N18" s="20">
        <v>7895.5600000000004</v>
      </c>
      <c r="O18" s="20">
        <v>7895.5600000000004</v>
      </c>
      <c r="P18" s="19">
        <v>0</v>
      </c>
      <c r="Q18" s="20">
        <v>0</v>
      </c>
      <c r="R18" s="19">
        <v>2.8599999999999999</v>
      </c>
      <c r="S18" s="22">
        <v>25538</v>
      </c>
      <c r="U18" s="19" t="s">
        <v>164</v>
      </c>
      <c r="V18" s="19" t="s">
        <v>165</v>
      </c>
    </row>
    <row r="19" spans="1:22" ht="12.75">
      <c r="A19" s="19" t="s">
        <v>19</v>
      </c>
      <c r="B19" s="19" t="s">
        <v>160</v>
      </c>
      <c r="C19" s="19" t="s">
        <v>161</v>
      </c>
      <c r="D19" s="19" t="s">
        <v>162</v>
      </c>
      <c r="E19" s="19" t="s">
        <v>53</v>
      </c>
      <c r="F19" s="19" t="s">
        <v>2</v>
      </c>
      <c r="G19" s="19" t="s">
        <v>54</v>
      </c>
      <c r="H19" s="19" t="s">
        <v>55</v>
      </c>
      <c r="I19" s="20" t="s">
        <v>56</v>
      </c>
      <c r="J19" s="19" t="s">
        <v>57</v>
      </c>
      <c r="K19" s="19" t="s">
        <v>58</v>
      </c>
      <c r="L19" s="19" t="s">
        <v>147</v>
      </c>
      <c r="M19" s="19" t="s">
        <v>163</v>
      </c>
      <c r="N19" s="20">
        <v>138.03</v>
      </c>
      <c r="O19" s="20">
        <v>138.03</v>
      </c>
      <c r="P19" s="19">
        <v>0</v>
      </c>
      <c r="Q19" s="20">
        <v>0</v>
      </c>
      <c r="R19" s="19">
        <v>0.050000000000000003</v>
      </c>
      <c r="S19" s="22">
        <v>25538</v>
      </c>
      <c r="U19" s="19" t="s">
        <v>166</v>
      </c>
      <c r="V19" s="19" t="s">
        <v>165</v>
      </c>
    </row>
    <row r="20" spans="1:22" ht="12.75">
      <c r="A20" s="19" t="s">
        <v>19</v>
      </c>
      <c r="B20" s="19" t="s">
        <v>160</v>
      </c>
      <c r="C20" s="19" t="s">
        <v>161</v>
      </c>
      <c r="D20" s="19" t="s">
        <v>162</v>
      </c>
      <c r="E20" s="19" t="s">
        <v>53</v>
      </c>
      <c r="F20" s="19" t="s">
        <v>2</v>
      </c>
      <c r="G20" s="19" t="s">
        <v>54</v>
      </c>
      <c r="H20" s="19" t="s">
        <v>55</v>
      </c>
      <c r="I20" s="20" t="s">
        <v>56</v>
      </c>
      <c r="J20" s="19" t="s">
        <v>57</v>
      </c>
      <c r="K20" s="19" t="s">
        <v>58</v>
      </c>
      <c r="L20" s="19" t="s">
        <v>147</v>
      </c>
      <c r="M20" s="19" t="s">
        <v>163</v>
      </c>
      <c r="N20" s="20">
        <v>20622.290000000001</v>
      </c>
      <c r="O20" s="20">
        <v>20622.290000000001</v>
      </c>
      <c r="P20" s="19">
        <v>0</v>
      </c>
      <c r="Q20" s="20">
        <v>0</v>
      </c>
      <c r="R20" s="19">
        <v>7.4699999999999998</v>
      </c>
      <c r="S20" s="22">
        <v>25538</v>
      </c>
      <c r="U20" s="19" t="s">
        <v>166</v>
      </c>
      <c r="V20" s="19" t="s">
        <v>165</v>
      </c>
    </row>
    <row r="21" spans="1:22" ht="12.75">
      <c r="A21" s="19" t="s">
        <v>19</v>
      </c>
      <c r="B21" s="19" t="s">
        <v>160</v>
      </c>
      <c r="C21" s="19" t="s">
        <v>161</v>
      </c>
      <c r="D21" s="19" t="s">
        <v>162</v>
      </c>
      <c r="E21" s="19" t="s">
        <v>53</v>
      </c>
      <c r="F21" s="19" t="s">
        <v>2</v>
      </c>
      <c r="G21" s="19" t="s">
        <v>54</v>
      </c>
      <c r="H21" s="19" t="s">
        <v>55</v>
      </c>
      <c r="I21" s="20" t="s">
        <v>56</v>
      </c>
      <c r="J21" s="19" t="s">
        <v>57</v>
      </c>
      <c r="K21" s="19" t="s">
        <v>58</v>
      </c>
      <c r="L21" s="19" t="s">
        <v>147</v>
      </c>
      <c r="M21" s="19" t="s">
        <v>163</v>
      </c>
      <c r="N21" s="20">
        <v>607.35000000000002</v>
      </c>
      <c r="O21" s="20">
        <v>607.35000000000002</v>
      </c>
      <c r="P21" s="19">
        <v>0</v>
      </c>
      <c r="Q21" s="20">
        <v>0</v>
      </c>
      <c r="R21" s="19">
        <v>0.22</v>
      </c>
      <c r="S21" s="22">
        <v>25538</v>
      </c>
      <c r="U21" s="19" t="s">
        <v>164</v>
      </c>
      <c r="V21" s="19" t="s">
        <v>165</v>
      </c>
    </row>
    <row r="22" spans="14:19" ht="12.75">
      <c r="N22" s="20"/>
      <c r="O22" s="20"/>
      <c r="Q22" s="20"/>
      <c r="S22" s="22"/>
    </row>
    <row r="23" spans="14:19" ht="12.75">
      <c r="N23" s="20"/>
      <c r="O23" s="20"/>
      <c r="Q23" s="20"/>
      <c r="S23" s="22"/>
    </row>
    <row r="24" spans="15:18" ht="13.5" thickBot="1">
      <c r="O24" s="16">
        <f>SUM(O15:O22)</f>
        <v>81053.549999999988</v>
      </c>
      <c r="Q24" s="20">
        <f>SUM(Q15:Q23)</f>
        <v>0</v>
      </c>
      <c r="R24" s="17">
        <f>SUM(R15:R22)</f>
        <v>29.359999999999999</v>
      </c>
    </row>
    <row r="25" spans="18:18" ht="13.5" thickTop="1">
      <c r="R25" s="23"/>
    </row>
    <row r="26" spans="15:16" ht="12.75">
      <c r="O26" s="20">
        <f>ROUND(O24/R24,2)</f>
        <v>2760.6799999999998</v>
      </c>
      <c r="P26" s="3" t="s">
        <v>97</v>
      </c>
    </row>
    <row r="27" spans="15:18" ht="12.75">
      <c r="O27" s="20">
        <f>ROUND(O26*Q27,2)</f>
        <v>1888.31</v>
      </c>
      <c r="P27" s="3" t="s">
        <v>98</v>
      </c>
      <c r="Q27" s="43">
        <v>0.68400000000000005</v>
      </c>
      <c r="R27" s="13" t="s">
        <v>99</v>
      </c>
    </row>
    <row r="30" spans="1:20" ht="15">
      <c r="A30" s="8" t="s">
        <v>100</v>
      </c>
      <c r="O30" s="46"/>
      <c r="P30" s="49"/>
      <c r="Q30" s="28"/>
      <c r="R30" s="28"/>
      <c r="S30" s="28"/>
      <c r="T30" s="28"/>
    </row>
    <row r="31" spans="15:20" ht="15.75" thickBot="1">
      <c r="O31" s="46"/>
      <c r="P31" s="49"/>
      <c r="Q31" s="28"/>
      <c r="R31" s="28"/>
      <c r="S31" s="28"/>
      <c r="T31" s="46"/>
    </row>
    <row r="32" spans="2:20" ht="12.75">
      <c r="B32" s="24"/>
      <c r="C32" s="25"/>
      <c r="D32" s="25"/>
      <c r="E32" s="25"/>
      <c r="F32" s="25"/>
      <c r="G32" s="26"/>
      <c r="O32" s="28"/>
      <c r="P32" s="49"/>
      <c r="Q32" s="28"/>
      <c r="R32" s="28"/>
      <c r="S32" s="28"/>
      <c r="T32" s="28"/>
    </row>
    <row r="33" spans="2:20" ht="12.75">
      <c r="B33" s="27"/>
      <c r="C33" s="40">
        <f>I5</f>
        <v>-28674</v>
      </c>
      <c r="D33" s="28"/>
      <c r="E33" s="66" t="s">
        <v>103</v>
      </c>
      <c r="F33" s="66"/>
      <c r="G33" s="5"/>
      <c r="O33" s="28"/>
      <c r="P33" s="49"/>
      <c r="Q33" s="28"/>
      <c r="R33" s="28"/>
      <c r="S33" s="28"/>
      <c r="T33" s="28"/>
    </row>
    <row r="34" spans="2:20" ht="12.75">
      <c r="B34" s="27"/>
      <c r="C34" s="18">
        <f>I7</f>
        <v>0</v>
      </c>
      <c r="D34" s="28"/>
      <c r="E34" s="67" t="s">
        <v>104</v>
      </c>
      <c r="F34" s="67"/>
      <c r="G34" s="5"/>
      <c r="O34" s="28"/>
      <c r="P34" s="49"/>
      <c r="Q34" s="28"/>
      <c r="R34" s="28"/>
      <c r="S34" s="28"/>
      <c r="T34" s="28"/>
    </row>
    <row r="35" spans="2:20" ht="15">
      <c r="B35" s="27"/>
      <c r="C35" s="40">
        <f>C33+C34</f>
        <v>-28674</v>
      </c>
      <c r="D35" s="28"/>
      <c r="E35" s="66" t="s">
        <v>105</v>
      </c>
      <c r="F35" s="66"/>
      <c r="G35" s="5"/>
      <c r="O35" s="47"/>
      <c r="P35" s="49"/>
      <c r="Q35" s="28"/>
      <c r="R35" s="28"/>
      <c r="S35" s="28"/>
      <c r="T35" s="28"/>
    </row>
    <row r="36" spans="2:20" ht="15">
      <c r="B36" s="27"/>
      <c r="C36" s="40">
        <f>O27</f>
        <v>1888.31</v>
      </c>
      <c r="D36" s="28"/>
      <c r="E36" s="67" t="s">
        <v>107</v>
      </c>
      <c r="F36" s="67"/>
      <c r="G36" s="5"/>
      <c r="O36" s="47"/>
      <c r="P36" s="49"/>
      <c r="Q36" s="28"/>
      <c r="R36" s="28"/>
      <c r="S36" s="28"/>
      <c r="T36" s="28"/>
    </row>
    <row r="37" spans="2:20" ht="13.5" thickBot="1">
      <c r="B37" s="27"/>
      <c r="C37" s="41">
        <f>SUM(C35:C36)</f>
        <v>-26785.689999999999</v>
      </c>
      <c r="D37" s="28"/>
      <c r="E37" s="66" t="s">
        <v>109</v>
      </c>
      <c r="F37" s="66"/>
      <c r="G37" s="69"/>
      <c r="O37" s="28"/>
      <c r="P37" s="49"/>
      <c r="Q37" s="28"/>
      <c r="R37" s="28"/>
      <c r="S37" s="28"/>
      <c r="T37" s="28"/>
    </row>
    <row r="38" spans="2:20" ht="16.5" thickTop="1" thickBot="1">
      <c r="B38" s="31"/>
      <c r="C38" s="32"/>
      <c r="D38" s="32"/>
      <c r="E38" s="32"/>
      <c r="F38" s="32"/>
      <c r="G38" s="33"/>
      <c r="O38" s="28"/>
      <c r="P38" s="49"/>
      <c r="Q38" s="46"/>
      <c r="R38" s="28"/>
      <c r="S38" s="28"/>
      <c r="T38" s="28"/>
    </row>
    <row r="39" spans="15:20" ht="15">
      <c r="O39" s="28"/>
      <c r="P39" s="49"/>
      <c r="Q39" s="46"/>
      <c r="R39" s="28"/>
      <c r="S39" s="28"/>
      <c r="T39" s="28"/>
    </row>
    <row r="40" spans="15:20" ht="15">
      <c r="O40" s="28"/>
      <c r="P40" s="49"/>
      <c r="Q40" s="46"/>
      <c r="R40" s="28"/>
      <c r="S40" s="28"/>
      <c r="T40" s="28"/>
    </row>
    <row r="41" spans="1:20" ht="12.75">
      <c r="A41" s="8" t="s">
        <v>113</v>
      </c>
      <c r="B41" s="7"/>
      <c r="C41" s="7"/>
      <c r="D41" s="7"/>
      <c r="E41" s="7"/>
      <c r="F41" s="7"/>
      <c r="G41" s="7"/>
      <c r="H41" s="7"/>
      <c r="I41" s="6"/>
      <c r="J41" s="7"/>
      <c r="K41" s="7"/>
      <c r="O41" s="28"/>
      <c r="P41" s="28"/>
      <c r="Q41" s="28"/>
      <c r="R41" s="28"/>
      <c r="S41" s="28"/>
      <c r="T41" s="28"/>
    </row>
    <row r="42" spans="1:11" ht="12.75">
      <c r="A42" s="8"/>
      <c r="B42" s="7"/>
      <c r="C42" s="7"/>
      <c r="D42" s="7"/>
      <c r="E42" s="7"/>
      <c r="F42" s="7"/>
      <c r="G42" s="7"/>
      <c r="H42" s="7"/>
      <c r="I42" s="6"/>
      <c r="J42" s="7"/>
      <c r="K42" s="7"/>
    </row>
    <row r="43" spans="1:17" ht="15">
      <c r="A43" s="8" t="s">
        <v>114</v>
      </c>
      <c r="B43" s="7"/>
      <c r="C43" s="7"/>
      <c r="D43" s="7"/>
      <c r="E43" s="7"/>
      <c r="F43" s="7"/>
      <c r="G43" s="7"/>
      <c r="H43" s="7"/>
      <c r="I43" s="6"/>
      <c r="J43" s="7"/>
      <c r="K43" s="7"/>
      <c r="P43" s="20"/>
      <c r="Q43" s="14"/>
    </row>
    <row r="44" spans="1:11" ht="12.75">
      <c r="A44" s="7"/>
      <c r="B44" s="7"/>
      <c r="C44" s="7"/>
      <c r="D44" s="7"/>
      <c r="E44" s="7"/>
      <c r="F44" s="7"/>
      <c r="G44" s="7"/>
      <c r="H44" s="7"/>
      <c r="I44" s="6"/>
      <c r="J44" s="7"/>
      <c r="K44" s="7"/>
    </row>
    <row r="45" spans="1:13" ht="12.75">
      <c r="A45" s="34" t="s">
        <v>115</v>
      </c>
      <c r="B45" s="34" t="s">
        <v>116</v>
      </c>
      <c r="C45" s="34" t="s">
        <v>6</v>
      </c>
      <c r="D45" s="34" t="s">
        <v>7</v>
      </c>
      <c r="E45" s="34" t="s">
        <v>8</v>
      </c>
      <c r="F45" s="34" t="s">
        <v>9</v>
      </c>
      <c r="G45" s="34" t="s">
        <v>10</v>
      </c>
      <c r="H45" s="34" t="s">
        <v>11</v>
      </c>
      <c r="I45" s="50" t="s">
        <v>117</v>
      </c>
      <c r="J45" s="34" t="s">
        <v>46</v>
      </c>
      <c r="K45" s="70" t="s">
        <v>118</v>
      </c>
      <c r="L45" s="71"/>
      <c r="M45" s="72"/>
    </row>
    <row r="46" spans="1:13" ht="12.75">
      <c r="A46" s="35" t="str">
        <f>A5</f>
        <v>TRN</v>
      </c>
      <c r="B46" s="35" t="str">
        <f>B5</f>
        <v>515660</v>
      </c>
      <c r="C46" s="35" t="s">
        <v>119</v>
      </c>
      <c r="D46" s="35" t="s">
        <v>120</v>
      </c>
      <c r="E46" s="35" t="str">
        <f>E5</f>
        <v>0PT45456</v>
      </c>
      <c r="F46" s="35" t="s">
        <v>24</v>
      </c>
      <c r="G46" s="35" t="s">
        <v>24</v>
      </c>
      <c r="H46" s="35" t="s">
        <v>25</v>
      </c>
      <c r="I46" s="42">
        <f>-I47</f>
        <v>26785.689999999999</v>
      </c>
      <c r="J46" s="35"/>
      <c r="K46" s="74" t="s">
        <v>167</v>
      </c>
      <c r="L46" s="74"/>
      <c r="M46" s="74"/>
    </row>
    <row r="47" spans="1:13" ht="12.75">
      <c r="A47" s="35" t="str">
        <f>A46</f>
        <v>TRN</v>
      </c>
      <c r="B47" s="51" t="str">
        <f>B46</f>
        <v>515660</v>
      </c>
      <c r="C47" s="35" t="s">
        <v>121</v>
      </c>
      <c r="D47" s="35" t="s">
        <v>122</v>
      </c>
      <c r="E47" s="35" t="str">
        <f>E46</f>
        <v>0PT45456</v>
      </c>
      <c r="F47" s="35" t="s">
        <v>24</v>
      </c>
      <c r="G47" s="35" t="s">
        <v>24</v>
      </c>
      <c r="H47" s="35" t="s">
        <v>25</v>
      </c>
      <c r="I47" s="42">
        <f>ROUND(C37,2)</f>
        <v>-26785.689999999999</v>
      </c>
      <c r="J47" s="35"/>
      <c r="K47" s="74" t="str">
        <f>K46</f>
        <v>Sale of 0.684 acres</v>
      </c>
      <c r="L47" s="74"/>
      <c r="M47" s="74"/>
    </row>
    <row r="48" spans="1:11" s="28" customFormat="1" ht="12.75">
      <c r="A48" s="37"/>
      <c r="B48" s="37"/>
      <c r="C48" s="37"/>
      <c r="D48" s="37"/>
      <c r="E48" s="37"/>
      <c r="F48" s="37"/>
      <c r="G48" s="37"/>
      <c r="H48" s="37"/>
      <c r="I48" s="38"/>
      <c r="J48" s="37"/>
      <c r="K48" s="39"/>
    </row>
    <row r="49" spans="1:11" ht="12.75">
      <c r="A49" s="37"/>
      <c r="B49" s="37"/>
      <c r="C49" s="37"/>
      <c r="D49" s="37"/>
      <c r="E49" s="37"/>
      <c r="F49" s="37"/>
      <c r="G49" s="37"/>
      <c r="H49" s="37"/>
      <c r="I49" s="38"/>
      <c r="J49" s="37"/>
      <c r="K49" s="39"/>
    </row>
    <row r="51" spans="1:1" ht="12.75">
      <c r="A51" s="8" t="s">
        <v>126</v>
      </c>
    </row>
    <row r="54" spans="1:1" ht="12.75">
      <c r="A54" s="8" t="s">
        <v>127</v>
      </c>
    </row>
    <row r="56" ht="13.5" thickBot="1"/>
    <row r="57" spans="1:3" ht="16.5" thickTop="1" thickBot="1">
      <c r="A57" s="10"/>
      <c r="B57" s="10"/>
      <c r="C57" s="10"/>
    </row>
    <row r="58" spans="1:20" ht="16.5" thickTop="1" thickBot="1">
      <c r="A58" s="10" t="s">
        <v>0</v>
      </c>
      <c r="B58" s="10" t="s">
        <v>8</v>
      </c>
      <c r="C58" s="10" t="s">
        <v>32</v>
      </c>
      <c r="D58" s="10" t="s">
        <v>39</v>
      </c>
      <c r="E58" s="10" t="s">
        <v>6</v>
      </c>
      <c r="F58" s="10" t="s">
        <v>35</v>
      </c>
      <c r="G58" s="10" t="s">
        <v>37</v>
      </c>
      <c r="H58" s="10" t="s">
        <v>18</v>
      </c>
      <c r="I58" s="11" t="s">
        <v>36</v>
      </c>
      <c r="J58" s="10" t="s">
        <v>38</v>
      </c>
      <c r="K58" s="10" t="s">
        <v>44</v>
      </c>
      <c r="L58" s="10" t="s">
        <v>40</v>
      </c>
      <c r="M58" s="10" t="s">
        <v>46</v>
      </c>
      <c r="N58" s="10" t="s">
        <v>47</v>
      </c>
      <c r="O58" s="10" t="s">
        <v>18</v>
      </c>
      <c r="P58" s="10" t="s">
        <v>43</v>
      </c>
      <c r="Q58" s="10" t="s">
        <v>42</v>
      </c>
      <c r="R58" s="10" t="s">
        <v>41</v>
      </c>
      <c r="S58" s="10" t="s">
        <v>45</v>
      </c>
      <c r="T58" s="10" t="s">
        <v>33</v>
      </c>
    </row>
    <row r="59" spans="1:20" ht="13.5" thickTop="1">
      <c r="A59" s="21" t="s">
        <v>19</v>
      </c>
      <c r="B59" s="21" t="s">
        <v>157</v>
      </c>
      <c r="C59" s="21" t="s">
        <v>160</v>
      </c>
      <c r="D59" s="21" t="s">
        <v>163</v>
      </c>
      <c r="E59" s="21" t="s">
        <v>53</v>
      </c>
      <c r="F59" s="21" t="s">
        <v>54</v>
      </c>
      <c r="G59" s="21" t="s">
        <v>56</v>
      </c>
      <c r="H59" s="21" t="s">
        <v>57</v>
      </c>
      <c r="I59" s="20" t="s">
        <v>55</v>
      </c>
      <c r="J59" s="21" t="s">
        <v>71</v>
      </c>
      <c r="K59" s="23">
        <v>-0.68400000000000005</v>
      </c>
      <c r="L59" s="9">
        <v>-1888.31</v>
      </c>
      <c r="M59" s="21" t="s">
        <v>170</v>
      </c>
      <c r="N59" s="21" t="s">
        <v>91</v>
      </c>
      <c r="O59" s="21" t="s">
        <v>156</v>
      </c>
      <c r="P59" s="20">
        <v>0</v>
      </c>
      <c r="Q59" s="20">
        <v>0</v>
      </c>
      <c r="R59" s="9">
        <v>-1888.31</v>
      </c>
      <c r="T59" s="21" t="s">
        <v>161</v>
      </c>
    </row>
    <row r="60" spans="1:20" ht="12.75">
      <c r="A60" s="21"/>
      <c r="B60" s="21"/>
      <c r="C60" s="21"/>
      <c r="D60" s="21"/>
      <c r="E60" s="21"/>
      <c r="F60" s="21"/>
      <c r="G60" s="21"/>
      <c r="H60" s="21"/>
      <c r="J60" s="21"/>
      <c r="K60" s="23"/>
      <c r="L60" s="9"/>
      <c r="M60" s="21"/>
      <c r="N60" s="21"/>
      <c r="O60" s="21"/>
      <c r="P60" s="20"/>
      <c r="Q60" s="20"/>
      <c r="R60" s="20"/>
      <c r="T60" s="21"/>
    </row>
    <row r="61" spans="1:20" ht="12.75">
      <c r="A61" s="21"/>
      <c r="B61" s="21"/>
      <c r="C61" s="21"/>
      <c r="D61" s="21"/>
      <c r="E61" s="21"/>
      <c r="F61" s="21"/>
      <c r="G61" s="21"/>
      <c r="H61" s="21"/>
      <c r="J61" s="21"/>
      <c r="K61" s="23"/>
      <c r="L61" s="9"/>
      <c r="M61" s="21"/>
      <c r="N61" s="21"/>
      <c r="O61" s="21"/>
      <c r="P61" s="20"/>
      <c r="Q61" s="20"/>
      <c r="R61" s="20"/>
      <c r="T61" s="21"/>
    </row>
    <row r="62" spans="1:20" ht="12.75">
      <c r="A62" s="21"/>
      <c r="B62" s="21"/>
      <c r="C62" s="21"/>
      <c r="D62" s="21"/>
      <c r="E62" s="21"/>
      <c r="F62" s="21"/>
      <c r="G62" s="21"/>
      <c r="H62" s="21"/>
      <c r="J62" s="21"/>
      <c r="K62" s="23"/>
      <c r="L62" s="9"/>
      <c r="M62" s="21"/>
      <c r="N62" s="21"/>
      <c r="O62" s="21"/>
      <c r="P62" s="20"/>
      <c r="Q62" s="20"/>
      <c r="R62" s="20"/>
      <c r="T62" s="21"/>
    </row>
    <row r="63" spans="1:20" ht="13.5" thickBot="1">
      <c r="A63" s="21"/>
      <c r="B63" s="21"/>
      <c r="C63" s="21"/>
      <c r="D63" s="21"/>
      <c r="E63" s="21"/>
      <c r="F63" s="21"/>
      <c r="G63" s="21"/>
      <c r="H63" s="21"/>
      <c r="J63" s="21"/>
      <c r="K63" s="45">
        <f>SUM(K59:K62)</f>
        <v>-0.68400000000000005</v>
      </c>
      <c r="L63" s="54">
        <f>SUM(L59:L62)</f>
        <v>-1888.31</v>
      </c>
      <c r="M63" s="21"/>
      <c r="N63" s="21"/>
      <c r="O63" s="21"/>
      <c r="P63" s="20"/>
      <c r="Q63" s="20"/>
      <c r="R63" s="20"/>
      <c r="T63" s="21"/>
    </row>
    <row r="64" spans="1:20" ht="13.5" thickTop="1">
      <c r="A64" s="21"/>
      <c r="B64" s="21"/>
      <c r="C64" s="21"/>
      <c r="D64" s="21"/>
      <c r="E64" s="21"/>
      <c r="F64" s="21"/>
      <c r="G64" s="21"/>
      <c r="H64" s="21"/>
      <c r="J64" s="21"/>
      <c r="K64" s="23"/>
      <c r="L64" s="20"/>
      <c r="M64" s="21"/>
      <c r="N64" s="21"/>
      <c r="O64" s="21"/>
      <c r="P64" s="20"/>
      <c r="Q64" s="20"/>
      <c r="R64" s="20"/>
      <c r="T64" s="21"/>
    </row>
    <row r="65" spans="1:20" ht="12.75">
      <c r="A65" s="21"/>
      <c r="B65" s="21"/>
      <c r="C65" s="21"/>
      <c r="D65" s="21"/>
      <c r="E65" s="21"/>
      <c r="F65" s="21"/>
      <c r="G65" s="21"/>
      <c r="H65" s="21"/>
      <c r="J65" s="21"/>
      <c r="K65" s="23"/>
      <c r="L65" s="20"/>
      <c r="M65" s="21"/>
      <c r="N65" s="21"/>
      <c r="O65" s="21"/>
      <c r="P65" s="20"/>
      <c r="Q65" s="20"/>
      <c r="R65" s="20"/>
      <c r="T65" s="21"/>
    </row>
    <row r="66" spans="1:20" ht="12.75">
      <c r="A66" s="21"/>
      <c r="B66" s="21"/>
      <c r="C66" s="21"/>
      <c r="D66" s="21"/>
      <c r="E66" s="21"/>
      <c r="F66" s="21"/>
      <c r="G66" s="21"/>
      <c r="H66" s="21"/>
      <c r="J66" s="21"/>
      <c r="K66" s="23"/>
      <c r="L66" s="20"/>
      <c r="M66" s="21"/>
      <c r="N66" s="21"/>
      <c r="O66" s="21"/>
      <c r="P66" s="20"/>
      <c r="Q66" s="20"/>
      <c r="R66" s="20"/>
      <c r="T66" s="21"/>
    </row>
    <row r="67" spans="1:20" ht="12.75">
      <c r="A67" s="21"/>
      <c r="B67" s="21"/>
      <c r="C67" s="21"/>
      <c r="D67" s="21"/>
      <c r="E67" s="21"/>
      <c r="F67" s="21"/>
      <c r="G67" s="21"/>
      <c r="H67" s="21"/>
      <c r="J67" s="21"/>
      <c r="K67" s="23"/>
      <c r="L67" s="20"/>
      <c r="M67" s="21"/>
      <c r="N67" s="21"/>
      <c r="O67" s="21"/>
      <c r="P67" s="20"/>
      <c r="Q67" s="20"/>
      <c r="R67" s="20"/>
      <c r="T67" s="21"/>
    </row>
  </sheetData>
  <autoFilter ref="A14:W23"/>
  <mergeCells count="10">
    <mergeCell ref="E37:G37"/>
    <mergeCell ref="K45:M45"/>
    <mergeCell ref="K46:M46"/>
    <mergeCell ref="K47:M47"/>
    <mergeCell ref="A3:E3"/>
    <mergeCell ref="A13:D13"/>
    <mergeCell ref="E33:F33"/>
    <mergeCell ref="E34:F34"/>
    <mergeCell ref="E35:F35"/>
    <mergeCell ref="E36:F36"/>
  </mergeCells>
  <dataValidations count="10">
    <dataValidation type="textLength" showInputMessage="1" showErrorMessage="1" error="Text exceeds maximum character length of 6 characters" sqref="B46:B49">
      <formula1>0</formula1>
      <formula2>6</formula2>
    </dataValidation>
    <dataValidation type="textLength" showInputMessage="1" showErrorMessage="1" error="Text exceeds maximum character length of 7 characters" sqref="C46:C49">
      <formula1>0</formula1>
      <formula2>7</formula2>
    </dataValidation>
    <dataValidation type="textLength" showInputMessage="1" showErrorMessage="1" error="Text exceeds maximum character length of 3 characters" sqref="D46:D49">
      <formula1>0</formula1>
      <formula2>3</formula2>
    </dataValidation>
    <dataValidation type="textLength" showInputMessage="1" showErrorMessage="1" error="Text exceeds maximum character length of 8 characters" sqref="E46:E49">
      <formula1>0</formula1>
      <formula2>8</formula2>
    </dataValidation>
    <dataValidation type="textLength" showInputMessage="1" showErrorMessage="1" error="Text exceeds maximum character length of 4 characters" sqref="F46:G49">
      <formula1>0</formula1>
      <formula2>4</formula2>
    </dataValidation>
    <dataValidation type="textLength" showInputMessage="1" showErrorMessage="1" error="Text exceeds maximum character length of 5 characters" sqref="H46:H49 A46:A49">
      <formula1>0</formula1>
      <formula2>5</formula2>
    </dataValidation>
    <dataValidation type="textLength" showInputMessage="1" showErrorMessage="1" error="Text exceeds maximum character length of 23 characters" sqref="I46:I49">
      <formula1>0</formula1>
      <formula2>23</formula2>
    </dataValidation>
    <dataValidation type="textLength" showInputMessage="1" showErrorMessage="1" error="Text exceeds maximum character length of 10 characters" sqref="J46:J49">
      <formula1>0</formula1>
      <formula2>10</formula2>
    </dataValidation>
    <dataValidation type="textLength" showInputMessage="1" showErrorMessage="1" error="Text exceeds maximum character length of 30 characters" sqref="K46:K49">
      <formula1>0</formula1>
      <formula2>30</formula2>
    </dataValidation>
    <dataValidation errorStyle="information" type="list" allowBlank="1" showInputMessage="1" showErrorMessage="1" prompt="This field only accepts 'NEXT' or the current journal ID - OK to accept this value" error="This field only accepts 'NEXT' or the current journal ID - OK to accept this value" sqref="F2">
      <formula1>"NEXT"</formula1>
    </dataValidation>
  </dataValidations>
  <pageMargins left="0.7" right="0.7" top="2.5" bottom="0.75" header="1.25" footer="0.3"/>
  <pageSetup orientation="landscape" scale="35" r:id="rId2"/>
  <headerFooter>
    <oddHeader>&amp;C&amp;"Arial,Bold"&amp;12 
2022 RATE CASE
ONCOR ELECTRIC DELIVERY COMPANY LLC
GAIN OR LOSS ON SALE OF UTILITY ASSETS
FOR THE TEST YEAR ENDING DECEMBER 31, 2021
SPONSOR: W. A. LEDBETTER&amp;R&amp;"Arial,Bold"&amp;12WP/II-B-13/01
Page &amp;P of &amp;N</oddHead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W63"/>
  <sheetViews>
    <sheetView workbookViewId="0" topLeftCell="A1">
      <selection pane="topLeft" activeCell="H31" sqref="H31"/>
    </sheetView>
  </sheetViews>
  <sheetFormatPr defaultColWidth="9.14428571428571" defaultRowHeight="12.75"/>
  <cols>
    <col min="1" max="1" width="4.85714285714286" style="19" bestFit="1" customWidth="1"/>
    <col min="2" max="2" width="11.5714285714286" style="19" bestFit="1" customWidth="1"/>
    <col min="3" max="3" width="14.4285714285714" style="19" bestFit="1" customWidth="1"/>
    <col min="4" max="4" width="22.5714285714286" style="19" bestFit="1" customWidth="1"/>
    <col min="5" max="5" width="11.1428571428571" style="19" bestFit="1" customWidth="1"/>
    <col min="6" max="6" width="13.2857142857143" style="19" bestFit="1" customWidth="1"/>
    <col min="7" max="7" width="13.4285714285714" style="19" bestFit="1" customWidth="1"/>
    <col min="8" max="8" width="12.1428571428571" style="19" bestFit="1" customWidth="1"/>
    <col min="9" max="9" width="12.2857142857143" style="20" bestFit="1" customWidth="1"/>
    <col min="10" max="10" width="11.8571428571429" style="19" bestFit="1" customWidth="1"/>
    <col min="11" max="11" width="14.1428571428571" style="19" bestFit="1" customWidth="1"/>
    <col min="12" max="12" width="11.2857142857143" style="19" bestFit="1" customWidth="1"/>
    <col min="13" max="13" width="10.7142857142857" style="19" bestFit="1" customWidth="1"/>
    <col min="14" max="14" width="13.5714285714286" style="19" bestFit="1" customWidth="1"/>
    <col min="15" max="15" width="12.8571428571429" style="19" bestFit="1" customWidth="1"/>
    <col min="16" max="16" width="25.7142857142857" style="19" bestFit="1" customWidth="1"/>
    <col min="17" max="17" width="15.8571428571429" style="19" customWidth="1"/>
    <col min="18" max="18" width="8.85714285714286" style="19" bestFit="1" customWidth="1"/>
    <col min="19" max="19" width="10.1428571428571" style="19" customWidth="1"/>
    <col min="20" max="20" width="13" style="19" bestFit="1" customWidth="1"/>
    <col min="21" max="21" width="55.8571428571429" style="19" bestFit="1" customWidth="1"/>
    <col min="22" max="22" width="11.7142857142857" style="19" customWidth="1"/>
    <col min="23" max="23" width="10.8571428571429" style="19" customWidth="1"/>
    <col min="24" max="16384" width="9.14285714285714" style="19"/>
  </cols>
  <sheetData>
    <row r="1" spans="1:6" ht="12.75">
      <c r="A1" s="48" t="s">
        <v>171</v>
      </c>
      <c r="B1" s="48"/>
      <c r="C1" s="48"/>
      <c r="D1" s="48"/>
      <c r="E1" s="48"/>
      <c r="F1" s="48"/>
    </row>
    <row r="2" spans="1:1" ht="13.5" thickBot="1">
      <c r="A2" s="12"/>
    </row>
    <row r="3" spans="1:5" ht="16.5" thickTop="1" thickBot="1">
      <c r="A3" s="63"/>
      <c r="B3" s="64"/>
      <c r="C3" s="64"/>
      <c r="D3" s="64"/>
      <c r="E3" s="65"/>
    </row>
    <row r="4" spans="1:16" ht="16.5" thickTop="1" thickBot="1">
      <c r="A4" s="10" t="s">
        <v>0</v>
      </c>
      <c r="B4" s="10" t="s">
        <v>5</v>
      </c>
      <c r="C4" s="10" t="s">
        <v>6</v>
      </c>
      <c r="D4" s="10" t="s">
        <v>7</v>
      </c>
      <c r="E4" s="10" t="s">
        <v>8</v>
      </c>
      <c r="F4" s="10" t="s">
        <v>9</v>
      </c>
      <c r="G4" s="10" t="s">
        <v>10</v>
      </c>
      <c r="H4" s="10" t="s">
        <v>11</v>
      </c>
      <c r="I4" s="11" t="s">
        <v>12</v>
      </c>
      <c r="J4" s="10" t="s">
        <v>13</v>
      </c>
      <c r="K4" s="10" t="s">
        <v>14</v>
      </c>
      <c r="L4" s="10" t="s">
        <v>15</v>
      </c>
      <c r="M4" s="10" t="s">
        <v>1</v>
      </c>
      <c r="N4" s="10" t="s">
        <v>16</v>
      </c>
      <c r="O4" s="10" t="s">
        <v>17</v>
      </c>
      <c r="P4" s="10" t="s">
        <v>18</v>
      </c>
    </row>
    <row r="5" spans="1:20" ht="12.75" customHeight="1" thickTop="1">
      <c r="A5" s="21" t="s">
        <v>19</v>
      </c>
      <c r="B5" s="21" t="s">
        <v>20</v>
      </c>
      <c r="C5" s="21" t="s">
        <v>21</v>
      </c>
      <c r="D5" s="21" t="s">
        <v>22</v>
      </c>
      <c r="E5" s="21" t="s">
        <v>172</v>
      </c>
      <c r="F5" s="21" t="s">
        <v>24</v>
      </c>
      <c r="G5" s="21" t="s">
        <v>24</v>
      </c>
      <c r="H5" s="21"/>
      <c r="I5" s="9">
        <v>-34657</v>
      </c>
      <c r="J5" s="21" t="s">
        <v>158</v>
      </c>
      <c r="K5" s="21"/>
      <c r="L5" s="21">
        <v>9</v>
      </c>
      <c r="M5" s="21">
        <v>2021</v>
      </c>
      <c r="N5" s="21" t="s">
        <v>27</v>
      </c>
      <c r="O5" s="21" t="s">
        <v>159</v>
      </c>
      <c r="P5" s="21" t="s">
        <v>29</v>
      </c>
      <c r="Q5" s="21"/>
      <c r="R5" s="21"/>
      <c r="S5" s="21"/>
      <c r="T5" s="21"/>
    </row>
    <row r="6" spans="1:20" ht="12.75" customHeight="1">
      <c r="A6" s="21" t="s">
        <v>19</v>
      </c>
      <c r="B6" s="21" t="s">
        <v>20</v>
      </c>
      <c r="C6" s="21" t="s">
        <v>21</v>
      </c>
      <c r="D6" s="21" t="s">
        <v>22</v>
      </c>
      <c r="E6" s="21" t="s">
        <v>172</v>
      </c>
      <c r="F6" s="21" t="s">
        <v>24</v>
      </c>
      <c r="G6" s="21" t="s">
        <v>24</v>
      </c>
      <c r="H6" s="21"/>
      <c r="I6" s="9">
        <v>34657</v>
      </c>
      <c r="J6" s="21" t="s">
        <v>158</v>
      </c>
      <c r="K6" s="21"/>
      <c r="L6" s="21">
        <v>10</v>
      </c>
      <c r="M6" s="21">
        <v>2021</v>
      </c>
      <c r="N6" s="21" t="s">
        <v>27</v>
      </c>
      <c r="O6" s="21" t="s">
        <v>159</v>
      </c>
      <c r="P6" s="21" t="s">
        <v>29</v>
      </c>
      <c r="Q6" s="21"/>
      <c r="R6" s="21"/>
      <c r="S6" s="21"/>
      <c r="T6" s="21"/>
    </row>
    <row r="7" spans="1:20" ht="12.75" customHeight="1">
      <c r="A7" s="21"/>
      <c r="B7" s="21"/>
      <c r="C7" s="21"/>
      <c r="D7" s="21"/>
      <c r="E7" s="21"/>
      <c r="F7" s="21"/>
      <c r="G7" s="21"/>
      <c r="H7" s="21"/>
      <c r="J7" s="21"/>
      <c r="K7" s="21"/>
      <c r="L7" s="21"/>
      <c r="M7" s="21"/>
      <c r="N7" s="21"/>
      <c r="O7" s="21"/>
      <c r="P7" s="21"/>
      <c r="Q7" s="21"/>
      <c r="R7" s="21"/>
      <c r="S7" s="21"/>
      <c r="T7" s="21"/>
    </row>
    <row r="8" spans="1:20" ht="12.75" customHeight="1">
      <c r="A8" s="21"/>
      <c r="B8" s="21"/>
      <c r="C8" s="21"/>
      <c r="D8" s="21"/>
      <c r="E8" s="21"/>
      <c r="F8" s="21"/>
      <c r="G8" s="21"/>
      <c r="H8" s="21"/>
      <c r="J8" s="21"/>
      <c r="K8" s="21"/>
      <c r="L8" s="21"/>
      <c r="M8" s="21"/>
      <c r="N8" s="21"/>
      <c r="O8" s="21"/>
      <c r="P8" s="21"/>
      <c r="Q8" s="21"/>
      <c r="R8" s="21"/>
      <c r="S8" s="21"/>
      <c r="T8" s="21"/>
    </row>
    <row r="9" spans="1:20" ht="12.75" customHeight="1">
      <c r="A9" s="21"/>
      <c r="B9" s="21"/>
      <c r="C9" s="21"/>
      <c r="D9" s="21"/>
      <c r="E9" s="21"/>
      <c r="F9" s="21"/>
      <c r="G9" s="21"/>
      <c r="H9" s="21"/>
      <c r="J9" s="21"/>
      <c r="K9" s="21"/>
      <c r="L9" s="21"/>
      <c r="M9" s="21"/>
      <c r="N9" s="21"/>
      <c r="O9" s="21"/>
      <c r="P9" s="21"/>
      <c r="Q9" s="21"/>
      <c r="R9" s="21"/>
      <c r="S9" s="21"/>
      <c r="T9" s="21"/>
    </row>
    <row r="10" ht="12.75" customHeight="1"/>
    <row r="11" spans="1:1" ht="12.75">
      <c r="A11" s="8" t="s">
        <v>30</v>
      </c>
    </row>
    <row r="12" spans="1:1" ht="13.5" thickBot="1">
      <c r="A12" s="8"/>
    </row>
    <row r="13" spans="1:22" ht="16.5" thickTop="1" thickBot="1">
      <c r="A13" s="63"/>
      <c r="B13" s="64"/>
      <c r="C13" s="64"/>
      <c r="D13" s="65"/>
      <c r="V13" s="12" t="s">
        <v>31</v>
      </c>
    </row>
    <row r="14" spans="1:23" ht="16.5" thickTop="1" thickBot="1">
      <c r="A14" s="10" t="s">
        <v>0</v>
      </c>
      <c r="B14" s="10" t="s">
        <v>32</v>
      </c>
      <c r="C14" s="10" t="s">
        <v>33</v>
      </c>
      <c r="D14" s="10" t="s">
        <v>18</v>
      </c>
      <c r="E14" s="10" t="s">
        <v>6</v>
      </c>
      <c r="F14" s="10" t="s">
        <v>34</v>
      </c>
      <c r="G14" s="10" t="s">
        <v>35</v>
      </c>
      <c r="H14" s="10" t="s">
        <v>36</v>
      </c>
      <c r="I14" s="11" t="s">
        <v>37</v>
      </c>
      <c r="J14" s="10" t="s">
        <v>18</v>
      </c>
      <c r="K14" s="10" t="s">
        <v>38</v>
      </c>
      <c r="L14" s="10" t="s">
        <v>8</v>
      </c>
      <c r="M14" s="10" t="s">
        <v>39</v>
      </c>
      <c r="N14" s="10" t="s">
        <v>40</v>
      </c>
      <c r="O14" s="10" t="s">
        <v>41</v>
      </c>
      <c r="P14" s="10" t="s">
        <v>42</v>
      </c>
      <c r="Q14" s="10" t="s">
        <v>43</v>
      </c>
      <c r="R14" s="10" t="s">
        <v>44</v>
      </c>
      <c r="S14" s="10" t="s">
        <v>45</v>
      </c>
      <c r="T14" s="10" t="s">
        <v>46</v>
      </c>
      <c r="U14" s="10" t="s">
        <v>18</v>
      </c>
      <c r="V14" s="10" t="s">
        <v>48</v>
      </c>
      <c r="W14" s="10" t="s">
        <v>49</v>
      </c>
    </row>
    <row r="15" spans="1:22" ht="13.5" thickTop="1">
      <c r="A15" s="19" t="s">
        <v>19</v>
      </c>
      <c r="B15" s="19" t="s">
        <v>177</v>
      </c>
      <c r="C15" s="19" t="s">
        <v>173</v>
      </c>
      <c r="D15" s="19" t="s">
        <v>174</v>
      </c>
      <c r="E15" s="19" t="s">
        <v>53</v>
      </c>
      <c r="F15" s="19" t="s">
        <v>2</v>
      </c>
      <c r="G15" s="19" t="s">
        <v>54</v>
      </c>
      <c r="H15" s="19" t="s">
        <v>55</v>
      </c>
      <c r="I15" s="20" t="s">
        <v>56</v>
      </c>
      <c r="J15" s="19" t="s">
        <v>57</v>
      </c>
      <c r="K15" s="19" t="s">
        <v>69</v>
      </c>
      <c r="M15" s="19" t="s">
        <v>176</v>
      </c>
      <c r="N15" s="9">
        <v>5170.3599999999997</v>
      </c>
      <c r="O15" s="9">
        <v>5170.3599999999997</v>
      </c>
      <c r="P15" s="19">
        <v>0</v>
      </c>
      <c r="Q15" s="20">
        <v>0</v>
      </c>
      <c r="R15" s="19">
        <v>4.6299999999999999</v>
      </c>
      <c r="S15" s="22">
        <v>34669</v>
      </c>
      <c r="U15" s="19" t="s">
        <v>175</v>
      </c>
      <c r="V15" s="19" t="s">
        <v>178</v>
      </c>
    </row>
    <row r="16" spans="14:19" ht="12.75">
      <c r="N16" s="20"/>
      <c r="O16" s="20"/>
      <c r="Q16" s="20"/>
      <c r="S16" s="22"/>
    </row>
    <row r="17" spans="14:19" ht="12.75">
      <c r="N17" s="20"/>
      <c r="O17" s="20"/>
      <c r="Q17" s="20"/>
      <c r="S17" s="22"/>
    </row>
    <row r="18" spans="15:18" ht="13.5" thickBot="1">
      <c r="O18" s="44">
        <f>O15</f>
        <v>5170.3599999999997</v>
      </c>
      <c r="Q18" s="20">
        <f>SUM(Q15:Q17)</f>
        <v>0</v>
      </c>
      <c r="R18" s="53">
        <f>R15</f>
        <v>4.6299999999999999</v>
      </c>
    </row>
    <row r="19" spans="18:18" ht="13.5" thickTop="1">
      <c r="R19" s="23"/>
    </row>
    <row r="20" spans="15:16" ht="12.75">
      <c r="O20" s="20">
        <f>ROUND(O18/R18,2)</f>
        <v>1116.71</v>
      </c>
      <c r="P20" s="3" t="s">
        <v>97</v>
      </c>
    </row>
    <row r="21" spans="15:18" ht="12.75">
      <c r="O21" s="20">
        <f>ROUND(O20*Q21,2)</f>
        <v>164.16</v>
      </c>
      <c r="P21" s="3" t="s">
        <v>98</v>
      </c>
      <c r="Q21" s="43">
        <v>0.14699999999999999</v>
      </c>
      <c r="R21" s="13" t="s">
        <v>99</v>
      </c>
    </row>
    <row r="24" spans="1:20" ht="15">
      <c r="A24" s="8" t="s">
        <v>100</v>
      </c>
      <c r="O24" s="46"/>
      <c r="P24" s="49"/>
      <c r="Q24" s="28"/>
      <c r="R24" s="28"/>
      <c r="S24" s="28"/>
      <c r="T24" s="28"/>
    </row>
    <row r="25" spans="15:20" ht="15.75" thickBot="1">
      <c r="O25" s="46"/>
      <c r="P25" s="49"/>
      <c r="Q25" s="28"/>
      <c r="R25" s="28"/>
      <c r="S25" s="28"/>
      <c r="T25" s="46"/>
    </row>
    <row r="26" spans="2:20" ht="12.75">
      <c r="B26" s="24"/>
      <c r="C26" s="25"/>
      <c r="D26" s="25"/>
      <c r="E26" s="25"/>
      <c r="F26" s="25"/>
      <c r="G26" s="26"/>
      <c r="O26" s="28"/>
      <c r="P26" s="49"/>
      <c r="Q26" s="28"/>
      <c r="R26" s="28"/>
      <c r="S26" s="28"/>
      <c r="T26" s="28"/>
    </row>
    <row r="27" spans="2:20" ht="12.75">
      <c r="B27" s="27"/>
      <c r="C27" s="40">
        <f>I5</f>
        <v>-34657</v>
      </c>
      <c r="D27" s="28"/>
      <c r="E27" s="66" t="s">
        <v>103</v>
      </c>
      <c r="F27" s="66"/>
      <c r="G27" s="5"/>
      <c r="O27" s="28"/>
      <c r="P27" s="49"/>
      <c r="Q27" s="28"/>
      <c r="R27" s="28"/>
      <c r="S27" s="28"/>
      <c r="T27" s="28"/>
    </row>
    <row r="28" spans="2:20" ht="12.75">
      <c r="B28" s="27"/>
      <c r="C28" s="18">
        <f>I7</f>
        <v>0</v>
      </c>
      <c r="D28" s="28"/>
      <c r="E28" s="67" t="s">
        <v>104</v>
      </c>
      <c r="F28" s="67"/>
      <c r="G28" s="5"/>
      <c r="O28" s="28"/>
      <c r="P28" s="49"/>
      <c r="Q28" s="28"/>
      <c r="R28" s="28"/>
      <c r="S28" s="28"/>
      <c r="T28" s="28"/>
    </row>
    <row r="29" spans="2:20" ht="15">
      <c r="B29" s="27"/>
      <c r="C29" s="40">
        <f>C27+C28</f>
        <v>-34657</v>
      </c>
      <c r="D29" s="28"/>
      <c r="E29" s="66" t="s">
        <v>105</v>
      </c>
      <c r="F29" s="66"/>
      <c r="G29" s="5"/>
      <c r="O29" s="47"/>
      <c r="P29" s="49"/>
      <c r="Q29" s="28"/>
      <c r="R29" s="28"/>
      <c r="S29" s="28"/>
      <c r="T29" s="28"/>
    </row>
    <row r="30" spans="2:20" ht="15">
      <c r="B30" s="27"/>
      <c r="C30" s="40">
        <f>O21</f>
        <v>164.16</v>
      </c>
      <c r="D30" s="28"/>
      <c r="E30" s="67" t="s">
        <v>107</v>
      </c>
      <c r="F30" s="67"/>
      <c r="G30" s="5"/>
      <c r="O30" s="47"/>
      <c r="P30" s="49"/>
      <c r="Q30" s="28"/>
      <c r="R30" s="28"/>
      <c r="S30" s="28"/>
      <c r="T30" s="28"/>
    </row>
    <row r="31" spans="2:20" ht="13.5" thickBot="1">
      <c r="B31" s="27"/>
      <c r="C31" s="41">
        <f>SUM(C29:C30)</f>
        <v>-34492.839999999997</v>
      </c>
      <c r="D31" s="28"/>
      <c r="E31" s="66" t="s">
        <v>109</v>
      </c>
      <c r="F31" s="66"/>
      <c r="G31" s="69"/>
      <c r="O31" s="28"/>
      <c r="P31" s="49"/>
      <c r="Q31" s="28"/>
      <c r="R31" s="28"/>
      <c r="S31" s="28"/>
      <c r="T31" s="28"/>
    </row>
    <row r="32" spans="2:20" ht="16.5" thickTop="1" thickBot="1">
      <c r="B32" s="31"/>
      <c r="C32" s="32"/>
      <c r="D32" s="32"/>
      <c r="E32" s="32"/>
      <c r="F32" s="32"/>
      <c r="G32" s="33"/>
      <c r="O32" s="28"/>
      <c r="P32" s="49"/>
      <c r="Q32" s="46"/>
      <c r="R32" s="28"/>
      <c r="S32" s="28"/>
      <c r="T32" s="28"/>
    </row>
    <row r="33" spans="15:20" ht="15">
      <c r="O33" s="28"/>
      <c r="P33" s="49"/>
      <c r="Q33" s="46"/>
      <c r="R33" s="28"/>
      <c r="S33" s="28"/>
      <c r="T33" s="28"/>
    </row>
    <row r="34" spans="15:20" ht="15">
      <c r="O34" s="28"/>
      <c r="P34" s="49"/>
      <c r="Q34" s="46"/>
      <c r="R34" s="28"/>
      <c r="S34" s="28"/>
      <c r="T34" s="28"/>
    </row>
    <row r="35" spans="1:20" ht="12.75">
      <c r="A35" s="8" t="s">
        <v>113</v>
      </c>
      <c r="B35" s="7"/>
      <c r="C35" s="7"/>
      <c r="D35" s="7"/>
      <c r="E35" s="7"/>
      <c r="F35" s="7"/>
      <c r="G35" s="7"/>
      <c r="H35" s="7"/>
      <c r="I35" s="6"/>
      <c r="J35" s="7"/>
      <c r="K35" s="7"/>
      <c r="O35" s="28"/>
      <c r="P35" s="28"/>
      <c r="Q35" s="28"/>
      <c r="R35" s="28"/>
      <c r="S35" s="28"/>
      <c r="T35" s="28"/>
    </row>
    <row r="36" spans="1:11" ht="12.75">
      <c r="A36" s="8"/>
      <c r="B36" s="7"/>
      <c r="C36" s="7"/>
      <c r="D36" s="7"/>
      <c r="E36" s="7"/>
      <c r="F36" s="7"/>
      <c r="G36" s="7"/>
      <c r="H36" s="7"/>
      <c r="I36" s="6"/>
      <c r="J36" s="7"/>
      <c r="K36" s="7"/>
    </row>
    <row r="37" spans="1:17" ht="15">
      <c r="A37" s="8" t="s">
        <v>114</v>
      </c>
      <c r="B37" s="7"/>
      <c r="C37" s="7"/>
      <c r="D37" s="7"/>
      <c r="E37" s="7"/>
      <c r="F37" s="7"/>
      <c r="G37" s="7"/>
      <c r="H37" s="7"/>
      <c r="I37" s="6"/>
      <c r="J37" s="7"/>
      <c r="K37" s="7"/>
      <c r="P37" s="20"/>
      <c r="Q37" s="14"/>
    </row>
    <row r="38" spans="1:11" ht="12.75">
      <c r="A38" s="7"/>
      <c r="B38" s="7"/>
      <c r="C38" s="7"/>
      <c r="D38" s="7"/>
      <c r="E38" s="7"/>
      <c r="F38" s="7"/>
      <c r="G38" s="7"/>
      <c r="H38" s="7"/>
      <c r="I38" s="6"/>
      <c r="J38" s="7"/>
      <c r="K38" s="7"/>
    </row>
    <row r="39" spans="1:13" ht="12.75">
      <c r="A39" s="34" t="s">
        <v>115</v>
      </c>
      <c r="B39" s="34" t="s">
        <v>116</v>
      </c>
      <c r="C39" s="34" t="s">
        <v>6</v>
      </c>
      <c r="D39" s="34" t="s">
        <v>7</v>
      </c>
      <c r="E39" s="34" t="s">
        <v>8</v>
      </c>
      <c r="F39" s="34" t="s">
        <v>9</v>
      </c>
      <c r="G39" s="34" t="s">
        <v>10</v>
      </c>
      <c r="H39" s="34" t="s">
        <v>11</v>
      </c>
      <c r="I39" s="50" t="s">
        <v>117</v>
      </c>
      <c r="J39" s="34" t="s">
        <v>46</v>
      </c>
      <c r="K39" s="70" t="s">
        <v>118</v>
      </c>
      <c r="L39" s="71"/>
      <c r="M39" s="72"/>
    </row>
    <row r="40" spans="1:13" ht="12.75">
      <c r="A40" s="35" t="str">
        <f>A5</f>
        <v>TRN</v>
      </c>
      <c r="B40" s="35" t="str">
        <f>B5</f>
        <v>515660</v>
      </c>
      <c r="C40" s="35" t="s">
        <v>119</v>
      </c>
      <c r="D40" s="35" t="s">
        <v>120</v>
      </c>
      <c r="E40" s="35" t="str">
        <f>E5</f>
        <v>0PT46301</v>
      </c>
      <c r="F40" s="35" t="s">
        <v>24</v>
      </c>
      <c r="G40" s="35" t="s">
        <v>24</v>
      </c>
      <c r="H40" s="35" t="s">
        <v>25</v>
      </c>
      <c r="I40" s="42">
        <f>-I41</f>
        <v>34492.839999999997</v>
      </c>
      <c r="J40" s="35"/>
      <c r="K40" s="74" t="s">
        <v>179</v>
      </c>
      <c r="L40" s="74"/>
      <c r="M40" s="74"/>
    </row>
    <row r="41" spans="1:13" ht="12.75">
      <c r="A41" s="35" t="str">
        <f>A40</f>
        <v>TRN</v>
      </c>
      <c r="B41" s="51" t="str">
        <f>B40</f>
        <v>515660</v>
      </c>
      <c r="C41" s="35" t="s">
        <v>121</v>
      </c>
      <c r="D41" s="35" t="s">
        <v>122</v>
      </c>
      <c r="E41" s="35" t="str">
        <f>E40</f>
        <v>0PT46301</v>
      </c>
      <c r="F41" s="35" t="s">
        <v>24</v>
      </c>
      <c r="G41" s="35" t="s">
        <v>24</v>
      </c>
      <c r="H41" s="35" t="s">
        <v>25</v>
      </c>
      <c r="I41" s="42">
        <f>ROUND(C31,2)</f>
        <v>-34492.839999999997</v>
      </c>
      <c r="J41" s="35"/>
      <c r="K41" s="74" t="str">
        <f>K40</f>
        <v xml:space="preserve">Sale of  0.147 acres </v>
      </c>
      <c r="L41" s="74"/>
      <c r="M41" s="74"/>
    </row>
    <row r="42" spans="1:11" s="28" customFormat="1" ht="12.75">
      <c r="A42" s="37"/>
      <c r="B42" s="37"/>
      <c r="C42" s="37"/>
      <c r="D42" s="37"/>
      <c r="E42" s="37"/>
      <c r="F42" s="37"/>
      <c r="G42" s="37"/>
      <c r="H42" s="37"/>
      <c r="I42" s="38"/>
      <c r="J42" s="37"/>
      <c r="K42" s="39"/>
    </row>
    <row r="43" spans="1:11" s="28" customFormat="1" ht="12.75" hidden="1">
      <c r="A43" s="8" t="s">
        <v>123</v>
      </c>
      <c r="B43" s="37"/>
      <c r="C43" s="37"/>
      <c r="D43" s="37"/>
      <c r="E43" s="37"/>
      <c r="F43" s="37"/>
      <c r="G43" s="37"/>
      <c r="H43" s="37"/>
      <c r="I43" s="38"/>
      <c r="J43" s="37"/>
      <c r="K43" s="39"/>
    </row>
    <row r="44" spans="1:11" s="28" customFormat="1" ht="12.75" hidden="1">
      <c r="A44" s="37"/>
      <c r="B44" s="37"/>
      <c r="C44" s="37"/>
      <c r="D44" s="37"/>
      <c r="E44" s="37"/>
      <c r="F44" s="37"/>
      <c r="G44" s="37"/>
      <c r="H44" s="37"/>
      <c r="I44" s="38"/>
      <c r="J44" s="37"/>
      <c r="K44" s="39"/>
    </row>
    <row r="45" spans="1:15" s="28" customFormat="1" ht="12.75" hidden="1">
      <c r="A45" s="34" t="s">
        <v>115</v>
      </c>
      <c r="B45" s="34" t="s">
        <v>116</v>
      </c>
      <c r="C45" s="34" t="s">
        <v>6</v>
      </c>
      <c r="D45" s="34" t="s">
        <v>7</v>
      </c>
      <c r="E45" s="34" t="s">
        <v>8</v>
      </c>
      <c r="F45" s="34" t="s">
        <v>9</v>
      </c>
      <c r="G45" s="34" t="s">
        <v>10</v>
      </c>
      <c r="H45" s="34" t="s">
        <v>11</v>
      </c>
      <c r="I45" s="50" t="s">
        <v>117</v>
      </c>
      <c r="J45" s="34" t="s">
        <v>46</v>
      </c>
      <c r="K45" s="75" t="s">
        <v>118</v>
      </c>
      <c r="L45" s="76"/>
      <c r="M45" s="76"/>
      <c r="O45" s="52"/>
    </row>
    <row r="46" spans="1:15" ht="12.75" hidden="1">
      <c r="A46" s="35" t="s">
        <v>19</v>
      </c>
      <c r="B46" s="35" t="e">
        <f>#REF!</f>
        <v>#REF!</v>
      </c>
      <c r="C46" s="35" t="s">
        <v>124</v>
      </c>
      <c r="D46" s="35" t="s">
        <v>122</v>
      </c>
      <c r="E46" s="35" t="e">
        <f>#REF!</f>
        <v>#REF!</v>
      </c>
      <c r="F46" s="35" t="s">
        <v>24</v>
      </c>
      <c r="G46" s="35" t="s">
        <v>24</v>
      </c>
      <c r="H46" s="35" t="s">
        <v>25</v>
      </c>
      <c r="I46" s="36">
        <f>ROUND(C31,2)</f>
        <v>-34492.839999999997</v>
      </c>
      <c r="J46" s="35"/>
      <c r="K46" s="74" t="s">
        <v>168</v>
      </c>
      <c r="L46" s="74"/>
      <c r="M46" s="74"/>
      <c r="O46" s="12"/>
    </row>
    <row r="47" spans="1:15" ht="12.75" hidden="1">
      <c r="A47" s="35" t="s">
        <v>19</v>
      </c>
      <c r="B47" s="35" t="e">
        <f>#REF!</f>
        <v>#REF!</v>
      </c>
      <c r="C47" s="35" t="s">
        <v>119</v>
      </c>
      <c r="D47" s="35" t="s">
        <v>120</v>
      </c>
      <c r="E47" s="35" t="e">
        <f>#REF!</f>
        <v>#REF!</v>
      </c>
      <c r="F47" s="35" t="s">
        <v>24</v>
      </c>
      <c r="G47" s="35" t="s">
        <v>24</v>
      </c>
      <c r="H47" s="35" t="s">
        <v>25</v>
      </c>
      <c r="I47" s="36">
        <f>-I46</f>
        <v>34492.839999999997</v>
      </c>
      <c r="J47" s="35"/>
      <c r="K47" s="73" t="str">
        <f>K46</f>
        <v>Loss on Sale of 11.399 Acres</v>
      </c>
      <c r="L47" s="74"/>
      <c r="M47" s="74"/>
      <c r="O47" s="12"/>
    </row>
    <row r="48" spans="1:11" ht="12.75">
      <c r="A48" s="37"/>
      <c r="B48" s="37"/>
      <c r="C48" s="37"/>
      <c r="D48" s="37"/>
      <c r="E48" s="37"/>
      <c r="F48" s="37"/>
      <c r="G48" s="37"/>
      <c r="H48" s="37"/>
      <c r="I48" s="38"/>
      <c r="J48" s="37"/>
      <c r="K48" s="39"/>
    </row>
    <row r="51" spans="1:1" ht="12.75">
      <c r="A51" s="8" t="s">
        <v>127</v>
      </c>
    </row>
    <row r="53" ht="13.5" thickBot="1"/>
    <row r="54" spans="1:3" ht="16.5" thickTop="1" thickBot="1">
      <c r="A54" s="10" t="s">
        <v>169</v>
      </c>
      <c r="B54" s="10"/>
      <c r="C54" s="10"/>
    </row>
    <row r="55" spans="1:20" ht="16.5" thickTop="1" thickBot="1">
      <c r="A55" s="10" t="s">
        <v>0</v>
      </c>
      <c r="B55" s="10" t="s">
        <v>8</v>
      </c>
      <c r="C55" s="10" t="s">
        <v>32</v>
      </c>
      <c r="D55" s="10" t="s">
        <v>39</v>
      </c>
      <c r="E55" s="10" t="s">
        <v>6</v>
      </c>
      <c r="F55" s="10" t="s">
        <v>35</v>
      </c>
      <c r="G55" s="10" t="s">
        <v>37</v>
      </c>
      <c r="H55" s="10" t="s">
        <v>18</v>
      </c>
      <c r="I55" s="11" t="s">
        <v>36</v>
      </c>
      <c r="J55" s="10" t="s">
        <v>38</v>
      </c>
      <c r="K55" s="10" t="s">
        <v>44</v>
      </c>
      <c r="L55" s="10" t="s">
        <v>40</v>
      </c>
      <c r="M55" s="10" t="s">
        <v>46</v>
      </c>
      <c r="N55" s="10" t="s">
        <v>47</v>
      </c>
      <c r="O55" s="10" t="s">
        <v>18</v>
      </c>
      <c r="P55" s="10" t="s">
        <v>43</v>
      </c>
      <c r="Q55" s="10" t="s">
        <v>42</v>
      </c>
      <c r="R55" s="10" t="s">
        <v>41</v>
      </c>
      <c r="S55" s="10" t="s">
        <v>45</v>
      </c>
      <c r="T55" s="10" t="s">
        <v>33</v>
      </c>
    </row>
    <row r="56" spans="1:20" ht="13.5" thickTop="1">
      <c r="A56" s="21" t="s">
        <v>19</v>
      </c>
      <c r="B56" s="21" t="s">
        <v>172</v>
      </c>
      <c r="C56" s="21" t="s">
        <v>177</v>
      </c>
      <c r="D56" s="21" t="s">
        <v>176</v>
      </c>
      <c r="E56" s="21" t="s">
        <v>53</v>
      </c>
      <c r="F56" s="21" t="s">
        <v>54</v>
      </c>
      <c r="G56" s="21" t="s">
        <v>56</v>
      </c>
      <c r="H56" s="21" t="s">
        <v>57</v>
      </c>
      <c r="I56" s="20" t="s">
        <v>55</v>
      </c>
      <c r="J56" s="21" t="s">
        <v>71</v>
      </c>
      <c r="K56" s="23">
        <v>-0.14699999999999999</v>
      </c>
      <c r="L56" s="9">
        <v>-164.16</v>
      </c>
      <c r="M56" s="21" t="s">
        <v>170</v>
      </c>
      <c r="N56" s="21" t="s">
        <v>91</v>
      </c>
      <c r="O56" s="21" t="s">
        <v>171</v>
      </c>
      <c r="P56" s="20">
        <v>0</v>
      </c>
      <c r="Q56" s="20">
        <v>0</v>
      </c>
      <c r="R56" s="9">
        <v>-164.16</v>
      </c>
      <c r="T56" s="21" t="s">
        <v>173</v>
      </c>
    </row>
    <row r="57" spans="1:20" ht="12.75">
      <c r="A57" s="21"/>
      <c r="B57" s="21"/>
      <c r="C57" s="21"/>
      <c r="D57" s="21"/>
      <c r="E57" s="21"/>
      <c r="F57" s="21"/>
      <c r="G57" s="21"/>
      <c r="H57" s="21"/>
      <c r="J57" s="21"/>
      <c r="K57" s="23"/>
      <c r="L57" s="9"/>
      <c r="M57" s="21"/>
      <c r="N57" s="21"/>
      <c r="O57" s="21"/>
      <c r="P57" s="20"/>
      <c r="Q57" s="20"/>
      <c r="R57" s="20"/>
      <c r="T57" s="21"/>
    </row>
    <row r="58" spans="1:20" ht="12.75">
      <c r="A58" s="21"/>
      <c r="B58" s="21"/>
      <c r="C58" s="21"/>
      <c r="D58" s="21"/>
      <c r="E58" s="21"/>
      <c r="F58" s="21"/>
      <c r="G58" s="21"/>
      <c r="H58" s="21"/>
      <c r="J58" s="21"/>
      <c r="K58" s="23"/>
      <c r="L58" s="9"/>
      <c r="M58" s="21"/>
      <c r="N58" s="21"/>
      <c r="O58" s="21"/>
      <c r="P58" s="20"/>
      <c r="Q58" s="20"/>
      <c r="R58" s="20"/>
      <c r="T58" s="21"/>
    </row>
    <row r="59" spans="1:20" ht="13.5" thickBot="1">
      <c r="A59" s="21"/>
      <c r="B59" s="21"/>
      <c r="C59" s="21"/>
      <c r="D59" s="21"/>
      <c r="E59" s="21"/>
      <c r="F59" s="21"/>
      <c r="G59" s="21"/>
      <c r="H59" s="21"/>
      <c r="J59" s="21"/>
      <c r="K59" s="45">
        <f>SUM(K56:K58)</f>
        <v>-0.14699999999999999</v>
      </c>
      <c r="L59" s="54">
        <f>SUM(L56:L58)</f>
        <v>-164.16</v>
      </c>
      <c r="M59" s="21"/>
      <c r="N59" s="21"/>
      <c r="O59" s="21"/>
      <c r="P59" s="20"/>
      <c r="Q59" s="20"/>
      <c r="R59" s="20"/>
      <c r="T59" s="21"/>
    </row>
    <row r="60" spans="1:20" ht="13.5" thickTop="1">
      <c r="A60" s="21"/>
      <c r="B60" s="21"/>
      <c r="C60" s="21"/>
      <c r="D60" s="21"/>
      <c r="E60" s="21"/>
      <c r="F60" s="21"/>
      <c r="G60" s="21"/>
      <c r="H60" s="21"/>
      <c r="J60" s="21"/>
      <c r="K60" s="23"/>
      <c r="L60" s="20"/>
      <c r="M60" s="21"/>
      <c r="N60" s="21"/>
      <c r="O60" s="21"/>
      <c r="P60" s="20"/>
      <c r="Q60" s="20"/>
      <c r="R60" s="20"/>
      <c r="T60" s="21"/>
    </row>
    <row r="61" spans="1:20" ht="12.75">
      <c r="A61" s="21"/>
      <c r="B61" s="21"/>
      <c r="C61" s="21"/>
      <c r="D61" s="21"/>
      <c r="E61" s="21"/>
      <c r="F61" s="21"/>
      <c r="G61" s="21"/>
      <c r="H61" s="21"/>
      <c r="J61" s="21"/>
      <c r="K61" s="23"/>
      <c r="L61" s="20"/>
      <c r="M61" s="21"/>
      <c r="N61" s="21"/>
      <c r="O61" s="21"/>
      <c r="P61" s="20"/>
      <c r="Q61" s="20"/>
      <c r="R61" s="20"/>
      <c r="T61" s="21"/>
    </row>
    <row r="62" spans="1:20" ht="12.75">
      <c r="A62" s="21"/>
      <c r="B62" s="21"/>
      <c r="C62" s="21"/>
      <c r="D62" s="21"/>
      <c r="E62" s="21"/>
      <c r="F62" s="21"/>
      <c r="G62" s="21"/>
      <c r="H62" s="21"/>
      <c r="J62" s="21"/>
      <c r="K62" s="23"/>
      <c r="L62" s="20"/>
      <c r="M62" s="21"/>
      <c r="N62" s="21"/>
      <c r="O62" s="21"/>
      <c r="P62" s="20"/>
      <c r="Q62" s="20"/>
      <c r="R62" s="20"/>
      <c r="T62" s="21"/>
    </row>
    <row r="63" spans="1:20" ht="12.75">
      <c r="A63" s="21"/>
      <c r="B63" s="21"/>
      <c r="C63" s="21"/>
      <c r="D63" s="21"/>
      <c r="E63" s="21"/>
      <c r="F63" s="21"/>
      <c r="G63" s="21"/>
      <c r="H63" s="21"/>
      <c r="J63" s="21"/>
      <c r="K63" s="23"/>
      <c r="L63" s="20"/>
      <c r="M63" s="21"/>
      <c r="N63" s="21"/>
      <c r="O63" s="21"/>
      <c r="P63" s="20"/>
      <c r="Q63" s="20"/>
      <c r="R63" s="20"/>
      <c r="T63" s="21"/>
    </row>
  </sheetData>
  <mergeCells count="13">
    <mergeCell ref="K47:M47"/>
    <mergeCell ref="E31:G31"/>
    <mergeCell ref="K39:M39"/>
    <mergeCell ref="K40:M40"/>
    <mergeCell ref="K41:M41"/>
    <mergeCell ref="K45:M45"/>
    <mergeCell ref="K46:M46"/>
    <mergeCell ref="E30:F30"/>
    <mergeCell ref="A3:E3"/>
    <mergeCell ref="A13:D13"/>
    <mergeCell ref="E27:F27"/>
    <mergeCell ref="E28:F28"/>
    <mergeCell ref="E29:F29"/>
  </mergeCells>
  <dataValidations count="10">
    <dataValidation type="textLength" showInputMessage="1" showErrorMessage="1" error="Text exceeds maximum character length of 30 characters" sqref="K40:K44 K46:K48">
      <formula1>0</formula1>
      <formula2>30</formula2>
    </dataValidation>
    <dataValidation type="textLength" showInputMessage="1" showErrorMessage="1" error="Text exceeds maximum character length of 10 characters" sqref="J40:J44 J46:J48">
      <formula1>0</formula1>
      <formula2>10</formula2>
    </dataValidation>
    <dataValidation type="textLength" showInputMessage="1" showErrorMessage="1" error="Text exceeds maximum character length of 23 characters" sqref="I40:I44 I46:I48">
      <formula1>0</formula1>
      <formula2>23</formula2>
    </dataValidation>
    <dataValidation type="textLength" showInputMessage="1" showErrorMessage="1" error="Text exceeds maximum character length of 5 characters" sqref="A46:A48 H46:H48 H40:H44 A40:A42 A44">
      <formula1>0</formula1>
      <formula2>5</formula2>
    </dataValidation>
    <dataValidation type="textLength" showInputMessage="1" showErrorMessage="1" error="Text exceeds maximum character length of 4 characters" sqref="F40:G44 F46:G48">
      <formula1>0</formula1>
      <formula2>4</formula2>
    </dataValidation>
    <dataValidation type="textLength" showInputMessage="1" showErrorMessage="1" error="Text exceeds maximum character length of 8 characters" sqref="E40:E44 E46:E48">
      <formula1>0</formula1>
      <formula2>8</formula2>
    </dataValidation>
    <dataValidation type="textLength" showInputMessage="1" showErrorMessage="1" error="Text exceeds maximum character length of 3 characters" sqref="D40:D44 D46:D48">
      <formula1>0</formula1>
      <formula2>3</formula2>
    </dataValidation>
    <dataValidation type="textLength" showInputMessage="1" showErrorMessage="1" error="Text exceeds maximum character length of 7 characters" sqref="C40:C44 C46:C48">
      <formula1>0</formula1>
      <formula2>7</formula2>
    </dataValidation>
    <dataValidation type="textLength" showInputMessage="1" showErrorMessage="1" error="Text exceeds maximum character length of 6 characters" sqref="B46:B48 B40:B44">
      <formula1>0</formula1>
      <formula2>6</formula2>
    </dataValidation>
    <dataValidation errorStyle="information" type="list" allowBlank="1" showInputMessage="1" showErrorMessage="1" prompt="This field only accepts 'NEXT' or the current journal ID - OK to accept this value" error="This field only accepts 'NEXT' or the current journal ID - OK to accept this value" sqref="F2">
      <formula1>"NEXT"</formula1>
    </dataValidation>
  </dataValidations>
  <pageMargins left="0.7" right="0.7" top="2.5" bottom="0.75" header="1.25" footer="0.3"/>
  <pageSetup fitToHeight="0" orientation="landscape" scale="35" r:id="rId2"/>
  <headerFooter>
    <oddHeader>&amp;C&amp;"Arial,Bold"&amp;12
 2022 RATE CASE
ONCOR ELECTRIC DELIVERY COMPANY LLC
GAIN OR LOSS ON SALE OF UTILITY ASSETS
FOR THE TEST YEAR ENDING DECEMBER 31, 2021
SPONSOR: W. A. LEDBETTER&amp;R&amp;"Arial,Bold"&amp;12WP/II-B-13/01
Page &amp;P of &amp;N</oddHead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W57"/>
  <sheetViews>
    <sheetView workbookViewId="0" topLeftCell="A1">
      <selection pane="topLeft" activeCell="H31" sqref="H31"/>
    </sheetView>
  </sheetViews>
  <sheetFormatPr defaultColWidth="9.14428571428571" defaultRowHeight="12.75"/>
  <cols>
    <col min="1" max="1" width="4.85714285714286" style="19" bestFit="1" customWidth="1"/>
    <col min="2" max="2" width="11.5714285714286" style="19" bestFit="1" customWidth="1"/>
    <col min="3" max="3" width="14.4285714285714" style="19" bestFit="1" customWidth="1"/>
    <col min="4" max="4" width="26.4285714285714" style="19" bestFit="1" customWidth="1"/>
    <col min="5" max="5" width="11.1428571428571" style="19" bestFit="1" customWidth="1"/>
    <col min="6" max="6" width="13.2857142857143" style="19" bestFit="1" customWidth="1"/>
    <col min="7" max="7" width="13.4285714285714" style="19" bestFit="1" customWidth="1"/>
    <col min="8" max="8" width="12.1428571428571" style="19" bestFit="1" customWidth="1"/>
    <col min="9" max="9" width="12.2857142857143" style="20" bestFit="1" customWidth="1"/>
    <col min="10" max="10" width="11.8571428571429" style="19" bestFit="1" customWidth="1"/>
    <col min="11" max="11" width="14.1428571428571" style="19" bestFit="1" customWidth="1"/>
    <col min="12" max="12" width="11.4285714285714" style="19" bestFit="1" customWidth="1"/>
    <col min="13" max="13" width="10.7142857142857" style="19" bestFit="1" customWidth="1"/>
    <col min="14" max="14" width="13.5714285714286" style="19" bestFit="1" customWidth="1"/>
    <col min="15" max="15" width="12.8571428571429" style="19" bestFit="1" customWidth="1"/>
    <col min="16" max="16" width="25.7142857142857" style="19" bestFit="1" customWidth="1"/>
    <col min="17" max="17" width="15.8571428571429" style="19" customWidth="1"/>
    <col min="18" max="18" width="8.85714285714286" style="19" bestFit="1" customWidth="1"/>
    <col min="19" max="19" width="10" style="19" bestFit="1" customWidth="1"/>
    <col min="20" max="20" width="13" style="19" bestFit="1" customWidth="1"/>
    <col min="21" max="21" width="38.1428571428571" style="19" bestFit="1" customWidth="1"/>
    <col min="22" max="22" width="11.7142857142857" style="19" customWidth="1"/>
    <col min="23" max="23" width="10.8571428571429" style="19" customWidth="1"/>
    <col min="24" max="16384" width="9.14285714285714" style="19"/>
  </cols>
  <sheetData>
    <row r="1" spans="1:6" ht="12.75">
      <c r="A1" s="48" t="s">
        <v>180</v>
      </c>
      <c r="B1" s="48"/>
      <c r="C1" s="48"/>
      <c r="D1" s="48"/>
      <c r="E1" s="48"/>
      <c r="F1" s="48"/>
    </row>
    <row r="2" spans="1:1" ht="13.5" thickBot="1">
      <c r="A2" s="12"/>
    </row>
    <row r="3" spans="1:5" ht="16.5" thickTop="1" thickBot="1">
      <c r="A3" s="63"/>
      <c r="B3" s="64"/>
      <c r="C3" s="64"/>
      <c r="D3" s="64"/>
      <c r="E3" s="65"/>
    </row>
    <row r="4" spans="1:16" ht="16.5" thickTop="1" thickBot="1">
      <c r="A4" s="10" t="s">
        <v>0</v>
      </c>
      <c r="B4" s="10" t="s">
        <v>5</v>
      </c>
      <c r="C4" s="10" t="s">
        <v>6</v>
      </c>
      <c r="D4" s="10" t="s">
        <v>7</v>
      </c>
      <c r="E4" s="10" t="s">
        <v>8</v>
      </c>
      <c r="F4" s="10" t="s">
        <v>9</v>
      </c>
      <c r="G4" s="10" t="s">
        <v>10</v>
      </c>
      <c r="H4" s="10" t="s">
        <v>11</v>
      </c>
      <c r="I4" s="11" t="s">
        <v>12</v>
      </c>
      <c r="J4" s="10" t="s">
        <v>13</v>
      </c>
      <c r="K4" s="10" t="s">
        <v>14</v>
      </c>
      <c r="L4" s="10" t="s">
        <v>15</v>
      </c>
      <c r="M4" s="10" t="s">
        <v>1</v>
      </c>
      <c r="N4" s="10" t="s">
        <v>16</v>
      </c>
      <c r="O4" s="10" t="s">
        <v>17</v>
      </c>
      <c r="P4" s="10" t="s">
        <v>18</v>
      </c>
    </row>
    <row r="5" spans="1:20" ht="12.75" customHeight="1" thickTop="1">
      <c r="A5" s="21" t="s">
        <v>19</v>
      </c>
      <c r="B5" s="21" t="s">
        <v>20</v>
      </c>
      <c r="C5" s="21" t="s">
        <v>21</v>
      </c>
      <c r="D5" s="21" t="s">
        <v>22</v>
      </c>
      <c r="E5" s="21" t="s">
        <v>181</v>
      </c>
      <c r="F5" s="21" t="s">
        <v>24</v>
      </c>
      <c r="G5" s="21" t="s">
        <v>24</v>
      </c>
      <c r="H5" s="21"/>
      <c r="I5" s="9">
        <v>-7896</v>
      </c>
      <c r="J5" s="21" t="s">
        <v>182</v>
      </c>
      <c r="K5" s="21"/>
      <c r="L5" s="21">
        <v>12</v>
      </c>
      <c r="M5" s="21">
        <v>2021</v>
      </c>
      <c r="N5" s="21" t="s">
        <v>27</v>
      </c>
      <c r="O5" s="21" t="s">
        <v>28</v>
      </c>
      <c r="P5" s="21" t="s">
        <v>29</v>
      </c>
      <c r="Q5" s="21"/>
      <c r="R5" s="21"/>
      <c r="S5" s="21"/>
      <c r="T5" s="21"/>
    </row>
    <row r="6" spans="1:20" ht="12.75" customHeight="1">
      <c r="A6" s="21"/>
      <c r="B6" s="21"/>
      <c r="C6" s="21"/>
      <c r="D6" s="21"/>
      <c r="E6" s="21"/>
      <c r="F6" s="21"/>
      <c r="G6" s="21"/>
      <c r="H6" s="21"/>
      <c r="J6" s="21"/>
      <c r="K6" s="21"/>
      <c r="L6" s="21"/>
      <c r="M6" s="21"/>
      <c r="N6" s="21"/>
      <c r="O6" s="21"/>
      <c r="P6" s="21"/>
      <c r="Q6" s="21"/>
      <c r="R6" s="21"/>
      <c r="S6" s="21"/>
      <c r="T6" s="21"/>
    </row>
    <row r="7" spans="1:20" ht="12.75" customHeight="1">
      <c r="A7" s="21"/>
      <c r="B7" s="21"/>
      <c r="C7" s="21"/>
      <c r="D7" s="21"/>
      <c r="E7" s="21"/>
      <c r="F7" s="21"/>
      <c r="G7" s="21"/>
      <c r="H7" s="21"/>
      <c r="J7" s="21"/>
      <c r="K7" s="21"/>
      <c r="L7" s="21"/>
      <c r="M7" s="21"/>
      <c r="N7" s="21"/>
      <c r="O7" s="21"/>
      <c r="P7" s="21"/>
      <c r="Q7" s="21"/>
      <c r="R7" s="21"/>
      <c r="S7" s="21"/>
      <c r="T7" s="21"/>
    </row>
    <row r="8" spans="1:20" ht="12.75" customHeight="1">
      <c r="A8" s="21"/>
      <c r="B8" s="21"/>
      <c r="C8" s="21"/>
      <c r="D8" s="21"/>
      <c r="E8" s="21"/>
      <c r="F8" s="21"/>
      <c r="G8" s="21"/>
      <c r="H8" s="21"/>
      <c r="J8" s="21"/>
      <c r="K8" s="21"/>
      <c r="L8" s="21"/>
      <c r="M8" s="21"/>
      <c r="N8" s="21"/>
      <c r="O8" s="21"/>
      <c r="P8" s="21"/>
      <c r="Q8" s="21"/>
      <c r="R8" s="21"/>
      <c r="S8" s="21"/>
      <c r="T8" s="21"/>
    </row>
    <row r="9" spans="1:20" ht="12.75" customHeight="1">
      <c r="A9" s="21"/>
      <c r="B9" s="21"/>
      <c r="C9" s="21"/>
      <c r="D9" s="21"/>
      <c r="E9" s="21"/>
      <c r="F9" s="21"/>
      <c r="G9" s="21"/>
      <c r="H9" s="21"/>
      <c r="J9" s="21"/>
      <c r="K9" s="21"/>
      <c r="L9" s="21"/>
      <c r="M9" s="21"/>
      <c r="N9" s="21"/>
      <c r="O9" s="21"/>
      <c r="P9" s="21"/>
      <c r="Q9" s="21"/>
      <c r="R9" s="21"/>
      <c r="S9" s="21"/>
      <c r="T9" s="21"/>
    </row>
    <row r="10" ht="12.75" customHeight="1"/>
    <row r="11" spans="1:1" ht="12.75">
      <c r="A11" s="8" t="s">
        <v>30</v>
      </c>
    </row>
    <row r="12" spans="1:1" ht="13.5" thickBot="1">
      <c r="A12" s="8"/>
    </row>
    <row r="13" spans="1:22" ht="16.5" thickTop="1" thickBot="1">
      <c r="A13" s="63"/>
      <c r="B13" s="64"/>
      <c r="C13" s="64"/>
      <c r="D13" s="65"/>
      <c r="V13" s="12" t="s">
        <v>31</v>
      </c>
    </row>
    <row r="14" spans="1:23" ht="16.5" thickTop="1" thickBot="1">
      <c r="A14" s="10" t="s">
        <v>0</v>
      </c>
      <c r="B14" s="10" t="s">
        <v>32</v>
      </c>
      <c r="C14" s="10" t="s">
        <v>33</v>
      </c>
      <c r="D14" s="10" t="s">
        <v>18</v>
      </c>
      <c r="E14" s="10" t="s">
        <v>6</v>
      </c>
      <c r="F14" s="10" t="s">
        <v>34</v>
      </c>
      <c r="G14" s="10" t="s">
        <v>35</v>
      </c>
      <c r="H14" s="10" t="s">
        <v>36</v>
      </c>
      <c r="I14" s="11" t="s">
        <v>37</v>
      </c>
      <c r="J14" s="10" t="s">
        <v>18</v>
      </c>
      <c r="K14" s="10" t="s">
        <v>38</v>
      </c>
      <c r="L14" s="10" t="s">
        <v>8</v>
      </c>
      <c r="M14" s="10" t="s">
        <v>39</v>
      </c>
      <c r="N14" s="10" t="s">
        <v>40</v>
      </c>
      <c r="O14" s="10" t="s">
        <v>41</v>
      </c>
      <c r="P14" s="10" t="s">
        <v>42</v>
      </c>
      <c r="Q14" s="10" t="s">
        <v>43</v>
      </c>
      <c r="R14" s="10" t="s">
        <v>44</v>
      </c>
      <c r="S14" s="10" t="s">
        <v>45</v>
      </c>
      <c r="T14" s="10" t="s">
        <v>46</v>
      </c>
      <c r="U14" s="10" t="s">
        <v>18</v>
      </c>
      <c r="V14" s="10" t="s">
        <v>48</v>
      </c>
      <c r="W14" s="10" t="s">
        <v>49</v>
      </c>
    </row>
    <row r="15" spans="1:23" ht="13.5" thickTop="1">
      <c r="A15" s="21" t="s">
        <v>19</v>
      </c>
      <c r="B15" s="21" t="s">
        <v>183</v>
      </c>
      <c r="C15" s="21" t="s">
        <v>184</v>
      </c>
      <c r="D15" s="21" t="s">
        <v>185</v>
      </c>
      <c r="E15" s="21" t="s">
        <v>53</v>
      </c>
      <c r="F15" s="21" t="s">
        <v>2</v>
      </c>
      <c r="G15" s="21" t="s">
        <v>54</v>
      </c>
      <c r="H15" s="21" t="s">
        <v>55</v>
      </c>
      <c r="I15" s="20" t="s">
        <v>56</v>
      </c>
      <c r="J15" s="21" t="s">
        <v>57</v>
      </c>
      <c r="K15" s="21" t="s">
        <v>58</v>
      </c>
      <c r="L15" s="21" t="s">
        <v>147</v>
      </c>
      <c r="M15" s="21" t="s">
        <v>186</v>
      </c>
      <c r="N15" s="20">
        <v>3492.8099999999999</v>
      </c>
      <c r="O15" s="20">
        <v>3492.8099999999999</v>
      </c>
      <c r="P15" s="19">
        <v>0</v>
      </c>
      <c r="Q15" s="20">
        <v>0</v>
      </c>
      <c r="R15" s="19">
        <v>0.69999999999999996</v>
      </c>
      <c r="S15" s="22">
        <v>24838</v>
      </c>
      <c r="T15" s="21"/>
      <c r="U15" s="21" t="s">
        <v>187</v>
      </c>
      <c r="V15" s="21" t="s">
        <v>188</v>
      </c>
      <c r="W15" s="21"/>
    </row>
    <row r="16" spans="14:19" ht="12.75">
      <c r="N16" s="20"/>
      <c r="O16" s="20"/>
      <c r="Q16" s="20"/>
      <c r="S16" s="22"/>
    </row>
    <row r="17" spans="14:19" ht="12.75">
      <c r="N17" s="20"/>
      <c r="O17" s="20"/>
      <c r="Q17" s="20"/>
      <c r="S17" s="22"/>
    </row>
    <row r="18" spans="15:18" ht="13.5" thickBot="1">
      <c r="O18" s="16">
        <f>SUM(O15:O16)</f>
        <v>3492.8099999999999</v>
      </c>
      <c r="Q18" s="20">
        <f>SUM(Q15:Q17)</f>
        <v>0</v>
      </c>
      <c r="R18" s="17">
        <f>SUM(R15:R16)</f>
        <v>0.69999999999999996</v>
      </c>
    </row>
    <row r="19" spans="18:18" ht="13.5" thickTop="1">
      <c r="R19" s="23"/>
    </row>
    <row r="20" spans="15:16" ht="12.75">
      <c r="O20" s="20">
        <f>ROUND(O18/R18,2)</f>
        <v>4989.7299999999996</v>
      </c>
      <c r="P20" s="3" t="s">
        <v>97</v>
      </c>
    </row>
    <row r="21" spans="15:18" ht="12.75">
      <c r="O21" s="20">
        <f>ROUND(O20*Q21,2)</f>
        <v>174.63999999999999</v>
      </c>
      <c r="P21" s="3" t="s">
        <v>98</v>
      </c>
      <c r="Q21" s="43">
        <v>0.035000000000000003</v>
      </c>
      <c r="R21" s="13" t="s">
        <v>99</v>
      </c>
    </row>
    <row r="24" spans="1:20" ht="15">
      <c r="A24" s="8" t="s">
        <v>100</v>
      </c>
      <c r="O24" s="46"/>
      <c r="P24" s="49"/>
      <c r="Q24" s="28"/>
      <c r="R24" s="28"/>
      <c r="S24" s="28"/>
      <c r="T24" s="28"/>
    </row>
    <row r="25" spans="15:20" ht="15.75" thickBot="1">
      <c r="O25" s="46"/>
      <c r="P25" s="49"/>
      <c r="Q25" s="28"/>
      <c r="R25" s="28"/>
      <c r="S25" s="28"/>
      <c r="T25" s="46"/>
    </row>
    <row r="26" spans="2:20" ht="12.75">
      <c r="B26" s="24"/>
      <c r="C26" s="25"/>
      <c r="D26" s="25"/>
      <c r="E26" s="25"/>
      <c r="F26" s="25"/>
      <c r="G26" s="26"/>
      <c r="O26" s="28"/>
      <c r="P26" s="49"/>
      <c r="Q26" s="28"/>
      <c r="R26" s="28"/>
      <c r="S26" s="28"/>
      <c r="T26" s="28"/>
    </row>
    <row r="27" spans="2:20" ht="12.75">
      <c r="B27" s="27"/>
      <c r="C27" s="40">
        <f>I5</f>
        <v>-7896</v>
      </c>
      <c r="D27" s="28"/>
      <c r="E27" s="66" t="s">
        <v>103</v>
      </c>
      <c r="F27" s="66"/>
      <c r="G27" s="5"/>
      <c r="O27" s="28"/>
      <c r="P27" s="49"/>
      <c r="Q27" s="28"/>
      <c r="R27" s="28"/>
      <c r="S27" s="28"/>
      <c r="T27" s="28"/>
    </row>
    <row r="28" spans="2:20" ht="12.75">
      <c r="B28" s="27"/>
      <c r="C28" s="18">
        <f>I6</f>
        <v>0</v>
      </c>
      <c r="D28" s="28"/>
      <c r="E28" s="67" t="s">
        <v>104</v>
      </c>
      <c r="F28" s="67"/>
      <c r="G28" s="5"/>
      <c r="O28" s="28"/>
      <c r="P28" s="49"/>
      <c r="Q28" s="28"/>
      <c r="R28" s="28"/>
      <c r="S28" s="28"/>
      <c r="T28" s="28"/>
    </row>
    <row r="29" spans="2:20" ht="15">
      <c r="B29" s="27"/>
      <c r="C29" s="40">
        <f>C27+C28</f>
        <v>-7896</v>
      </c>
      <c r="D29" s="28"/>
      <c r="E29" s="66" t="s">
        <v>105</v>
      </c>
      <c r="F29" s="66"/>
      <c r="G29" s="5"/>
      <c r="O29" s="47"/>
      <c r="P29" s="49"/>
      <c r="Q29" s="28"/>
      <c r="R29" s="28"/>
      <c r="S29" s="28"/>
      <c r="T29" s="28"/>
    </row>
    <row r="30" spans="2:20" ht="15">
      <c r="B30" s="27"/>
      <c r="C30" s="40">
        <f>O21</f>
        <v>174.63999999999999</v>
      </c>
      <c r="D30" s="28"/>
      <c r="E30" s="67" t="s">
        <v>107</v>
      </c>
      <c r="F30" s="67"/>
      <c r="G30" s="5"/>
      <c r="O30" s="47"/>
      <c r="P30" s="49"/>
      <c r="Q30" s="28"/>
      <c r="R30" s="28"/>
      <c r="S30" s="28"/>
      <c r="T30" s="28"/>
    </row>
    <row r="31" spans="2:20" ht="13.5" thickBot="1">
      <c r="B31" s="27"/>
      <c r="C31" s="41">
        <f>SUM(C29:C30)</f>
        <v>-7721.3599999999997</v>
      </c>
      <c r="D31" s="28"/>
      <c r="E31" s="66" t="s">
        <v>109</v>
      </c>
      <c r="F31" s="66"/>
      <c r="G31" s="69"/>
      <c r="O31" s="28"/>
      <c r="P31" s="49"/>
      <c r="Q31" s="28"/>
      <c r="R31" s="28"/>
      <c r="S31" s="28"/>
      <c r="T31" s="28"/>
    </row>
    <row r="32" spans="2:20" ht="16.5" thickTop="1" thickBot="1">
      <c r="B32" s="31"/>
      <c r="C32" s="32"/>
      <c r="D32" s="32"/>
      <c r="E32" s="32"/>
      <c r="F32" s="32"/>
      <c r="G32" s="33"/>
      <c r="O32" s="28"/>
      <c r="P32" s="49"/>
      <c r="Q32" s="46"/>
      <c r="R32" s="28"/>
      <c r="S32" s="28"/>
      <c r="T32" s="28"/>
    </row>
    <row r="33" spans="15:20" ht="15">
      <c r="O33" s="28"/>
      <c r="P33" s="49"/>
      <c r="Q33" s="46"/>
      <c r="R33" s="28"/>
      <c r="S33" s="28"/>
      <c r="T33" s="28"/>
    </row>
    <row r="34" spans="15:20" ht="15">
      <c r="O34" s="28"/>
      <c r="P34" s="49"/>
      <c r="Q34" s="46"/>
      <c r="R34" s="28"/>
      <c r="S34" s="28"/>
      <c r="T34" s="28"/>
    </row>
    <row r="35" spans="1:20" ht="12.75">
      <c r="A35" s="8" t="s">
        <v>113</v>
      </c>
      <c r="B35" s="7"/>
      <c r="C35" s="7"/>
      <c r="D35" s="7"/>
      <c r="E35" s="7"/>
      <c r="F35" s="7"/>
      <c r="G35" s="7"/>
      <c r="H35" s="7"/>
      <c r="I35" s="6"/>
      <c r="J35" s="7"/>
      <c r="K35" s="7"/>
      <c r="O35" s="28"/>
      <c r="P35" s="28"/>
      <c r="Q35" s="28"/>
      <c r="R35" s="28"/>
      <c r="S35" s="28"/>
      <c r="T35" s="28"/>
    </row>
    <row r="36" spans="1:11" ht="12.75">
      <c r="A36" s="8"/>
      <c r="B36" s="7"/>
      <c r="C36" s="7"/>
      <c r="D36" s="7"/>
      <c r="E36" s="7"/>
      <c r="F36" s="7"/>
      <c r="G36" s="7"/>
      <c r="H36" s="7"/>
      <c r="I36" s="6"/>
      <c r="J36" s="7"/>
      <c r="K36" s="7"/>
    </row>
    <row r="37" spans="1:17" ht="15">
      <c r="A37" s="8" t="s">
        <v>114</v>
      </c>
      <c r="B37" s="7"/>
      <c r="C37" s="7"/>
      <c r="D37" s="7"/>
      <c r="E37" s="7"/>
      <c r="F37" s="7"/>
      <c r="G37" s="7"/>
      <c r="H37" s="7"/>
      <c r="I37" s="6"/>
      <c r="J37" s="7"/>
      <c r="K37" s="7"/>
      <c r="P37" s="20"/>
      <c r="Q37" s="14"/>
    </row>
    <row r="38" spans="1:11" ht="12.75">
      <c r="A38" s="7"/>
      <c r="B38" s="7"/>
      <c r="C38" s="7"/>
      <c r="D38" s="7"/>
      <c r="E38" s="7"/>
      <c r="F38" s="7"/>
      <c r="G38" s="7"/>
      <c r="H38" s="7"/>
      <c r="I38" s="6"/>
      <c r="J38" s="7"/>
      <c r="K38" s="7"/>
    </row>
    <row r="39" spans="1:13" ht="12.75">
      <c r="A39" s="34" t="s">
        <v>115</v>
      </c>
      <c r="B39" s="34" t="s">
        <v>116</v>
      </c>
      <c r="C39" s="34" t="s">
        <v>6</v>
      </c>
      <c r="D39" s="34" t="s">
        <v>7</v>
      </c>
      <c r="E39" s="34" t="s">
        <v>8</v>
      </c>
      <c r="F39" s="34" t="s">
        <v>9</v>
      </c>
      <c r="G39" s="34" t="s">
        <v>10</v>
      </c>
      <c r="H39" s="34" t="s">
        <v>11</v>
      </c>
      <c r="I39" s="50" t="s">
        <v>117</v>
      </c>
      <c r="J39" s="34" t="s">
        <v>46</v>
      </c>
      <c r="K39" s="70" t="s">
        <v>118</v>
      </c>
      <c r="L39" s="71"/>
      <c r="M39" s="72"/>
    </row>
    <row r="40" spans="1:13" ht="12.75">
      <c r="A40" s="35" t="str">
        <f>A5</f>
        <v>TRN</v>
      </c>
      <c r="B40" s="35" t="str">
        <f>B5</f>
        <v>515660</v>
      </c>
      <c r="C40" s="35" t="s">
        <v>119</v>
      </c>
      <c r="D40" s="35" t="s">
        <v>120</v>
      </c>
      <c r="E40" s="35" t="str">
        <f>E5</f>
        <v>0PT46613</v>
      </c>
      <c r="F40" s="35" t="s">
        <v>24</v>
      </c>
      <c r="G40" s="35" t="s">
        <v>24</v>
      </c>
      <c r="H40" s="35" t="s">
        <v>25</v>
      </c>
      <c r="I40" s="42">
        <f>-I41</f>
        <v>7721.3599999999997</v>
      </c>
      <c r="J40" s="35"/>
      <c r="K40" s="74" t="s">
        <v>189</v>
      </c>
      <c r="L40" s="74"/>
      <c r="M40" s="74"/>
    </row>
    <row r="41" spans="1:13" ht="12.75">
      <c r="A41" s="35" t="str">
        <f>A40</f>
        <v>TRN</v>
      </c>
      <c r="B41" s="51" t="str">
        <f>B40</f>
        <v>515660</v>
      </c>
      <c r="C41" s="35" t="s">
        <v>121</v>
      </c>
      <c r="D41" s="35" t="s">
        <v>122</v>
      </c>
      <c r="E41" s="35" t="str">
        <f>E40</f>
        <v>0PT46613</v>
      </c>
      <c r="F41" s="35" t="s">
        <v>24</v>
      </c>
      <c r="G41" s="35" t="s">
        <v>24</v>
      </c>
      <c r="H41" s="35" t="s">
        <v>25</v>
      </c>
      <c r="I41" s="42">
        <f>ROUND(C31,2)</f>
        <v>-7721.3599999999997</v>
      </c>
      <c r="J41" s="35"/>
      <c r="K41" s="74" t="str">
        <f>K40</f>
        <v>Sale of 0.035 acres</v>
      </c>
      <c r="L41" s="74"/>
      <c r="M41" s="74"/>
    </row>
    <row r="42" spans="1:11" s="28" customFormat="1" ht="12.75">
      <c r="A42" s="37"/>
      <c r="B42" s="37"/>
      <c r="C42" s="37"/>
      <c r="D42" s="37"/>
      <c r="E42" s="37"/>
      <c r="F42" s="37"/>
      <c r="G42" s="37"/>
      <c r="H42" s="37"/>
      <c r="I42" s="38"/>
      <c r="J42" s="37"/>
      <c r="K42" s="39"/>
    </row>
    <row r="43" spans="1:11" ht="12.75">
      <c r="A43" s="37"/>
      <c r="B43" s="37"/>
      <c r="C43" s="37"/>
      <c r="D43" s="37"/>
      <c r="E43" s="37"/>
      <c r="F43" s="37"/>
      <c r="G43" s="37"/>
      <c r="H43" s="37"/>
      <c r="I43" s="38"/>
      <c r="J43" s="37"/>
      <c r="K43" s="39"/>
    </row>
    <row r="45" spans="1:1" ht="12.75">
      <c r="A45" s="8" t="s">
        <v>127</v>
      </c>
    </row>
    <row r="47" ht="13.5" thickBot="1"/>
    <row r="48" spans="1:3" ht="16.5" thickTop="1" thickBot="1">
      <c r="A48" s="10" t="s">
        <v>169</v>
      </c>
      <c r="B48" s="10"/>
      <c r="C48" s="10"/>
    </row>
    <row r="49" spans="1:20" ht="16.5" thickTop="1" thickBot="1">
      <c r="A49" s="10" t="s">
        <v>0</v>
      </c>
      <c r="B49" s="10" t="s">
        <v>8</v>
      </c>
      <c r="C49" s="10" t="s">
        <v>32</v>
      </c>
      <c r="D49" s="10" t="s">
        <v>39</v>
      </c>
      <c r="E49" s="10" t="s">
        <v>6</v>
      </c>
      <c r="F49" s="10" t="s">
        <v>35</v>
      </c>
      <c r="G49" s="10" t="s">
        <v>37</v>
      </c>
      <c r="H49" s="10" t="s">
        <v>18</v>
      </c>
      <c r="I49" s="11" t="s">
        <v>36</v>
      </c>
      <c r="J49" s="10" t="s">
        <v>38</v>
      </c>
      <c r="K49" s="10" t="s">
        <v>44</v>
      </c>
      <c r="L49" s="10" t="s">
        <v>40</v>
      </c>
      <c r="M49" s="10" t="s">
        <v>46</v>
      </c>
      <c r="N49" s="10" t="s">
        <v>47</v>
      </c>
      <c r="O49" s="10" t="s">
        <v>18</v>
      </c>
      <c r="P49" s="10" t="s">
        <v>43</v>
      </c>
      <c r="Q49" s="10" t="s">
        <v>42</v>
      </c>
      <c r="R49" s="10" t="s">
        <v>41</v>
      </c>
      <c r="S49" s="10" t="s">
        <v>45</v>
      </c>
      <c r="T49" s="10" t="s">
        <v>33</v>
      </c>
    </row>
    <row r="50" spans="1:20" ht="13.5" thickTop="1">
      <c r="A50" s="21" t="s">
        <v>19</v>
      </c>
      <c r="B50" s="21" t="s">
        <v>181</v>
      </c>
      <c r="C50" s="21" t="s">
        <v>183</v>
      </c>
      <c r="D50" s="21" t="s">
        <v>186</v>
      </c>
      <c r="E50" s="21" t="s">
        <v>53</v>
      </c>
      <c r="F50" s="21" t="s">
        <v>54</v>
      </c>
      <c r="G50" s="21" t="s">
        <v>56</v>
      </c>
      <c r="H50" s="21" t="s">
        <v>57</v>
      </c>
      <c r="I50" s="20" t="s">
        <v>55</v>
      </c>
      <c r="J50" s="21" t="s">
        <v>71</v>
      </c>
      <c r="K50" s="23">
        <v>-0.035000000000000003</v>
      </c>
      <c r="L50" s="9">
        <v>-174.63999999999999</v>
      </c>
      <c r="M50" s="21" t="s">
        <v>170</v>
      </c>
      <c r="N50" s="21" t="s">
        <v>91</v>
      </c>
      <c r="O50" s="21" t="s">
        <v>190</v>
      </c>
      <c r="P50" s="20">
        <v>0</v>
      </c>
      <c r="Q50" s="20">
        <v>0</v>
      </c>
      <c r="R50" s="9">
        <v>-174.63999999999999</v>
      </c>
      <c r="T50" s="21" t="s">
        <v>184</v>
      </c>
    </row>
    <row r="51" spans="1:20" ht="12.75">
      <c r="A51" s="21"/>
      <c r="B51" s="21"/>
      <c r="C51" s="21"/>
      <c r="D51" s="21"/>
      <c r="E51" s="21"/>
      <c r="F51" s="21"/>
      <c r="G51" s="21"/>
      <c r="H51" s="21"/>
      <c r="J51" s="21"/>
      <c r="K51" s="23"/>
      <c r="L51" s="20"/>
      <c r="M51" s="21"/>
      <c r="N51" s="21"/>
      <c r="O51" s="21"/>
      <c r="P51" s="20"/>
      <c r="Q51" s="20"/>
      <c r="R51" s="20"/>
      <c r="T51" s="21"/>
    </row>
    <row r="52" spans="1:20" ht="12.75">
      <c r="A52" s="21"/>
      <c r="B52" s="21"/>
      <c r="C52" s="21"/>
      <c r="D52" s="21"/>
      <c r="E52" s="21"/>
      <c r="F52" s="21"/>
      <c r="G52" s="21"/>
      <c r="H52" s="21"/>
      <c r="J52" s="21"/>
      <c r="K52" s="23"/>
      <c r="L52" s="20"/>
      <c r="M52" s="21"/>
      <c r="N52" s="21"/>
      <c r="O52" s="21"/>
      <c r="P52" s="20"/>
      <c r="Q52" s="20"/>
      <c r="R52" s="20"/>
      <c r="T52" s="21"/>
    </row>
    <row r="53" spans="1:20" ht="13.5" thickBot="1">
      <c r="A53" s="21"/>
      <c r="B53" s="21"/>
      <c r="C53" s="21"/>
      <c r="D53" s="21"/>
      <c r="E53" s="21"/>
      <c r="F53" s="21"/>
      <c r="G53" s="21"/>
      <c r="H53" s="21"/>
      <c r="J53" s="21"/>
      <c r="K53" s="45">
        <f>SUM(K50:K52)</f>
        <v>-0.035000000000000003</v>
      </c>
      <c r="L53" s="54">
        <f>SUM(L50:L52)</f>
        <v>-174.63999999999999</v>
      </c>
      <c r="M53" s="21"/>
      <c r="N53" s="21"/>
      <c r="O53" s="21"/>
      <c r="P53" s="20"/>
      <c r="Q53" s="20"/>
      <c r="R53" s="20"/>
      <c r="T53" s="21"/>
    </row>
    <row r="54" spans="1:20" ht="13.5" thickTop="1">
      <c r="A54" s="21"/>
      <c r="B54" s="21"/>
      <c r="C54" s="21"/>
      <c r="D54" s="21"/>
      <c r="E54" s="21"/>
      <c r="F54" s="21"/>
      <c r="G54" s="21"/>
      <c r="H54" s="21"/>
      <c r="J54" s="21"/>
      <c r="K54" s="23"/>
      <c r="L54" s="20"/>
      <c r="M54" s="21"/>
      <c r="N54" s="21"/>
      <c r="O54" s="21"/>
      <c r="P54" s="20"/>
      <c r="Q54" s="20"/>
      <c r="R54" s="20"/>
      <c r="T54" s="21"/>
    </row>
    <row r="55" spans="1:20" ht="12.75">
      <c r="A55" s="21"/>
      <c r="B55" s="21"/>
      <c r="C55" s="21"/>
      <c r="D55" s="21"/>
      <c r="E55" s="21"/>
      <c r="F55" s="21"/>
      <c r="G55" s="21"/>
      <c r="H55" s="21"/>
      <c r="J55" s="21"/>
      <c r="K55" s="23"/>
      <c r="L55" s="20"/>
      <c r="M55" s="21"/>
      <c r="N55" s="21"/>
      <c r="O55" s="21"/>
      <c r="P55" s="20"/>
      <c r="Q55" s="20"/>
      <c r="R55" s="20"/>
      <c r="T55" s="21"/>
    </row>
    <row r="56" spans="1:20" ht="12.75">
      <c r="A56" s="21"/>
      <c r="B56" s="21"/>
      <c r="C56" s="21"/>
      <c r="D56" s="21"/>
      <c r="E56" s="21"/>
      <c r="F56" s="21"/>
      <c r="G56" s="21"/>
      <c r="H56" s="21"/>
      <c r="J56" s="21"/>
      <c r="K56" s="23"/>
      <c r="L56" s="20"/>
      <c r="M56" s="21"/>
      <c r="N56" s="21"/>
      <c r="O56" s="21"/>
      <c r="P56" s="20"/>
      <c r="Q56" s="20"/>
      <c r="R56" s="20"/>
      <c r="T56" s="21"/>
    </row>
    <row r="57" spans="1:20" ht="12.75">
      <c r="A57" s="21"/>
      <c r="B57" s="21"/>
      <c r="C57" s="21"/>
      <c r="D57" s="21"/>
      <c r="E57" s="21"/>
      <c r="F57" s="21"/>
      <c r="G57" s="21"/>
      <c r="H57" s="21"/>
      <c r="J57" s="21"/>
      <c r="K57" s="23"/>
      <c r="L57" s="20"/>
      <c r="M57" s="21"/>
      <c r="N57" s="21"/>
      <c r="O57" s="21"/>
      <c r="P57" s="20"/>
      <c r="Q57" s="20"/>
      <c r="R57" s="20"/>
      <c r="T57" s="21"/>
    </row>
  </sheetData>
  <autoFilter ref="A14:W17"/>
  <mergeCells count="10">
    <mergeCell ref="E31:G31"/>
    <mergeCell ref="K39:M39"/>
    <mergeCell ref="K40:M40"/>
    <mergeCell ref="K41:M41"/>
    <mergeCell ref="A3:E3"/>
    <mergeCell ref="A13:D13"/>
    <mergeCell ref="E27:F27"/>
    <mergeCell ref="E28:F28"/>
    <mergeCell ref="E29:F29"/>
    <mergeCell ref="E30:F30"/>
  </mergeCells>
  <dataValidations count="10">
    <dataValidation type="textLength" showInputMessage="1" showErrorMessage="1" error="Text exceeds maximum character length of 6 characters" sqref="B40:B43">
      <formula1>0</formula1>
      <formula2>6</formula2>
    </dataValidation>
    <dataValidation type="textLength" showInputMessage="1" showErrorMessage="1" error="Text exceeds maximum character length of 7 characters" sqref="C40:C43">
      <formula1>0</formula1>
      <formula2>7</formula2>
    </dataValidation>
    <dataValidation type="textLength" showInputMessage="1" showErrorMessage="1" error="Text exceeds maximum character length of 3 characters" sqref="D40:D43">
      <formula1>0</formula1>
      <formula2>3</formula2>
    </dataValidation>
    <dataValidation type="textLength" showInputMessage="1" showErrorMessage="1" error="Text exceeds maximum character length of 8 characters" sqref="E40:E43">
      <formula1>0</formula1>
      <formula2>8</formula2>
    </dataValidation>
    <dataValidation type="textLength" showInputMessage="1" showErrorMessage="1" error="Text exceeds maximum character length of 4 characters" sqref="F40:G43">
      <formula1>0</formula1>
      <formula2>4</formula2>
    </dataValidation>
    <dataValidation type="textLength" showInputMessage="1" showErrorMessage="1" error="Text exceeds maximum character length of 5 characters" sqref="H40:H43 A40:A43">
      <formula1>0</formula1>
      <formula2>5</formula2>
    </dataValidation>
    <dataValidation type="textLength" showInputMessage="1" showErrorMessage="1" error="Text exceeds maximum character length of 23 characters" sqref="I40:I43">
      <formula1>0</formula1>
      <formula2>23</formula2>
    </dataValidation>
    <dataValidation type="textLength" showInputMessage="1" showErrorMessage="1" error="Text exceeds maximum character length of 10 characters" sqref="J40:J43">
      <formula1>0</formula1>
      <formula2>10</formula2>
    </dataValidation>
    <dataValidation type="textLength" showInputMessage="1" showErrorMessage="1" error="Text exceeds maximum character length of 30 characters" sqref="K40:K43">
      <formula1>0</formula1>
      <formula2>30</formula2>
    </dataValidation>
    <dataValidation errorStyle="information" type="list" allowBlank="1" showInputMessage="1" showErrorMessage="1" prompt="This field only accepts 'NEXT' or the current journal ID - OK to accept this value" error="This field only accepts 'NEXT' or the current journal ID - OK to accept this value" sqref="F2">
      <formula1>"NEXT"</formula1>
    </dataValidation>
  </dataValidations>
  <pageMargins left="0.7" right="0.7" top="2.5" bottom="0.75" header="1.5" footer="0.3"/>
  <pageSetup orientation="landscape" scale="37" r:id="rId2"/>
  <headerFooter>
    <oddHeader>&amp;C&amp;"Arial,Bold"&amp;12
 2022 RATE CASE
ONCOR ELECTRIC DELIVERY COMPANY LLC
GAIN OR LOSS ON SALE OF UTILITY ASSETS
FOR THE TEST YEAR ENDING DECEMBER 31, 2021
SPONSOR: W. A. LEDBETTER&amp;R&amp;"Arial,Bold"&amp;12WP/II-B-13/01
Page &amp;P of &amp;N</oddHead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W135"/>
  <sheetViews>
    <sheetView workbookViewId="0" topLeftCell="A1">
      <selection pane="topLeft" activeCell="H31" sqref="H31"/>
    </sheetView>
  </sheetViews>
  <sheetFormatPr defaultColWidth="9.14428571428571" defaultRowHeight="12.75"/>
  <cols>
    <col min="1" max="1" width="4.85714285714286" style="19" bestFit="1" customWidth="1"/>
    <col min="2" max="2" width="9.28571428571429" style="19" bestFit="1" customWidth="1"/>
    <col min="3" max="3" width="12.1428571428571" style="19" bestFit="1" customWidth="1"/>
    <col min="4" max="4" width="14.1428571428571" style="19" bestFit="1" customWidth="1"/>
    <col min="5" max="5" width="10.1428571428571" style="19" bestFit="1" customWidth="1"/>
    <col min="6" max="6" width="11.4285714285714" style="19" bestFit="1" customWidth="1"/>
    <col min="7" max="7" width="11.1428571428571" style="19" bestFit="1" customWidth="1"/>
    <col min="8" max="8" width="10.8571428571429" style="19" bestFit="1" customWidth="1"/>
    <col min="9" max="9" width="14.1428571428571" style="20" bestFit="1" customWidth="1"/>
    <col min="10" max="10" width="13" style="19" bestFit="1" customWidth="1"/>
    <col min="11" max="11" width="21" style="19" bestFit="1" customWidth="1"/>
    <col min="12" max="12" width="11.2857142857143" style="19" bestFit="1" customWidth="1"/>
    <col min="13" max="13" width="10.7142857142857" style="19" bestFit="1" customWidth="1"/>
    <col min="14" max="14" width="15.5714285714286" style="19" bestFit="1" customWidth="1"/>
    <col min="15" max="15" width="12.8571428571429" style="19" bestFit="1" customWidth="1"/>
    <col min="16" max="16" width="27.5714285714286" style="19" bestFit="1" customWidth="1"/>
    <col min="17" max="17" width="15.8571428571429" style="19" customWidth="1"/>
    <col min="18" max="18" width="8.85714285714286" style="19" bestFit="1" customWidth="1"/>
    <col min="19" max="19" width="9.14285714285714" style="19" bestFit="1" customWidth="1"/>
    <col min="20" max="20" width="12.1428571428571" style="19" bestFit="1" customWidth="1"/>
    <col min="21" max="21" width="36.1428571428571" style="19" bestFit="1" customWidth="1"/>
    <col min="22" max="22" width="11.7142857142857" style="19" customWidth="1"/>
    <col min="23" max="23" width="10.8571428571429" style="19" customWidth="1"/>
    <col min="24" max="16384" width="9.14285714285714" style="19"/>
  </cols>
  <sheetData>
    <row r="1" spans="1:6" ht="12.75">
      <c r="A1" s="48" t="s">
        <v>191</v>
      </c>
      <c r="B1" s="48"/>
      <c r="C1" s="48"/>
      <c r="D1" s="48"/>
      <c r="E1" s="48"/>
      <c r="F1" s="48"/>
    </row>
    <row r="2" spans="1:1" ht="13.5" thickBot="1">
      <c r="A2" s="12"/>
    </row>
    <row r="3" spans="1:5" ht="16.5" thickTop="1" thickBot="1">
      <c r="A3" s="63"/>
      <c r="B3" s="64"/>
      <c r="C3" s="64"/>
      <c r="D3" s="64"/>
      <c r="E3" s="65"/>
    </row>
    <row r="4" spans="1:16" ht="16.5" thickTop="1" thickBot="1">
      <c r="A4" s="10" t="s">
        <v>0</v>
      </c>
      <c r="B4" s="10" t="s">
        <v>5</v>
      </c>
      <c r="C4" s="10" t="s">
        <v>6</v>
      </c>
      <c r="D4" s="10" t="s">
        <v>7</v>
      </c>
      <c r="E4" s="10" t="s">
        <v>8</v>
      </c>
      <c r="F4" s="10" t="s">
        <v>9</v>
      </c>
      <c r="G4" s="10" t="s">
        <v>10</v>
      </c>
      <c r="H4" s="10" t="s">
        <v>11</v>
      </c>
      <c r="I4" s="11" t="s">
        <v>12</v>
      </c>
      <c r="J4" s="10" t="s">
        <v>13</v>
      </c>
      <c r="K4" s="10" t="s">
        <v>14</v>
      </c>
      <c r="L4" s="10" t="s">
        <v>15</v>
      </c>
      <c r="M4" s="10" t="s">
        <v>1</v>
      </c>
      <c r="N4" s="10" t="s">
        <v>16</v>
      </c>
      <c r="O4" s="10" t="s">
        <v>17</v>
      </c>
      <c r="P4" s="10" t="s">
        <v>18</v>
      </c>
    </row>
    <row r="5" spans="1:20" ht="12.75" customHeight="1" thickTop="1">
      <c r="A5" s="21" t="s">
        <v>19</v>
      </c>
      <c r="B5" s="21" t="s">
        <v>192</v>
      </c>
      <c r="C5" s="21" t="s">
        <v>21</v>
      </c>
      <c r="D5" s="21" t="s">
        <v>193</v>
      </c>
      <c r="E5" s="21" t="s">
        <v>194</v>
      </c>
      <c r="F5" s="21" t="s">
        <v>24</v>
      </c>
      <c r="G5" s="21" t="s">
        <v>24</v>
      </c>
      <c r="H5" s="21"/>
      <c r="I5" s="9">
        <v>3867.5</v>
      </c>
      <c r="J5" s="21" t="s">
        <v>195</v>
      </c>
      <c r="K5" s="21"/>
      <c r="L5" s="21">
        <v>5</v>
      </c>
      <c r="M5" s="21">
        <v>2021</v>
      </c>
      <c r="N5" s="21" t="s">
        <v>133</v>
      </c>
      <c r="O5" s="21" t="s">
        <v>159</v>
      </c>
      <c r="P5" s="21" t="s">
        <v>196</v>
      </c>
      <c r="Q5" s="21"/>
      <c r="R5" s="21"/>
      <c r="S5" s="21"/>
      <c r="T5" s="21"/>
    </row>
    <row r="6" spans="1:20" ht="12.75" customHeight="1">
      <c r="A6" s="21" t="s">
        <v>19</v>
      </c>
      <c r="B6" s="21" t="s">
        <v>192</v>
      </c>
      <c r="C6" s="21" t="s">
        <v>21</v>
      </c>
      <c r="D6" s="21" t="s">
        <v>193</v>
      </c>
      <c r="E6" s="21" t="s">
        <v>194</v>
      </c>
      <c r="F6" s="21" t="s">
        <v>24</v>
      </c>
      <c r="G6" s="21" t="s">
        <v>24</v>
      </c>
      <c r="H6" s="21"/>
      <c r="I6" s="9">
        <v>-3867.5</v>
      </c>
      <c r="J6" s="21" t="s">
        <v>195</v>
      </c>
      <c r="K6" s="21"/>
      <c r="L6" s="21">
        <v>6</v>
      </c>
      <c r="M6" s="21">
        <v>2021</v>
      </c>
      <c r="N6" s="21" t="s">
        <v>133</v>
      </c>
      <c r="O6" s="21" t="s">
        <v>159</v>
      </c>
      <c r="P6" s="21" t="s">
        <v>196</v>
      </c>
      <c r="Q6" s="21"/>
      <c r="R6" s="21"/>
      <c r="S6" s="21"/>
      <c r="T6" s="21"/>
    </row>
    <row r="7" spans="1:20" ht="12.75" customHeight="1">
      <c r="A7" s="21" t="s">
        <v>19</v>
      </c>
      <c r="B7" s="21" t="s">
        <v>192</v>
      </c>
      <c r="C7" s="21" t="s">
        <v>21</v>
      </c>
      <c r="D7" s="21" t="s">
        <v>193</v>
      </c>
      <c r="E7" s="21" t="s">
        <v>194</v>
      </c>
      <c r="F7" s="21" t="s">
        <v>24</v>
      </c>
      <c r="G7" s="21" t="s">
        <v>24</v>
      </c>
      <c r="H7" s="21"/>
      <c r="I7" s="9">
        <v>1867.5</v>
      </c>
      <c r="J7" s="21" t="s">
        <v>197</v>
      </c>
      <c r="K7" s="21"/>
      <c r="L7" s="21">
        <v>6</v>
      </c>
      <c r="M7" s="21">
        <v>2021</v>
      </c>
      <c r="N7" s="21" t="s">
        <v>133</v>
      </c>
      <c r="O7" s="21" t="s">
        <v>134</v>
      </c>
      <c r="P7" s="21" t="s">
        <v>196</v>
      </c>
      <c r="Q7" s="21"/>
      <c r="R7" s="21"/>
      <c r="S7" s="21"/>
      <c r="T7" s="21"/>
    </row>
    <row r="8" spans="1:20" ht="12.75" customHeight="1">
      <c r="A8" s="21" t="s">
        <v>19</v>
      </c>
      <c r="B8" s="21" t="s">
        <v>192</v>
      </c>
      <c r="C8" s="21" t="s">
        <v>21</v>
      </c>
      <c r="D8" s="21" t="s">
        <v>193</v>
      </c>
      <c r="E8" s="21" t="s">
        <v>194</v>
      </c>
      <c r="F8" s="21" t="s">
        <v>24</v>
      </c>
      <c r="G8" s="21" t="s">
        <v>24</v>
      </c>
      <c r="H8" s="21"/>
      <c r="I8" s="9">
        <v>3867.5</v>
      </c>
      <c r="J8" s="21" t="s">
        <v>195</v>
      </c>
      <c r="K8" s="21"/>
      <c r="L8" s="21">
        <v>6</v>
      </c>
      <c r="M8" s="21">
        <v>2021</v>
      </c>
      <c r="N8" s="21" t="s">
        <v>133</v>
      </c>
      <c r="O8" s="21" t="s">
        <v>159</v>
      </c>
      <c r="P8" s="21" t="s">
        <v>196</v>
      </c>
      <c r="Q8" s="21"/>
      <c r="R8" s="21"/>
      <c r="S8" s="21"/>
      <c r="T8" s="21"/>
    </row>
    <row r="9" spans="1:20" ht="12.75" customHeight="1">
      <c r="A9" s="21" t="s">
        <v>19</v>
      </c>
      <c r="B9" s="21" t="s">
        <v>192</v>
      </c>
      <c r="C9" s="21" t="s">
        <v>21</v>
      </c>
      <c r="D9" s="21" t="s">
        <v>136</v>
      </c>
      <c r="E9" s="21" t="s">
        <v>194</v>
      </c>
      <c r="F9" s="21" t="s">
        <v>24</v>
      </c>
      <c r="G9" s="21" t="s">
        <v>24</v>
      </c>
      <c r="H9" s="21"/>
      <c r="I9" s="9">
        <v>158.91999999999999</v>
      </c>
      <c r="J9" s="21" t="s">
        <v>198</v>
      </c>
      <c r="K9" s="21"/>
      <c r="L9" s="21">
        <v>6</v>
      </c>
      <c r="M9" s="21">
        <v>2021</v>
      </c>
      <c r="N9" s="21" t="s">
        <v>138</v>
      </c>
      <c r="O9" s="21" t="s">
        <v>139</v>
      </c>
      <c r="P9" s="21" t="s">
        <v>140</v>
      </c>
      <c r="Q9" s="21"/>
      <c r="R9" s="21"/>
      <c r="S9" s="21"/>
      <c r="T9" s="21"/>
    </row>
    <row r="10" spans="1:20" ht="12.75" customHeight="1">
      <c r="A10" s="21" t="s">
        <v>19</v>
      </c>
      <c r="B10" s="21" t="s">
        <v>192</v>
      </c>
      <c r="C10" s="21" t="s">
        <v>21</v>
      </c>
      <c r="D10" s="21" t="s">
        <v>193</v>
      </c>
      <c r="E10" s="21" t="s">
        <v>194</v>
      </c>
      <c r="F10" s="21" t="s">
        <v>24</v>
      </c>
      <c r="G10" s="21" t="s">
        <v>24</v>
      </c>
      <c r="H10" s="21"/>
      <c r="I10" s="9">
        <v>16139</v>
      </c>
      <c r="J10" s="21" t="s">
        <v>195</v>
      </c>
      <c r="K10" s="21"/>
      <c r="L10" s="21">
        <v>7</v>
      </c>
      <c r="M10" s="21">
        <v>2021</v>
      </c>
      <c r="N10" s="21" t="s">
        <v>133</v>
      </c>
      <c r="O10" s="21" t="s">
        <v>159</v>
      </c>
      <c r="P10" s="21" t="s">
        <v>196</v>
      </c>
      <c r="Q10" s="21"/>
      <c r="R10" s="21"/>
      <c r="S10" s="21"/>
      <c r="T10" s="21"/>
    </row>
    <row r="11" spans="1:20" ht="12.75" customHeight="1">
      <c r="A11" s="21" t="s">
        <v>19</v>
      </c>
      <c r="B11" s="21" t="s">
        <v>192</v>
      </c>
      <c r="C11" s="21" t="s">
        <v>21</v>
      </c>
      <c r="D11" s="21" t="s">
        <v>193</v>
      </c>
      <c r="E11" s="21" t="s">
        <v>194</v>
      </c>
      <c r="F11" s="21" t="s">
        <v>24</v>
      </c>
      <c r="G11" s="21" t="s">
        <v>24</v>
      </c>
      <c r="H11" s="21"/>
      <c r="I11" s="9">
        <v>-3867.5</v>
      </c>
      <c r="J11" s="21" t="s">
        <v>195</v>
      </c>
      <c r="K11" s="21"/>
      <c r="L11" s="21">
        <v>7</v>
      </c>
      <c r="M11" s="21">
        <v>2021</v>
      </c>
      <c r="N11" s="21" t="s">
        <v>133</v>
      </c>
      <c r="O11" s="21" t="s">
        <v>159</v>
      </c>
      <c r="P11" s="21" t="s">
        <v>196</v>
      </c>
      <c r="Q11" s="21"/>
      <c r="R11" s="21"/>
      <c r="S11" s="21"/>
      <c r="T11" s="21"/>
    </row>
    <row r="12" spans="1:20" ht="12.75" customHeight="1">
      <c r="A12" s="21" t="s">
        <v>19</v>
      </c>
      <c r="B12" s="21" t="s">
        <v>192</v>
      </c>
      <c r="C12" s="21" t="s">
        <v>21</v>
      </c>
      <c r="D12" s="21" t="s">
        <v>193</v>
      </c>
      <c r="E12" s="21" t="s">
        <v>194</v>
      </c>
      <c r="F12" s="21" t="s">
        <v>24</v>
      </c>
      <c r="G12" s="21" t="s">
        <v>24</v>
      </c>
      <c r="H12" s="21"/>
      <c r="I12" s="9">
        <v>-16139</v>
      </c>
      <c r="J12" s="21" t="s">
        <v>195</v>
      </c>
      <c r="K12" s="21"/>
      <c r="L12" s="21">
        <v>8</v>
      </c>
      <c r="M12" s="21">
        <v>2021</v>
      </c>
      <c r="N12" s="21" t="s">
        <v>133</v>
      </c>
      <c r="O12" s="21" t="s">
        <v>159</v>
      </c>
      <c r="P12" s="21" t="s">
        <v>196</v>
      </c>
      <c r="Q12" s="21"/>
      <c r="R12" s="21"/>
      <c r="S12" s="21"/>
      <c r="T12" s="21"/>
    </row>
    <row r="13" spans="1:20" ht="12.75" customHeight="1">
      <c r="A13" s="21" t="s">
        <v>19</v>
      </c>
      <c r="B13" s="21" t="s">
        <v>192</v>
      </c>
      <c r="C13" s="21" t="s">
        <v>21</v>
      </c>
      <c r="D13" s="21" t="s">
        <v>193</v>
      </c>
      <c r="E13" s="21" t="s">
        <v>194</v>
      </c>
      <c r="F13" s="21" t="s">
        <v>24</v>
      </c>
      <c r="G13" s="21" t="s">
        <v>24</v>
      </c>
      <c r="H13" s="21"/>
      <c r="I13" s="9">
        <v>16538</v>
      </c>
      <c r="J13" s="21" t="s">
        <v>195</v>
      </c>
      <c r="K13" s="21"/>
      <c r="L13" s="21">
        <v>8</v>
      </c>
      <c r="M13" s="21">
        <v>2021</v>
      </c>
      <c r="N13" s="21" t="s">
        <v>133</v>
      </c>
      <c r="O13" s="21" t="s">
        <v>159</v>
      </c>
      <c r="P13" s="21" t="s">
        <v>196</v>
      </c>
      <c r="Q13" s="21"/>
      <c r="R13" s="21"/>
      <c r="S13" s="21"/>
      <c r="T13" s="21"/>
    </row>
    <row r="14" spans="1:20" ht="12.75" customHeight="1">
      <c r="A14" s="21" t="s">
        <v>19</v>
      </c>
      <c r="B14" s="21" t="s">
        <v>192</v>
      </c>
      <c r="C14" s="21" t="s">
        <v>21</v>
      </c>
      <c r="D14" s="21" t="s">
        <v>193</v>
      </c>
      <c r="E14" s="21" t="s">
        <v>194</v>
      </c>
      <c r="F14" s="21" t="s">
        <v>24</v>
      </c>
      <c r="G14" s="21" t="s">
        <v>24</v>
      </c>
      <c r="H14" s="21"/>
      <c r="I14" s="9">
        <v>8639</v>
      </c>
      <c r="J14" s="21" t="s">
        <v>199</v>
      </c>
      <c r="K14" s="21"/>
      <c r="L14" s="21">
        <v>8</v>
      </c>
      <c r="M14" s="21">
        <v>2021</v>
      </c>
      <c r="N14" s="21" t="s">
        <v>133</v>
      </c>
      <c r="O14" s="21" t="s">
        <v>134</v>
      </c>
      <c r="P14" s="21" t="s">
        <v>196</v>
      </c>
      <c r="Q14" s="21"/>
      <c r="R14" s="21"/>
      <c r="S14" s="21"/>
      <c r="T14" s="21"/>
    </row>
    <row r="15" spans="1:20" ht="12.75" customHeight="1">
      <c r="A15" s="21" t="s">
        <v>19</v>
      </c>
      <c r="B15" s="21" t="s">
        <v>192</v>
      </c>
      <c r="C15" s="21" t="s">
        <v>21</v>
      </c>
      <c r="D15" s="21" t="s">
        <v>136</v>
      </c>
      <c r="E15" s="21" t="s">
        <v>194</v>
      </c>
      <c r="F15" s="21" t="s">
        <v>24</v>
      </c>
      <c r="G15" s="21" t="s">
        <v>24</v>
      </c>
      <c r="H15" s="21"/>
      <c r="I15" s="9">
        <v>695.44000000000005</v>
      </c>
      <c r="J15" s="21" t="s">
        <v>200</v>
      </c>
      <c r="K15" s="21"/>
      <c r="L15" s="21">
        <v>8</v>
      </c>
      <c r="M15" s="21">
        <v>2021</v>
      </c>
      <c r="N15" s="21" t="s">
        <v>138</v>
      </c>
      <c r="O15" s="21" t="s">
        <v>139</v>
      </c>
      <c r="P15" s="21" t="s">
        <v>140</v>
      </c>
      <c r="Q15" s="21"/>
      <c r="R15" s="21"/>
      <c r="S15" s="21"/>
      <c r="T15" s="21"/>
    </row>
    <row r="16" spans="1:20" ht="12.75" customHeight="1">
      <c r="A16" s="21" t="s">
        <v>19</v>
      </c>
      <c r="B16" s="21" t="s">
        <v>20</v>
      </c>
      <c r="C16" s="21" t="s">
        <v>21</v>
      </c>
      <c r="D16" s="21" t="s">
        <v>130</v>
      </c>
      <c r="E16" s="21" t="s">
        <v>194</v>
      </c>
      <c r="F16" s="21" t="s">
        <v>24</v>
      </c>
      <c r="G16" s="21" t="s">
        <v>24</v>
      </c>
      <c r="H16" s="21"/>
      <c r="I16" s="9">
        <v>56.350000000000001</v>
      </c>
      <c r="J16" s="21" t="s">
        <v>132</v>
      </c>
      <c r="K16" s="21"/>
      <c r="L16" s="21">
        <v>9</v>
      </c>
      <c r="M16" s="21">
        <v>2020</v>
      </c>
      <c r="N16" s="21" t="s">
        <v>133</v>
      </c>
      <c r="O16" s="21" t="s">
        <v>134</v>
      </c>
      <c r="P16" s="21" t="s">
        <v>135</v>
      </c>
      <c r="Q16" s="21"/>
      <c r="R16" s="21"/>
      <c r="S16" s="21"/>
      <c r="T16" s="21"/>
    </row>
    <row r="17" spans="1:20" ht="12.75" customHeight="1">
      <c r="A17" s="21" t="s">
        <v>19</v>
      </c>
      <c r="B17" s="21" t="s">
        <v>20</v>
      </c>
      <c r="C17" s="21" t="s">
        <v>21</v>
      </c>
      <c r="D17" s="21" t="s">
        <v>136</v>
      </c>
      <c r="E17" s="21" t="s">
        <v>194</v>
      </c>
      <c r="F17" s="21" t="s">
        <v>24</v>
      </c>
      <c r="G17" s="21" t="s">
        <v>24</v>
      </c>
      <c r="H17" s="21"/>
      <c r="I17" s="9">
        <v>3.6200000000000001</v>
      </c>
      <c r="J17" s="21" t="s">
        <v>137</v>
      </c>
      <c r="K17" s="21"/>
      <c r="L17" s="21">
        <v>9</v>
      </c>
      <c r="M17" s="21">
        <v>2020</v>
      </c>
      <c r="N17" s="21" t="s">
        <v>138</v>
      </c>
      <c r="O17" s="21" t="s">
        <v>139</v>
      </c>
      <c r="P17" s="21" t="s">
        <v>140</v>
      </c>
      <c r="Q17" s="21"/>
      <c r="R17" s="21"/>
      <c r="S17" s="21"/>
      <c r="T17" s="21"/>
    </row>
    <row r="18" spans="1:20" ht="12.75" customHeight="1">
      <c r="A18" s="21" t="s">
        <v>19</v>
      </c>
      <c r="B18" s="21" t="s">
        <v>192</v>
      </c>
      <c r="C18" s="21" t="s">
        <v>21</v>
      </c>
      <c r="D18" s="21" t="s">
        <v>193</v>
      </c>
      <c r="E18" s="21" t="s">
        <v>194</v>
      </c>
      <c r="F18" s="21" t="s">
        <v>24</v>
      </c>
      <c r="G18" s="21" t="s">
        <v>24</v>
      </c>
      <c r="H18" s="21"/>
      <c r="I18" s="9">
        <v>22399.700000000001</v>
      </c>
      <c r="J18" s="21" t="s">
        <v>195</v>
      </c>
      <c r="K18" s="21"/>
      <c r="L18" s="21">
        <v>9</v>
      </c>
      <c r="M18" s="21">
        <v>2021</v>
      </c>
      <c r="N18" s="21" t="s">
        <v>133</v>
      </c>
      <c r="O18" s="21" t="s">
        <v>159</v>
      </c>
      <c r="P18" s="21" t="s">
        <v>196</v>
      </c>
      <c r="Q18" s="21"/>
      <c r="R18" s="21"/>
      <c r="S18" s="21"/>
      <c r="T18" s="21"/>
    </row>
    <row r="19" spans="1:20" ht="12.75" customHeight="1">
      <c r="A19" s="21" t="s">
        <v>19</v>
      </c>
      <c r="B19" s="21" t="s">
        <v>192</v>
      </c>
      <c r="C19" s="21" t="s">
        <v>21</v>
      </c>
      <c r="D19" s="21" t="s">
        <v>193</v>
      </c>
      <c r="E19" s="21" t="s">
        <v>194</v>
      </c>
      <c r="F19" s="21" t="s">
        <v>24</v>
      </c>
      <c r="G19" s="21" t="s">
        <v>24</v>
      </c>
      <c r="H19" s="21"/>
      <c r="I19" s="9">
        <v>-16538</v>
      </c>
      <c r="J19" s="21" t="s">
        <v>195</v>
      </c>
      <c r="K19" s="21"/>
      <c r="L19" s="21">
        <v>9</v>
      </c>
      <c r="M19" s="21">
        <v>2021</v>
      </c>
      <c r="N19" s="21" t="s">
        <v>133</v>
      </c>
      <c r="O19" s="21" t="s">
        <v>159</v>
      </c>
      <c r="P19" s="21" t="s">
        <v>196</v>
      </c>
      <c r="Q19" s="21"/>
      <c r="R19" s="21"/>
      <c r="S19" s="21"/>
      <c r="T19" s="21"/>
    </row>
    <row r="20" spans="1:20" ht="12.75" customHeight="1">
      <c r="A20" s="21" t="s">
        <v>19</v>
      </c>
      <c r="B20" s="21" t="s">
        <v>192</v>
      </c>
      <c r="C20" s="21" t="s">
        <v>21</v>
      </c>
      <c r="D20" s="21" t="s">
        <v>193</v>
      </c>
      <c r="E20" s="21" t="s">
        <v>194</v>
      </c>
      <c r="F20" s="21" t="s">
        <v>24</v>
      </c>
      <c r="G20" s="21" t="s">
        <v>24</v>
      </c>
      <c r="H20" s="21"/>
      <c r="I20" s="9">
        <v>27840.610000000001</v>
      </c>
      <c r="J20" s="21" t="s">
        <v>195</v>
      </c>
      <c r="K20" s="21"/>
      <c r="L20" s="21">
        <v>10</v>
      </c>
      <c r="M20" s="21">
        <v>2021</v>
      </c>
      <c r="N20" s="21" t="s">
        <v>133</v>
      </c>
      <c r="O20" s="21" t="s">
        <v>159</v>
      </c>
      <c r="P20" s="21" t="s">
        <v>196</v>
      </c>
      <c r="Q20" s="21"/>
      <c r="R20" s="21"/>
      <c r="S20" s="21"/>
      <c r="T20" s="21"/>
    </row>
    <row r="21" spans="1:20" ht="12.75" customHeight="1">
      <c r="A21" s="21" t="s">
        <v>19</v>
      </c>
      <c r="B21" s="21" t="s">
        <v>192</v>
      </c>
      <c r="C21" s="21" t="s">
        <v>21</v>
      </c>
      <c r="D21" s="21" t="s">
        <v>193</v>
      </c>
      <c r="E21" s="21" t="s">
        <v>194</v>
      </c>
      <c r="F21" s="21" t="s">
        <v>24</v>
      </c>
      <c r="G21" s="21" t="s">
        <v>24</v>
      </c>
      <c r="H21" s="21"/>
      <c r="I21" s="9">
        <v>-22399.700000000001</v>
      </c>
      <c r="J21" s="21" t="s">
        <v>195</v>
      </c>
      <c r="K21" s="21"/>
      <c r="L21" s="21">
        <v>10</v>
      </c>
      <c r="M21" s="21">
        <v>2021</v>
      </c>
      <c r="N21" s="21" t="s">
        <v>133</v>
      </c>
      <c r="O21" s="21" t="s">
        <v>159</v>
      </c>
      <c r="P21" s="21" t="s">
        <v>196</v>
      </c>
      <c r="Q21" s="21"/>
      <c r="R21" s="21"/>
      <c r="S21" s="21"/>
      <c r="T21" s="21"/>
    </row>
    <row r="22" spans="1:20" ht="12.75" customHeight="1">
      <c r="A22" s="21" t="s">
        <v>19</v>
      </c>
      <c r="B22" s="21" t="s">
        <v>192</v>
      </c>
      <c r="C22" s="21" t="s">
        <v>21</v>
      </c>
      <c r="D22" s="21" t="s">
        <v>193</v>
      </c>
      <c r="E22" s="21" t="s">
        <v>194</v>
      </c>
      <c r="F22" s="21" t="s">
        <v>24</v>
      </c>
      <c r="G22" s="21" t="s">
        <v>24</v>
      </c>
      <c r="H22" s="21"/>
      <c r="I22" s="9">
        <v>12602.370000000001</v>
      </c>
      <c r="J22" s="21" t="s">
        <v>195</v>
      </c>
      <c r="K22" s="21"/>
      <c r="L22" s="21">
        <v>11</v>
      </c>
      <c r="M22" s="21">
        <v>2021</v>
      </c>
      <c r="N22" s="21" t="s">
        <v>133</v>
      </c>
      <c r="O22" s="21" t="s">
        <v>159</v>
      </c>
      <c r="P22" s="21" t="s">
        <v>196</v>
      </c>
      <c r="Q22" s="21"/>
      <c r="R22" s="21"/>
      <c r="S22" s="21"/>
      <c r="T22" s="21"/>
    </row>
    <row r="23" spans="1:20" ht="12.75" customHeight="1">
      <c r="A23" s="21" t="s">
        <v>19</v>
      </c>
      <c r="B23" s="21" t="s">
        <v>192</v>
      </c>
      <c r="C23" s="21" t="s">
        <v>21</v>
      </c>
      <c r="D23" s="21" t="s">
        <v>193</v>
      </c>
      <c r="E23" s="21" t="s">
        <v>194</v>
      </c>
      <c r="F23" s="21" t="s">
        <v>24</v>
      </c>
      <c r="G23" s="21" t="s">
        <v>24</v>
      </c>
      <c r="H23" s="21"/>
      <c r="I23" s="9">
        <v>5940.9099999999999</v>
      </c>
      <c r="J23" s="21" t="s">
        <v>201</v>
      </c>
      <c r="K23" s="21"/>
      <c r="L23" s="21">
        <v>11</v>
      </c>
      <c r="M23" s="21">
        <v>2021</v>
      </c>
      <c r="N23" s="21" t="s">
        <v>133</v>
      </c>
      <c r="O23" s="21" t="s">
        <v>134</v>
      </c>
      <c r="P23" s="21" t="s">
        <v>196</v>
      </c>
      <c r="Q23" s="21"/>
      <c r="R23" s="21"/>
      <c r="S23" s="21"/>
      <c r="T23" s="21"/>
    </row>
    <row r="24" spans="1:20" ht="12.75" customHeight="1">
      <c r="A24" s="21" t="s">
        <v>19</v>
      </c>
      <c r="B24" s="21" t="s">
        <v>192</v>
      </c>
      <c r="C24" s="21" t="s">
        <v>21</v>
      </c>
      <c r="D24" s="21" t="s">
        <v>193</v>
      </c>
      <c r="E24" s="21" t="s">
        <v>194</v>
      </c>
      <c r="F24" s="21" t="s">
        <v>24</v>
      </c>
      <c r="G24" s="21" t="s">
        <v>24</v>
      </c>
      <c r="H24" s="21"/>
      <c r="I24" s="9">
        <v>16899.700000000001</v>
      </c>
      <c r="J24" s="21" t="s">
        <v>202</v>
      </c>
      <c r="K24" s="21"/>
      <c r="L24" s="21">
        <v>11</v>
      </c>
      <c r="M24" s="21">
        <v>2021</v>
      </c>
      <c r="N24" s="21" t="s">
        <v>133</v>
      </c>
      <c r="O24" s="21" t="s">
        <v>134</v>
      </c>
      <c r="P24" s="21" t="s">
        <v>196</v>
      </c>
      <c r="Q24" s="21"/>
      <c r="R24" s="21"/>
      <c r="S24" s="21"/>
      <c r="T24" s="21"/>
    </row>
    <row r="25" spans="1:20" ht="12.75" customHeight="1">
      <c r="A25" s="21" t="s">
        <v>19</v>
      </c>
      <c r="B25" s="21" t="s">
        <v>192</v>
      </c>
      <c r="C25" s="21" t="s">
        <v>21</v>
      </c>
      <c r="D25" s="21" t="s">
        <v>193</v>
      </c>
      <c r="E25" s="21" t="s">
        <v>194</v>
      </c>
      <c r="F25" s="21" t="s">
        <v>24</v>
      </c>
      <c r="G25" s="21" t="s">
        <v>24</v>
      </c>
      <c r="H25" s="21"/>
      <c r="I25" s="9">
        <v>-27840.610000000001</v>
      </c>
      <c r="J25" s="21" t="s">
        <v>195</v>
      </c>
      <c r="K25" s="21"/>
      <c r="L25" s="21">
        <v>11</v>
      </c>
      <c r="M25" s="21">
        <v>2021</v>
      </c>
      <c r="N25" s="21" t="s">
        <v>133</v>
      </c>
      <c r="O25" s="21" t="s">
        <v>159</v>
      </c>
      <c r="P25" s="21" t="s">
        <v>196</v>
      </c>
      <c r="Q25" s="21"/>
      <c r="R25" s="21"/>
      <c r="S25" s="21"/>
      <c r="T25" s="21"/>
    </row>
    <row r="26" spans="1:20" ht="12.75" customHeight="1">
      <c r="A26" s="21" t="s">
        <v>19</v>
      </c>
      <c r="B26" s="21" t="s">
        <v>192</v>
      </c>
      <c r="C26" s="21" t="s">
        <v>21</v>
      </c>
      <c r="D26" s="21" t="s">
        <v>136</v>
      </c>
      <c r="E26" s="21" t="s">
        <v>194</v>
      </c>
      <c r="F26" s="21" t="s">
        <v>24</v>
      </c>
      <c r="G26" s="21" t="s">
        <v>24</v>
      </c>
      <c r="H26" s="21"/>
      <c r="I26" s="9">
        <v>2032.81</v>
      </c>
      <c r="J26" s="21" t="s">
        <v>203</v>
      </c>
      <c r="K26" s="21"/>
      <c r="L26" s="21">
        <v>11</v>
      </c>
      <c r="M26" s="21">
        <v>2021</v>
      </c>
      <c r="N26" s="21" t="s">
        <v>138</v>
      </c>
      <c r="O26" s="21" t="s">
        <v>139</v>
      </c>
      <c r="P26" s="21" t="s">
        <v>140</v>
      </c>
      <c r="Q26" s="21"/>
      <c r="R26" s="21"/>
      <c r="S26" s="21"/>
      <c r="T26" s="21"/>
    </row>
    <row r="27" spans="1:20" ht="12.75" customHeight="1">
      <c r="A27" s="21" t="s">
        <v>19</v>
      </c>
      <c r="B27" s="21" t="s">
        <v>192</v>
      </c>
      <c r="C27" s="21" t="s">
        <v>21</v>
      </c>
      <c r="D27" s="21" t="s">
        <v>193</v>
      </c>
      <c r="E27" s="21" t="s">
        <v>194</v>
      </c>
      <c r="F27" s="21" t="s">
        <v>24</v>
      </c>
      <c r="G27" s="21" t="s">
        <v>24</v>
      </c>
      <c r="H27" s="21"/>
      <c r="I27" s="9">
        <v>-12602.370000000001</v>
      </c>
      <c r="J27" s="21" t="s">
        <v>195</v>
      </c>
      <c r="K27" s="21"/>
      <c r="L27" s="21">
        <v>12</v>
      </c>
      <c r="M27" s="21">
        <v>2021</v>
      </c>
      <c r="N27" s="21" t="s">
        <v>133</v>
      </c>
      <c r="O27" s="21" t="s">
        <v>159</v>
      </c>
      <c r="P27" s="21" t="s">
        <v>196</v>
      </c>
      <c r="Q27" s="21"/>
      <c r="R27" s="21"/>
      <c r="S27" s="21"/>
      <c r="T27" s="21"/>
    </row>
    <row r="28" spans="1:20" ht="12.75" customHeight="1">
      <c r="A28" s="21" t="s">
        <v>19</v>
      </c>
      <c r="B28" s="21" t="s">
        <v>192</v>
      </c>
      <c r="C28" s="21" t="s">
        <v>21</v>
      </c>
      <c r="D28" s="21" t="s">
        <v>193</v>
      </c>
      <c r="E28" s="21" t="s">
        <v>194</v>
      </c>
      <c r="F28" s="21" t="s">
        <v>24</v>
      </c>
      <c r="G28" s="21" t="s">
        <v>24</v>
      </c>
      <c r="H28" s="21"/>
      <c r="I28" s="9">
        <v>6302.3699999999999</v>
      </c>
      <c r="J28" s="21" t="s">
        <v>204</v>
      </c>
      <c r="K28" s="21"/>
      <c r="L28" s="21">
        <v>12</v>
      </c>
      <c r="M28" s="21">
        <v>2021</v>
      </c>
      <c r="N28" s="21" t="s">
        <v>133</v>
      </c>
      <c r="O28" s="21" t="s">
        <v>134</v>
      </c>
      <c r="P28" s="21" t="s">
        <v>196</v>
      </c>
      <c r="Q28" s="21"/>
      <c r="R28" s="21"/>
      <c r="S28" s="21"/>
      <c r="T28" s="21"/>
    </row>
    <row r="29" spans="1:20" ht="12.75" customHeight="1">
      <c r="A29" s="21" t="s">
        <v>19</v>
      </c>
      <c r="B29" s="21" t="s">
        <v>192</v>
      </c>
      <c r="C29" s="21" t="s">
        <v>21</v>
      </c>
      <c r="D29" s="21" t="s">
        <v>136</v>
      </c>
      <c r="E29" s="21" t="s">
        <v>194</v>
      </c>
      <c r="F29" s="21" t="s">
        <v>24</v>
      </c>
      <c r="G29" s="21" t="s">
        <v>24</v>
      </c>
      <c r="H29" s="21"/>
      <c r="I29" s="9">
        <v>599.99000000000001</v>
      </c>
      <c r="J29" s="21" t="s">
        <v>205</v>
      </c>
      <c r="K29" s="21"/>
      <c r="L29" s="21">
        <v>12</v>
      </c>
      <c r="M29" s="21">
        <v>2021</v>
      </c>
      <c r="N29" s="21" t="s">
        <v>138</v>
      </c>
      <c r="O29" s="21" t="s">
        <v>139</v>
      </c>
      <c r="P29" s="21" t="s">
        <v>140</v>
      </c>
      <c r="Q29" s="21"/>
      <c r="R29" s="21"/>
      <c r="S29" s="21"/>
      <c r="T29" s="21"/>
    </row>
    <row r="30" spans="1:20" ht="12.75" customHeight="1">
      <c r="A30" s="21" t="s">
        <v>19</v>
      </c>
      <c r="B30" s="21" t="s">
        <v>192</v>
      </c>
      <c r="C30" s="21" t="s">
        <v>21</v>
      </c>
      <c r="D30" s="21" t="s">
        <v>193</v>
      </c>
      <c r="E30" s="21" t="s">
        <v>194</v>
      </c>
      <c r="F30" s="21" t="s">
        <v>24</v>
      </c>
      <c r="G30" s="21" t="s">
        <v>24</v>
      </c>
      <c r="H30" s="21"/>
      <c r="I30" s="9">
        <v>796.79999999999995</v>
      </c>
      <c r="J30" s="21" t="s">
        <v>195</v>
      </c>
      <c r="K30" s="21"/>
      <c r="L30" s="21">
        <v>12</v>
      </c>
      <c r="M30" s="21">
        <v>2021</v>
      </c>
      <c r="N30" s="21" t="s">
        <v>133</v>
      </c>
      <c r="O30" s="21" t="s">
        <v>159</v>
      </c>
      <c r="P30" s="21" t="s">
        <v>196</v>
      </c>
      <c r="Q30" s="21"/>
      <c r="R30" s="21"/>
      <c r="S30" s="21"/>
      <c r="T30" s="21"/>
    </row>
    <row r="31" spans="1:20" ht="12.75" customHeight="1">
      <c r="A31" s="55" t="s">
        <v>19</v>
      </c>
      <c r="B31" s="55" t="s">
        <v>20</v>
      </c>
      <c r="C31" s="55" t="s">
        <v>21</v>
      </c>
      <c r="D31" s="55" t="s">
        <v>22</v>
      </c>
      <c r="E31" s="55" t="s">
        <v>194</v>
      </c>
      <c r="F31" s="55" t="s">
        <v>24</v>
      </c>
      <c r="G31" s="55" t="s">
        <v>24</v>
      </c>
      <c r="H31" s="55"/>
      <c r="I31" s="18">
        <v>-39623</v>
      </c>
      <c r="J31" s="55" t="s">
        <v>158</v>
      </c>
      <c r="K31" s="55"/>
      <c r="L31" s="55">
        <v>12</v>
      </c>
      <c r="M31" s="55">
        <v>2021</v>
      </c>
      <c r="N31" s="55" t="s">
        <v>27</v>
      </c>
      <c r="O31" s="55" t="s">
        <v>159</v>
      </c>
      <c r="P31" s="55" t="s">
        <v>29</v>
      </c>
      <c r="Q31" s="55"/>
      <c r="R31" s="21"/>
      <c r="S31" s="21"/>
      <c r="T31" s="21"/>
    </row>
    <row r="32" spans="1:20" ht="12.75" customHeight="1">
      <c r="A32" s="21" t="s">
        <v>19</v>
      </c>
      <c r="B32" s="21" t="s">
        <v>192</v>
      </c>
      <c r="C32" s="21" t="s">
        <v>21</v>
      </c>
      <c r="D32" s="21" t="s">
        <v>193</v>
      </c>
      <c r="E32" s="21" t="s">
        <v>194</v>
      </c>
      <c r="F32" s="21" t="s">
        <v>24</v>
      </c>
      <c r="G32" s="21" t="s">
        <v>24</v>
      </c>
      <c r="H32" s="21"/>
      <c r="I32" s="9">
        <v>-796.79999999999995</v>
      </c>
      <c r="J32" s="21" t="s">
        <v>195</v>
      </c>
      <c r="K32" s="21"/>
      <c r="L32" s="21">
        <v>1</v>
      </c>
      <c r="M32" s="21">
        <v>2022</v>
      </c>
      <c r="N32" s="21" t="s">
        <v>133</v>
      </c>
      <c r="O32" s="21" t="s">
        <v>159</v>
      </c>
      <c r="P32" s="21" t="s">
        <v>196</v>
      </c>
      <c r="Q32" s="21"/>
      <c r="R32" s="21"/>
      <c r="S32" s="21"/>
      <c r="T32" s="21"/>
    </row>
    <row r="33" spans="1:17" ht="12.75" customHeight="1">
      <c r="A33" s="21" t="s">
        <v>19</v>
      </c>
      <c r="B33" s="21" t="s">
        <v>20</v>
      </c>
      <c r="C33" s="21" t="s">
        <v>21</v>
      </c>
      <c r="D33" s="21" t="s">
        <v>22</v>
      </c>
      <c r="E33" s="21" t="s">
        <v>194</v>
      </c>
      <c r="F33" s="21" t="s">
        <v>24</v>
      </c>
      <c r="G33" s="21" t="s">
        <v>24</v>
      </c>
      <c r="H33" s="21"/>
      <c r="I33" s="9">
        <v>39623</v>
      </c>
      <c r="J33" s="21" t="s">
        <v>158</v>
      </c>
      <c r="K33" s="21"/>
      <c r="L33" s="21">
        <v>1</v>
      </c>
      <c r="M33" s="21">
        <v>2022</v>
      </c>
      <c r="N33" s="21" t="s">
        <v>27</v>
      </c>
      <c r="O33" s="21" t="s">
        <v>159</v>
      </c>
      <c r="P33" s="21" t="s">
        <v>29</v>
      </c>
      <c r="Q33" s="21"/>
    </row>
    <row r="34" ht="12.75" customHeight="1"/>
    <row r="35" ht="12.75" customHeight="1"/>
    <row r="36" ht="12.75" customHeight="1"/>
    <row r="37" spans="1:1" ht="12.75">
      <c r="A37" s="8" t="s">
        <v>30</v>
      </c>
    </row>
    <row r="38" spans="1:1" ht="13.5" thickBot="1">
      <c r="A38" s="8"/>
    </row>
    <row r="39" spans="1:22" ht="16.5" thickTop="1" thickBot="1">
      <c r="A39" s="63"/>
      <c r="B39" s="64"/>
      <c r="C39" s="64"/>
      <c r="D39" s="65"/>
      <c r="V39" s="12" t="s">
        <v>31</v>
      </c>
    </row>
    <row r="40" spans="1:23" ht="16.5" thickTop="1" thickBot="1">
      <c r="A40" s="10" t="s">
        <v>0</v>
      </c>
      <c r="B40" s="10" t="s">
        <v>32</v>
      </c>
      <c r="C40" s="10" t="s">
        <v>33</v>
      </c>
      <c r="D40" s="10" t="s">
        <v>18</v>
      </c>
      <c r="E40" s="10" t="s">
        <v>6</v>
      </c>
      <c r="F40" s="10" t="s">
        <v>34</v>
      </c>
      <c r="G40" s="10" t="s">
        <v>35</v>
      </c>
      <c r="H40" s="10" t="s">
        <v>36</v>
      </c>
      <c r="I40" s="11" t="s">
        <v>37</v>
      </c>
      <c r="J40" s="10" t="s">
        <v>18</v>
      </c>
      <c r="K40" s="10" t="s">
        <v>38</v>
      </c>
      <c r="L40" s="10" t="s">
        <v>8</v>
      </c>
      <c r="M40" s="10" t="s">
        <v>39</v>
      </c>
      <c r="N40" s="10" t="s">
        <v>40</v>
      </c>
      <c r="O40" s="10" t="s">
        <v>41</v>
      </c>
      <c r="P40" s="10" t="s">
        <v>42</v>
      </c>
      <c r="Q40" s="10" t="s">
        <v>43</v>
      </c>
      <c r="R40" s="10" t="s">
        <v>44</v>
      </c>
      <c r="S40" s="10" t="s">
        <v>45</v>
      </c>
      <c r="T40" s="10" t="s">
        <v>46</v>
      </c>
      <c r="U40" s="10" t="s">
        <v>18</v>
      </c>
      <c r="V40" s="10" t="s">
        <v>48</v>
      </c>
      <c r="W40" s="10" t="s">
        <v>49</v>
      </c>
    </row>
    <row r="41" spans="1:23" ht="13.5" thickTop="1">
      <c r="A41" s="21" t="s">
        <v>19</v>
      </c>
      <c r="B41" s="21" t="s">
        <v>206</v>
      </c>
      <c r="C41" s="21" t="s">
        <v>207</v>
      </c>
      <c r="D41" s="21" t="s">
        <v>208</v>
      </c>
      <c r="E41" s="21" t="s">
        <v>53</v>
      </c>
      <c r="F41" s="21" t="s">
        <v>2</v>
      </c>
      <c r="G41" s="21" t="s">
        <v>54</v>
      </c>
      <c r="H41" s="21" t="s">
        <v>55</v>
      </c>
      <c r="I41" s="20" t="s">
        <v>56</v>
      </c>
      <c r="J41" s="21" t="s">
        <v>57</v>
      </c>
      <c r="K41" s="21" t="s">
        <v>69</v>
      </c>
      <c r="L41" s="21"/>
      <c r="M41" s="21" t="s">
        <v>148</v>
      </c>
      <c r="N41" s="20">
        <v>0</v>
      </c>
      <c r="O41" s="20">
        <v>0</v>
      </c>
      <c r="P41" s="19">
        <v>0</v>
      </c>
      <c r="Q41" s="20">
        <v>0</v>
      </c>
      <c r="R41" s="19">
        <v>2.0150000000000001</v>
      </c>
      <c r="S41" s="22">
        <v>43616</v>
      </c>
      <c r="T41" s="21"/>
      <c r="U41" s="21" t="s">
        <v>209</v>
      </c>
      <c r="V41" s="21" t="s">
        <v>210</v>
      </c>
      <c r="W41" s="21"/>
    </row>
    <row r="42" spans="1:23" ht="12.75">
      <c r="A42" s="21" t="s">
        <v>19</v>
      </c>
      <c r="B42" s="21" t="s">
        <v>206</v>
      </c>
      <c r="C42" s="21" t="s">
        <v>207</v>
      </c>
      <c r="D42" s="21" t="s">
        <v>208</v>
      </c>
      <c r="E42" s="21" t="s">
        <v>53</v>
      </c>
      <c r="F42" s="21" t="s">
        <v>2</v>
      </c>
      <c r="G42" s="21" t="s">
        <v>54</v>
      </c>
      <c r="H42" s="21" t="s">
        <v>55</v>
      </c>
      <c r="I42" s="20" t="s">
        <v>56</v>
      </c>
      <c r="J42" s="21" t="s">
        <v>57</v>
      </c>
      <c r="K42" s="21" t="s">
        <v>69</v>
      </c>
      <c r="L42" s="21"/>
      <c r="M42" s="21" t="s">
        <v>148</v>
      </c>
      <c r="N42" s="20">
        <v>521.16999999999996</v>
      </c>
      <c r="O42" s="20">
        <v>521.16999999999996</v>
      </c>
      <c r="P42" s="19">
        <v>0</v>
      </c>
      <c r="Q42" s="20">
        <v>0</v>
      </c>
      <c r="R42" s="19">
        <v>0.94799999999999995</v>
      </c>
      <c r="S42" s="22">
        <v>34700</v>
      </c>
      <c r="T42" s="21"/>
      <c r="U42" s="21" t="s">
        <v>175</v>
      </c>
      <c r="V42" s="21" t="s">
        <v>210</v>
      </c>
      <c r="W42" s="21"/>
    </row>
    <row r="43" spans="1:23" ht="12.75">
      <c r="A43" s="21" t="s">
        <v>19</v>
      </c>
      <c r="B43" s="21" t="s">
        <v>211</v>
      </c>
      <c r="C43" s="21" t="s">
        <v>207</v>
      </c>
      <c r="D43" s="21" t="s">
        <v>208</v>
      </c>
      <c r="E43" s="21" t="s">
        <v>53</v>
      </c>
      <c r="F43" s="21" t="s">
        <v>2</v>
      </c>
      <c r="G43" s="21" t="s">
        <v>54</v>
      </c>
      <c r="H43" s="21" t="s">
        <v>55</v>
      </c>
      <c r="I43" s="20" t="s">
        <v>56</v>
      </c>
      <c r="J43" s="21" t="s">
        <v>57</v>
      </c>
      <c r="K43" s="21" t="s">
        <v>69</v>
      </c>
      <c r="L43" s="21"/>
      <c r="M43" s="21" t="s">
        <v>212</v>
      </c>
      <c r="N43" s="20">
        <v>0</v>
      </c>
      <c r="O43" s="20">
        <v>0</v>
      </c>
      <c r="P43" s="19">
        <v>0</v>
      </c>
      <c r="Q43" s="20">
        <v>0</v>
      </c>
      <c r="R43" s="19">
        <v>2.6070000000000002</v>
      </c>
      <c r="S43" s="22">
        <v>43616</v>
      </c>
      <c r="T43" s="21"/>
      <c r="U43" s="21" t="s">
        <v>209</v>
      </c>
      <c r="V43" s="21" t="s">
        <v>213</v>
      </c>
      <c r="W43" s="21"/>
    </row>
    <row r="44" spans="1:23" ht="12.75">
      <c r="A44" s="21" t="s">
        <v>19</v>
      </c>
      <c r="B44" s="21" t="s">
        <v>211</v>
      </c>
      <c r="C44" s="21" t="s">
        <v>207</v>
      </c>
      <c r="D44" s="21" t="s">
        <v>208</v>
      </c>
      <c r="E44" s="21" t="s">
        <v>53</v>
      </c>
      <c r="F44" s="21" t="s">
        <v>2</v>
      </c>
      <c r="G44" s="21" t="s">
        <v>54</v>
      </c>
      <c r="H44" s="21" t="s">
        <v>55</v>
      </c>
      <c r="I44" s="20" t="s">
        <v>56</v>
      </c>
      <c r="J44" s="21" t="s">
        <v>57</v>
      </c>
      <c r="K44" s="21" t="s">
        <v>69</v>
      </c>
      <c r="L44" s="21"/>
      <c r="M44" s="21" t="s">
        <v>212</v>
      </c>
      <c r="N44" s="20">
        <v>676.75</v>
      </c>
      <c r="O44" s="20">
        <v>676.75</v>
      </c>
      <c r="P44" s="19">
        <v>0</v>
      </c>
      <c r="Q44" s="20">
        <v>0</v>
      </c>
      <c r="R44" s="19">
        <v>1.2310000000000001</v>
      </c>
      <c r="S44" s="22">
        <v>34700</v>
      </c>
      <c r="T44" s="21"/>
      <c r="U44" s="21" t="s">
        <v>175</v>
      </c>
      <c r="V44" s="21" t="s">
        <v>213</v>
      </c>
      <c r="W44" s="21"/>
    </row>
    <row r="45" spans="1:23" ht="12.75">
      <c r="A45" s="21" t="s">
        <v>19</v>
      </c>
      <c r="B45" s="21" t="s">
        <v>214</v>
      </c>
      <c r="C45" s="21" t="s">
        <v>207</v>
      </c>
      <c r="D45" s="21" t="s">
        <v>208</v>
      </c>
      <c r="E45" s="21" t="s">
        <v>53</v>
      </c>
      <c r="F45" s="21" t="s">
        <v>2</v>
      </c>
      <c r="G45" s="21" t="s">
        <v>54</v>
      </c>
      <c r="H45" s="21" t="s">
        <v>55</v>
      </c>
      <c r="I45" s="20" t="s">
        <v>56</v>
      </c>
      <c r="J45" s="21" t="s">
        <v>57</v>
      </c>
      <c r="K45" s="21" t="s">
        <v>69</v>
      </c>
      <c r="L45" s="21"/>
      <c r="M45" s="21" t="s">
        <v>212</v>
      </c>
      <c r="N45" s="20">
        <v>0</v>
      </c>
      <c r="O45" s="20">
        <v>0</v>
      </c>
      <c r="P45" s="19">
        <v>0</v>
      </c>
      <c r="Q45" s="20">
        <v>0</v>
      </c>
      <c r="R45" s="19">
        <v>18.251999999999999</v>
      </c>
      <c r="S45" s="22">
        <v>43616</v>
      </c>
      <c r="T45" s="21"/>
      <c r="U45" s="21" t="s">
        <v>209</v>
      </c>
      <c r="V45" s="21" t="s">
        <v>215</v>
      </c>
      <c r="W45" s="21"/>
    </row>
    <row r="46" spans="1:23" ht="12.75">
      <c r="A46" s="21" t="s">
        <v>19</v>
      </c>
      <c r="B46" s="21" t="s">
        <v>214</v>
      </c>
      <c r="C46" s="21" t="s">
        <v>207</v>
      </c>
      <c r="D46" s="21" t="s">
        <v>208</v>
      </c>
      <c r="E46" s="21" t="s">
        <v>53</v>
      </c>
      <c r="F46" s="21" t="s">
        <v>2</v>
      </c>
      <c r="G46" s="21" t="s">
        <v>54</v>
      </c>
      <c r="H46" s="21" t="s">
        <v>55</v>
      </c>
      <c r="I46" s="20" t="s">
        <v>56</v>
      </c>
      <c r="J46" s="21" t="s">
        <v>57</v>
      </c>
      <c r="K46" s="21" t="s">
        <v>69</v>
      </c>
      <c r="L46" s="21"/>
      <c r="M46" s="21" t="s">
        <v>212</v>
      </c>
      <c r="N46" s="20">
        <v>4351.1400000000003</v>
      </c>
      <c r="O46" s="20">
        <v>4351.1400000000003</v>
      </c>
      <c r="P46" s="19">
        <v>0</v>
      </c>
      <c r="Q46" s="20">
        <v>0</v>
      </c>
      <c r="R46" s="19">
        <v>8.0109999999999992</v>
      </c>
      <c r="S46" s="22">
        <v>34700</v>
      </c>
      <c r="T46" s="21"/>
      <c r="U46" s="21" t="s">
        <v>175</v>
      </c>
      <c r="V46" s="21" t="s">
        <v>215</v>
      </c>
      <c r="W46" s="21"/>
    </row>
    <row r="47" spans="1:23" ht="12.75">
      <c r="A47" s="21" t="s">
        <v>19</v>
      </c>
      <c r="B47" s="21" t="s">
        <v>216</v>
      </c>
      <c r="C47" s="21" t="s">
        <v>207</v>
      </c>
      <c r="D47" s="21" t="s">
        <v>208</v>
      </c>
      <c r="E47" s="21" t="s">
        <v>53</v>
      </c>
      <c r="F47" s="21" t="s">
        <v>2</v>
      </c>
      <c r="G47" s="21" t="s">
        <v>54</v>
      </c>
      <c r="H47" s="21" t="s">
        <v>55</v>
      </c>
      <c r="I47" s="20" t="s">
        <v>56</v>
      </c>
      <c r="J47" s="21" t="s">
        <v>57</v>
      </c>
      <c r="K47" s="21" t="s">
        <v>69</v>
      </c>
      <c r="L47" s="21"/>
      <c r="M47" s="21" t="s">
        <v>212</v>
      </c>
      <c r="N47" s="20">
        <v>2303.1799999999998</v>
      </c>
      <c r="O47" s="20">
        <v>2303.1799999999998</v>
      </c>
      <c r="P47" s="19">
        <v>0</v>
      </c>
      <c r="Q47" s="20">
        <v>0</v>
      </c>
      <c r="R47" s="19">
        <v>3.5779999999999998</v>
      </c>
      <c r="S47" s="22">
        <v>34700</v>
      </c>
      <c r="T47" s="21"/>
      <c r="U47" s="21" t="s">
        <v>175</v>
      </c>
      <c r="V47" s="21" t="s">
        <v>217</v>
      </c>
      <c r="W47" s="21"/>
    </row>
    <row r="48" spans="1:23" ht="12.75">
      <c r="A48" s="21" t="s">
        <v>19</v>
      </c>
      <c r="B48" s="21" t="s">
        <v>216</v>
      </c>
      <c r="C48" s="21" t="s">
        <v>207</v>
      </c>
      <c r="D48" s="21" t="s">
        <v>208</v>
      </c>
      <c r="E48" s="21" t="s">
        <v>53</v>
      </c>
      <c r="F48" s="21" t="s">
        <v>2</v>
      </c>
      <c r="G48" s="21" t="s">
        <v>54</v>
      </c>
      <c r="H48" s="21" t="s">
        <v>55</v>
      </c>
      <c r="I48" s="20" t="s">
        <v>56</v>
      </c>
      <c r="J48" s="21" t="s">
        <v>57</v>
      </c>
      <c r="K48" s="21" t="s">
        <v>69</v>
      </c>
      <c r="L48" s="21"/>
      <c r="M48" s="21" t="s">
        <v>212</v>
      </c>
      <c r="N48" s="20">
        <v>0</v>
      </c>
      <c r="O48" s="20">
        <v>0</v>
      </c>
      <c r="P48" s="19">
        <v>0</v>
      </c>
      <c r="Q48" s="20">
        <v>0</v>
      </c>
      <c r="R48" s="19">
        <v>6.9660000000000002</v>
      </c>
      <c r="S48" s="22">
        <v>43616</v>
      </c>
      <c r="T48" s="21"/>
      <c r="U48" s="21" t="s">
        <v>209</v>
      </c>
      <c r="V48" s="21" t="s">
        <v>217</v>
      </c>
      <c r="W48" s="21"/>
    </row>
    <row r="49" spans="14:19" ht="12.75">
      <c r="N49" s="20"/>
      <c r="O49" s="20"/>
      <c r="Q49" s="20"/>
      <c r="S49" s="22"/>
    </row>
    <row r="50" spans="14:19" ht="12.75">
      <c r="N50" s="20"/>
      <c r="O50" s="20"/>
      <c r="Q50" s="20"/>
      <c r="S50" s="22"/>
    </row>
    <row r="51" spans="14:19" ht="12.75">
      <c r="N51" s="20"/>
      <c r="O51" s="20"/>
      <c r="Q51" s="20"/>
      <c r="S51" s="22"/>
    </row>
    <row r="52" spans="14:19" ht="12.75">
      <c r="N52" s="20"/>
      <c r="O52" s="20"/>
      <c r="Q52" s="20"/>
      <c r="S52" s="22"/>
    </row>
    <row r="53" spans="14:19" ht="12.75">
      <c r="N53" s="20"/>
      <c r="O53" s="20"/>
      <c r="Q53" s="20"/>
      <c r="S53" s="22"/>
    </row>
    <row r="54" spans="14:19" ht="12.75">
      <c r="N54" s="20"/>
      <c r="O54" s="20"/>
      <c r="Q54" s="20"/>
      <c r="S54" s="22"/>
    </row>
    <row r="55" spans="14:19" ht="12.75">
      <c r="N55" s="20"/>
      <c r="O55" s="20"/>
      <c r="Q55" s="20"/>
      <c r="S55" s="22"/>
    </row>
    <row r="56" spans="14:19" ht="12.75">
      <c r="N56" s="20"/>
      <c r="O56" s="20"/>
      <c r="Q56" s="20"/>
      <c r="S56" s="22"/>
    </row>
    <row r="57" spans="14:19" ht="12.75">
      <c r="N57" s="20"/>
      <c r="O57" s="20"/>
      <c r="Q57" s="20"/>
      <c r="S57" s="22"/>
    </row>
    <row r="58" spans="14:19" ht="12.75">
      <c r="N58" s="20"/>
      <c r="O58" s="20"/>
      <c r="Q58" s="20"/>
      <c r="S58" s="22"/>
    </row>
    <row r="59" spans="14:19" ht="12.75">
      <c r="N59" s="20"/>
      <c r="O59" s="20"/>
      <c r="Q59" s="20"/>
      <c r="S59" s="22"/>
    </row>
    <row r="60" spans="14:19" ht="12.75">
      <c r="N60" s="20"/>
      <c r="O60" s="20"/>
      <c r="Q60" s="20"/>
      <c r="S60" s="22"/>
    </row>
    <row r="61" spans="14:19" ht="12.75">
      <c r="N61" s="20"/>
      <c r="O61" s="20"/>
      <c r="Q61" s="20"/>
      <c r="S61" s="22"/>
    </row>
    <row r="62" spans="15:18" ht="13.5" thickBot="1">
      <c r="O62" s="16">
        <f>SUM(O41:O60)</f>
        <v>7852.2399999999998</v>
      </c>
      <c r="Q62" s="20">
        <f>SUM(Q41:Q61)</f>
        <v>0</v>
      </c>
      <c r="R62" s="17">
        <f>SUM(R41:R60)</f>
        <v>43.607999999999997</v>
      </c>
    </row>
    <row r="63" spans="18:18" ht="13.5" thickTop="1">
      <c r="R63" s="23"/>
    </row>
    <row r="64" spans="15:16" ht="12.75">
      <c r="O64" s="20">
        <f>ROUND(O62/R62,2)</f>
        <v>180.06</v>
      </c>
      <c r="P64" s="3" t="s">
        <v>97</v>
      </c>
    </row>
    <row r="65" spans="15:18" ht="12.75">
      <c r="O65" s="20">
        <f>ROUND(O64*Q65,2)</f>
        <v>987.64999999999998</v>
      </c>
      <c r="P65" s="3" t="s">
        <v>98</v>
      </c>
      <c r="Q65" s="57">
        <v>5.4851000000000001</v>
      </c>
      <c r="R65" s="13" t="s">
        <v>99</v>
      </c>
    </row>
    <row r="68" spans="1:20" ht="15">
      <c r="A68" s="8" t="s">
        <v>100</v>
      </c>
      <c r="O68" s="46"/>
      <c r="P68" s="49"/>
      <c r="Q68" s="28"/>
      <c r="R68" s="28"/>
      <c r="S68" s="28"/>
      <c r="T68" s="28"/>
    </row>
    <row r="69" spans="15:20" ht="15.75" thickBot="1">
      <c r="O69" s="46"/>
      <c r="P69" s="49"/>
      <c r="Q69" s="28"/>
      <c r="R69" s="28"/>
      <c r="S69" s="28"/>
      <c r="T69" s="46"/>
    </row>
    <row r="70" spans="2:20" ht="12.75">
      <c r="B70" s="24"/>
      <c r="C70" s="25"/>
      <c r="D70" s="25"/>
      <c r="E70" s="25"/>
      <c r="F70" s="25"/>
      <c r="G70" s="26"/>
      <c r="O70" s="28"/>
      <c r="P70" s="49"/>
      <c r="Q70" s="28"/>
      <c r="R70" s="28"/>
      <c r="S70" s="28"/>
      <c r="T70" s="28"/>
    </row>
    <row r="71" spans="2:20" ht="12.75">
      <c r="B71" s="27"/>
      <c r="C71" s="40">
        <f>I31</f>
        <v>-39623</v>
      </c>
      <c r="D71" s="28"/>
      <c r="E71" s="66" t="s">
        <v>103</v>
      </c>
      <c r="F71" s="66"/>
      <c r="G71" s="5"/>
      <c r="O71" s="28"/>
      <c r="P71" s="49"/>
      <c r="Q71" s="28"/>
      <c r="R71" s="28"/>
      <c r="S71" s="28"/>
      <c r="T71" s="28"/>
    </row>
    <row r="72" spans="2:20" ht="12.75">
      <c r="B72" s="27"/>
      <c r="C72" s="18">
        <f>SUM(I5:I30)</f>
        <v>43993.409999999996</v>
      </c>
      <c r="D72" s="28"/>
      <c r="E72" s="67" t="s">
        <v>104</v>
      </c>
      <c r="F72" s="67"/>
      <c r="G72" s="5"/>
      <c r="O72" s="28"/>
      <c r="P72" s="49"/>
      <c r="Q72" s="28"/>
      <c r="R72" s="28"/>
      <c r="S72" s="28"/>
      <c r="T72" s="28"/>
    </row>
    <row r="73" spans="2:20" ht="15">
      <c r="B73" s="27"/>
      <c r="C73" s="40">
        <f>C71+C72</f>
        <v>4370.4099999999962</v>
      </c>
      <c r="D73" s="28"/>
      <c r="E73" s="66" t="s">
        <v>105</v>
      </c>
      <c r="F73" s="66"/>
      <c r="G73" s="5"/>
      <c r="O73" s="47"/>
      <c r="P73" s="49"/>
      <c r="Q73" s="28"/>
      <c r="R73" s="28"/>
      <c r="S73" s="28"/>
      <c r="T73" s="28"/>
    </row>
    <row r="74" spans="2:20" ht="15">
      <c r="B74" s="27"/>
      <c r="C74" s="40">
        <v>1099.55</v>
      </c>
      <c r="D74" s="28"/>
      <c r="E74" s="67" t="s">
        <v>107</v>
      </c>
      <c r="F74" s="67"/>
      <c r="G74" s="5"/>
      <c r="O74" s="47"/>
      <c r="P74" s="49"/>
      <c r="Q74" s="28"/>
      <c r="R74" s="28"/>
      <c r="S74" s="28"/>
      <c r="T74" s="28"/>
    </row>
    <row r="75" spans="2:20" ht="13.5" thickBot="1">
      <c r="B75" s="27"/>
      <c r="C75" s="41">
        <f>SUM(C73:C74)</f>
        <v>5469.9599999999964</v>
      </c>
      <c r="D75" s="28"/>
      <c r="E75" s="66" t="s">
        <v>109</v>
      </c>
      <c r="F75" s="66"/>
      <c r="G75" s="69"/>
      <c r="O75" s="28"/>
      <c r="P75" s="49"/>
      <c r="Q75" s="28"/>
      <c r="R75" s="28"/>
      <c r="S75" s="28"/>
      <c r="T75" s="28"/>
    </row>
    <row r="76" spans="2:20" ht="16.5" thickTop="1" thickBot="1">
      <c r="B76" s="31"/>
      <c r="C76" s="32"/>
      <c r="D76" s="32"/>
      <c r="E76" s="32"/>
      <c r="F76" s="32"/>
      <c r="G76" s="33"/>
      <c r="O76" s="28"/>
      <c r="P76" s="49"/>
      <c r="Q76" s="46"/>
      <c r="R76" s="28"/>
      <c r="S76" s="28"/>
      <c r="T76" s="28"/>
    </row>
    <row r="77" spans="15:20" ht="15">
      <c r="O77" s="28"/>
      <c r="P77" s="49"/>
      <c r="Q77" s="46"/>
      <c r="R77" s="28"/>
      <c r="S77" s="28"/>
      <c r="T77" s="28"/>
    </row>
    <row r="78" spans="15:20" ht="15">
      <c r="O78" s="28"/>
      <c r="P78" s="49"/>
      <c r="Q78" s="46"/>
      <c r="R78" s="28"/>
      <c r="S78" s="28"/>
      <c r="T78" s="28"/>
    </row>
    <row r="79" spans="1:20" ht="12.75">
      <c r="A79" s="8" t="s">
        <v>113</v>
      </c>
      <c r="B79" s="7"/>
      <c r="C79" s="7"/>
      <c r="D79" s="7"/>
      <c r="E79" s="7"/>
      <c r="F79" s="7"/>
      <c r="G79" s="7"/>
      <c r="H79" s="7"/>
      <c r="I79" s="6"/>
      <c r="J79" s="7"/>
      <c r="K79" s="7"/>
      <c r="O79" s="28"/>
      <c r="P79" s="28"/>
      <c r="Q79" s="28"/>
      <c r="R79" s="28"/>
      <c r="S79" s="28"/>
      <c r="T79" s="28"/>
    </row>
    <row r="80" spans="1:11" ht="12.75">
      <c r="A80" s="8"/>
      <c r="B80" s="7"/>
      <c r="C80" s="7"/>
      <c r="D80" s="7"/>
      <c r="E80" s="7"/>
      <c r="F80" s="7"/>
      <c r="G80" s="7"/>
      <c r="H80" s="7"/>
      <c r="I80" s="6"/>
      <c r="J80" s="7"/>
      <c r="K80" s="7"/>
    </row>
    <row r="81" spans="1:11" s="28" customFormat="1" ht="12.75">
      <c r="A81" s="8" t="s">
        <v>123</v>
      </c>
      <c r="B81" s="37"/>
      <c r="C81" s="37"/>
      <c r="D81" s="37"/>
      <c r="E81" s="37"/>
      <c r="F81" s="37"/>
      <c r="G81" s="37"/>
      <c r="H81" s="37"/>
      <c r="I81" s="38"/>
      <c r="J81" s="37"/>
      <c r="K81" s="39"/>
    </row>
    <row r="82" spans="1:11" s="28" customFormat="1" ht="12.75">
      <c r="A82" s="37"/>
      <c r="B82" s="37"/>
      <c r="C82" s="37"/>
      <c r="D82" s="37"/>
      <c r="E82" s="37"/>
      <c r="F82" s="37"/>
      <c r="G82" s="37"/>
      <c r="H82" s="37"/>
      <c r="I82" s="38"/>
      <c r="J82" s="37"/>
      <c r="K82" s="39"/>
    </row>
    <row r="83" spans="1:15" s="28" customFormat="1" ht="12.75">
      <c r="A83" s="34" t="s">
        <v>115</v>
      </c>
      <c r="B83" s="34" t="s">
        <v>116</v>
      </c>
      <c r="C83" s="34" t="s">
        <v>6</v>
      </c>
      <c r="D83" s="34" t="s">
        <v>7</v>
      </c>
      <c r="E83" s="34" t="s">
        <v>8</v>
      </c>
      <c r="F83" s="34" t="s">
        <v>9</v>
      </c>
      <c r="G83" s="34" t="s">
        <v>10</v>
      </c>
      <c r="H83" s="34" t="s">
        <v>11</v>
      </c>
      <c r="I83" s="50" t="s">
        <v>117</v>
      </c>
      <c r="J83" s="34" t="s">
        <v>46</v>
      </c>
      <c r="K83" s="70" t="s">
        <v>118</v>
      </c>
      <c r="L83" s="71"/>
      <c r="M83" s="72"/>
      <c r="O83" s="52"/>
    </row>
    <row r="84" spans="1:15" ht="12.75">
      <c r="A84" s="35" t="s">
        <v>19</v>
      </c>
      <c r="B84" s="35" t="str">
        <f>B5</f>
        <v>572000</v>
      </c>
      <c r="C84" s="35" t="s">
        <v>124</v>
      </c>
      <c r="D84" s="35" t="s">
        <v>122</v>
      </c>
      <c r="E84" s="35" t="str">
        <f>E5</f>
        <v>0PT39534</v>
      </c>
      <c r="F84" s="35" t="s">
        <v>24</v>
      </c>
      <c r="G84" s="35" t="s">
        <v>24</v>
      </c>
      <c r="H84" s="35" t="s">
        <v>25</v>
      </c>
      <c r="I84" s="42">
        <f>ROUND(C75,2)</f>
        <v>5469.96</v>
      </c>
      <c r="J84" s="35"/>
      <c r="K84" s="74" t="s">
        <v>218</v>
      </c>
      <c r="L84" s="74"/>
      <c r="M84" s="74"/>
      <c r="O84" s="12"/>
    </row>
    <row r="85" spans="1:15" ht="12.75">
      <c r="A85" s="35" t="s">
        <v>19</v>
      </c>
      <c r="B85" s="35" t="str">
        <f>B5</f>
        <v>572000</v>
      </c>
      <c r="C85" s="35" t="s">
        <v>119</v>
      </c>
      <c r="D85" s="35" t="s">
        <v>120</v>
      </c>
      <c r="E85" s="35" t="str">
        <f>E5</f>
        <v>0PT39534</v>
      </c>
      <c r="F85" s="35" t="s">
        <v>24</v>
      </c>
      <c r="G85" s="35" t="s">
        <v>24</v>
      </c>
      <c r="H85" s="35" t="s">
        <v>25</v>
      </c>
      <c r="I85" s="42">
        <f>-I84</f>
        <v>-5469.96</v>
      </c>
      <c r="J85" s="35"/>
      <c r="K85" s="73" t="str">
        <f>K84</f>
        <v>Loss on Sale of 5.4851 Acres</v>
      </c>
      <c r="L85" s="74"/>
      <c r="M85" s="74"/>
      <c r="O85" s="12"/>
    </row>
    <row r="86" spans="1:11" ht="12.75">
      <c r="A86" s="37"/>
      <c r="B86" s="37"/>
      <c r="C86" s="37"/>
      <c r="D86" s="37"/>
      <c r="E86" s="37"/>
      <c r="F86" s="37"/>
      <c r="G86" s="37"/>
      <c r="H86" s="37"/>
      <c r="I86" s="38"/>
      <c r="J86" s="37"/>
      <c r="K86" s="39"/>
    </row>
    <row r="88" spans="1:1" ht="12.75">
      <c r="A88" s="8" t="s">
        <v>126</v>
      </c>
    </row>
    <row r="89" spans="1:1" ht="12.75">
      <c r="A89" s="8"/>
    </row>
    <row r="90" spans="1:11" ht="12.75">
      <c r="A90" s="34" t="s">
        <v>115</v>
      </c>
      <c r="B90" s="34" t="s">
        <v>116</v>
      </c>
      <c r="C90" s="34" t="s">
        <v>6</v>
      </c>
      <c r="D90" s="34" t="s">
        <v>7</v>
      </c>
      <c r="E90" s="34" t="s">
        <v>8</v>
      </c>
      <c r="F90" s="34" t="s">
        <v>9</v>
      </c>
      <c r="G90" s="34" t="s">
        <v>10</v>
      </c>
      <c r="H90" s="34" t="s">
        <v>11</v>
      </c>
      <c r="I90" s="34" t="s">
        <v>117</v>
      </c>
      <c r="J90" s="34" t="s">
        <v>46</v>
      </c>
      <c r="K90" s="34" t="s">
        <v>118</v>
      </c>
    </row>
    <row r="91" spans="1:11" ht="12.75">
      <c r="A91" s="19" t="s">
        <v>19</v>
      </c>
      <c r="B91" s="19" t="s">
        <v>192</v>
      </c>
      <c r="C91" s="19" t="s">
        <v>21</v>
      </c>
      <c r="D91" s="19" t="s">
        <v>193</v>
      </c>
      <c r="E91" s="19" t="s">
        <v>194</v>
      </c>
      <c r="F91" s="19" t="s">
        <v>24</v>
      </c>
      <c r="G91" s="19" t="s">
        <v>24</v>
      </c>
      <c r="I91" s="9">
        <v>-1867.5</v>
      </c>
      <c r="J91" s="19" t="s">
        <v>197</v>
      </c>
      <c r="K91" s="19" t="s">
        <v>219</v>
      </c>
    </row>
    <row r="92" spans="1:11" ht="12.75">
      <c r="A92" s="19" t="s">
        <v>19</v>
      </c>
      <c r="B92" s="19" t="s">
        <v>192</v>
      </c>
      <c r="C92" s="19" t="s">
        <v>21</v>
      </c>
      <c r="D92" s="19" t="s">
        <v>136</v>
      </c>
      <c r="E92" s="19" t="s">
        <v>194</v>
      </c>
      <c r="F92" s="19" t="s">
        <v>24</v>
      </c>
      <c r="G92" s="19" t="s">
        <v>24</v>
      </c>
      <c r="I92" s="9">
        <v>-158.91999999999999</v>
      </c>
      <c r="J92" s="19" t="s">
        <v>198</v>
      </c>
      <c r="K92" s="19" t="s">
        <v>219</v>
      </c>
    </row>
    <row r="93" spans="1:11" ht="12.75">
      <c r="A93" s="19" t="s">
        <v>19</v>
      </c>
      <c r="B93" s="19" t="s">
        <v>192</v>
      </c>
      <c r="C93" s="19" t="s">
        <v>21</v>
      </c>
      <c r="D93" s="19" t="s">
        <v>193</v>
      </c>
      <c r="E93" s="19" t="s">
        <v>194</v>
      </c>
      <c r="F93" s="19" t="s">
        <v>24</v>
      </c>
      <c r="G93" s="19" t="s">
        <v>24</v>
      </c>
      <c r="I93" s="9">
        <v>-8639</v>
      </c>
      <c r="J93" s="19" t="s">
        <v>199</v>
      </c>
      <c r="K93" s="19" t="s">
        <v>219</v>
      </c>
    </row>
    <row r="94" spans="1:11" ht="12.75">
      <c r="A94" s="19" t="s">
        <v>19</v>
      </c>
      <c r="B94" s="19" t="s">
        <v>192</v>
      </c>
      <c r="C94" s="19" t="s">
        <v>21</v>
      </c>
      <c r="D94" s="19" t="s">
        <v>136</v>
      </c>
      <c r="E94" s="19" t="s">
        <v>194</v>
      </c>
      <c r="F94" s="19" t="s">
        <v>24</v>
      </c>
      <c r="G94" s="19" t="s">
        <v>24</v>
      </c>
      <c r="I94" s="9">
        <v>-695.44000000000005</v>
      </c>
      <c r="J94" s="19" t="s">
        <v>200</v>
      </c>
      <c r="K94" s="19" t="s">
        <v>219</v>
      </c>
    </row>
    <row r="95" spans="1:11" ht="12.75">
      <c r="A95" s="19" t="s">
        <v>19</v>
      </c>
      <c r="B95" s="19" t="s">
        <v>20</v>
      </c>
      <c r="C95" s="19" t="s">
        <v>21</v>
      </c>
      <c r="D95" s="19" t="s">
        <v>130</v>
      </c>
      <c r="E95" s="19" t="s">
        <v>194</v>
      </c>
      <c r="F95" s="19" t="s">
        <v>24</v>
      </c>
      <c r="G95" s="19" t="s">
        <v>24</v>
      </c>
      <c r="I95" s="9">
        <v>-56.350000000000001</v>
      </c>
      <c r="J95" s="19" t="s">
        <v>132</v>
      </c>
      <c r="K95" s="19" t="s">
        <v>219</v>
      </c>
    </row>
    <row r="96" spans="1:11" ht="12.75">
      <c r="A96" s="19" t="s">
        <v>19</v>
      </c>
      <c r="B96" s="19" t="s">
        <v>20</v>
      </c>
      <c r="C96" s="19" t="s">
        <v>21</v>
      </c>
      <c r="D96" s="19" t="s">
        <v>136</v>
      </c>
      <c r="E96" s="19" t="s">
        <v>194</v>
      </c>
      <c r="F96" s="19" t="s">
        <v>24</v>
      </c>
      <c r="G96" s="19" t="s">
        <v>24</v>
      </c>
      <c r="I96" s="9">
        <v>-3.6200000000000001</v>
      </c>
      <c r="J96" s="19" t="s">
        <v>137</v>
      </c>
      <c r="K96" s="19" t="s">
        <v>219</v>
      </c>
    </row>
    <row r="97" spans="1:11" ht="12.75">
      <c r="A97" s="19" t="s">
        <v>19</v>
      </c>
      <c r="B97" s="19" t="s">
        <v>192</v>
      </c>
      <c r="C97" s="19" t="s">
        <v>21</v>
      </c>
      <c r="D97" s="19" t="s">
        <v>193</v>
      </c>
      <c r="E97" s="19" t="s">
        <v>194</v>
      </c>
      <c r="F97" s="19" t="s">
        <v>24</v>
      </c>
      <c r="G97" s="19" t="s">
        <v>24</v>
      </c>
      <c r="I97" s="9">
        <v>-5940.9099999999999</v>
      </c>
      <c r="J97" s="19" t="s">
        <v>201</v>
      </c>
      <c r="K97" s="19" t="s">
        <v>219</v>
      </c>
    </row>
    <row r="98" spans="1:11" ht="12.75">
      <c r="A98" s="19" t="s">
        <v>19</v>
      </c>
      <c r="B98" s="19" t="s">
        <v>192</v>
      </c>
      <c r="C98" s="19" t="s">
        <v>21</v>
      </c>
      <c r="D98" s="19" t="s">
        <v>193</v>
      </c>
      <c r="E98" s="19" t="s">
        <v>194</v>
      </c>
      <c r="F98" s="19" t="s">
        <v>24</v>
      </c>
      <c r="G98" s="19" t="s">
        <v>24</v>
      </c>
      <c r="I98" s="9">
        <v>-16899.700000000001</v>
      </c>
      <c r="J98" s="19" t="s">
        <v>202</v>
      </c>
      <c r="K98" s="19" t="s">
        <v>219</v>
      </c>
    </row>
    <row r="99" spans="1:11" ht="12.75">
      <c r="A99" s="19" t="s">
        <v>19</v>
      </c>
      <c r="B99" s="19" t="s">
        <v>192</v>
      </c>
      <c r="C99" s="19" t="s">
        <v>21</v>
      </c>
      <c r="D99" s="19" t="s">
        <v>136</v>
      </c>
      <c r="E99" s="19" t="s">
        <v>194</v>
      </c>
      <c r="F99" s="19" t="s">
        <v>24</v>
      </c>
      <c r="G99" s="19" t="s">
        <v>24</v>
      </c>
      <c r="I99" s="9">
        <v>-2032.81</v>
      </c>
      <c r="J99" s="19" t="s">
        <v>203</v>
      </c>
      <c r="K99" s="19" t="s">
        <v>219</v>
      </c>
    </row>
    <row r="100" spans="1:11" ht="12.75">
      <c r="A100" s="19" t="s">
        <v>19</v>
      </c>
      <c r="B100" s="19" t="s">
        <v>192</v>
      </c>
      <c r="C100" s="19" t="s">
        <v>21</v>
      </c>
      <c r="D100" s="19" t="s">
        <v>193</v>
      </c>
      <c r="E100" s="19" t="s">
        <v>194</v>
      </c>
      <c r="F100" s="19" t="s">
        <v>24</v>
      </c>
      <c r="G100" s="19" t="s">
        <v>24</v>
      </c>
      <c r="I100" s="9">
        <v>-6302.3699999999999</v>
      </c>
      <c r="J100" s="19" t="s">
        <v>204</v>
      </c>
      <c r="K100" s="19" t="s">
        <v>219</v>
      </c>
    </row>
    <row r="101" spans="1:11" ht="12.75">
      <c r="A101" s="19" t="s">
        <v>19</v>
      </c>
      <c r="B101" s="19" t="s">
        <v>192</v>
      </c>
      <c r="C101" s="19" t="s">
        <v>21</v>
      </c>
      <c r="D101" s="19" t="s">
        <v>136</v>
      </c>
      <c r="E101" s="19" t="s">
        <v>194</v>
      </c>
      <c r="F101" s="19" t="s">
        <v>24</v>
      </c>
      <c r="G101" s="19" t="s">
        <v>24</v>
      </c>
      <c r="I101" s="9">
        <v>-599.99000000000001</v>
      </c>
      <c r="J101" s="19" t="s">
        <v>205</v>
      </c>
      <c r="K101" s="19" t="s">
        <v>219</v>
      </c>
    </row>
    <row r="102" spans="1:11" ht="12.75">
      <c r="A102" s="19" t="s">
        <v>19</v>
      </c>
      <c r="B102" s="19" t="s">
        <v>192</v>
      </c>
      <c r="C102" s="56" t="s">
        <v>21</v>
      </c>
      <c r="D102" s="19" t="s">
        <v>193</v>
      </c>
      <c r="E102" s="19" t="s">
        <v>194</v>
      </c>
      <c r="F102" s="19" t="s">
        <v>24</v>
      </c>
      <c r="G102" s="19" t="s">
        <v>24</v>
      </c>
      <c r="I102" s="9">
        <v>-796.79999999999995</v>
      </c>
      <c r="J102" s="19" t="s">
        <v>195</v>
      </c>
      <c r="K102" s="19" t="s">
        <v>219</v>
      </c>
    </row>
    <row r="103" spans="1:11" ht="12.75">
      <c r="A103" s="19" t="s">
        <v>19</v>
      </c>
      <c r="B103" s="19" t="s">
        <v>192</v>
      </c>
      <c r="C103" s="56">
        <v>1080201</v>
      </c>
      <c r="D103" s="19" t="s">
        <v>193</v>
      </c>
      <c r="E103" s="19" t="s">
        <v>194</v>
      </c>
      <c r="F103" s="19" t="s">
        <v>24</v>
      </c>
      <c r="G103" s="19" t="s">
        <v>24</v>
      </c>
      <c r="I103" s="9">
        <v>1867.5</v>
      </c>
      <c r="J103" s="19" t="s">
        <v>197</v>
      </c>
      <c r="K103" s="19" t="s">
        <v>219</v>
      </c>
    </row>
    <row r="104" spans="1:11" ht="12.75">
      <c r="A104" s="19" t="s">
        <v>19</v>
      </c>
      <c r="B104" s="19" t="s">
        <v>192</v>
      </c>
      <c r="C104" s="56">
        <v>1080201</v>
      </c>
      <c r="D104" s="19" t="s">
        <v>136</v>
      </c>
      <c r="E104" s="19" t="s">
        <v>194</v>
      </c>
      <c r="F104" s="19" t="s">
        <v>24</v>
      </c>
      <c r="G104" s="19" t="s">
        <v>24</v>
      </c>
      <c r="I104" s="9">
        <v>158.91999999999999</v>
      </c>
      <c r="J104" s="19" t="s">
        <v>198</v>
      </c>
      <c r="K104" s="19" t="s">
        <v>219</v>
      </c>
    </row>
    <row r="105" spans="1:11" ht="12.75">
      <c r="A105" s="19" t="s">
        <v>19</v>
      </c>
      <c r="B105" s="19" t="s">
        <v>192</v>
      </c>
      <c r="C105" s="56">
        <v>1080201</v>
      </c>
      <c r="D105" s="19" t="s">
        <v>193</v>
      </c>
      <c r="E105" s="19" t="s">
        <v>194</v>
      </c>
      <c r="F105" s="19" t="s">
        <v>24</v>
      </c>
      <c r="G105" s="19" t="s">
        <v>24</v>
      </c>
      <c r="I105" s="9">
        <v>8639</v>
      </c>
      <c r="J105" s="19" t="s">
        <v>199</v>
      </c>
      <c r="K105" s="19" t="s">
        <v>219</v>
      </c>
    </row>
    <row r="106" spans="1:11" ht="12.75">
      <c r="A106" s="19" t="s">
        <v>19</v>
      </c>
      <c r="B106" s="19" t="s">
        <v>192</v>
      </c>
      <c r="C106" s="56">
        <v>1080201</v>
      </c>
      <c r="D106" s="19" t="s">
        <v>136</v>
      </c>
      <c r="E106" s="19" t="s">
        <v>194</v>
      </c>
      <c r="F106" s="19" t="s">
        <v>24</v>
      </c>
      <c r="G106" s="19" t="s">
        <v>24</v>
      </c>
      <c r="I106" s="9">
        <v>695.44000000000005</v>
      </c>
      <c r="J106" s="19" t="s">
        <v>200</v>
      </c>
      <c r="K106" s="19" t="s">
        <v>219</v>
      </c>
    </row>
    <row r="107" spans="1:11" ht="12.75">
      <c r="A107" s="19" t="s">
        <v>19</v>
      </c>
      <c r="B107" s="19" t="s">
        <v>20</v>
      </c>
      <c r="C107" s="56">
        <v>1080201</v>
      </c>
      <c r="D107" s="19" t="s">
        <v>130</v>
      </c>
      <c r="E107" s="19" t="s">
        <v>194</v>
      </c>
      <c r="F107" s="19" t="s">
        <v>24</v>
      </c>
      <c r="G107" s="19" t="s">
        <v>24</v>
      </c>
      <c r="I107" s="9">
        <v>56.350000000000001</v>
      </c>
      <c r="J107" s="19" t="s">
        <v>132</v>
      </c>
      <c r="K107" s="19" t="s">
        <v>219</v>
      </c>
    </row>
    <row r="108" spans="1:11" ht="12.75">
      <c r="A108" s="19" t="s">
        <v>19</v>
      </c>
      <c r="B108" s="19" t="s">
        <v>20</v>
      </c>
      <c r="C108" s="56">
        <v>1080201</v>
      </c>
      <c r="D108" s="19" t="s">
        <v>136</v>
      </c>
      <c r="E108" s="19" t="s">
        <v>194</v>
      </c>
      <c r="F108" s="19" t="s">
        <v>24</v>
      </c>
      <c r="G108" s="19" t="s">
        <v>24</v>
      </c>
      <c r="I108" s="9">
        <v>3.6200000000000001</v>
      </c>
      <c r="J108" s="19" t="s">
        <v>137</v>
      </c>
      <c r="K108" s="19" t="s">
        <v>219</v>
      </c>
    </row>
    <row r="109" spans="1:11" ht="12.75">
      <c r="A109" s="19" t="s">
        <v>19</v>
      </c>
      <c r="B109" s="19" t="s">
        <v>192</v>
      </c>
      <c r="C109" s="56">
        <v>1080201</v>
      </c>
      <c r="D109" s="19" t="s">
        <v>193</v>
      </c>
      <c r="E109" s="19" t="s">
        <v>194</v>
      </c>
      <c r="F109" s="19" t="s">
        <v>24</v>
      </c>
      <c r="G109" s="19" t="s">
        <v>24</v>
      </c>
      <c r="I109" s="9">
        <v>5940.9099999999999</v>
      </c>
      <c r="J109" s="19" t="s">
        <v>201</v>
      </c>
      <c r="K109" s="19" t="s">
        <v>219</v>
      </c>
    </row>
    <row r="110" spans="1:11" ht="12.75">
      <c r="A110" s="19" t="s">
        <v>19</v>
      </c>
      <c r="B110" s="19" t="s">
        <v>192</v>
      </c>
      <c r="C110" s="56">
        <v>1080201</v>
      </c>
      <c r="D110" s="19" t="s">
        <v>193</v>
      </c>
      <c r="E110" s="19" t="s">
        <v>194</v>
      </c>
      <c r="F110" s="19" t="s">
        <v>24</v>
      </c>
      <c r="G110" s="19" t="s">
        <v>24</v>
      </c>
      <c r="I110" s="9">
        <v>16899.700000000001</v>
      </c>
      <c r="J110" s="19" t="s">
        <v>202</v>
      </c>
      <c r="K110" s="19" t="s">
        <v>219</v>
      </c>
    </row>
    <row r="111" spans="1:11" ht="12.75">
      <c r="A111" s="19" t="s">
        <v>19</v>
      </c>
      <c r="B111" s="19" t="s">
        <v>192</v>
      </c>
      <c r="C111" s="56">
        <v>1080201</v>
      </c>
      <c r="D111" s="19" t="s">
        <v>136</v>
      </c>
      <c r="E111" s="19" t="s">
        <v>194</v>
      </c>
      <c r="F111" s="19" t="s">
        <v>24</v>
      </c>
      <c r="G111" s="19" t="s">
        <v>24</v>
      </c>
      <c r="I111" s="9">
        <v>2032.81</v>
      </c>
      <c r="J111" s="19" t="s">
        <v>203</v>
      </c>
      <c r="K111" s="19" t="s">
        <v>219</v>
      </c>
    </row>
    <row r="112" spans="1:11" ht="12.75">
      <c r="A112" s="19" t="s">
        <v>19</v>
      </c>
      <c r="B112" s="19" t="s">
        <v>192</v>
      </c>
      <c r="C112" s="56">
        <v>1080201</v>
      </c>
      <c r="D112" s="19" t="s">
        <v>193</v>
      </c>
      <c r="E112" s="19" t="s">
        <v>194</v>
      </c>
      <c r="F112" s="19" t="s">
        <v>24</v>
      </c>
      <c r="G112" s="19" t="s">
        <v>24</v>
      </c>
      <c r="I112" s="9">
        <v>6302.3699999999999</v>
      </c>
      <c r="J112" s="19" t="s">
        <v>204</v>
      </c>
      <c r="K112" s="19" t="s">
        <v>219</v>
      </c>
    </row>
    <row r="113" spans="1:11" ht="12.75">
      <c r="A113" s="19" t="s">
        <v>19</v>
      </c>
      <c r="B113" s="19" t="s">
        <v>192</v>
      </c>
      <c r="C113" s="56">
        <v>1080201</v>
      </c>
      <c r="D113" s="19" t="s">
        <v>136</v>
      </c>
      <c r="E113" s="19" t="s">
        <v>194</v>
      </c>
      <c r="F113" s="19" t="s">
        <v>24</v>
      </c>
      <c r="G113" s="19" t="s">
        <v>24</v>
      </c>
      <c r="I113" s="9">
        <v>599.99000000000001</v>
      </c>
      <c r="J113" s="19" t="s">
        <v>205</v>
      </c>
      <c r="K113" s="19" t="s">
        <v>219</v>
      </c>
    </row>
    <row r="114" spans="1:11" ht="12.75">
      <c r="A114" s="19" t="s">
        <v>19</v>
      </c>
      <c r="B114" s="19" t="s">
        <v>192</v>
      </c>
      <c r="C114" s="56">
        <v>1080201</v>
      </c>
      <c r="D114" s="19" t="s">
        <v>193</v>
      </c>
      <c r="E114" s="19" t="s">
        <v>194</v>
      </c>
      <c r="F114" s="19" t="s">
        <v>24</v>
      </c>
      <c r="G114" s="19" t="s">
        <v>24</v>
      </c>
      <c r="I114" s="9">
        <v>796.79999999999995</v>
      </c>
      <c r="J114" s="19" t="s">
        <v>195</v>
      </c>
      <c r="K114" s="19" t="s">
        <v>219</v>
      </c>
    </row>
    <row r="115" spans="1:1" ht="12.75">
      <c r="A115" s="8"/>
    </row>
    <row r="116" spans="1:1" ht="12.75">
      <c r="A116" s="8"/>
    </row>
    <row r="117" spans="1:1" ht="12.75">
      <c r="A117" s="8"/>
    </row>
    <row r="118" spans="1:1" ht="12.75">
      <c r="A118" s="8"/>
    </row>
    <row r="121" spans="1:1" ht="12.75">
      <c r="A121" s="8" t="s">
        <v>127</v>
      </c>
    </row>
    <row r="123" ht="13.5" thickBot="1"/>
    <row r="124" spans="1:3" ht="16.5" thickTop="1" thickBot="1">
      <c r="A124" s="10"/>
      <c r="B124" s="10"/>
      <c r="C124" s="10"/>
    </row>
    <row r="125" spans="1:20" ht="16.5" thickTop="1" thickBot="1">
      <c r="A125" s="10" t="s">
        <v>0</v>
      </c>
      <c r="B125" s="10" t="s">
        <v>8</v>
      </c>
      <c r="C125" s="10" t="s">
        <v>32</v>
      </c>
      <c r="D125" s="10" t="s">
        <v>39</v>
      </c>
      <c r="E125" s="10" t="s">
        <v>6</v>
      </c>
      <c r="F125" s="10" t="s">
        <v>35</v>
      </c>
      <c r="G125" s="10" t="s">
        <v>37</v>
      </c>
      <c r="H125" s="10" t="s">
        <v>18</v>
      </c>
      <c r="I125" s="11" t="s">
        <v>36</v>
      </c>
      <c r="J125" s="10" t="s">
        <v>38</v>
      </c>
      <c r="K125" s="10" t="s">
        <v>44</v>
      </c>
      <c r="L125" s="10" t="s">
        <v>40</v>
      </c>
      <c r="M125" s="10" t="s">
        <v>46</v>
      </c>
      <c r="N125" s="10" t="s">
        <v>47</v>
      </c>
      <c r="O125" s="10" t="s">
        <v>18</v>
      </c>
      <c r="P125" s="10" t="s">
        <v>43</v>
      </c>
      <c r="Q125" s="10" t="s">
        <v>42</v>
      </c>
      <c r="R125" s="10" t="s">
        <v>41</v>
      </c>
      <c r="S125" s="10" t="s">
        <v>45</v>
      </c>
      <c r="T125" s="10" t="s">
        <v>33</v>
      </c>
    </row>
    <row r="126" spans="1:20" ht="13.5" thickTop="1">
      <c r="A126" s="21" t="s">
        <v>19</v>
      </c>
      <c r="B126" s="21" t="s">
        <v>194</v>
      </c>
      <c r="C126" s="21" t="s">
        <v>206</v>
      </c>
      <c r="D126" s="21" t="s">
        <v>148</v>
      </c>
      <c r="E126" s="21" t="s">
        <v>53</v>
      </c>
      <c r="F126" s="21" t="s">
        <v>54</v>
      </c>
      <c r="G126" s="21" t="s">
        <v>56</v>
      </c>
      <c r="H126" s="21" t="s">
        <v>57</v>
      </c>
      <c r="I126" s="20" t="s">
        <v>55</v>
      </c>
      <c r="J126" s="21" t="s">
        <v>71</v>
      </c>
      <c r="K126" s="23">
        <v>-0.20030000000000001</v>
      </c>
      <c r="L126" s="9">
        <v>-35.229999999999997</v>
      </c>
      <c r="M126" s="21" t="s">
        <v>170</v>
      </c>
      <c r="N126" s="21" t="s">
        <v>91</v>
      </c>
      <c r="O126" s="21" t="s">
        <v>220</v>
      </c>
      <c r="P126" s="20">
        <v>0</v>
      </c>
      <c r="Q126" s="20">
        <v>0</v>
      </c>
      <c r="R126" s="9">
        <v>-35.229999999999997</v>
      </c>
      <c r="T126" s="21" t="s">
        <v>207</v>
      </c>
    </row>
    <row r="127" spans="1:20" ht="12.75">
      <c r="A127" s="21" t="s">
        <v>19</v>
      </c>
      <c r="B127" s="21" t="s">
        <v>194</v>
      </c>
      <c r="C127" s="21" t="s">
        <v>211</v>
      </c>
      <c r="D127" s="21" t="s">
        <v>212</v>
      </c>
      <c r="E127" s="21" t="s">
        <v>53</v>
      </c>
      <c r="F127" s="21" t="s">
        <v>54</v>
      </c>
      <c r="G127" s="21" t="s">
        <v>56</v>
      </c>
      <c r="H127" s="21" t="s">
        <v>57</v>
      </c>
      <c r="I127" s="20" t="s">
        <v>55</v>
      </c>
      <c r="J127" s="21" t="s">
        <v>71</v>
      </c>
      <c r="K127" s="23">
        <v>-1.5170999999999999</v>
      </c>
      <c r="L127" s="9">
        <v>-267.50999999999999</v>
      </c>
      <c r="M127" s="21" t="s">
        <v>170</v>
      </c>
      <c r="N127" s="21" t="s">
        <v>91</v>
      </c>
      <c r="O127" s="21" t="s">
        <v>221</v>
      </c>
      <c r="P127" s="20">
        <v>0</v>
      </c>
      <c r="Q127" s="20">
        <v>0</v>
      </c>
      <c r="R127" s="9">
        <v>-267.50999999999999</v>
      </c>
      <c r="T127" s="21" t="s">
        <v>207</v>
      </c>
    </row>
    <row r="128" spans="1:20" ht="12.75">
      <c r="A128" s="21" t="s">
        <v>19</v>
      </c>
      <c r="B128" s="21" t="s">
        <v>194</v>
      </c>
      <c r="C128" s="21" t="s">
        <v>216</v>
      </c>
      <c r="D128" s="21" t="s">
        <v>212</v>
      </c>
      <c r="E128" s="21" t="s">
        <v>53</v>
      </c>
      <c r="F128" s="21" t="s">
        <v>54</v>
      </c>
      <c r="G128" s="21" t="s">
        <v>56</v>
      </c>
      <c r="H128" s="21" t="s">
        <v>57</v>
      </c>
      <c r="I128" s="20" t="s">
        <v>55</v>
      </c>
      <c r="J128" s="21" t="s">
        <v>71</v>
      </c>
      <c r="K128" s="23">
        <v>-3.2713999999999999</v>
      </c>
      <c r="L128" s="9">
        <v>-714.59000000000003</v>
      </c>
      <c r="M128" s="21" t="s">
        <v>170</v>
      </c>
      <c r="N128" s="21" t="s">
        <v>91</v>
      </c>
      <c r="O128" s="21" t="s">
        <v>222</v>
      </c>
      <c r="P128" s="20">
        <v>0</v>
      </c>
      <c r="Q128" s="20">
        <v>0</v>
      </c>
      <c r="R128" s="9">
        <v>-714.59000000000003</v>
      </c>
      <c r="T128" s="21" t="s">
        <v>207</v>
      </c>
    </row>
    <row r="129" spans="1:20" ht="12.75">
      <c r="A129" s="21" t="s">
        <v>19</v>
      </c>
      <c r="B129" s="21" t="s">
        <v>194</v>
      </c>
      <c r="C129" s="21" t="s">
        <v>214</v>
      </c>
      <c r="D129" s="21" t="s">
        <v>212</v>
      </c>
      <c r="E129" s="21" t="s">
        <v>53</v>
      </c>
      <c r="F129" s="21" t="s">
        <v>54</v>
      </c>
      <c r="G129" s="21" t="s">
        <v>56</v>
      </c>
      <c r="H129" s="21" t="s">
        <v>57</v>
      </c>
      <c r="I129" s="20" t="s">
        <v>55</v>
      </c>
      <c r="J129" s="21" t="s">
        <v>71</v>
      </c>
      <c r="K129" s="23">
        <v>-0.49630000000000002</v>
      </c>
      <c r="L129" s="9">
        <v>-82.219999999999999</v>
      </c>
      <c r="M129" s="21" t="s">
        <v>170</v>
      </c>
      <c r="N129" s="21" t="s">
        <v>91</v>
      </c>
      <c r="O129" s="21" t="s">
        <v>223</v>
      </c>
      <c r="P129" s="20">
        <v>0</v>
      </c>
      <c r="Q129" s="20">
        <v>0</v>
      </c>
      <c r="R129" s="9">
        <v>-82.219999999999999</v>
      </c>
      <c r="T129" s="21" t="s">
        <v>207</v>
      </c>
    </row>
    <row r="130" spans="1:20" ht="12.75">
      <c r="A130" s="21"/>
      <c r="B130" s="21"/>
      <c r="C130" s="21"/>
      <c r="D130" s="21"/>
      <c r="E130" s="21"/>
      <c r="F130" s="21"/>
      <c r="G130" s="21"/>
      <c r="H130" s="21"/>
      <c r="J130" s="21"/>
      <c r="K130" s="23"/>
      <c r="L130" s="9"/>
      <c r="M130" s="21"/>
      <c r="N130" s="21"/>
      <c r="O130" s="21"/>
      <c r="P130" s="20"/>
      <c r="Q130" s="20"/>
      <c r="R130" s="20"/>
      <c r="T130" s="21"/>
    </row>
    <row r="131" spans="1:20" ht="13.5" thickBot="1">
      <c r="A131" s="21"/>
      <c r="B131" s="21"/>
      <c r="C131" s="21"/>
      <c r="D131" s="21"/>
      <c r="E131" s="21"/>
      <c r="F131" s="21"/>
      <c r="G131" s="21"/>
      <c r="H131" s="21"/>
      <c r="J131" s="21"/>
      <c r="K131" s="45">
        <f>SUM(K126:K130)</f>
        <v>-5.4850999999999992</v>
      </c>
      <c r="L131" s="54">
        <f>SUM(L126:L130)</f>
        <v>-1099.55</v>
      </c>
      <c r="M131" s="21"/>
      <c r="N131" s="21"/>
      <c r="O131" s="21"/>
      <c r="P131" s="20"/>
      <c r="Q131" s="20"/>
      <c r="R131" s="20"/>
      <c r="T131" s="21"/>
    </row>
    <row r="132" spans="1:20" ht="13.5" thickTop="1">
      <c r="A132" s="21"/>
      <c r="B132" s="21"/>
      <c r="C132" s="21"/>
      <c r="D132" s="21"/>
      <c r="E132" s="21"/>
      <c r="F132" s="21"/>
      <c r="G132" s="21"/>
      <c r="H132" s="21"/>
      <c r="J132" s="21"/>
      <c r="K132" s="23"/>
      <c r="L132" s="20"/>
      <c r="M132" s="21"/>
      <c r="N132" s="21"/>
      <c r="O132" s="21"/>
      <c r="P132" s="20"/>
      <c r="Q132" s="20"/>
      <c r="R132" s="20"/>
      <c r="T132" s="21"/>
    </row>
    <row r="133" spans="1:20" ht="12.75">
      <c r="A133" s="21"/>
      <c r="B133" s="21"/>
      <c r="C133" s="21"/>
      <c r="D133" s="21"/>
      <c r="E133" s="21"/>
      <c r="F133" s="21"/>
      <c r="G133" s="21"/>
      <c r="H133" s="21"/>
      <c r="J133" s="21"/>
      <c r="K133" s="23"/>
      <c r="L133" s="20"/>
      <c r="M133" s="21"/>
      <c r="N133" s="21"/>
      <c r="O133" s="21"/>
      <c r="P133" s="20"/>
      <c r="Q133" s="20"/>
      <c r="R133" s="20"/>
      <c r="T133" s="21"/>
    </row>
    <row r="134" spans="1:20" ht="12.75">
      <c r="A134" s="21"/>
      <c r="B134" s="21"/>
      <c r="C134" s="21"/>
      <c r="D134" s="21"/>
      <c r="E134" s="21"/>
      <c r="F134" s="21"/>
      <c r="G134" s="21"/>
      <c r="H134" s="21"/>
      <c r="J134" s="21"/>
      <c r="K134" s="23"/>
      <c r="L134" s="20"/>
      <c r="M134" s="21"/>
      <c r="N134" s="21"/>
      <c r="O134" s="21"/>
      <c r="P134" s="20"/>
      <c r="Q134" s="20"/>
      <c r="R134" s="20"/>
      <c r="T134" s="21"/>
    </row>
    <row r="135" spans="1:20" ht="12.75">
      <c r="A135" s="21"/>
      <c r="B135" s="21"/>
      <c r="C135" s="21"/>
      <c r="D135" s="21"/>
      <c r="E135" s="21"/>
      <c r="F135" s="21"/>
      <c r="G135" s="21"/>
      <c r="H135" s="21"/>
      <c r="J135" s="21"/>
      <c r="K135" s="23"/>
      <c r="L135" s="20"/>
      <c r="M135" s="21"/>
      <c r="N135" s="21"/>
      <c r="O135" s="21"/>
      <c r="P135" s="20"/>
      <c r="Q135" s="20"/>
      <c r="R135" s="20"/>
      <c r="T135" s="21"/>
    </row>
  </sheetData>
  <mergeCells count="10">
    <mergeCell ref="K85:M85"/>
    <mergeCell ref="E75:G75"/>
    <mergeCell ref="K83:M83"/>
    <mergeCell ref="K84:M84"/>
    <mergeCell ref="A3:E3"/>
    <mergeCell ref="A39:D39"/>
    <mergeCell ref="E71:F71"/>
    <mergeCell ref="E72:F72"/>
    <mergeCell ref="E73:F73"/>
    <mergeCell ref="E74:F74"/>
  </mergeCells>
  <dataValidations count="10">
    <dataValidation type="textLength" showInputMessage="1" showErrorMessage="1" error="Text exceeds maximum character length of 6 characters" sqref="B84:B86 B81:B82">
      <formula1>0</formula1>
      <formula2>6</formula2>
    </dataValidation>
    <dataValidation type="textLength" showInputMessage="1" showErrorMessage="1" error="Text exceeds maximum character length of 7 characters" sqref="C84:C86 C81:C82">
      <formula1>0</formula1>
      <formula2>7</formula2>
    </dataValidation>
    <dataValidation type="textLength" showInputMessage="1" showErrorMessage="1" error="Text exceeds maximum character length of 3 characters" sqref="D84:D86 D81:D82">
      <formula1>0</formula1>
      <formula2>3</formula2>
    </dataValidation>
    <dataValidation type="textLength" showInputMessage="1" showErrorMessage="1" error="Text exceeds maximum character length of 8 characters" sqref="E84:E86 E81:E82">
      <formula1>0</formula1>
      <formula2>8</formula2>
    </dataValidation>
    <dataValidation type="textLength" showInputMessage="1" showErrorMessage="1" error="Text exceeds maximum character length of 4 characters" sqref="F84:G86 F81:G82">
      <formula1>0</formula1>
      <formula2>4</formula2>
    </dataValidation>
    <dataValidation type="textLength" showInputMessage="1" showErrorMessage="1" error="Text exceeds maximum character length of 5 characters" sqref="A84:A86 H84:H86 A82 H81:H82">
      <formula1>0</formula1>
      <formula2>5</formula2>
    </dataValidation>
    <dataValidation type="textLength" showInputMessage="1" showErrorMessage="1" error="Text exceeds maximum character length of 23 characters" sqref="I84:I86 I81:I82">
      <formula1>0</formula1>
      <formula2>23</formula2>
    </dataValidation>
    <dataValidation type="textLength" showInputMessage="1" showErrorMessage="1" error="Text exceeds maximum character length of 10 characters" sqref="J84:J86 J81:J82">
      <formula1>0</formula1>
      <formula2>10</formula2>
    </dataValidation>
    <dataValidation type="textLength" showInputMessage="1" showErrorMessage="1" error="Text exceeds maximum character length of 30 characters" sqref="K84:K86 K81:K82">
      <formula1>0</formula1>
      <formula2>30</formula2>
    </dataValidation>
    <dataValidation errorStyle="information" type="list" allowBlank="1" showInputMessage="1" showErrorMessage="1" prompt="This field only accepts 'NEXT' or the current journal ID - OK to accept this value" error="This field only accepts 'NEXT' or the current journal ID - OK to accept this value" sqref="F2">
      <formula1>"NEXT"</formula1>
    </dataValidation>
  </dataValidations>
  <pageMargins left="0.7" right="0.7" top="2.5" bottom="0.75" header="1.25" footer="0.3"/>
  <pageSetup fitToHeight="0" orientation="landscape" scale="38" r:id="rId2"/>
  <headerFooter>
    <oddHeader>&amp;C&amp;"Arial,Bold"&amp;12
 2022 RATE CASE
ONCOR ELECTRIC DELIVERY COMPANY LLC
GAIN OR LOSS ON SALE OF UTILITY ASSETS
FOR THE TEST YEAR ENDING DECEMBER 31, 2021
SPONSOR: W. A. LEDBETTER&amp;R&amp;"Arial,Bold"&amp;12WP/II-B-13/01
Page &amp;P of &amp;N</oddHead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W57"/>
  <sheetViews>
    <sheetView workbookViewId="0" topLeftCell="A28">
      <selection pane="topLeft" activeCell="H31" sqref="H31"/>
    </sheetView>
  </sheetViews>
  <sheetFormatPr defaultColWidth="9.14428571428571" defaultRowHeight="12.75"/>
  <cols>
    <col min="1" max="1" width="4.85714285714286" style="19" bestFit="1" customWidth="1"/>
    <col min="2" max="2" width="9.28571428571429" style="19" bestFit="1" customWidth="1"/>
    <col min="3" max="3" width="12.1428571428571" style="19" bestFit="1" customWidth="1"/>
    <col min="4" max="4" width="19.8571428571429" style="19" bestFit="1" customWidth="1"/>
    <col min="5" max="5" width="9.28571428571429" style="19" bestFit="1" customWidth="1"/>
    <col min="6" max="7" width="11.1428571428571" style="19" bestFit="1" customWidth="1"/>
    <col min="8" max="8" width="10" style="19" bestFit="1" customWidth="1"/>
    <col min="9" max="9" width="56.4285714285714" style="20" bestFit="1" customWidth="1"/>
    <col min="10" max="11" width="11.8571428571429" style="19" bestFit="1" customWidth="1"/>
    <col min="12" max="12" width="11.2857142857143" style="19" bestFit="1" customWidth="1"/>
    <col min="13" max="13" width="10.7142857142857" style="19" bestFit="1" customWidth="1"/>
    <col min="14" max="14" width="13.2857142857143" style="19" bestFit="1" customWidth="1"/>
    <col min="15" max="15" width="12.8571428571429" style="19" bestFit="1" customWidth="1"/>
    <col min="16" max="16" width="25.7142857142857" style="19" bestFit="1" customWidth="1"/>
    <col min="17" max="17" width="15.8571428571429" style="19" customWidth="1"/>
    <col min="18" max="18" width="8.85714285714286" style="19" bestFit="1" customWidth="1"/>
    <col min="19" max="19" width="10.1428571428571" style="19" customWidth="1"/>
    <col min="20" max="20" width="12.1428571428571" style="19" bestFit="1" customWidth="1"/>
    <col min="21" max="21" width="33.1428571428571" style="19" bestFit="1" customWidth="1"/>
    <col min="22" max="22" width="11.7142857142857" style="19" customWidth="1"/>
    <col min="23" max="23" width="10.8571428571429" style="19" customWidth="1"/>
    <col min="24" max="16384" width="9.14285714285714" style="19"/>
  </cols>
  <sheetData>
    <row r="1" spans="1:6" ht="12.75">
      <c r="A1" s="62" t="s">
        <v>224</v>
      </c>
      <c r="B1" s="62"/>
      <c r="C1" s="62"/>
      <c r="D1" s="62"/>
      <c r="E1" s="62"/>
      <c r="F1" s="62"/>
    </row>
    <row r="2" spans="1:1" ht="13.5" thickBot="1">
      <c r="A2" s="12"/>
    </row>
    <row r="3" spans="1:5" ht="16.5" thickTop="1" thickBot="1">
      <c r="A3" s="63"/>
      <c r="B3" s="64"/>
      <c r="C3" s="64"/>
      <c r="D3" s="64"/>
      <c r="E3" s="65"/>
    </row>
    <row r="4" spans="1:16" ht="16.5" thickTop="1" thickBot="1">
      <c r="A4" s="10" t="s">
        <v>0</v>
      </c>
      <c r="B4" s="10" t="s">
        <v>5</v>
      </c>
      <c r="C4" s="10" t="s">
        <v>6</v>
      </c>
      <c r="D4" s="10" t="s">
        <v>7</v>
      </c>
      <c r="E4" s="10" t="s">
        <v>8</v>
      </c>
      <c r="F4" s="10" t="s">
        <v>9</v>
      </c>
      <c r="G4" s="10" t="s">
        <v>10</v>
      </c>
      <c r="H4" s="10" t="s">
        <v>11</v>
      </c>
      <c r="I4" s="11" t="s">
        <v>12</v>
      </c>
      <c r="J4" s="10" t="s">
        <v>13</v>
      </c>
      <c r="K4" s="10" t="s">
        <v>14</v>
      </c>
      <c r="L4" s="10" t="s">
        <v>15</v>
      </c>
      <c r="M4" s="10" t="s">
        <v>1</v>
      </c>
      <c r="N4" s="10" t="s">
        <v>16</v>
      </c>
      <c r="O4" s="10" t="s">
        <v>17</v>
      </c>
      <c r="P4" s="10" t="s">
        <v>18</v>
      </c>
    </row>
    <row r="5" spans="1:16" ht="13.5" thickTop="1">
      <c r="A5" s="21" t="s">
        <v>19</v>
      </c>
      <c r="B5" s="21" t="s">
        <v>20</v>
      </c>
      <c r="C5" s="21" t="s">
        <v>21</v>
      </c>
      <c r="D5" s="21" t="s">
        <v>22</v>
      </c>
      <c r="E5" s="21" t="s">
        <v>225</v>
      </c>
      <c r="F5" s="21" t="s">
        <v>24</v>
      </c>
      <c r="G5" s="21" t="s">
        <v>24</v>
      </c>
      <c r="H5" s="21" t="s">
        <v>25</v>
      </c>
      <c r="I5" s="9">
        <v>-4568</v>
      </c>
      <c r="J5" s="21" t="s">
        <v>158</v>
      </c>
      <c r="L5" s="19">
        <v>6</v>
      </c>
      <c r="M5" s="19">
        <v>2021</v>
      </c>
      <c r="N5" s="21" t="s">
        <v>27</v>
      </c>
      <c r="O5" s="21" t="s">
        <v>159</v>
      </c>
      <c r="P5" s="21" t="s">
        <v>29</v>
      </c>
    </row>
    <row r="6" spans="1:16" ht="12.75">
      <c r="A6" s="21" t="s">
        <v>19</v>
      </c>
      <c r="B6" s="21" t="s">
        <v>226</v>
      </c>
      <c r="C6" s="21" t="s">
        <v>21</v>
      </c>
      <c r="D6" s="21" t="s">
        <v>22</v>
      </c>
      <c r="E6" s="21" t="s">
        <v>225</v>
      </c>
      <c r="F6" s="21" t="s">
        <v>24</v>
      </c>
      <c r="G6" s="21" t="s">
        <v>24</v>
      </c>
      <c r="H6" s="21" t="s">
        <v>25</v>
      </c>
      <c r="I6" s="9">
        <v>-4568</v>
      </c>
      <c r="J6" s="21" t="s">
        <v>227</v>
      </c>
      <c r="L6" s="19">
        <v>7</v>
      </c>
      <c r="M6" s="19">
        <v>2021</v>
      </c>
      <c r="N6" s="21" t="s">
        <v>27</v>
      </c>
      <c r="O6" s="21" t="s">
        <v>28</v>
      </c>
      <c r="P6" s="21" t="s">
        <v>29</v>
      </c>
    </row>
    <row r="7" spans="1:16" ht="12.75">
      <c r="A7" s="21" t="s">
        <v>19</v>
      </c>
      <c r="B7" s="21" t="s">
        <v>20</v>
      </c>
      <c r="C7" s="21" t="s">
        <v>21</v>
      </c>
      <c r="D7" s="21" t="s">
        <v>22</v>
      </c>
      <c r="E7" s="21" t="s">
        <v>225</v>
      </c>
      <c r="F7" s="21" t="s">
        <v>24</v>
      </c>
      <c r="G7" s="21" t="s">
        <v>24</v>
      </c>
      <c r="H7" s="21" t="s">
        <v>25</v>
      </c>
      <c r="I7" s="9">
        <v>4568</v>
      </c>
      <c r="J7" s="21" t="s">
        <v>158</v>
      </c>
      <c r="L7" s="19">
        <v>7</v>
      </c>
      <c r="M7" s="19">
        <v>2021</v>
      </c>
      <c r="N7" s="21" t="s">
        <v>27</v>
      </c>
      <c r="O7" s="21" t="s">
        <v>159</v>
      </c>
      <c r="P7" s="21" t="s">
        <v>29</v>
      </c>
    </row>
    <row r="10" spans="1:1" ht="12.75">
      <c r="A10" s="8" t="s">
        <v>30</v>
      </c>
    </row>
    <row r="11" spans="1:1" ht="13.5" thickBot="1">
      <c r="A11" s="8"/>
    </row>
    <row r="12" spans="1:22" ht="16.5" thickTop="1" thickBot="1">
      <c r="A12" s="63"/>
      <c r="B12" s="64"/>
      <c r="C12" s="64"/>
      <c r="D12" s="65"/>
      <c r="V12" s="12" t="s">
        <v>31</v>
      </c>
    </row>
    <row r="13" spans="1:23" ht="16.5" thickTop="1" thickBot="1">
      <c r="A13" s="10" t="s">
        <v>0</v>
      </c>
      <c r="B13" s="10" t="s">
        <v>32</v>
      </c>
      <c r="C13" s="10" t="s">
        <v>33</v>
      </c>
      <c r="D13" s="10" t="s">
        <v>18</v>
      </c>
      <c r="E13" s="10" t="s">
        <v>6</v>
      </c>
      <c r="F13" s="10" t="s">
        <v>34</v>
      </c>
      <c r="G13" s="10" t="s">
        <v>35</v>
      </c>
      <c r="H13" s="10" t="s">
        <v>36</v>
      </c>
      <c r="I13" s="10" t="s">
        <v>37</v>
      </c>
      <c r="J13" s="10" t="s">
        <v>18</v>
      </c>
      <c r="K13" s="10" t="s">
        <v>38</v>
      </c>
      <c r="L13" s="10" t="s">
        <v>8</v>
      </c>
      <c r="M13" s="10" t="s">
        <v>39</v>
      </c>
      <c r="N13" s="10" t="s">
        <v>40</v>
      </c>
      <c r="O13" s="10" t="s">
        <v>41</v>
      </c>
      <c r="P13" s="10" t="s">
        <v>42</v>
      </c>
      <c r="Q13" s="10" t="s">
        <v>43</v>
      </c>
      <c r="R13" s="10" t="s">
        <v>44</v>
      </c>
      <c r="S13" s="10" t="s">
        <v>45</v>
      </c>
      <c r="T13" s="10" t="s">
        <v>46</v>
      </c>
      <c r="U13" s="10" t="s">
        <v>18</v>
      </c>
      <c r="V13" s="10" t="s">
        <v>48</v>
      </c>
      <c r="W13" s="10" t="s">
        <v>49</v>
      </c>
    </row>
    <row r="14" spans="1:23" ht="13.5" thickTop="1">
      <c r="A14" s="21" t="s">
        <v>19</v>
      </c>
      <c r="B14" s="21" t="s">
        <v>228</v>
      </c>
      <c r="C14" s="21" t="s">
        <v>229</v>
      </c>
      <c r="D14" s="21" t="s">
        <v>230</v>
      </c>
      <c r="E14" s="21" t="s">
        <v>231</v>
      </c>
      <c r="F14" s="21" t="s">
        <v>3</v>
      </c>
      <c r="G14" s="21" t="s">
        <v>232</v>
      </c>
      <c r="H14" s="21" t="s">
        <v>55</v>
      </c>
      <c r="I14" s="21" t="s">
        <v>56</v>
      </c>
      <c r="J14" s="21" t="s">
        <v>233</v>
      </c>
      <c r="K14" s="21" t="s">
        <v>58</v>
      </c>
      <c r="L14" s="21" t="s">
        <v>234</v>
      </c>
      <c r="M14" s="21" t="s">
        <v>235</v>
      </c>
      <c r="N14" s="20">
        <v>162179.42000000001</v>
      </c>
      <c r="O14" s="20">
        <v>162179.42000000001</v>
      </c>
      <c r="P14" s="19">
        <v>0</v>
      </c>
      <c r="Q14" s="20">
        <v>11986.58</v>
      </c>
      <c r="R14" s="19">
        <v>4</v>
      </c>
      <c r="S14" s="22">
        <v>38260</v>
      </c>
      <c r="T14" s="21" t="s">
        <v>25</v>
      </c>
      <c r="U14" s="21" t="s">
        <v>61</v>
      </c>
      <c r="V14" s="21" t="s">
        <v>236</v>
      </c>
      <c r="W14" s="21" t="s">
        <v>25</v>
      </c>
    </row>
    <row r="15" spans="1:23" ht="12.75">
      <c r="A15" s="19" t="s">
        <v>19</v>
      </c>
      <c r="B15" s="19" t="s">
        <v>228</v>
      </c>
      <c r="C15" s="19" t="s">
        <v>229</v>
      </c>
      <c r="D15" s="19" t="s">
        <v>230</v>
      </c>
      <c r="E15" s="19" t="s">
        <v>231</v>
      </c>
      <c r="F15" s="19" t="s">
        <v>3</v>
      </c>
      <c r="G15" s="19" t="s">
        <v>232</v>
      </c>
      <c r="H15" s="19" t="s">
        <v>55</v>
      </c>
      <c r="I15" s="20" t="s">
        <v>56</v>
      </c>
      <c r="J15" s="19" t="s">
        <v>233</v>
      </c>
      <c r="K15" s="19" t="s">
        <v>69</v>
      </c>
      <c r="L15" s="19" t="s">
        <v>25</v>
      </c>
      <c r="M15" s="19" t="s">
        <v>235</v>
      </c>
      <c r="N15" s="20">
        <v>0</v>
      </c>
      <c r="O15" s="20">
        <v>0</v>
      </c>
      <c r="P15" s="19">
        <v>0</v>
      </c>
      <c r="Q15" s="20">
        <v>0</v>
      </c>
      <c r="R15" s="19">
        <v>0.46100000000000002</v>
      </c>
      <c r="S15" s="22">
        <v>44012</v>
      </c>
      <c r="T15" s="19" t="s">
        <v>25</v>
      </c>
      <c r="U15" s="19" t="s">
        <v>237</v>
      </c>
      <c r="V15" s="19" t="s">
        <v>236</v>
      </c>
      <c r="W15" s="19" t="s">
        <v>25</v>
      </c>
    </row>
    <row r="16" spans="1:23" ht="12.75">
      <c r="A16" s="19" t="s">
        <v>19</v>
      </c>
      <c r="B16" s="19" t="s">
        <v>228</v>
      </c>
      <c r="C16" s="19" t="s">
        <v>229</v>
      </c>
      <c r="D16" s="19" t="s">
        <v>230</v>
      </c>
      <c r="E16" s="19" t="s">
        <v>231</v>
      </c>
      <c r="F16" s="19" t="s">
        <v>3</v>
      </c>
      <c r="G16" s="19" t="s">
        <v>232</v>
      </c>
      <c r="H16" s="19" t="s">
        <v>55</v>
      </c>
      <c r="I16" s="20" t="s">
        <v>56</v>
      </c>
      <c r="J16" s="19" t="s">
        <v>233</v>
      </c>
      <c r="K16" s="19" t="s">
        <v>64</v>
      </c>
      <c r="L16" s="19" t="s">
        <v>234</v>
      </c>
      <c r="M16" s="19" t="s">
        <v>235</v>
      </c>
      <c r="N16" s="20">
        <v>4490.8100000000004</v>
      </c>
      <c r="O16" s="20">
        <v>4490.8100000000004</v>
      </c>
      <c r="P16" s="19">
        <v>0</v>
      </c>
      <c r="Q16" s="20">
        <v>8981.6200000000008</v>
      </c>
      <c r="R16" s="19">
        <v>0</v>
      </c>
      <c r="S16" s="22">
        <v>38352</v>
      </c>
      <c r="T16" s="19" t="s">
        <v>25</v>
      </c>
      <c r="U16" s="19" t="s">
        <v>61</v>
      </c>
      <c r="V16" s="19" t="s">
        <v>236</v>
      </c>
      <c r="W16" s="19" t="s">
        <v>25</v>
      </c>
    </row>
    <row r="17" spans="14:19" ht="12.75">
      <c r="N17" s="20"/>
      <c r="O17" s="20"/>
      <c r="S17" s="22"/>
    </row>
    <row r="18" spans="15:15" ht="12.75">
      <c r="O18" s="20"/>
    </row>
    <row r="19" spans="15:18" ht="13.5" thickBot="1">
      <c r="O19" s="16">
        <f>SUM(O14:O17)</f>
        <v>166670.23000000001</v>
      </c>
      <c r="Q19" s="16">
        <f>SUM(Q14:Q18)</f>
        <v>20968.200000000001</v>
      </c>
      <c r="R19" s="17">
        <f>SUM(R14:R17)</f>
        <v>4.4610000000000003</v>
      </c>
    </row>
    <row r="20" spans="18:18" ht="13.5" thickTop="1">
      <c r="R20" s="23"/>
    </row>
    <row r="21" spans="15:16" ht="12.75">
      <c r="O21" s="20">
        <f>ROUND(O19/R19,2)</f>
        <v>37361.629999999997</v>
      </c>
      <c r="P21" s="3" t="s">
        <v>97</v>
      </c>
    </row>
    <row r="22" spans="15:18" ht="12.75">
      <c r="O22" s="20">
        <f>ROUND(O21*Q22,2)</f>
        <v>780.86000000000001</v>
      </c>
      <c r="P22" s="3" t="s">
        <v>98</v>
      </c>
      <c r="Q22" s="43">
        <v>0.020899999999999998</v>
      </c>
      <c r="R22" s="13" t="s">
        <v>99</v>
      </c>
    </row>
    <row r="25" spans="1:20" ht="15">
      <c r="A25" s="8" t="s">
        <v>100</v>
      </c>
      <c r="I25" s="19"/>
      <c r="O25" s="46"/>
      <c r="P25" s="49"/>
      <c r="Q25" s="28"/>
      <c r="R25" s="28"/>
      <c r="S25" s="28"/>
      <c r="T25" s="28"/>
    </row>
    <row r="26" spans="9:20" ht="15.75" thickBot="1">
      <c r="I26" s="61" t="s">
        <v>241</v>
      </c>
      <c r="O26" s="46"/>
      <c r="P26" s="49"/>
      <c r="Q26" s="28"/>
      <c r="R26" s="28"/>
      <c r="S26" s="28"/>
      <c r="T26" s="46"/>
    </row>
    <row r="27" spans="2:20" ht="12.75">
      <c r="B27" s="24"/>
      <c r="C27" s="25"/>
      <c r="D27" s="25"/>
      <c r="E27" s="25"/>
      <c r="F27" s="25"/>
      <c r="G27" s="26"/>
      <c r="I27" s="19"/>
      <c r="O27" s="28"/>
      <c r="P27" s="49"/>
      <c r="Q27" s="28"/>
      <c r="R27" s="28"/>
      <c r="S27" s="28"/>
      <c r="T27" s="28"/>
    </row>
    <row r="28" spans="2:20" ht="12.75">
      <c r="B28" s="27"/>
      <c r="C28" s="40">
        <f>I5</f>
        <v>-4568</v>
      </c>
      <c r="D28" s="28"/>
      <c r="E28" s="66" t="s">
        <v>103</v>
      </c>
      <c r="F28" s="66"/>
      <c r="G28" s="5"/>
      <c r="I28" s="61" t="s">
        <v>243</v>
      </c>
      <c r="J28" s="12" t="s">
        <v>242</v>
      </c>
      <c r="K28" s="12" t="s">
        <v>19</v>
      </c>
      <c r="L28" s="12" t="s">
        <v>244</v>
      </c>
      <c r="O28" s="28"/>
      <c r="P28" s="49"/>
      <c r="Q28" s="28"/>
      <c r="R28" s="28"/>
      <c r="S28" s="28"/>
      <c r="T28" s="28"/>
    </row>
    <row r="29" spans="2:20" ht="12.75">
      <c r="B29" s="27"/>
      <c r="C29" s="18">
        <f>I8+I9</f>
        <v>0</v>
      </c>
      <c r="D29" s="28"/>
      <c r="E29" s="67" t="s">
        <v>104</v>
      </c>
      <c r="F29" s="67"/>
      <c r="G29" s="5"/>
      <c r="I29" s="58">
        <v>0.14782279638149667</v>
      </c>
      <c r="J29" s="59">
        <v>0.85217720361850335</v>
      </c>
      <c r="K29" s="60">
        <f>C32*I29</f>
        <v>-559.82562508822127</v>
      </c>
      <c r="L29" s="60">
        <f>J29*C32</f>
        <v>-3227.3143749117785</v>
      </c>
      <c r="O29" s="28"/>
      <c r="P29" s="49"/>
      <c r="Q29" s="28"/>
      <c r="R29" s="28"/>
      <c r="S29" s="28"/>
      <c r="T29" s="28"/>
    </row>
    <row r="30" spans="2:20" ht="15">
      <c r="B30" s="27"/>
      <c r="C30" s="40">
        <f>C28+C29</f>
        <v>-4568</v>
      </c>
      <c r="D30" s="28"/>
      <c r="E30" s="66" t="s">
        <v>105</v>
      </c>
      <c r="F30" s="66"/>
      <c r="G30" s="5"/>
      <c r="O30" s="47"/>
      <c r="P30" s="49"/>
      <c r="Q30" s="28"/>
      <c r="R30" s="28"/>
      <c r="S30" s="28"/>
      <c r="T30" s="28"/>
    </row>
    <row r="31" spans="2:20" ht="15">
      <c r="B31" s="27"/>
      <c r="C31" s="40">
        <f>O22</f>
        <v>780.86000000000001</v>
      </c>
      <c r="D31" s="28"/>
      <c r="E31" s="67" t="s">
        <v>107</v>
      </c>
      <c r="F31" s="67"/>
      <c r="G31" s="5"/>
      <c r="O31" s="47"/>
      <c r="P31" s="49"/>
      <c r="Q31" s="28"/>
      <c r="R31" s="28"/>
      <c r="S31" s="28"/>
      <c r="T31" s="28"/>
    </row>
    <row r="32" spans="2:20" ht="13.5" thickBot="1">
      <c r="B32" s="27"/>
      <c r="C32" s="41">
        <f>SUM(C30:C31)</f>
        <v>-3787.1399999999999</v>
      </c>
      <c r="D32" s="28"/>
      <c r="E32" s="66" t="s">
        <v>109</v>
      </c>
      <c r="F32" s="66"/>
      <c r="G32" s="69"/>
      <c r="O32" s="28"/>
      <c r="P32" s="49"/>
      <c r="Q32" s="28"/>
      <c r="R32" s="28"/>
      <c r="S32" s="28"/>
      <c r="T32" s="28"/>
    </row>
    <row r="33" spans="2:20" ht="16.5" thickTop="1" thickBot="1">
      <c r="B33" s="31"/>
      <c r="C33" s="32"/>
      <c r="D33" s="32"/>
      <c r="E33" s="32"/>
      <c r="F33" s="32"/>
      <c r="G33" s="33"/>
      <c r="O33" s="28"/>
      <c r="P33" s="49"/>
      <c r="Q33" s="46"/>
      <c r="R33" s="28"/>
      <c r="S33" s="28"/>
      <c r="T33" s="28"/>
    </row>
    <row r="34" spans="15:20" ht="15">
      <c r="O34" s="28"/>
      <c r="P34" s="49"/>
      <c r="Q34" s="46"/>
      <c r="R34" s="28"/>
      <c r="S34" s="28"/>
      <c r="T34" s="28"/>
    </row>
    <row r="35" spans="15:20" ht="15">
      <c r="O35" s="28"/>
      <c r="P35" s="49"/>
      <c r="Q35" s="46"/>
      <c r="R35" s="28"/>
      <c r="S35" s="28"/>
      <c r="T35" s="28"/>
    </row>
    <row r="36" spans="1:20" ht="12.75">
      <c r="A36" s="8" t="s">
        <v>113</v>
      </c>
      <c r="B36" s="7"/>
      <c r="C36" s="7"/>
      <c r="D36" s="7"/>
      <c r="E36" s="7"/>
      <c r="F36" s="7"/>
      <c r="G36" s="7"/>
      <c r="H36" s="7"/>
      <c r="I36" s="6"/>
      <c r="J36" s="7"/>
      <c r="K36" s="7"/>
      <c r="O36" s="28"/>
      <c r="P36" s="28"/>
      <c r="Q36" s="28"/>
      <c r="R36" s="28"/>
      <c r="S36" s="28"/>
      <c r="T36" s="28"/>
    </row>
    <row r="37" spans="1:11" ht="12.75">
      <c r="A37" s="8"/>
      <c r="B37" s="7"/>
      <c r="C37" s="7"/>
      <c r="D37" s="7"/>
      <c r="E37" s="7"/>
      <c r="F37" s="7"/>
      <c r="G37" s="7"/>
      <c r="H37" s="7"/>
      <c r="I37" s="6"/>
      <c r="J37" s="7"/>
      <c r="K37" s="7"/>
    </row>
    <row r="38" spans="1:17" ht="15">
      <c r="A38" s="8" t="s">
        <v>114</v>
      </c>
      <c r="B38" s="7"/>
      <c r="C38" s="7"/>
      <c r="D38" s="7"/>
      <c r="E38" s="7"/>
      <c r="F38" s="7"/>
      <c r="G38" s="7"/>
      <c r="H38" s="7"/>
      <c r="I38" s="6"/>
      <c r="J38" s="7"/>
      <c r="K38" s="7"/>
      <c r="P38" s="20"/>
      <c r="Q38" s="14"/>
    </row>
    <row r="39" spans="1:11" ht="12.75">
      <c r="A39" s="7"/>
      <c r="B39" s="7"/>
      <c r="C39" s="7"/>
      <c r="D39" s="7"/>
      <c r="E39" s="7"/>
      <c r="F39" s="7"/>
      <c r="G39" s="7"/>
      <c r="H39" s="7"/>
      <c r="I39" s="6"/>
      <c r="J39" s="7"/>
      <c r="K39" s="7"/>
    </row>
    <row r="40" spans="1:13" ht="12.75">
      <c r="A40" s="34" t="s">
        <v>115</v>
      </c>
      <c r="B40" s="34" t="s">
        <v>116</v>
      </c>
      <c r="C40" s="34" t="s">
        <v>6</v>
      </c>
      <c r="D40" s="34" t="s">
        <v>7</v>
      </c>
      <c r="E40" s="34" t="s">
        <v>8</v>
      </c>
      <c r="F40" s="34" t="s">
        <v>9</v>
      </c>
      <c r="G40" s="34" t="s">
        <v>10</v>
      </c>
      <c r="H40" s="34" t="s">
        <v>11</v>
      </c>
      <c r="I40" s="34" t="s">
        <v>117</v>
      </c>
      <c r="J40" s="34" t="s">
        <v>46</v>
      </c>
      <c r="K40" s="70" t="s">
        <v>118</v>
      </c>
      <c r="L40" s="71"/>
      <c r="M40" s="72"/>
    </row>
    <row r="41" spans="1:13" ht="12.75">
      <c r="A41" s="35" t="s">
        <v>19</v>
      </c>
      <c r="B41" s="35" t="str">
        <f>B6</f>
        <v>515521</v>
      </c>
      <c r="C41" s="35" t="s">
        <v>238</v>
      </c>
      <c r="D41" s="35" t="s">
        <v>120</v>
      </c>
      <c r="E41" s="35" t="str">
        <f>E5</f>
        <v>0PT43611</v>
      </c>
      <c r="F41" s="35" t="s">
        <v>24</v>
      </c>
      <c r="G41" s="35" t="s">
        <v>24</v>
      </c>
      <c r="H41" s="35" t="s">
        <v>25</v>
      </c>
      <c r="I41" s="42">
        <f>-I42</f>
        <v>3787.1399999999999</v>
      </c>
      <c r="J41" s="35"/>
      <c r="K41" s="73" t="s">
        <v>239</v>
      </c>
      <c r="L41" s="73"/>
      <c r="M41" s="73"/>
    </row>
    <row r="42" spans="1:13" ht="12.75">
      <c r="A42" s="35" t="s">
        <v>19</v>
      </c>
      <c r="B42" s="35" t="str">
        <f>B41</f>
        <v>515521</v>
      </c>
      <c r="C42" s="35" t="s">
        <v>121</v>
      </c>
      <c r="D42" s="35" t="s">
        <v>122</v>
      </c>
      <c r="E42" s="35" t="str">
        <f>E5</f>
        <v>0PT43611</v>
      </c>
      <c r="F42" s="35" t="s">
        <v>24</v>
      </c>
      <c r="G42" s="35" t="s">
        <v>24</v>
      </c>
      <c r="H42" s="35" t="s">
        <v>25</v>
      </c>
      <c r="I42" s="42">
        <f>ROUND(C32,2)</f>
        <v>-3787.1399999999999</v>
      </c>
      <c r="J42" s="35"/>
      <c r="K42" s="73" t="str">
        <f>K41</f>
        <v>Gain on Sale of 0.0209 acres</v>
      </c>
      <c r="L42" s="74"/>
      <c r="M42" s="74"/>
    </row>
    <row r="43" spans="1:11" s="28" customFormat="1" ht="12.75">
      <c r="A43" s="37"/>
      <c r="B43" s="37"/>
      <c r="C43" s="37"/>
      <c r="D43" s="37"/>
      <c r="E43" s="37"/>
      <c r="F43" s="37"/>
      <c r="G43" s="37"/>
      <c r="H43" s="37"/>
      <c r="I43" s="38"/>
      <c r="J43" s="37"/>
      <c r="K43" s="39"/>
    </row>
    <row r="44" spans="1:11" ht="12.75">
      <c r="A44" s="37"/>
      <c r="B44" s="37"/>
      <c r="C44" s="37"/>
      <c r="D44" s="37"/>
      <c r="E44" s="37"/>
      <c r="F44" s="37"/>
      <c r="G44" s="37"/>
      <c r="H44" s="37"/>
      <c r="I44" s="38"/>
      <c r="J44" s="37"/>
      <c r="K44" s="39"/>
    </row>
    <row r="46" spans="1:1" ht="12.75">
      <c r="A46" s="8" t="s">
        <v>126</v>
      </c>
    </row>
    <row r="49" spans="1:1" ht="12.75">
      <c r="A49" s="8" t="s">
        <v>127</v>
      </c>
    </row>
    <row r="51" ht="13.5" thickBot="1"/>
    <row r="52" spans="1:9" ht="16.5" thickTop="1" thickBot="1">
      <c r="A52" s="10"/>
      <c r="B52" s="10"/>
      <c r="C52" s="10"/>
      <c r="I52" s="19"/>
    </row>
    <row r="53" spans="1:20" ht="16.5" thickTop="1" thickBot="1">
      <c r="A53" s="10" t="s">
        <v>0</v>
      </c>
      <c r="B53" s="10" t="s">
        <v>8</v>
      </c>
      <c r="C53" s="10" t="s">
        <v>32</v>
      </c>
      <c r="D53" s="10" t="s">
        <v>39</v>
      </c>
      <c r="E53" s="10" t="s">
        <v>6</v>
      </c>
      <c r="F53" s="10" t="s">
        <v>35</v>
      </c>
      <c r="G53" s="10" t="s">
        <v>37</v>
      </c>
      <c r="H53" s="10" t="s">
        <v>18</v>
      </c>
      <c r="I53" s="10" t="s">
        <v>36</v>
      </c>
      <c r="J53" s="10" t="s">
        <v>38</v>
      </c>
      <c r="K53" s="10" t="s">
        <v>44</v>
      </c>
      <c r="L53" s="10" t="s">
        <v>40</v>
      </c>
      <c r="M53" s="10" t="s">
        <v>46</v>
      </c>
      <c r="N53" s="10" t="s">
        <v>47</v>
      </c>
      <c r="O53" s="10" t="s">
        <v>18</v>
      </c>
      <c r="P53" s="10" t="s">
        <v>43</v>
      </c>
      <c r="Q53" s="10" t="s">
        <v>42</v>
      </c>
      <c r="R53" s="10" t="s">
        <v>41</v>
      </c>
      <c r="S53" s="10" t="s">
        <v>45</v>
      </c>
      <c r="T53" s="10" t="s">
        <v>33</v>
      </c>
    </row>
    <row r="54" spans="1:20" ht="13.5" thickTop="1">
      <c r="A54" s="21" t="s">
        <v>19</v>
      </c>
      <c r="B54" s="21" t="s">
        <v>225</v>
      </c>
      <c r="C54" s="21" t="s">
        <v>228</v>
      </c>
      <c r="D54" s="21" t="s">
        <v>235</v>
      </c>
      <c r="E54" s="21" t="s">
        <v>231</v>
      </c>
      <c r="F54" s="21" t="s">
        <v>232</v>
      </c>
      <c r="G54" s="21" t="s">
        <v>56</v>
      </c>
      <c r="H54" s="21" t="s">
        <v>233</v>
      </c>
      <c r="I54" s="21" t="s">
        <v>55</v>
      </c>
      <c r="J54" s="21" t="s">
        <v>71</v>
      </c>
      <c r="K54" s="23">
        <v>-0.020899999999999998</v>
      </c>
      <c r="L54" s="9">
        <v>-780.86000000000001</v>
      </c>
      <c r="M54" s="21" t="s">
        <v>170</v>
      </c>
      <c r="N54" s="21" t="s">
        <v>91</v>
      </c>
      <c r="O54" s="21" t="s">
        <v>240</v>
      </c>
      <c r="P54" s="9">
        <v>-98.239999999999995</v>
      </c>
      <c r="Q54" s="20">
        <v>0</v>
      </c>
      <c r="R54" s="9">
        <v>-780.86000000000001</v>
      </c>
      <c r="T54" s="21" t="s">
        <v>229</v>
      </c>
    </row>
    <row r="55" spans="1:1" ht="12.75">
      <c r="A55" s="28"/>
    </row>
    <row r="56" spans="1:1" ht="12.75">
      <c r="A56" s="28"/>
    </row>
    <row r="57" spans="1:1" ht="12.75">
      <c r="A57" s="28"/>
    </row>
  </sheetData>
  <mergeCells count="11">
    <mergeCell ref="E31:F31"/>
    <mergeCell ref="E32:G32"/>
    <mergeCell ref="K40:M40"/>
    <mergeCell ref="K41:M41"/>
    <mergeCell ref="K42:M42"/>
    <mergeCell ref="E30:F30"/>
    <mergeCell ref="A1:F1"/>
    <mergeCell ref="A3:E3"/>
    <mergeCell ref="A12:D12"/>
    <mergeCell ref="E28:F28"/>
    <mergeCell ref="E29:F29"/>
  </mergeCells>
  <dataValidations count="10">
    <dataValidation type="textLength" showInputMessage="1" showErrorMessage="1" error="Text exceeds maximum character length of 30 characters" sqref="K41:K44">
      <formula1>0</formula1>
      <formula2>30</formula2>
    </dataValidation>
    <dataValidation type="textLength" showInputMessage="1" showErrorMessage="1" error="Text exceeds maximum character length of 10 characters" sqref="J41:J44">
      <formula1>0</formula1>
      <formula2>10</formula2>
    </dataValidation>
    <dataValidation type="textLength" showInputMessage="1" showErrorMessage="1" error="Text exceeds maximum character length of 23 characters" sqref="I41:I44">
      <formula1>0</formula1>
      <formula2>23</formula2>
    </dataValidation>
    <dataValidation type="textLength" showInputMessage="1" showErrorMessage="1" error="Text exceeds maximum character length of 5 characters" sqref="H41:H44 A41:A44">
      <formula1>0</formula1>
      <formula2>5</formula2>
    </dataValidation>
    <dataValidation type="textLength" showInputMessage="1" showErrorMessage="1" error="Text exceeds maximum character length of 4 characters" sqref="F41:G44">
      <formula1>0</formula1>
      <formula2>4</formula2>
    </dataValidation>
    <dataValidation type="textLength" showInputMessage="1" showErrorMessage="1" error="Text exceeds maximum character length of 8 characters" sqref="E41:E44">
      <formula1>0</formula1>
      <formula2>8</formula2>
    </dataValidation>
    <dataValidation type="textLength" showInputMessage="1" showErrorMessage="1" error="Text exceeds maximum character length of 3 characters" sqref="D41:D44">
      <formula1>0</formula1>
      <formula2>3</formula2>
    </dataValidation>
    <dataValidation type="textLength" showInputMessage="1" showErrorMessage="1" error="Text exceeds maximum character length of 7 characters" sqref="C41:C44">
      <formula1>0</formula1>
      <formula2>7</formula2>
    </dataValidation>
    <dataValidation type="textLength" showInputMessage="1" showErrorMessage="1" error="Text exceeds maximum character length of 6 characters" sqref="B41:B44">
      <formula1>0</formula1>
      <formula2>6</formula2>
    </dataValidation>
    <dataValidation errorStyle="information" type="list" allowBlank="1" showInputMessage="1" showErrorMessage="1" prompt="This field only accepts 'NEXT' or the current journal ID - OK to accept this value" error="This field only accepts 'NEXT' or the current journal ID - OK to accept this value" sqref="F2">
      <formula1>"NEXT"</formula1>
    </dataValidation>
  </dataValidations>
  <pageMargins left="0.7" right="0.7" top="2.5" bottom="0.75" header="1.25" footer="0.3"/>
  <pageSetup fitToHeight="0" orientation="landscape" scale="34" r:id="rId2"/>
  <headerFooter>
    <oddHeader>&amp;C&amp;"Arial,Bold"&amp;12
 2022 RATE CASE
ONCOR ELECTRIC DELIVERY COMPANY LLC
GAIN OR LOSS ON SALE OF UTILITY ASSETS
FOR THE TEST YEAR ENDING DECEMBER 31, 2021
SPONSOR: W. A. LEDBETTER&amp;R&amp;"Arial,Bold"&amp;12WP/II-B-13/01
Page &amp;P of &amp;N</oddHead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W152"/>
  <sheetViews>
    <sheetView workbookViewId="0" topLeftCell="A1">
      <selection pane="topLeft" activeCell="H31" sqref="H31"/>
    </sheetView>
  </sheetViews>
  <sheetFormatPr defaultColWidth="9.14428571428571" defaultRowHeight="12.75"/>
  <cols>
    <col min="1" max="1" width="4.85714285714286" style="19" bestFit="1" customWidth="1"/>
    <col min="2" max="2" width="10.1428571428571" style="19" bestFit="1" customWidth="1"/>
    <col min="3" max="3" width="13.5714285714286" style="19" bestFit="1" customWidth="1"/>
    <col min="4" max="4" width="26.1428571428571" style="19" bestFit="1" customWidth="1"/>
    <col min="5" max="5" width="11.1428571428571" style="19" bestFit="1" customWidth="1"/>
    <col min="6" max="6" width="13.4285714285714" style="19" bestFit="1" customWidth="1"/>
    <col min="7" max="7" width="12.2857142857143" style="19" bestFit="1" customWidth="1"/>
    <col min="8" max="8" width="12.4285714285714" style="19" bestFit="1" customWidth="1"/>
    <col min="9" max="9" width="13.5714285714286" style="20" bestFit="1" customWidth="1"/>
    <col min="10" max="10" width="14.1428571428571" style="19" bestFit="1" customWidth="1"/>
    <col min="11" max="11" width="11.8571428571429" style="19" bestFit="1" customWidth="1"/>
    <col min="12" max="12" width="13.5714285714286" style="19" bestFit="1" customWidth="1"/>
    <col min="13" max="13" width="13" style="19" bestFit="1" customWidth="1"/>
    <col min="14" max="14" width="13.2857142857143" style="19" bestFit="1" customWidth="1"/>
    <col min="15" max="15" width="12.8571428571429" style="19" bestFit="1" customWidth="1"/>
    <col min="16" max="16" width="28.1428571428571" style="19" bestFit="1" customWidth="1"/>
    <col min="17" max="17" width="15.8571428571429" style="19" customWidth="1"/>
    <col min="18" max="18" width="11.1428571428571" style="19" bestFit="1" customWidth="1"/>
    <col min="19" max="19" width="10.1428571428571" style="19" customWidth="1"/>
    <col min="20" max="20" width="14.4285714285714" style="19" bestFit="1" customWidth="1"/>
    <col min="21" max="21" width="29" style="19" bestFit="1" customWidth="1"/>
    <col min="22" max="22" width="11.7142857142857" style="19" customWidth="1"/>
    <col min="23" max="23" width="10.8571428571429" style="19" customWidth="1"/>
    <col min="24" max="16384" width="9.14285714285714" style="19"/>
  </cols>
  <sheetData>
    <row r="1" spans="1:6" ht="12.75">
      <c r="A1" s="62" t="s">
        <v>245</v>
      </c>
      <c r="B1" s="62"/>
      <c r="C1" s="62"/>
      <c r="D1" s="62"/>
      <c r="E1" s="62"/>
      <c r="F1" s="62"/>
    </row>
    <row r="2" spans="1:1" ht="13.5" thickBot="1">
      <c r="A2" s="12"/>
    </row>
    <row r="3" spans="1:5" ht="16.5" thickTop="1" thickBot="1">
      <c r="A3" s="63"/>
      <c r="B3" s="64"/>
      <c r="C3" s="64"/>
      <c r="D3" s="64"/>
      <c r="E3" s="65"/>
    </row>
    <row r="4" spans="1:16" ht="16.5" thickTop="1" thickBot="1">
      <c r="A4" s="10" t="s">
        <v>0</v>
      </c>
      <c r="B4" s="10" t="s">
        <v>5</v>
      </c>
      <c r="C4" s="10" t="s">
        <v>6</v>
      </c>
      <c r="D4" s="10" t="s">
        <v>7</v>
      </c>
      <c r="E4" s="10" t="s">
        <v>8</v>
      </c>
      <c r="F4" s="10" t="s">
        <v>9</v>
      </c>
      <c r="G4" s="10" t="s">
        <v>10</v>
      </c>
      <c r="H4" s="10" t="s">
        <v>11</v>
      </c>
      <c r="I4" s="11" t="s">
        <v>12</v>
      </c>
      <c r="J4" s="10" t="s">
        <v>13</v>
      </c>
      <c r="K4" s="10" t="s">
        <v>14</v>
      </c>
      <c r="L4" s="10" t="s">
        <v>15</v>
      </c>
      <c r="M4" s="10" t="s">
        <v>1</v>
      </c>
      <c r="N4" s="10" t="s">
        <v>16</v>
      </c>
      <c r="O4" s="10" t="s">
        <v>17</v>
      </c>
      <c r="P4" s="10" t="s">
        <v>18</v>
      </c>
    </row>
    <row r="5" spans="1:20" ht="12.75" customHeight="1" thickTop="1">
      <c r="A5" s="21" t="s">
        <v>246</v>
      </c>
      <c r="B5" s="21" t="s">
        <v>247</v>
      </c>
      <c r="C5" s="21" t="s">
        <v>21</v>
      </c>
      <c r="D5" s="21" t="s">
        <v>248</v>
      </c>
      <c r="E5" s="21" t="s">
        <v>249</v>
      </c>
      <c r="F5" s="21" t="s">
        <v>250</v>
      </c>
      <c r="G5" s="21" t="s">
        <v>251</v>
      </c>
      <c r="H5" s="21" t="s">
        <v>25</v>
      </c>
      <c r="I5" s="9">
        <v>1725</v>
      </c>
      <c r="J5" s="21" t="s">
        <v>252</v>
      </c>
      <c r="K5" s="21"/>
      <c r="L5" s="21">
        <v>9</v>
      </c>
      <c r="M5" s="21">
        <v>2018</v>
      </c>
      <c r="N5" s="21" t="s">
        <v>133</v>
      </c>
      <c r="O5" s="21" t="s">
        <v>134</v>
      </c>
      <c r="P5" s="21" t="s">
        <v>253</v>
      </c>
      <c r="Q5" s="21"/>
      <c r="R5" s="21"/>
      <c r="S5" s="21"/>
      <c r="T5" s="21"/>
    </row>
    <row r="6" spans="1:20" ht="12.75" customHeight="1">
      <c r="A6" s="21" t="s">
        <v>246</v>
      </c>
      <c r="B6" s="21" t="s">
        <v>247</v>
      </c>
      <c r="C6" s="21" t="s">
        <v>21</v>
      </c>
      <c r="D6" s="21" t="s">
        <v>248</v>
      </c>
      <c r="E6" s="21" t="s">
        <v>249</v>
      </c>
      <c r="F6" s="21" t="s">
        <v>250</v>
      </c>
      <c r="G6" s="21" t="s">
        <v>251</v>
      </c>
      <c r="H6" s="21" t="s">
        <v>25</v>
      </c>
      <c r="I6" s="9">
        <v>5972.1199999999999</v>
      </c>
      <c r="J6" s="21" t="s">
        <v>254</v>
      </c>
      <c r="K6" s="21"/>
      <c r="L6" s="21">
        <v>9</v>
      </c>
      <c r="M6" s="21">
        <v>2018</v>
      </c>
      <c r="N6" s="21" t="s">
        <v>133</v>
      </c>
      <c r="O6" s="21" t="s">
        <v>134</v>
      </c>
      <c r="P6" s="21" t="s">
        <v>253</v>
      </c>
      <c r="Q6" s="21"/>
      <c r="R6" s="21"/>
      <c r="S6" s="21"/>
      <c r="T6" s="21"/>
    </row>
    <row r="7" spans="1:20" ht="12.75" customHeight="1">
      <c r="A7" s="21" t="s">
        <v>246</v>
      </c>
      <c r="B7" s="21" t="s">
        <v>247</v>
      </c>
      <c r="C7" s="21" t="s">
        <v>21</v>
      </c>
      <c r="D7" s="21" t="s">
        <v>248</v>
      </c>
      <c r="E7" s="21" t="s">
        <v>249</v>
      </c>
      <c r="F7" s="21" t="s">
        <v>250</v>
      </c>
      <c r="G7" s="21" t="s">
        <v>251</v>
      </c>
      <c r="H7" s="21" t="s">
        <v>25</v>
      </c>
      <c r="I7" s="9">
        <v>34792.360000000001</v>
      </c>
      <c r="J7" s="21" t="s">
        <v>255</v>
      </c>
      <c r="K7" s="21"/>
      <c r="L7" s="21">
        <v>11</v>
      </c>
      <c r="M7" s="21">
        <v>2018</v>
      </c>
      <c r="N7" s="21" t="s">
        <v>133</v>
      </c>
      <c r="O7" s="21" t="s">
        <v>159</v>
      </c>
      <c r="P7" s="21" t="s">
        <v>253</v>
      </c>
      <c r="Q7" s="21"/>
      <c r="R7" s="21"/>
      <c r="S7" s="21"/>
      <c r="T7" s="21"/>
    </row>
    <row r="8" spans="1:20" ht="12.75" customHeight="1">
      <c r="A8" s="21" t="s">
        <v>246</v>
      </c>
      <c r="B8" s="21" t="s">
        <v>247</v>
      </c>
      <c r="C8" s="21" t="s">
        <v>21</v>
      </c>
      <c r="D8" s="21" t="s">
        <v>248</v>
      </c>
      <c r="E8" s="21" t="s">
        <v>249</v>
      </c>
      <c r="F8" s="21" t="s">
        <v>250</v>
      </c>
      <c r="G8" s="21" t="s">
        <v>251</v>
      </c>
      <c r="H8" s="21" t="s">
        <v>25</v>
      </c>
      <c r="I8" s="9">
        <v>34792.360000000001</v>
      </c>
      <c r="J8" s="21" t="s">
        <v>256</v>
      </c>
      <c r="K8" s="21"/>
      <c r="L8" s="21">
        <v>12</v>
      </c>
      <c r="M8" s="21">
        <v>2018</v>
      </c>
      <c r="N8" s="21" t="s">
        <v>133</v>
      </c>
      <c r="O8" s="21" t="s">
        <v>134</v>
      </c>
      <c r="P8" s="21" t="s">
        <v>253</v>
      </c>
      <c r="Q8" s="21"/>
      <c r="R8" s="21"/>
      <c r="S8" s="21"/>
      <c r="T8" s="21"/>
    </row>
    <row r="9" spans="1:20" ht="12.75" customHeight="1">
      <c r="A9" s="21" t="s">
        <v>246</v>
      </c>
      <c r="B9" s="21" t="s">
        <v>247</v>
      </c>
      <c r="C9" s="21" t="s">
        <v>21</v>
      </c>
      <c r="D9" s="21" t="s">
        <v>248</v>
      </c>
      <c r="E9" s="21" t="s">
        <v>249</v>
      </c>
      <c r="F9" s="21" t="s">
        <v>250</v>
      </c>
      <c r="G9" s="21" t="s">
        <v>251</v>
      </c>
      <c r="H9" s="21" t="s">
        <v>25</v>
      </c>
      <c r="I9" s="9">
        <v>-34792.360000000001</v>
      </c>
      <c r="J9" s="21" t="s">
        <v>255</v>
      </c>
      <c r="K9" s="21"/>
      <c r="L9" s="21">
        <v>12</v>
      </c>
      <c r="M9" s="21">
        <v>2018</v>
      </c>
      <c r="N9" s="21" t="s">
        <v>133</v>
      </c>
      <c r="O9" s="21" t="s">
        <v>159</v>
      </c>
      <c r="P9" s="21" t="s">
        <v>253</v>
      </c>
      <c r="Q9" s="21"/>
      <c r="R9" s="21"/>
      <c r="S9" s="21"/>
      <c r="T9" s="21"/>
    </row>
    <row r="10" spans="1:20" ht="12.75" customHeight="1">
      <c r="A10" s="21" t="s">
        <v>246</v>
      </c>
      <c r="B10" s="21" t="s">
        <v>247</v>
      </c>
      <c r="C10" s="21" t="s">
        <v>21</v>
      </c>
      <c r="D10" s="21" t="s">
        <v>248</v>
      </c>
      <c r="E10" s="21" t="s">
        <v>249</v>
      </c>
      <c r="F10" s="21" t="s">
        <v>250</v>
      </c>
      <c r="G10" s="21" t="s">
        <v>251</v>
      </c>
      <c r="H10" s="21" t="s">
        <v>25</v>
      </c>
      <c r="I10" s="9">
        <v>23070.080000000002</v>
      </c>
      <c r="J10" s="21" t="s">
        <v>257</v>
      </c>
      <c r="K10" s="21"/>
      <c r="L10" s="21">
        <v>12</v>
      </c>
      <c r="M10" s="21">
        <v>2018</v>
      </c>
      <c r="N10" s="21" t="s">
        <v>133</v>
      </c>
      <c r="O10" s="21" t="s">
        <v>159</v>
      </c>
      <c r="P10" s="21" t="s">
        <v>253</v>
      </c>
      <c r="Q10" s="21"/>
      <c r="R10" s="21"/>
      <c r="S10" s="21"/>
      <c r="T10" s="21"/>
    </row>
    <row r="11" spans="1:20" ht="12.75" customHeight="1">
      <c r="A11" s="21" t="s">
        <v>246</v>
      </c>
      <c r="B11" s="21" t="s">
        <v>247</v>
      </c>
      <c r="C11" s="21" t="s">
        <v>21</v>
      </c>
      <c r="D11" s="21" t="s">
        <v>248</v>
      </c>
      <c r="E11" s="21" t="s">
        <v>249</v>
      </c>
      <c r="F11" s="21" t="s">
        <v>250</v>
      </c>
      <c r="G11" s="21" t="s">
        <v>251</v>
      </c>
      <c r="H11" s="21" t="s">
        <v>25</v>
      </c>
      <c r="I11" s="9">
        <v>23070.080000000002</v>
      </c>
      <c r="J11" s="21" t="s">
        <v>258</v>
      </c>
      <c r="K11" s="21"/>
      <c r="L11" s="21">
        <v>1</v>
      </c>
      <c r="M11" s="21">
        <v>2019</v>
      </c>
      <c r="N11" s="21" t="s">
        <v>133</v>
      </c>
      <c r="O11" s="21" t="s">
        <v>134</v>
      </c>
      <c r="P11" s="21" t="s">
        <v>253</v>
      </c>
      <c r="Q11" s="21"/>
      <c r="R11" s="21"/>
      <c r="S11" s="21"/>
      <c r="T11" s="21"/>
    </row>
    <row r="12" spans="1:20" ht="12.75" customHeight="1">
      <c r="A12" s="21" t="s">
        <v>246</v>
      </c>
      <c r="B12" s="21" t="s">
        <v>247</v>
      </c>
      <c r="C12" s="21" t="s">
        <v>21</v>
      </c>
      <c r="D12" s="21" t="s">
        <v>248</v>
      </c>
      <c r="E12" s="21" t="s">
        <v>249</v>
      </c>
      <c r="F12" s="21" t="s">
        <v>250</v>
      </c>
      <c r="G12" s="21" t="s">
        <v>251</v>
      </c>
      <c r="H12" s="21" t="s">
        <v>25</v>
      </c>
      <c r="I12" s="9">
        <v>616.70000000000005</v>
      </c>
      <c r="J12" s="21" t="s">
        <v>259</v>
      </c>
      <c r="K12" s="21"/>
      <c r="L12" s="21">
        <v>1</v>
      </c>
      <c r="M12" s="21">
        <v>2019</v>
      </c>
      <c r="N12" s="21" t="s">
        <v>133</v>
      </c>
      <c r="O12" s="21" t="s">
        <v>134</v>
      </c>
      <c r="P12" s="21" t="s">
        <v>253</v>
      </c>
      <c r="Q12" s="21"/>
      <c r="R12" s="21"/>
      <c r="S12" s="21"/>
      <c r="T12" s="21"/>
    </row>
    <row r="13" spans="1:20" ht="12.75" customHeight="1">
      <c r="A13" s="21" t="s">
        <v>246</v>
      </c>
      <c r="B13" s="21" t="s">
        <v>247</v>
      </c>
      <c r="C13" s="21" t="s">
        <v>21</v>
      </c>
      <c r="D13" s="21" t="s">
        <v>248</v>
      </c>
      <c r="E13" s="21" t="s">
        <v>249</v>
      </c>
      <c r="F13" s="21" t="s">
        <v>250</v>
      </c>
      <c r="G13" s="21" t="s">
        <v>251</v>
      </c>
      <c r="H13" s="21" t="s">
        <v>25</v>
      </c>
      <c r="I13" s="9">
        <v>-23070.080000000002</v>
      </c>
      <c r="J13" s="21" t="s">
        <v>257</v>
      </c>
      <c r="K13" s="21"/>
      <c r="L13" s="21">
        <v>1</v>
      </c>
      <c r="M13" s="21">
        <v>2019</v>
      </c>
      <c r="N13" s="21" t="s">
        <v>133</v>
      </c>
      <c r="O13" s="21" t="s">
        <v>159</v>
      </c>
      <c r="P13" s="21" t="s">
        <v>253</v>
      </c>
      <c r="Q13" s="21"/>
      <c r="R13" s="21"/>
      <c r="S13" s="21"/>
      <c r="T13" s="21"/>
    </row>
    <row r="14" spans="1:20" ht="12.75" customHeight="1">
      <c r="A14" s="21" t="s">
        <v>246</v>
      </c>
      <c r="B14" s="21" t="s">
        <v>247</v>
      </c>
      <c r="C14" s="21" t="s">
        <v>21</v>
      </c>
      <c r="D14" s="21" t="s">
        <v>248</v>
      </c>
      <c r="E14" s="21" t="s">
        <v>249</v>
      </c>
      <c r="F14" s="21" t="s">
        <v>250</v>
      </c>
      <c r="G14" s="21" t="s">
        <v>251</v>
      </c>
      <c r="H14" s="21" t="s">
        <v>25</v>
      </c>
      <c r="I14" s="9">
        <v>1567.5</v>
      </c>
      <c r="J14" s="21" t="s">
        <v>260</v>
      </c>
      <c r="K14" s="21"/>
      <c r="L14" s="21">
        <v>3</v>
      </c>
      <c r="M14" s="21">
        <v>2019</v>
      </c>
      <c r="N14" s="21" t="s">
        <v>133</v>
      </c>
      <c r="O14" s="21" t="s">
        <v>134</v>
      </c>
      <c r="P14" s="21" t="s">
        <v>253</v>
      </c>
      <c r="Q14" s="21"/>
      <c r="R14" s="21"/>
      <c r="S14" s="21"/>
      <c r="T14" s="21"/>
    </row>
    <row r="15" spans="1:20" ht="12.75" customHeight="1">
      <c r="A15" s="21" t="s">
        <v>246</v>
      </c>
      <c r="B15" s="21" t="s">
        <v>247</v>
      </c>
      <c r="C15" s="21" t="s">
        <v>21</v>
      </c>
      <c r="D15" s="21" t="s">
        <v>248</v>
      </c>
      <c r="E15" s="21" t="s">
        <v>249</v>
      </c>
      <c r="F15" s="21" t="s">
        <v>250</v>
      </c>
      <c r="G15" s="21" t="s">
        <v>251</v>
      </c>
      <c r="H15" s="21" t="s">
        <v>25</v>
      </c>
      <c r="I15" s="9">
        <v>3425.0999999999999</v>
      </c>
      <c r="J15" s="21" t="s">
        <v>261</v>
      </c>
      <c r="K15" s="21"/>
      <c r="L15" s="21">
        <v>5</v>
      </c>
      <c r="M15" s="21">
        <v>2019</v>
      </c>
      <c r="N15" s="21" t="s">
        <v>133</v>
      </c>
      <c r="O15" s="21" t="s">
        <v>134</v>
      </c>
      <c r="P15" s="21" t="s">
        <v>253</v>
      </c>
      <c r="Q15" s="21"/>
      <c r="R15" s="21"/>
      <c r="S15" s="21"/>
      <c r="T15" s="21"/>
    </row>
    <row r="16" spans="1:20" ht="12.75" customHeight="1">
      <c r="A16" s="21" t="s">
        <v>246</v>
      </c>
      <c r="B16" s="21" t="s">
        <v>247</v>
      </c>
      <c r="C16" s="21" t="s">
        <v>21</v>
      </c>
      <c r="D16" s="21" t="s">
        <v>248</v>
      </c>
      <c r="E16" s="21" t="s">
        <v>249</v>
      </c>
      <c r="F16" s="21" t="s">
        <v>250</v>
      </c>
      <c r="G16" s="21" t="s">
        <v>251</v>
      </c>
      <c r="H16" s="21" t="s">
        <v>25</v>
      </c>
      <c r="I16" s="9">
        <v>18116.139999999999</v>
      </c>
      <c r="J16" s="21" t="s">
        <v>262</v>
      </c>
      <c r="K16" s="21"/>
      <c r="L16" s="21">
        <v>7</v>
      </c>
      <c r="M16" s="21">
        <v>2019</v>
      </c>
      <c r="N16" s="21" t="s">
        <v>133</v>
      </c>
      <c r="O16" s="21" t="s">
        <v>159</v>
      </c>
      <c r="P16" s="21" t="s">
        <v>253</v>
      </c>
      <c r="Q16" s="21"/>
      <c r="R16" s="21"/>
      <c r="S16" s="21"/>
      <c r="T16" s="21"/>
    </row>
    <row r="17" spans="1:20" ht="12.75" customHeight="1">
      <c r="A17" s="21" t="s">
        <v>246</v>
      </c>
      <c r="B17" s="21" t="s">
        <v>247</v>
      </c>
      <c r="C17" s="21" t="s">
        <v>21</v>
      </c>
      <c r="D17" s="21" t="s">
        <v>248</v>
      </c>
      <c r="E17" s="21" t="s">
        <v>249</v>
      </c>
      <c r="F17" s="21" t="s">
        <v>250</v>
      </c>
      <c r="G17" s="21" t="s">
        <v>251</v>
      </c>
      <c r="H17" s="21" t="s">
        <v>25</v>
      </c>
      <c r="I17" s="9">
        <v>32001.919999999998</v>
      </c>
      <c r="J17" s="21" t="s">
        <v>263</v>
      </c>
      <c r="K17" s="21"/>
      <c r="L17" s="21">
        <v>7</v>
      </c>
      <c r="M17" s="21">
        <v>2019</v>
      </c>
      <c r="N17" s="21" t="s">
        <v>133</v>
      </c>
      <c r="O17" s="21" t="s">
        <v>134</v>
      </c>
      <c r="P17" s="21" t="s">
        <v>253</v>
      </c>
      <c r="Q17" s="21"/>
      <c r="R17" s="21"/>
      <c r="S17" s="21"/>
      <c r="T17" s="21"/>
    </row>
    <row r="18" spans="1:20" ht="12.75" customHeight="1">
      <c r="A18" s="21" t="s">
        <v>246</v>
      </c>
      <c r="B18" s="21" t="s">
        <v>247</v>
      </c>
      <c r="C18" s="21" t="s">
        <v>21</v>
      </c>
      <c r="D18" s="21" t="s">
        <v>248</v>
      </c>
      <c r="E18" s="21" t="s">
        <v>249</v>
      </c>
      <c r="F18" s="21" t="s">
        <v>250</v>
      </c>
      <c r="G18" s="21" t="s">
        <v>251</v>
      </c>
      <c r="H18" s="21" t="s">
        <v>25</v>
      </c>
      <c r="I18" s="9">
        <v>-18116.139999999999</v>
      </c>
      <c r="J18" s="21" t="s">
        <v>262</v>
      </c>
      <c r="K18" s="21"/>
      <c r="L18" s="21">
        <v>8</v>
      </c>
      <c r="M18" s="21">
        <v>2019</v>
      </c>
      <c r="N18" s="21" t="s">
        <v>133</v>
      </c>
      <c r="O18" s="21" t="s">
        <v>159</v>
      </c>
      <c r="P18" s="21" t="s">
        <v>253</v>
      </c>
      <c r="Q18" s="21"/>
      <c r="R18" s="21"/>
      <c r="S18" s="21"/>
      <c r="T18" s="21"/>
    </row>
    <row r="19" spans="1:20" ht="12.75" customHeight="1">
      <c r="A19" s="21" t="s">
        <v>246</v>
      </c>
      <c r="B19" s="21" t="s">
        <v>247</v>
      </c>
      <c r="C19" s="21" t="s">
        <v>21</v>
      </c>
      <c r="D19" s="21" t="s">
        <v>248</v>
      </c>
      <c r="E19" s="21" t="s">
        <v>249</v>
      </c>
      <c r="F19" s="21" t="s">
        <v>250</v>
      </c>
      <c r="G19" s="21" t="s">
        <v>251</v>
      </c>
      <c r="H19" s="21" t="s">
        <v>25</v>
      </c>
      <c r="I19" s="9">
        <v>9346.6100000000006</v>
      </c>
      <c r="J19" s="21" t="s">
        <v>264</v>
      </c>
      <c r="K19" s="21"/>
      <c r="L19" s="21">
        <v>8</v>
      </c>
      <c r="M19" s="21">
        <v>2019</v>
      </c>
      <c r="N19" s="21" t="s">
        <v>133</v>
      </c>
      <c r="O19" s="21" t="s">
        <v>134</v>
      </c>
      <c r="P19" s="21" t="s">
        <v>253</v>
      </c>
      <c r="Q19" s="21"/>
      <c r="R19" s="21"/>
      <c r="S19" s="21"/>
      <c r="T19" s="21"/>
    </row>
    <row r="20" spans="1:20" ht="12.75" customHeight="1">
      <c r="A20" s="21" t="s">
        <v>246</v>
      </c>
      <c r="B20" s="21" t="s">
        <v>247</v>
      </c>
      <c r="C20" s="21" t="s">
        <v>21</v>
      </c>
      <c r="D20" s="21" t="s">
        <v>248</v>
      </c>
      <c r="E20" s="21" t="s">
        <v>249</v>
      </c>
      <c r="F20" s="21" t="s">
        <v>250</v>
      </c>
      <c r="G20" s="21" t="s">
        <v>251</v>
      </c>
      <c r="H20" s="21" t="s">
        <v>25</v>
      </c>
      <c r="I20" s="9">
        <v>2215.7600000000002</v>
      </c>
      <c r="J20" s="21" t="s">
        <v>265</v>
      </c>
      <c r="K20" s="21"/>
      <c r="L20" s="21">
        <v>8</v>
      </c>
      <c r="M20" s="21">
        <v>2019</v>
      </c>
      <c r="N20" s="21" t="s">
        <v>133</v>
      </c>
      <c r="O20" s="21" t="s">
        <v>134</v>
      </c>
      <c r="P20" s="21" t="s">
        <v>253</v>
      </c>
      <c r="Q20" s="21"/>
      <c r="R20" s="21"/>
      <c r="S20" s="21"/>
      <c r="T20" s="21"/>
    </row>
    <row r="21" spans="1:20" ht="12.75" customHeight="1">
      <c r="A21" s="21" t="s">
        <v>246</v>
      </c>
      <c r="B21" s="21" t="s">
        <v>247</v>
      </c>
      <c r="C21" s="21" t="s">
        <v>21</v>
      </c>
      <c r="D21" s="21" t="s">
        <v>248</v>
      </c>
      <c r="E21" s="21" t="s">
        <v>249</v>
      </c>
      <c r="F21" s="21" t="s">
        <v>250</v>
      </c>
      <c r="G21" s="21" t="s">
        <v>251</v>
      </c>
      <c r="H21" s="21" t="s">
        <v>25</v>
      </c>
      <c r="I21" s="9">
        <v>45148.129999999997</v>
      </c>
      <c r="J21" s="21" t="s">
        <v>266</v>
      </c>
      <c r="K21" s="21"/>
      <c r="L21" s="21">
        <v>8</v>
      </c>
      <c r="M21" s="21">
        <v>2019</v>
      </c>
      <c r="N21" s="21" t="s">
        <v>133</v>
      </c>
      <c r="O21" s="21" t="s">
        <v>159</v>
      </c>
      <c r="P21" s="21" t="s">
        <v>253</v>
      </c>
      <c r="Q21" s="21"/>
      <c r="R21" s="21"/>
      <c r="S21" s="21"/>
      <c r="T21" s="21"/>
    </row>
    <row r="22" spans="1:20" ht="12.75" customHeight="1">
      <c r="A22" s="21" t="s">
        <v>246</v>
      </c>
      <c r="B22" s="21" t="s">
        <v>247</v>
      </c>
      <c r="C22" s="21" t="s">
        <v>21</v>
      </c>
      <c r="D22" s="21" t="s">
        <v>248</v>
      </c>
      <c r="E22" s="21" t="s">
        <v>249</v>
      </c>
      <c r="F22" s="21" t="s">
        <v>250</v>
      </c>
      <c r="G22" s="21" t="s">
        <v>251</v>
      </c>
      <c r="H22" s="21" t="s">
        <v>25</v>
      </c>
      <c r="I22" s="9">
        <v>-45148.129999999997</v>
      </c>
      <c r="J22" s="21" t="s">
        <v>266</v>
      </c>
      <c r="K22" s="21"/>
      <c r="L22" s="21">
        <v>9</v>
      </c>
      <c r="M22" s="21">
        <v>2019</v>
      </c>
      <c r="N22" s="21" t="s">
        <v>133</v>
      </c>
      <c r="O22" s="21" t="s">
        <v>159</v>
      </c>
      <c r="P22" s="21" t="s">
        <v>253</v>
      </c>
      <c r="Q22" s="21"/>
      <c r="R22" s="21"/>
      <c r="S22" s="21"/>
      <c r="T22" s="21"/>
    </row>
    <row r="23" spans="1:20" ht="12.75" customHeight="1">
      <c r="A23" s="21" t="s">
        <v>246</v>
      </c>
      <c r="B23" s="21" t="s">
        <v>247</v>
      </c>
      <c r="C23" s="21" t="s">
        <v>21</v>
      </c>
      <c r="D23" s="21" t="s">
        <v>248</v>
      </c>
      <c r="E23" s="21" t="s">
        <v>249</v>
      </c>
      <c r="F23" s="21" t="s">
        <v>250</v>
      </c>
      <c r="G23" s="21" t="s">
        <v>251</v>
      </c>
      <c r="H23" s="21" t="s">
        <v>25</v>
      </c>
      <c r="I23" s="9">
        <v>12028.190000000001</v>
      </c>
      <c r="J23" s="21" t="s">
        <v>267</v>
      </c>
      <c r="K23" s="21"/>
      <c r="L23" s="21">
        <v>9</v>
      </c>
      <c r="M23" s="21">
        <v>2019</v>
      </c>
      <c r="N23" s="21" t="s">
        <v>133</v>
      </c>
      <c r="O23" s="21" t="s">
        <v>134</v>
      </c>
      <c r="P23" s="21" t="s">
        <v>253</v>
      </c>
      <c r="Q23" s="21"/>
      <c r="R23" s="21"/>
      <c r="S23" s="21"/>
      <c r="T23" s="21"/>
    </row>
    <row r="24" spans="1:20" ht="12.75" customHeight="1">
      <c r="A24" s="21" t="s">
        <v>246</v>
      </c>
      <c r="B24" s="21" t="s">
        <v>247</v>
      </c>
      <c r="C24" s="21" t="s">
        <v>21</v>
      </c>
      <c r="D24" s="21" t="s">
        <v>248</v>
      </c>
      <c r="E24" s="21" t="s">
        <v>249</v>
      </c>
      <c r="F24" s="21" t="s">
        <v>250</v>
      </c>
      <c r="G24" s="21" t="s">
        <v>251</v>
      </c>
      <c r="H24" s="21" t="s">
        <v>25</v>
      </c>
      <c r="I24" s="9">
        <v>29557.130000000001</v>
      </c>
      <c r="J24" s="21" t="s">
        <v>268</v>
      </c>
      <c r="K24" s="21"/>
      <c r="L24" s="21">
        <v>9</v>
      </c>
      <c r="M24" s="21">
        <v>2019</v>
      </c>
      <c r="N24" s="21" t="s">
        <v>133</v>
      </c>
      <c r="O24" s="21" t="s">
        <v>159</v>
      </c>
      <c r="P24" s="21" t="s">
        <v>253</v>
      </c>
      <c r="Q24" s="21"/>
      <c r="R24" s="21"/>
      <c r="S24" s="21"/>
      <c r="T24" s="21"/>
    </row>
    <row r="25" spans="1:20" ht="12.75" customHeight="1">
      <c r="A25" s="21" t="s">
        <v>246</v>
      </c>
      <c r="B25" s="21" t="s">
        <v>247</v>
      </c>
      <c r="C25" s="21" t="s">
        <v>21</v>
      </c>
      <c r="D25" s="21" t="s">
        <v>248</v>
      </c>
      <c r="E25" s="21" t="s">
        <v>249</v>
      </c>
      <c r="F25" s="21" t="s">
        <v>250</v>
      </c>
      <c r="G25" s="21" t="s">
        <v>251</v>
      </c>
      <c r="H25" s="21" t="s">
        <v>25</v>
      </c>
      <c r="I25" s="9">
        <v>17315.990000000002</v>
      </c>
      <c r="J25" s="21" t="s">
        <v>269</v>
      </c>
      <c r="K25" s="21"/>
      <c r="L25" s="21">
        <v>9</v>
      </c>
      <c r="M25" s="21">
        <v>2019</v>
      </c>
      <c r="N25" s="21" t="s">
        <v>133</v>
      </c>
      <c r="O25" s="21" t="s">
        <v>134</v>
      </c>
      <c r="P25" s="21" t="s">
        <v>253</v>
      </c>
      <c r="Q25" s="21"/>
      <c r="R25" s="21"/>
      <c r="S25" s="21"/>
      <c r="T25" s="21"/>
    </row>
    <row r="26" spans="1:20" ht="12.75" customHeight="1">
      <c r="A26" s="21" t="s">
        <v>246</v>
      </c>
      <c r="B26" s="21" t="s">
        <v>247</v>
      </c>
      <c r="C26" s="21" t="s">
        <v>21</v>
      </c>
      <c r="D26" s="21" t="s">
        <v>248</v>
      </c>
      <c r="E26" s="21" t="s">
        <v>249</v>
      </c>
      <c r="F26" s="21" t="s">
        <v>250</v>
      </c>
      <c r="G26" s="21" t="s">
        <v>251</v>
      </c>
      <c r="H26" s="21" t="s">
        <v>25</v>
      </c>
      <c r="I26" s="9">
        <v>-29557.130000000001</v>
      </c>
      <c r="J26" s="21" t="s">
        <v>268</v>
      </c>
      <c r="K26" s="21"/>
      <c r="L26" s="21">
        <v>10</v>
      </c>
      <c r="M26" s="21">
        <v>2019</v>
      </c>
      <c r="N26" s="21" t="s">
        <v>133</v>
      </c>
      <c r="O26" s="21" t="s">
        <v>159</v>
      </c>
      <c r="P26" s="21" t="s">
        <v>253</v>
      </c>
      <c r="Q26" s="21"/>
      <c r="R26" s="21"/>
      <c r="S26" s="21"/>
      <c r="T26" s="21"/>
    </row>
    <row r="27" spans="1:20" ht="12.75" customHeight="1">
      <c r="A27" s="21" t="s">
        <v>246</v>
      </c>
      <c r="B27" s="21" t="s">
        <v>247</v>
      </c>
      <c r="C27" s="21" t="s">
        <v>21</v>
      </c>
      <c r="D27" s="21" t="s">
        <v>248</v>
      </c>
      <c r="E27" s="21" t="s">
        <v>249</v>
      </c>
      <c r="F27" s="21" t="s">
        <v>250</v>
      </c>
      <c r="G27" s="21" t="s">
        <v>251</v>
      </c>
      <c r="H27" s="21" t="s">
        <v>25</v>
      </c>
      <c r="I27" s="9">
        <v>11869.08</v>
      </c>
      <c r="J27" s="21" t="s">
        <v>270</v>
      </c>
      <c r="K27" s="21"/>
      <c r="L27" s="21">
        <v>10</v>
      </c>
      <c r="M27" s="21">
        <v>2019</v>
      </c>
      <c r="N27" s="21" t="s">
        <v>133</v>
      </c>
      <c r="O27" s="21" t="s">
        <v>159</v>
      </c>
      <c r="P27" s="21" t="s">
        <v>253</v>
      </c>
      <c r="Q27" s="21"/>
      <c r="R27" s="21"/>
      <c r="S27" s="21"/>
      <c r="T27" s="21"/>
    </row>
    <row r="28" spans="1:20" ht="12.75" customHeight="1">
      <c r="A28" s="21" t="s">
        <v>246</v>
      </c>
      <c r="B28" s="21" t="s">
        <v>247</v>
      </c>
      <c r="C28" s="21" t="s">
        <v>21</v>
      </c>
      <c r="D28" s="21" t="s">
        <v>248</v>
      </c>
      <c r="E28" s="21" t="s">
        <v>249</v>
      </c>
      <c r="F28" s="21" t="s">
        <v>250</v>
      </c>
      <c r="G28" s="21" t="s">
        <v>251</v>
      </c>
      <c r="H28" s="21" t="s">
        <v>25</v>
      </c>
      <c r="I28" s="9">
        <v>17688.049999999999</v>
      </c>
      <c r="J28" s="21" t="s">
        <v>271</v>
      </c>
      <c r="K28" s="21"/>
      <c r="L28" s="21">
        <v>10</v>
      </c>
      <c r="M28" s="21">
        <v>2019</v>
      </c>
      <c r="N28" s="21" t="s">
        <v>133</v>
      </c>
      <c r="O28" s="21" t="s">
        <v>134</v>
      </c>
      <c r="P28" s="21" t="s">
        <v>253</v>
      </c>
      <c r="Q28" s="21"/>
      <c r="R28" s="21"/>
      <c r="S28" s="21"/>
      <c r="T28" s="21"/>
    </row>
    <row r="29" spans="1:20" ht="12.75" customHeight="1">
      <c r="A29" s="21" t="s">
        <v>246</v>
      </c>
      <c r="B29" s="21" t="s">
        <v>247</v>
      </c>
      <c r="C29" s="21" t="s">
        <v>21</v>
      </c>
      <c r="D29" s="21" t="s">
        <v>248</v>
      </c>
      <c r="E29" s="21" t="s">
        <v>249</v>
      </c>
      <c r="F29" s="21" t="s">
        <v>250</v>
      </c>
      <c r="G29" s="21" t="s">
        <v>251</v>
      </c>
      <c r="H29" s="21" t="s">
        <v>25</v>
      </c>
      <c r="I29" s="9">
        <v>17454.310000000001</v>
      </c>
      <c r="J29" s="21" t="s">
        <v>272</v>
      </c>
      <c r="K29" s="21"/>
      <c r="L29" s="21">
        <v>11</v>
      </c>
      <c r="M29" s="21">
        <v>2019</v>
      </c>
      <c r="N29" s="21" t="s">
        <v>133</v>
      </c>
      <c r="O29" s="21" t="s">
        <v>134</v>
      </c>
      <c r="P29" s="21" t="s">
        <v>253</v>
      </c>
      <c r="Q29" s="21"/>
      <c r="R29" s="21"/>
      <c r="S29" s="21"/>
      <c r="T29" s="21"/>
    </row>
    <row r="30" spans="1:20" ht="12.75" customHeight="1">
      <c r="A30" s="21" t="s">
        <v>246</v>
      </c>
      <c r="B30" s="21" t="s">
        <v>247</v>
      </c>
      <c r="C30" s="21" t="s">
        <v>21</v>
      </c>
      <c r="D30" s="21" t="s">
        <v>248</v>
      </c>
      <c r="E30" s="21" t="s">
        <v>249</v>
      </c>
      <c r="F30" s="21" t="s">
        <v>250</v>
      </c>
      <c r="G30" s="21" t="s">
        <v>251</v>
      </c>
      <c r="H30" s="21" t="s">
        <v>25</v>
      </c>
      <c r="I30" s="9">
        <v>15246.93</v>
      </c>
      <c r="J30" s="21" t="s">
        <v>273</v>
      </c>
      <c r="K30" s="21"/>
      <c r="L30" s="21">
        <v>11</v>
      </c>
      <c r="M30" s="21">
        <v>2019</v>
      </c>
      <c r="N30" s="21" t="s">
        <v>133</v>
      </c>
      <c r="O30" s="21" t="s">
        <v>134</v>
      </c>
      <c r="P30" s="21" t="s">
        <v>253</v>
      </c>
      <c r="Q30" s="21"/>
      <c r="R30" s="21"/>
      <c r="S30" s="21"/>
      <c r="T30" s="21"/>
    </row>
    <row r="31" spans="1:20" ht="12.75" customHeight="1">
      <c r="A31" s="21" t="s">
        <v>246</v>
      </c>
      <c r="B31" s="21" t="s">
        <v>247</v>
      </c>
      <c r="C31" s="21" t="s">
        <v>21</v>
      </c>
      <c r="D31" s="21" t="s">
        <v>248</v>
      </c>
      <c r="E31" s="21" t="s">
        <v>249</v>
      </c>
      <c r="F31" s="21" t="s">
        <v>250</v>
      </c>
      <c r="G31" s="21" t="s">
        <v>251</v>
      </c>
      <c r="H31" s="21" t="s">
        <v>25</v>
      </c>
      <c r="I31" s="9">
        <v>-11869.08</v>
      </c>
      <c r="J31" s="21" t="s">
        <v>270</v>
      </c>
      <c r="K31" s="21"/>
      <c r="L31" s="21">
        <v>11</v>
      </c>
      <c r="M31" s="21">
        <v>2019</v>
      </c>
      <c r="N31" s="21" t="s">
        <v>133</v>
      </c>
      <c r="O31" s="21" t="s">
        <v>159</v>
      </c>
      <c r="P31" s="21" t="s">
        <v>253</v>
      </c>
      <c r="Q31" s="21"/>
      <c r="R31" s="21"/>
      <c r="S31" s="21"/>
      <c r="T31" s="21"/>
    </row>
    <row r="32" spans="1:20" ht="12.75" customHeight="1">
      <c r="A32" s="21" t="s">
        <v>246</v>
      </c>
      <c r="B32" s="21" t="s">
        <v>247</v>
      </c>
      <c r="C32" s="21" t="s">
        <v>21</v>
      </c>
      <c r="D32" s="21" t="s">
        <v>248</v>
      </c>
      <c r="E32" s="21" t="s">
        <v>249</v>
      </c>
      <c r="F32" s="21" t="s">
        <v>250</v>
      </c>
      <c r="G32" s="21" t="s">
        <v>251</v>
      </c>
      <c r="H32" s="21" t="s">
        <v>25</v>
      </c>
      <c r="I32" s="9">
        <v>26040</v>
      </c>
      <c r="J32" s="21" t="s">
        <v>274</v>
      </c>
      <c r="K32" s="21"/>
      <c r="L32" s="21">
        <v>12</v>
      </c>
      <c r="M32" s="21">
        <v>2019</v>
      </c>
      <c r="N32" s="21" t="s">
        <v>133</v>
      </c>
      <c r="O32" s="21" t="s">
        <v>134</v>
      </c>
      <c r="P32" s="21" t="s">
        <v>253</v>
      </c>
      <c r="Q32" s="21"/>
      <c r="R32" s="21"/>
      <c r="S32" s="21"/>
      <c r="T32" s="21"/>
    </row>
    <row r="33" spans="1:20" ht="12.75" customHeight="1">
      <c r="A33" s="21" t="s">
        <v>246</v>
      </c>
      <c r="B33" s="21" t="s">
        <v>247</v>
      </c>
      <c r="C33" s="21" t="s">
        <v>21</v>
      </c>
      <c r="D33" s="21" t="s">
        <v>275</v>
      </c>
      <c r="E33" s="21" t="s">
        <v>249</v>
      </c>
      <c r="F33" s="21" t="s">
        <v>250</v>
      </c>
      <c r="G33" s="21" t="s">
        <v>251</v>
      </c>
      <c r="H33" s="21" t="s">
        <v>25</v>
      </c>
      <c r="I33" s="9">
        <v>33489.07</v>
      </c>
      <c r="J33" s="21" t="s">
        <v>276</v>
      </c>
      <c r="K33" s="21"/>
      <c r="L33" s="21">
        <v>6</v>
      </c>
      <c r="M33" s="21">
        <v>2020</v>
      </c>
      <c r="N33" s="21" t="s">
        <v>277</v>
      </c>
      <c r="O33" s="21" t="s">
        <v>134</v>
      </c>
      <c r="P33" s="21" t="s">
        <v>278</v>
      </c>
      <c r="Q33" s="21"/>
      <c r="R33" s="21"/>
      <c r="S33" s="21"/>
      <c r="T33" s="21"/>
    </row>
    <row r="34" spans="1:20" ht="12.75" customHeight="1">
      <c r="A34" s="21" t="s">
        <v>246</v>
      </c>
      <c r="B34" s="21" t="s">
        <v>247</v>
      </c>
      <c r="C34" s="21" t="s">
        <v>21</v>
      </c>
      <c r="D34" s="21" t="s">
        <v>248</v>
      </c>
      <c r="E34" s="21" t="s">
        <v>249</v>
      </c>
      <c r="F34" s="21" t="s">
        <v>250</v>
      </c>
      <c r="G34" s="21" t="s">
        <v>251</v>
      </c>
      <c r="H34" s="21" t="s">
        <v>25</v>
      </c>
      <c r="I34" s="9">
        <v>122850.71000000001</v>
      </c>
      <c r="J34" s="21" t="s">
        <v>279</v>
      </c>
      <c r="K34" s="21"/>
      <c r="L34" s="21">
        <v>6</v>
      </c>
      <c r="M34" s="21">
        <v>2020</v>
      </c>
      <c r="N34" s="21" t="s">
        <v>133</v>
      </c>
      <c r="O34" s="21" t="s">
        <v>159</v>
      </c>
      <c r="P34" s="21" t="s">
        <v>253</v>
      </c>
      <c r="Q34" s="21"/>
      <c r="R34" s="21"/>
      <c r="S34" s="21"/>
      <c r="T34" s="21"/>
    </row>
    <row r="35" spans="1:20" ht="12.75" customHeight="1">
      <c r="A35" s="21" t="s">
        <v>246</v>
      </c>
      <c r="B35" s="21" t="s">
        <v>247</v>
      </c>
      <c r="C35" s="21" t="s">
        <v>280</v>
      </c>
      <c r="D35" s="21" t="s">
        <v>248</v>
      </c>
      <c r="E35" s="21" t="s">
        <v>249</v>
      </c>
      <c r="F35" s="21" t="s">
        <v>250</v>
      </c>
      <c r="G35" s="21" t="s">
        <v>251</v>
      </c>
      <c r="H35" s="21" t="s">
        <v>25</v>
      </c>
      <c r="I35" s="9">
        <v>45772.550000000003</v>
      </c>
      <c r="J35" s="21" t="s">
        <v>281</v>
      </c>
      <c r="K35" s="21"/>
      <c r="L35" s="21">
        <v>6</v>
      </c>
      <c r="M35" s="21">
        <v>2020</v>
      </c>
      <c r="N35" s="21" t="s">
        <v>133</v>
      </c>
      <c r="O35" s="21" t="s">
        <v>134</v>
      </c>
      <c r="P35" s="21" t="s">
        <v>253</v>
      </c>
      <c r="Q35" s="21"/>
      <c r="R35" s="21"/>
      <c r="S35" s="21"/>
      <c r="T35" s="21"/>
    </row>
    <row r="36" spans="1:20" ht="12.75" customHeight="1">
      <c r="A36" s="21" t="s">
        <v>246</v>
      </c>
      <c r="B36" s="21" t="s">
        <v>247</v>
      </c>
      <c r="C36" s="21" t="s">
        <v>21</v>
      </c>
      <c r="D36" s="21" t="s">
        <v>248</v>
      </c>
      <c r="E36" s="21" t="s">
        <v>249</v>
      </c>
      <c r="F36" s="21" t="s">
        <v>250</v>
      </c>
      <c r="G36" s="21" t="s">
        <v>251</v>
      </c>
      <c r="H36" s="21" t="s">
        <v>25</v>
      </c>
      <c r="I36" s="9">
        <v>122850.71000000001</v>
      </c>
      <c r="J36" s="21" t="s">
        <v>282</v>
      </c>
      <c r="K36" s="21"/>
      <c r="L36" s="21">
        <v>7</v>
      </c>
      <c r="M36" s="21">
        <v>2020</v>
      </c>
      <c r="N36" s="21" t="s">
        <v>133</v>
      </c>
      <c r="O36" s="21" t="s">
        <v>134</v>
      </c>
      <c r="P36" s="21" t="s">
        <v>253</v>
      </c>
      <c r="Q36" s="21"/>
      <c r="R36" s="21"/>
      <c r="S36" s="21"/>
      <c r="T36" s="21"/>
    </row>
    <row r="37" spans="1:20" ht="12.75" customHeight="1">
      <c r="A37" s="21" t="s">
        <v>246</v>
      </c>
      <c r="B37" s="21" t="s">
        <v>247</v>
      </c>
      <c r="C37" s="21" t="s">
        <v>21</v>
      </c>
      <c r="D37" s="21" t="s">
        <v>248</v>
      </c>
      <c r="E37" s="21" t="s">
        <v>249</v>
      </c>
      <c r="F37" s="21" t="s">
        <v>250</v>
      </c>
      <c r="G37" s="21" t="s">
        <v>251</v>
      </c>
      <c r="H37" s="21" t="s">
        <v>25</v>
      </c>
      <c r="I37" s="9">
        <v>45772.550000000003</v>
      </c>
      <c r="J37" s="21" t="s">
        <v>283</v>
      </c>
      <c r="K37" s="21"/>
      <c r="L37" s="21">
        <v>7</v>
      </c>
      <c r="M37" s="21">
        <v>2020</v>
      </c>
      <c r="N37" s="21" t="s">
        <v>133</v>
      </c>
      <c r="O37" s="21" t="s">
        <v>134</v>
      </c>
      <c r="P37" s="21" t="s">
        <v>253</v>
      </c>
      <c r="Q37" s="21"/>
      <c r="R37" s="21"/>
      <c r="S37" s="21"/>
      <c r="T37" s="21"/>
    </row>
    <row r="38" spans="1:20" ht="12.75" customHeight="1">
      <c r="A38" s="21" t="s">
        <v>246</v>
      </c>
      <c r="B38" s="21" t="s">
        <v>247</v>
      </c>
      <c r="C38" s="21" t="s">
        <v>21</v>
      </c>
      <c r="D38" s="21" t="s">
        <v>248</v>
      </c>
      <c r="E38" s="21" t="s">
        <v>249</v>
      </c>
      <c r="F38" s="21" t="s">
        <v>250</v>
      </c>
      <c r="G38" s="21" t="s">
        <v>251</v>
      </c>
      <c r="H38" s="21" t="s">
        <v>25</v>
      </c>
      <c r="I38" s="9">
        <v>-122850.71000000001</v>
      </c>
      <c r="J38" s="21" t="s">
        <v>279</v>
      </c>
      <c r="K38" s="21"/>
      <c r="L38" s="21">
        <v>7</v>
      </c>
      <c r="M38" s="21">
        <v>2020</v>
      </c>
      <c r="N38" s="21" t="s">
        <v>133</v>
      </c>
      <c r="O38" s="21" t="s">
        <v>159</v>
      </c>
      <c r="P38" s="21" t="s">
        <v>253</v>
      </c>
      <c r="Q38" s="21"/>
      <c r="R38" s="21"/>
      <c r="S38" s="21"/>
      <c r="T38" s="21"/>
    </row>
    <row r="39" spans="1:20" ht="12.75" customHeight="1">
      <c r="A39" s="21" t="s">
        <v>246</v>
      </c>
      <c r="B39" s="21" t="s">
        <v>247</v>
      </c>
      <c r="C39" s="21" t="s">
        <v>280</v>
      </c>
      <c r="D39" s="21" t="s">
        <v>248</v>
      </c>
      <c r="E39" s="21" t="s">
        <v>249</v>
      </c>
      <c r="F39" s="21" t="s">
        <v>250</v>
      </c>
      <c r="G39" s="21" t="s">
        <v>251</v>
      </c>
      <c r="H39" s="21" t="s">
        <v>25</v>
      </c>
      <c r="I39" s="9">
        <v>-45772.550000000003</v>
      </c>
      <c r="J39" s="21" t="s">
        <v>283</v>
      </c>
      <c r="K39" s="21"/>
      <c r="L39" s="21">
        <v>7</v>
      </c>
      <c r="M39" s="21">
        <v>2020</v>
      </c>
      <c r="N39" s="21" t="s">
        <v>133</v>
      </c>
      <c r="O39" s="21" t="s">
        <v>134</v>
      </c>
      <c r="P39" s="21" t="s">
        <v>253</v>
      </c>
      <c r="Q39" s="21"/>
      <c r="R39" s="21"/>
      <c r="S39" s="21"/>
      <c r="T39" s="21"/>
    </row>
    <row r="40" spans="1:20" ht="12.75" customHeight="1">
      <c r="A40" s="21" t="s">
        <v>246</v>
      </c>
      <c r="B40" s="21" t="s">
        <v>247</v>
      </c>
      <c r="C40" s="21" t="s">
        <v>21</v>
      </c>
      <c r="D40" s="21" t="s">
        <v>248</v>
      </c>
      <c r="E40" s="21" t="s">
        <v>249</v>
      </c>
      <c r="F40" s="21" t="s">
        <v>250</v>
      </c>
      <c r="G40" s="21" t="s">
        <v>251</v>
      </c>
      <c r="H40" s="21" t="s">
        <v>25</v>
      </c>
      <c r="I40" s="9">
        <v>869.70000000000005</v>
      </c>
      <c r="J40" s="21" t="s">
        <v>284</v>
      </c>
      <c r="K40" s="21"/>
      <c r="L40" s="21">
        <v>9</v>
      </c>
      <c r="M40" s="21">
        <v>2020</v>
      </c>
      <c r="N40" s="21" t="s">
        <v>133</v>
      </c>
      <c r="O40" s="21" t="s">
        <v>134</v>
      </c>
      <c r="P40" s="21" t="s">
        <v>253</v>
      </c>
      <c r="Q40" s="21"/>
      <c r="R40" s="21"/>
      <c r="S40" s="21"/>
      <c r="T40" s="21"/>
    </row>
    <row r="41" spans="1:20" ht="12.75" customHeight="1">
      <c r="A41" s="21" t="s">
        <v>246</v>
      </c>
      <c r="B41" s="21" t="s">
        <v>247</v>
      </c>
      <c r="C41" s="21" t="s">
        <v>21</v>
      </c>
      <c r="D41" s="21" t="s">
        <v>275</v>
      </c>
      <c r="E41" s="21" t="s">
        <v>249</v>
      </c>
      <c r="F41" s="21" t="s">
        <v>250</v>
      </c>
      <c r="G41" s="21" t="s">
        <v>251</v>
      </c>
      <c r="H41" s="21" t="s">
        <v>25</v>
      </c>
      <c r="I41" s="9">
        <v>1169.0999999999999</v>
      </c>
      <c r="J41" s="21" t="s">
        <v>285</v>
      </c>
      <c r="K41" s="21"/>
      <c r="L41" s="21">
        <v>1</v>
      </c>
      <c r="M41" s="21">
        <v>2021</v>
      </c>
      <c r="N41" s="21" t="s">
        <v>277</v>
      </c>
      <c r="O41" s="21" t="s">
        <v>134</v>
      </c>
      <c r="P41" s="21" t="s">
        <v>278</v>
      </c>
      <c r="Q41" s="21"/>
      <c r="R41" s="21"/>
      <c r="S41" s="21"/>
      <c r="T41" s="21"/>
    </row>
    <row r="42" spans="1:20" ht="12.75" customHeight="1">
      <c r="A42" s="21" t="s">
        <v>246</v>
      </c>
      <c r="B42" s="21" t="s">
        <v>247</v>
      </c>
      <c r="C42" s="21" t="s">
        <v>21</v>
      </c>
      <c r="D42" s="21" t="s">
        <v>275</v>
      </c>
      <c r="E42" s="21" t="s">
        <v>249</v>
      </c>
      <c r="F42" s="21" t="s">
        <v>250</v>
      </c>
      <c r="G42" s="21" t="s">
        <v>251</v>
      </c>
      <c r="H42" s="21" t="s">
        <v>25</v>
      </c>
      <c r="I42" s="9">
        <v>-34658.169999999998</v>
      </c>
      <c r="J42" s="21" t="s">
        <v>286</v>
      </c>
      <c r="K42" s="21"/>
      <c r="L42" s="21">
        <v>7</v>
      </c>
      <c r="M42" s="21">
        <v>2021</v>
      </c>
      <c r="N42" s="21" t="s">
        <v>277</v>
      </c>
      <c r="O42" s="21" t="s">
        <v>142</v>
      </c>
      <c r="P42" s="21" t="s">
        <v>278</v>
      </c>
      <c r="Q42" s="21"/>
      <c r="R42" s="21"/>
      <c r="S42" s="21"/>
      <c r="T42" s="21"/>
    </row>
    <row r="43" spans="1:20" ht="12.75" customHeight="1">
      <c r="A43" s="21" t="s">
        <v>246</v>
      </c>
      <c r="B43" s="21" t="s">
        <v>247</v>
      </c>
      <c r="C43" s="21" t="s">
        <v>21</v>
      </c>
      <c r="D43" s="21" t="s">
        <v>248</v>
      </c>
      <c r="E43" s="21" t="s">
        <v>249</v>
      </c>
      <c r="F43" s="21" t="s">
        <v>250</v>
      </c>
      <c r="G43" s="21" t="s">
        <v>251</v>
      </c>
      <c r="H43" s="21" t="s">
        <v>25</v>
      </c>
      <c r="I43" s="9">
        <v>-389999.58000000002</v>
      </c>
      <c r="J43" s="21" t="s">
        <v>286</v>
      </c>
      <c r="K43" s="21"/>
      <c r="L43" s="21">
        <v>7</v>
      </c>
      <c r="M43" s="21">
        <v>2021</v>
      </c>
      <c r="N43" s="21" t="s">
        <v>133</v>
      </c>
      <c r="O43" s="21" t="s">
        <v>142</v>
      </c>
      <c r="P43" s="21" t="s">
        <v>253</v>
      </c>
      <c r="Q43" s="21"/>
      <c r="R43" s="21"/>
      <c r="S43" s="21"/>
      <c r="T43" s="21"/>
    </row>
    <row r="44" spans="1:20" ht="12.75" customHeight="1">
      <c r="A44" s="21" t="s">
        <v>246</v>
      </c>
      <c r="B44" s="21" t="s">
        <v>287</v>
      </c>
      <c r="C44" s="21" t="s">
        <v>21</v>
      </c>
      <c r="D44" s="21" t="s">
        <v>22</v>
      </c>
      <c r="E44" s="21" t="s">
        <v>249</v>
      </c>
      <c r="F44" s="21" t="s">
        <v>250</v>
      </c>
      <c r="G44" s="21" t="s">
        <v>251</v>
      </c>
      <c r="H44" s="21" t="s">
        <v>25</v>
      </c>
      <c r="I44" s="9">
        <v>-1660376.23</v>
      </c>
      <c r="J44" s="21" t="s">
        <v>286</v>
      </c>
      <c r="K44" s="21"/>
      <c r="L44" s="21">
        <v>7</v>
      </c>
      <c r="M44" s="21">
        <v>2021</v>
      </c>
      <c r="N44" s="21" t="s">
        <v>27</v>
      </c>
      <c r="O44" s="21" t="s">
        <v>142</v>
      </c>
      <c r="P44" s="21" t="s">
        <v>29</v>
      </c>
      <c r="Q44" s="21"/>
      <c r="R44" s="21"/>
      <c r="S44" s="21"/>
      <c r="T44" s="21"/>
    </row>
    <row r="45" spans="1:20" ht="12.75" customHeight="1">
      <c r="A45" s="21" t="s">
        <v>246</v>
      </c>
      <c r="B45" s="21" t="s">
        <v>247</v>
      </c>
      <c r="C45" s="21" t="s">
        <v>288</v>
      </c>
      <c r="D45" s="21" t="s">
        <v>275</v>
      </c>
      <c r="E45" s="21" t="s">
        <v>249</v>
      </c>
      <c r="F45" s="21" t="s">
        <v>250</v>
      </c>
      <c r="G45" s="21" t="s">
        <v>251</v>
      </c>
      <c r="H45" s="21" t="s">
        <v>25</v>
      </c>
      <c r="I45" s="9">
        <v>34658.169999999998</v>
      </c>
      <c r="J45" s="21" t="s">
        <v>286</v>
      </c>
      <c r="K45" s="21"/>
      <c r="L45" s="21">
        <v>7</v>
      </c>
      <c r="M45" s="21">
        <v>2021</v>
      </c>
      <c r="N45" s="21" t="s">
        <v>277</v>
      </c>
      <c r="O45" s="21" t="s">
        <v>142</v>
      </c>
      <c r="P45" s="21" t="s">
        <v>278</v>
      </c>
      <c r="Q45" s="21"/>
      <c r="R45" s="21"/>
      <c r="S45" s="21"/>
      <c r="T45" s="21"/>
    </row>
    <row r="46" spans="1:20" ht="12.75" customHeight="1">
      <c r="A46" s="21" t="s">
        <v>246</v>
      </c>
      <c r="B46" s="21" t="s">
        <v>247</v>
      </c>
      <c r="C46" s="21" t="s">
        <v>288</v>
      </c>
      <c r="D46" s="21" t="s">
        <v>248</v>
      </c>
      <c r="E46" s="21" t="s">
        <v>249</v>
      </c>
      <c r="F46" s="21" t="s">
        <v>250</v>
      </c>
      <c r="G46" s="21" t="s">
        <v>251</v>
      </c>
      <c r="H46" s="21" t="s">
        <v>25</v>
      </c>
      <c r="I46" s="9">
        <v>389999.58000000002</v>
      </c>
      <c r="J46" s="21" t="s">
        <v>286</v>
      </c>
      <c r="K46" s="21"/>
      <c r="L46" s="21">
        <v>7</v>
      </c>
      <c r="M46" s="21">
        <v>2021</v>
      </c>
      <c r="N46" s="21" t="s">
        <v>133</v>
      </c>
      <c r="O46" s="21" t="s">
        <v>142</v>
      </c>
      <c r="P46" s="21" t="s">
        <v>253</v>
      </c>
      <c r="Q46" s="21"/>
      <c r="R46" s="21"/>
      <c r="S46" s="21"/>
      <c r="T46" s="21"/>
    </row>
    <row r="47" spans="1:20" ht="12.75" customHeight="1">
      <c r="A47" s="21" t="s">
        <v>246</v>
      </c>
      <c r="B47" s="21" t="s">
        <v>287</v>
      </c>
      <c r="C47" s="21" t="s">
        <v>289</v>
      </c>
      <c r="D47" s="21" t="s">
        <v>122</v>
      </c>
      <c r="E47" s="21" t="s">
        <v>249</v>
      </c>
      <c r="F47" s="21" t="s">
        <v>250</v>
      </c>
      <c r="G47" s="21" t="s">
        <v>251</v>
      </c>
      <c r="H47" s="21" t="s">
        <v>25</v>
      </c>
      <c r="I47" s="9">
        <v>1392728.98</v>
      </c>
      <c r="J47" s="21" t="s">
        <v>286</v>
      </c>
      <c r="K47" s="21"/>
      <c r="L47" s="21">
        <v>7</v>
      </c>
      <c r="M47" s="21">
        <v>2021</v>
      </c>
      <c r="N47" s="21" t="s">
        <v>133</v>
      </c>
      <c r="O47" s="21" t="s">
        <v>142</v>
      </c>
      <c r="P47" s="21" t="s">
        <v>290</v>
      </c>
      <c r="Q47" s="21"/>
      <c r="R47" s="21"/>
      <c r="S47" s="21"/>
      <c r="T47" s="21"/>
    </row>
    <row r="48" spans="1:20" ht="12.75" customHeight="1">
      <c r="A48" s="21" t="s">
        <v>246</v>
      </c>
      <c r="B48" s="21" t="s">
        <v>287</v>
      </c>
      <c r="C48" s="21" t="s">
        <v>289</v>
      </c>
      <c r="D48" s="21" t="s">
        <v>122</v>
      </c>
      <c r="E48" s="21" t="s">
        <v>249</v>
      </c>
      <c r="F48" s="21" t="s">
        <v>250</v>
      </c>
      <c r="G48" s="21" t="s">
        <v>251</v>
      </c>
      <c r="H48" s="21" t="s">
        <v>25</v>
      </c>
      <c r="I48" s="9">
        <v>-1392728.98</v>
      </c>
      <c r="J48" s="21" t="s">
        <v>291</v>
      </c>
      <c r="K48" s="21"/>
      <c r="L48" s="21">
        <v>7</v>
      </c>
      <c r="M48" s="21">
        <v>2021</v>
      </c>
      <c r="N48" s="21" t="s">
        <v>133</v>
      </c>
      <c r="O48" s="21" t="s">
        <v>28</v>
      </c>
      <c r="P48" s="21" t="s">
        <v>290</v>
      </c>
      <c r="Q48" s="21"/>
      <c r="R48" s="21"/>
      <c r="S48" s="21"/>
      <c r="T48" s="21"/>
    </row>
    <row r="49" spans="1:20" ht="12.75" customHeight="1">
      <c r="A49" s="21"/>
      <c r="B49" s="21"/>
      <c r="C49" s="21"/>
      <c r="D49" s="21"/>
      <c r="E49" s="21"/>
      <c r="F49" s="21"/>
      <c r="G49" s="21"/>
      <c r="H49" s="21"/>
      <c r="J49" s="21"/>
      <c r="K49" s="21"/>
      <c r="L49" s="21"/>
      <c r="M49" s="21"/>
      <c r="N49" s="21"/>
      <c r="O49" s="21"/>
      <c r="P49" s="21"/>
      <c r="Q49" s="21"/>
      <c r="R49" s="21"/>
      <c r="S49" s="21"/>
      <c r="T49" s="21"/>
    </row>
    <row r="50" spans="1:20" ht="12.75" customHeight="1">
      <c r="A50" s="21"/>
      <c r="B50" s="21"/>
      <c r="C50" s="21"/>
      <c r="D50" s="21"/>
      <c r="E50" s="21"/>
      <c r="F50" s="21"/>
      <c r="G50" s="21"/>
      <c r="H50" s="21"/>
      <c r="J50" s="21"/>
      <c r="K50" s="21"/>
      <c r="L50" s="21"/>
      <c r="M50" s="21"/>
      <c r="N50" s="21"/>
      <c r="O50" s="21"/>
      <c r="P50" s="21"/>
      <c r="Q50" s="21"/>
      <c r="R50" s="21"/>
      <c r="S50" s="21"/>
      <c r="T50" s="21"/>
    </row>
    <row r="51" spans="1:20" ht="12.75" customHeight="1">
      <c r="A51" s="21"/>
      <c r="B51" s="21"/>
      <c r="C51" s="21"/>
      <c r="D51" s="21"/>
      <c r="E51" s="21"/>
      <c r="F51" s="21"/>
      <c r="G51" s="21"/>
      <c r="H51" s="21"/>
      <c r="J51" s="21"/>
      <c r="K51" s="21"/>
      <c r="L51" s="21"/>
      <c r="M51" s="21"/>
      <c r="N51" s="21"/>
      <c r="O51" s="21"/>
      <c r="P51" s="21"/>
      <c r="Q51" s="21"/>
      <c r="R51" s="21"/>
      <c r="S51" s="21"/>
      <c r="T51" s="21"/>
    </row>
    <row r="52" ht="12.75" customHeight="1"/>
    <row r="53" spans="1:1" ht="12.75">
      <c r="A53" s="8" t="s">
        <v>30</v>
      </c>
    </row>
    <row r="54" spans="1:1" ht="13.5" thickBot="1">
      <c r="A54" s="8"/>
    </row>
    <row r="55" spans="1:22" ht="16.5" thickTop="1" thickBot="1">
      <c r="A55" s="63"/>
      <c r="B55" s="64"/>
      <c r="C55" s="64"/>
      <c r="D55" s="65"/>
      <c r="V55" s="12" t="s">
        <v>31</v>
      </c>
    </row>
    <row r="56" spans="1:23" ht="16.5" thickTop="1" thickBot="1">
      <c r="A56" s="10" t="s">
        <v>0</v>
      </c>
      <c r="B56" s="10" t="s">
        <v>32</v>
      </c>
      <c r="C56" s="10" t="s">
        <v>33</v>
      </c>
      <c r="D56" s="10" t="s">
        <v>18</v>
      </c>
      <c r="E56" s="10" t="s">
        <v>6</v>
      </c>
      <c r="F56" s="10" t="s">
        <v>34</v>
      </c>
      <c r="G56" s="10" t="s">
        <v>35</v>
      </c>
      <c r="H56" s="10" t="s">
        <v>36</v>
      </c>
      <c r="I56" s="11" t="s">
        <v>37</v>
      </c>
      <c r="J56" s="10" t="s">
        <v>18</v>
      </c>
      <c r="K56" s="10" t="s">
        <v>38</v>
      </c>
      <c r="L56" s="10" t="s">
        <v>8</v>
      </c>
      <c r="M56" s="10" t="s">
        <v>39</v>
      </c>
      <c r="N56" s="10" t="s">
        <v>40</v>
      </c>
      <c r="O56" s="10" t="s">
        <v>41</v>
      </c>
      <c r="P56" s="10" t="s">
        <v>42</v>
      </c>
      <c r="Q56" s="10" t="s">
        <v>43</v>
      </c>
      <c r="R56" s="10" t="s">
        <v>44</v>
      </c>
      <c r="S56" s="10" t="s">
        <v>45</v>
      </c>
      <c r="T56" s="10" t="s">
        <v>46</v>
      </c>
      <c r="U56" s="10" t="s">
        <v>18</v>
      </c>
      <c r="V56" s="10" t="s">
        <v>48</v>
      </c>
      <c r="W56" s="10" t="s">
        <v>49</v>
      </c>
    </row>
    <row r="57" spans="1:23" ht="13.5" thickTop="1">
      <c r="A57" s="21" t="s">
        <v>246</v>
      </c>
      <c r="B57" s="21" t="s">
        <v>292</v>
      </c>
      <c r="C57" s="21" t="s">
        <v>293</v>
      </c>
      <c r="D57" s="21" t="s">
        <v>294</v>
      </c>
      <c r="E57" s="21" t="s">
        <v>295</v>
      </c>
      <c r="F57" s="21" t="s">
        <v>296</v>
      </c>
      <c r="G57" s="21" t="s">
        <v>297</v>
      </c>
      <c r="H57" s="21" t="s">
        <v>55</v>
      </c>
      <c r="I57" s="20" t="s">
        <v>56</v>
      </c>
      <c r="J57" s="21" t="s">
        <v>298</v>
      </c>
      <c r="K57" s="21" t="s">
        <v>66</v>
      </c>
      <c r="L57" s="21" t="s">
        <v>25</v>
      </c>
      <c r="M57" s="21" t="s">
        <v>299</v>
      </c>
      <c r="N57" s="9">
        <v>12001</v>
      </c>
      <c r="O57" s="9">
        <v>12001</v>
      </c>
      <c r="P57" s="19">
        <v>0</v>
      </c>
      <c r="Q57" s="20">
        <v>0</v>
      </c>
      <c r="R57" s="19">
        <v>0.11500000000000001</v>
      </c>
      <c r="S57" s="22">
        <v>37225</v>
      </c>
      <c r="T57" s="21" t="s">
        <v>300</v>
      </c>
      <c r="U57" s="21" t="s">
        <v>25</v>
      </c>
      <c r="V57" s="21" t="s">
        <v>25</v>
      </c>
      <c r="W57" s="21" t="s">
        <v>25</v>
      </c>
    </row>
    <row r="58" spans="1:23" ht="12.75">
      <c r="A58" s="19" t="s">
        <v>246</v>
      </c>
      <c r="B58" s="19" t="s">
        <v>292</v>
      </c>
      <c r="C58" s="19" t="s">
        <v>293</v>
      </c>
      <c r="D58" s="19" t="s">
        <v>294</v>
      </c>
      <c r="E58" s="19" t="s">
        <v>295</v>
      </c>
      <c r="F58" s="19" t="s">
        <v>296</v>
      </c>
      <c r="G58" s="19" t="s">
        <v>297</v>
      </c>
      <c r="H58" s="19" t="s">
        <v>55</v>
      </c>
      <c r="I58" s="20" t="s">
        <v>56</v>
      </c>
      <c r="J58" s="19" t="s">
        <v>298</v>
      </c>
      <c r="K58" s="19" t="s">
        <v>80</v>
      </c>
      <c r="L58" s="19" t="s">
        <v>25</v>
      </c>
      <c r="M58" s="19" t="s">
        <v>299</v>
      </c>
      <c r="N58" s="9">
        <v>-12001</v>
      </c>
      <c r="O58" s="9">
        <v>-12001</v>
      </c>
      <c r="P58" s="19">
        <v>0</v>
      </c>
      <c r="Q58" s="20">
        <v>0</v>
      </c>
      <c r="R58" s="19">
        <v>-0.11500000000000001</v>
      </c>
      <c r="S58" s="22">
        <v>44196</v>
      </c>
      <c r="T58" s="19" t="s">
        <v>301</v>
      </c>
      <c r="U58" s="19" t="s">
        <v>302</v>
      </c>
      <c r="V58" s="19" t="s">
        <v>25</v>
      </c>
      <c r="W58" s="19" t="s">
        <v>25</v>
      </c>
    </row>
    <row r="59" spans="1:23" ht="12.75">
      <c r="A59" s="19" t="s">
        <v>246</v>
      </c>
      <c r="B59" s="19" t="s">
        <v>303</v>
      </c>
      <c r="C59" s="19" t="s">
        <v>293</v>
      </c>
      <c r="D59" s="19" t="s">
        <v>294</v>
      </c>
      <c r="E59" s="19" t="s">
        <v>295</v>
      </c>
      <c r="F59" s="19" t="s">
        <v>296</v>
      </c>
      <c r="G59" s="19" t="s">
        <v>297</v>
      </c>
      <c r="H59" s="19" t="s">
        <v>55</v>
      </c>
      <c r="I59" s="20" t="s">
        <v>56</v>
      </c>
      <c r="J59" s="19" t="s">
        <v>298</v>
      </c>
      <c r="K59" s="19" t="s">
        <v>66</v>
      </c>
      <c r="L59" s="19" t="s">
        <v>25</v>
      </c>
      <c r="M59" s="19" t="s">
        <v>304</v>
      </c>
      <c r="N59" s="9">
        <v>159.40000000000001</v>
      </c>
      <c r="O59" s="9">
        <v>159.40000000000001</v>
      </c>
      <c r="P59" s="19">
        <v>0</v>
      </c>
      <c r="Q59" s="20">
        <v>0</v>
      </c>
      <c r="R59" s="19">
        <v>0</v>
      </c>
      <c r="S59" s="22">
        <v>37225</v>
      </c>
      <c r="T59" s="19" t="s">
        <v>305</v>
      </c>
      <c r="U59" s="19" t="s">
        <v>25</v>
      </c>
      <c r="V59" s="19" t="s">
        <v>25</v>
      </c>
      <c r="W59" s="19" t="s">
        <v>25</v>
      </c>
    </row>
    <row r="60" spans="1:23" ht="12.75">
      <c r="A60" s="19" t="s">
        <v>246</v>
      </c>
      <c r="B60" s="19" t="s">
        <v>303</v>
      </c>
      <c r="C60" s="19" t="s">
        <v>293</v>
      </c>
      <c r="D60" s="19" t="s">
        <v>294</v>
      </c>
      <c r="E60" s="19" t="s">
        <v>295</v>
      </c>
      <c r="F60" s="19" t="s">
        <v>296</v>
      </c>
      <c r="G60" s="19" t="s">
        <v>297</v>
      </c>
      <c r="H60" s="19" t="s">
        <v>55</v>
      </c>
      <c r="I60" s="20" t="s">
        <v>56</v>
      </c>
      <c r="J60" s="19" t="s">
        <v>298</v>
      </c>
      <c r="K60" s="19" t="s">
        <v>80</v>
      </c>
      <c r="L60" s="19" t="s">
        <v>25</v>
      </c>
      <c r="M60" s="19" t="s">
        <v>304</v>
      </c>
      <c r="N60" s="9">
        <v>-159.40000000000001</v>
      </c>
      <c r="O60" s="9">
        <v>-159.40000000000001</v>
      </c>
      <c r="P60" s="19">
        <v>0</v>
      </c>
      <c r="Q60" s="20">
        <v>0</v>
      </c>
      <c r="R60" s="19">
        <v>0</v>
      </c>
      <c r="S60" s="22">
        <v>44196</v>
      </c>
      <c r="T60" s="19" t="s">
        <v>301</v>
      </c>
      <c r="U60" s="19" t="s">
        <v>302</v>
      </c>
      <c r="V60" s="19" t="s">
        <v>25</v>
      </c>
      <c r="W60" s="19" t="s">
        <v>25</v>
      </c>
    </row>
    <row r="61" spans="1:23" ht="12.75">
      <c r="A61" s="19" t="s">
        <v>246</v>
      </c>
      <c r="B61" s="19" t="s">
        <v>306</v>
      </c>
      <c r="C61" s="19" t="s">
        <v>293</v>
      </c>
      <c r="D61" s="19" t="s">
        <v>294</v>
      </c>
      <c r="E61" s="19" t="s">
        <v>295</v>
      </c>
      <c r="F61" s="19" t="s">
        <v>296</v>
      </c>
      <c r="G61" s="19" t="s">
        <v>297</v>
      </c>
      <c r="H61" s="19" t="s">
        <v>55</v>
      </c>
      <c r="I61" s="20" t="s">
        <v>56</v>
      </c>
      <c r="J61" s="19" t="s">
        <v>298</v>
      </c>
      <c r="K61" s="19" t="s">
        <v>66</v>
      </c>
      <c r="L61" s="19" t="s">
        <v>25</v>
      </c>
      <c r="M61" s="19" t="s">
        <v>307</v>
      </c>
      <c r="N61" s="9">
        <v>36179.5</v>
      </c>
      <c r="O61" s="9">
        <v>36179.5</v>
      </c>
      <c r="P61" s="19">
        <v>0</v>
      </c>
      <c r="Q61" s="20">
        <v>0</v>
      </c>
      <c r="R61" s="19">
        <v>0.625</v>
      </c>
      <c r="S61" s="22">
        <v>37225</v>
      </c>
      <c r="T61" s="19" t="s">
        <v>300</v>
      </c>
      <c r="U61" s="19" t="s">
        <v>25</v>
      </c>
      <c r="V61" s="19" t="s">
        <v>25</v>
      </c>
      <c r="W61" s="19" t="s">
        <v>25</v>
      </c>
    </row>
    <row r="62" spans="1:23" ht="12.75">
      <c r="A62" s="19" t="s">
        <v>246</v>
      </c>
      <c r="B62" s="19" t="s">
        <v>306</v>
      </c>
      <c r="C62" s="19" t="s">
        <v>293</v>
      </c>
      <c r="D62" s="19" t="s">
        <v>294</v>
      </c>
      <c r="E62" s="19" t="s">
        <v>295</v>
      </c>
      <c r="F62" s="19" t="s">
        <v>296</v>
      </c>
      <c r="G62" s="19" t="s">
        <v>297</v>
      </c>
      <c r="H62" s="19" t="s">
        <v>55</v>
      </c>
      <c r="I62" s="20" t="s">
        <v>56</v>
      </c>
      <c r="J62" s="19" t="s">
        <v>298</v>
      </c>
      <c r="K62" s="19" t="s">
        <v>80</v>
      </c>
      <c r="L62" s="19" t="s">
        <v>25</v>
      </c>
      <c r="M62" s="19" t="s">
        <v>307</v>
      </c>
      <c r="N62" s="9">
        <v>-36179.5</v>
      </c>
      <c r="O62" s="9">
        <v>-36179.5</v>
      </c>
      <c r="P62" s="19">
        <v>0</v>
      </c>
      <c r="Q62" s="20">
        <v>0</v>
      </c>
      <c r="R62" s="19">
        <v>-0.625</v>
      </c>
      <c r="S62" s="22">
        <v>44196</v>
      </c>
      <c r="T62" s="19" t="s">
        <v>301</v>
      </c>
      <c r="U62" s="19" t="s">
        <v>302</v>
      </c>
      <c r="V62" s="19" t="s">
        <v>25</v>
      </c>
      <c r="W62" s="19" t="s">
        <v>25</v>
      </c>
    </row>
    <row r="63" spans="1:23" ht="12.75">
      <c r="A63" s="19" t="s">
        <v>246</v>
      </c>
      <c r="B63" s="19" t="s">
        <v>308</v>
      </c>
      <c r="C63" s="19" t="s">
        <v>293</v>
      </c>
      <c r="D63" s="19" t="s">
        <v>294</v>
      </c>
      <c r="E63" s="19" t="s">
        <v>295</v>
      </c>
      <c r="F63" s="19" t="s">
        <v>296</v>
      </c>
      <c r="G63" s="19" t="s">
        <v>297</v>
      </c>
      <c r="H63" s="19" t="s">
        <v>55</v>
      </c>
      <c r="I63" s="20" t="s">
        <v>56</v>
      </c>
      <c r="J63" s="19" t="s">
        <v>298</v>
      </c>
      <c r="K63" s="19" t="s">
        <v>66</v>
      </c>
      <c r="L63" s="19" t="s">
        <v>25</v>
      </c>
      <c r="M63" s="19" t="s">
        <v>309</v>
      </c>
      <c r="N63" s="9">
        <v>2270.0599999999999</v>
      </c>
      <c r="O63" s="9">
        <v>2270.0599999999999</v>
      </c>
      <c r="P63" s="19">
        <v>0</v>
      </c>
      <c r="Q63" s="20">
        <v>0</v>
      </c>
      <c r="R63" s="19">
        <v>0</v>
      </c>
      <c r="S63" s="22">
        <v>37225</v>
      </c>
      <c r="T63" s="19" t="s">
        <v>300</v>
      </c>
      <c r="U63" s="19" t="s">
        <v>25</v>
      </c>
      <c r="V63" s="19" t="s">
        <v>25</v>
      </c>
      <c r="W63" s="19" t="s">
        <v>25</v>
      </c>
    </row>
    <row r="64" spans="1:23" ht="12.75">
      <c r="A64" s="19" t="s">
        <v>246</v>
      </c>
      <c r="B64" s="19" t="s">
        <v>308</v>
      </c>
      <c r="C64" s="19" t="s">
        <v>293</v>
      </c>
      <c r="D64" s="19" t="s">
        <v>294</v>
      </c>
      <c r="E64" s="19" t="s">
        <v>295</v>
      </c>
      <c r="F64" s="19" t="s">
        <v>296</v>
      </c>
      <c r="G64" s="19" t="s">
        <v>297</v>
      </c>
      <c r="H64" s="19" t="s">
        <v>55</v>
      </c>
      <c r="I64" s="20" t="s">
        <v>56</v>
      </c>
      <c r="J64" s="19" t="s">
        <v>298</v>
      </c>
      <c r="K64" s="19" t="s">
        <v>80</v>
      </c>
      <c r="L64" s="19" t="s">
        <v>25</v>
      </c>
      <c r="M64" s="19" t="s">
        <v>309</v>
      </c>
      <c r="N64" s="9">
        <v>-2270.0599999999999</v>
      </c>
      <c r="O64" s="9">
        <v>-2270.0599999999999</v>
      </c>
      <c r="P64" s="19">
        <v>0</v>
      </c>
      <c r="Q64" s="20">
        <v>0</v>
      </c>
      <c r="R64" s="19">
        <v>0</v>
      </c>
      <c r="S64" s="22">
        <v>44196</v>
      </c>
      <c r="T64" s="19" t="s">
        <v>301</v>
      </c>
      <c r="U64" s="19" t="s">
        <v>302</v>
      </c>
      <c r="V64" s="19" t="s">
        <v>25</v>
      </c>
      <c r="W64" s="19" t="s">
        <v>25</v>
      </c>
    </row>
    <row r="65" spans="1:23" ht="12.75">
      <c r="A65" s="19" t="s">
        <v>246</v>
      </c>
      <c r="B65" s="19" t="s">
        <v>310</v>
      </c>
      <c r="C65" s="19" t="s">
        <v>293</v>
      </c>
      <c r="D65" s="19" t="s">
        <v>294</v>
      </c>
      <c r="E65" s="19" t="s">
        <v>295</v>
      </c>
      <c r="F65" s="19" t="s">
        <v>296</v>
      </c>
      <c r="G65" s="19" t="s">
        <v>297</v>
      </c>
      <c r="H65" s="19" t="s">
        <v>55</v>
      </c>
      <c r="I65" s="20" t="s">
        <v>56</v>
      </c>
      <c r="J65" s="19" t="s">
        <v>298</v>
      </c>
      <c r="K65" s="19" t="s">
        <v>66</v>
      </c>
      <c r="L65" s="19" t="s">
        <v>25</v>
      </c>
      <c r="M65" s="19" t="s">
        <v>311</v>
      </c>
      <c r="N65" s="9">
        <v>1126.79</v>
      </c>
      <c r="O65" s="9">
        <v>1126.79</v>
      </c>
      <c r="P65" s="19">
        <v>0</v>
      </c>
      <c r="Q65" s="20">
        <v>0</v>
      </c>
      <c r="R65" s="19">
        <v>0</v>
      </c>
      <c r="S65" s="22">
        <v>37225</v>
      </c>
      <c r="T65" s="19" t="s">
        <v>300</v>
      </c>
      <c r="U65" s="19" t="s">
        <v>25</v>
      </c>
      <c r="V65" s="19" t="s">
        <v>25</v>
      </c>
      <c r="W65" s="19" t="s">
        <v>25</v>
      </c>
    </row>
    <row r="66" spans="1:23" ht="12.75">
      <c r="A66" s="19" t="s">
        <v>246</v>
      </c>
      <c r="B66" s="19" t="s">
        <v>310</v>
      </c>
      <c r="C66" s="19" t="s">
        <v>293</v>
      </c>
      <c r="D66" s="19" t="s">
        <v>294</v>
      </c>
      <c r="E66" s="19" t="s">
        <v>295</v>
      </c>
      <c r="F66" s="19" t="s">
        <v>296</v>
      </c>
      <c r="G66" s="19" t="s">
        <v>297</v>
      </c>
      <c r="H66" s="19" t="s">
        <v>55</v>
      </c>
      <c r="I66" s="20" t="s">
        <v>56</v>
      </c>
      <c r="J66" s="19" t="s">
        <v>298</v>
      </c>
      <c r="K66" s="19" t="s">
        <v>80</v>
      </c>
      <c r="L66" s="19" t="s">
        <v>25</v>
      </c>
      <c r="M66" s="19" t="s">
        <v>311</v>
      </c>
      <c r="N66" s="9">
        <v>-1126.79</v>
      </c>
      <c r="O66" s="9">
        <v>-1126.79</v>
      </c>
      <c r="P66" s="19">
        <v>0</v>
      </c>
      <c r="Q66" s="20">
        <v>0</v>
      </c>
      <c r="R66" s="19">
        <v>0</v>
      </c>
      <c r="S66" s="22">
        <v>44196</v>
      </c>
      <c r="T66" s="19" t="s">
        <v>301</v>
      </c>
      <c r="U66" s="19" t="s">
        <v>302</v>
      </c>
      <c r="V66" s="19" t="s">
        <v>25</v>
      </c>
      <c r="W66" s="19" t="s">
        <v>25</v>
      </c>
    </row>
    <row r="67" spans="1:23" ht="12.75">
      <c r="A67" s="19" t="s">
        <v>246</v>
      </c>
      <c r="B67" s="19" t="s">
        <v>312</v>
      </c>
      <c r="C67" s="19" t="s">
        <v>293</v>
      </c>
      <c r="D67" s="19" t="s">
        <v>294</v>
      </c>
      <c r="E67" s="19" t="s">
        <v>295</v>
      </c>
      <c r="F67" s="19" t="s">
        <v>296</v>
      </c>
      <c r="G67" s="19" t="s">
        <v>297</v>
      </c>
      <c r="H67" s="19" t="s">
        <v>55</v>
      </c>
      <c r="I67" s="20" t="s">
        <v>56</v>
      </c>
      <c r="J67" s="19" t="s">
        <v>298</v>
      </c>
      <c r="K67" s="19" t="s">
        <v>66</v>
      </c>
      <c r="L67" s="19" t="s">
        <v>25</v>
      </c>
      <c r="M67" s="19" t="s">
        <v>304</v>
      </c>
      <c r="N67" s="9">
        <v>1377.3900000000001</v>
      </c>
      <c r="O67" s="9">
        <v>1377.3900000000001</v>
      </c>
      <c r="P67" s="19">
        <v>0</v>
      </c>
      <c r="Q67" s="20">
        <v>0</v>
      </c>
      <c r="R67" s="19">
        <v>0</v>
      </c>
      <c r="S67" s="22">
        <v>37225</v>
      </c>
      <c r="T67" s="19" t="s">
        <v>300</v>
      </c>
      <c r="U67" s="19" t="s">
        <v>25</v>
      </c>
      <c r="V67" s="19" t="s">
        <v>25</v>
      </c>
      <c r="W67" s="19" t="s">
        <v>25</v>
      </c>
    </row>
    <row r="68" spans="1:23" ht="12.75">
      <c r="A68" s="19" t="s">
        <v>246</v>
      </c>
      <c r="B68" s="19" t="s">
        <v>312</v>
      </c>
      <c r="C68" s="19" t="s">
        <v>293</v>
      </c>
      <c r="D68" s="19" t="s">
        <v>294</v>
      </c>
      <c r="E68" s="19" t="s">
        <v>295</v>
      </c>
      <c r="F68" s="19" t="s">
        <v>296</v>
      </c>
      <c r="G68" s="19" t="s">
        <v>297</v>
      </c>
      <c r="H68" s="19" t="s">
        <v>55</v>
      </c>
      <c r="I68" s="20" t="s">
        <v>56</v>
      </c>
      <c r="J68" s="19" t="s">
        <v>298</v>
      </c>
      <c r="K68" s="19" t="s">
        <v>80</v>
      </c>
      <c r="L68" s="19" t="s">
        <v>25</v>
      </c>
      <c r="M68" s="19" t="s">
        <v>304</v>
      </c>
      <c r="N68" s="9">
        <v>-1377.3900000000001</v>
      </c>
      <c r="O68" s="9">
        <v>-1377.3900000000001</v>
      </c>
      <c r="P68" s="19">
        <v>0</v>
      </c>
      <c r="Q68" s="20">
        <v>0</v>
      </c>
      <c r="R68" s="19">
        <v>0</v>
      </c>
      <c r="S68" s="22">
        <v>44196</v>
      </c>
      <c r="T68" s="19" t="s">
        <v>301</v>
      </c>
      <c r="U68" s="19" t="s">
        <v>302</v>
      </c>
      <c r="V68" s="19" t="s">
        <v>25</v>
      </c>
      <c r="W68" s="19" t="s">
        <v>25</v>
      </c>
    </row>
    <row r="69" spans="1:23" ht="12.75">
      <c r="A69" s="19" t="s">
        <v>246</v>
      </c>
      <c r="B69" s="19" t="s">
        <v>313</v>
      </c>
      <c r="C69" s="19" t="s">
        <v>293</v>
      </c>
      <c r="D69" s="19" t="s">
        <v>294</v>
      </c>
      <c r="E69" s="19" t="s">
        <v>295</v>
      </c>
      <c r="F69" s="19" t="s">
        <v>296</v>
      </c>
      <c r="G69" s="19" t="s">
        <v>297</v>
      </c>
      <c r="H69" s="19" t="s">
        <v>55</v>
      </c>
      <c r="I69" s="20" t="s">
        <v>56</v>
      </c>
      <c r="J69" s="19" t="s">
        <v>298</v>
      </c>
      <c r="K69" s="19" t="s">
        <v>66</v>
      </c>
      <c r="L69" s="19" t="s">
        <v>25</v>
      </c>
      <c r="M69" s="19" t="s">
        <v>314</v>
      </c>
      <c r="N69" s="9">
        <v>31134.52</v>
      </c>
      <c r="O69" s="9">
        <v>31134.52</v>
      </c>
      <c r="P69" s="19">
        <v>0</v>
      </c>
      <c r="Q69" s="20">
        <v>0</v>
      </c>
      <c r="R69" s="19">
        <v>0.34999999999999998</v>
      </c>
      <c r="S69" s="22">
        <v>37225</v>
      </c>
      <c r="T69" s="19" t="s">
        <v>300</v>
      </c>
      <c r="U69" s="19" t="s">
        <v>25</v>
      </c>
      <c r="V69" s="19" t="s">
        <v>25</v>
      </c>
      <c r="W69" s="19" t="s">
        <v>25</v>
      </c>
    </row>
    <row r="70" spans="1:23" ht="12.75">
      <c r="A70" s="19" t="s">
        <v>246</v>
      </c>
      <c r="B70" s="19" t="s">
        <v>313</v>
      </c>
      <c r="C70" s="19" t="s">
        <v>293</v>
      </c>
      <c r="D70" s="19" t="s">
        <v>294</v>
      </c>
      <c r="E70" s="19" t="s">
        <v>295</v>
      </c>
      <c r="F70" s="19" t="s">
        <v>296</v>
      </c>
      <c r="G70" s="19" t="s">
        <v>297</v>
      </c>
      <c r="H70" s="19" t="s">
        <v>55</v>
      </c>
      <c r="I70" s="20" t="s">
        <v>56</v>
      </c>
      <c r="J70" s="19" t="s">
        <v>298</v>
      </c>
      <c r="K70" s="19" t="s">
        <v>80</v>
      </c>
      <c r="L70" s="19" t="s">
        <v>25</v>
      </c>
      <c r="M70" s="19" t="s">
        <v>314</v>
      </c>
      <c r="N70" s="9">
        <v>-31134.52</v>
      </c>
      <c r="O70" s="9">
        <v>-31134.52</v>
      </c>
      <c r="P70" s="19">
        <v>0</v>
      </c>
      <c r="Q70" s="20">
        <v>0</v>
      </c>
      <c r="R70" s="19">
        <v>-0.34999999999999998</v>
      </c>
      <c r="S70" s="22">
        <v>44196</v>
      </c>
      <c r="T70" s="19" t="s">
        <v>301</v>
      </c>
      <c r="U70" s="19" t="s">
        <v>302</v>
      </c>
      <c r="V70" s="19" t="s">
        <v>25</v>
      </c>
      <c r="W70" s="19" t="s">
        <v>25</v>
      </c>
    </row>
    <row r="71" spans="1:23" ht="12.75">
      <c r="A71" s="19" t="s">
        <v>246</v>
      </c>
      <c r="B71" s="19" t="s">
        <v>315</v>
      </c>
      <c r="C71" s="19" t="s">
        <v>293</v>
      </c>
      <c r="D71" s="19" t="s">
        <v>294</v>
      </c>
      <c r="E71" s="19" t="s">
        <v>295</v>
      </c>
      <c r="F71" s="19" t="s">
        <v>296</v>
      </c>
      <c r="G71" s="19" t="s">
        <v>297</v>
      </c>
      <c r="H71" s="19" t="s">
        <v>55</v>
      </c>
      <c r="I71" s="20" t="s">
        <v>56</v>
      </c>
      <c r="J71" s="19" t="s">
        <v>298</v>
      </c>
      <c r="K71" s="19" t="s">
        <v>66</v>
      </c>
      <c r="L71" s="19" t="s">
        <v>25</v>
      </c>
      <c r="M71" s="19" t="s">
        <v>304</v>
      </c>
      <c r="N71" s="9">
        <v>1295.4100000000001</v>
      </c>
      <c r="O71" s="9">
        <v>1295.4100000000001</v>
      </c>
      <c r="P71" s="19">
        <v>0</v>
      </c>
      <c r="Q71" s="20">
        <v>0</v>
      </c>
      <c r="R71" s="19">
        <v>0</v>
      </c>
      <c r="S71" s="22">
        <v>37225</v>
      </c>
      <c r="T71" s="19" t="s">
        <v>300</v>
      </c>
      <c r="U71" s="19" t="s">
        <v>25</v>
      </c>
      <c r="V71" s="19" t="s">
        <v>25</v>
      </c>
      <c r="W71" s="19" t="s">
        <v>25</v>
      </c>
    </row>
    <row r="72" spans="1:23" ht="12.75">
      <c r="A72" s="19" t="s">
        <v>246</v>
      </c>
      <c r="B72" s="19" t="s">
        <v>315</v>
      </c>
      <c r="C72" s="19" t="s">
        <v>293</v>
      </c>
      <c r="D72" s="19" t="s">
        <v>294</v>
      </c>
      <c r="E72" s="19" t="s">
        <v>295</v>
      </c>
      <c r="F72" s="19" t="s">
        <v>296</v>
      </c>
      <c r="G72" s="19" t="s">
        <v>297</v>
      </c>
      <c r="H72" s="19" t="s">
        <v>55</v>
      </c>
      <c r="I72" s="20" t="s">
        <v>56</v>
      </c>
      <c r="J72" s="19" t="s">
        <v>298</v>
      </c>
      <c r="K72" s="19" t="s">
        <v>80</v>
      </c>
      <c r="L72" s="19" t="s">
        <v>25</v>
      </c>
      <c r="M72" s="19" t="s">
        <v>304</v>
      </c>
      <c r="N72" s="9">
        <v>-1295.4100000000001</v>
      </c>
      <c r="O72" s="9">
        <v>-1295.4100000000001</v>
      </c>
      <c r="P72" s="19">
        <v>0</v>
      </c>
      <c r="Q72" s="20">
        <v>0</v>
      </c>
      <c r="R72" s="19">
        <v>0</v>
      </c>
      <c r="S72" s="22">
        <v>44196</v>
      </c>
      <c r="T72" s="19" t="s">
        <v>301</v>
      </c>
      <c r="U72" s="19" t="s">
        <v>302</v>
      </c>
      <c r="V72" s="19" t="s">
        <v>25</v>
      </c>
      <c r="W72" s="19" t="s">
        <v>25</v>
      </c>
    </row>
    <row r="73" spans="1:23" ht="12.75">
      <c r="A73" s="19" t="s">
        <v>246</v>
      </c>
      <c r="B73" s="19" t="s">
        <v>316</v>
      </c>
      <c r="C73" s="19" t="s">
        <v>293</v>
      </c>
      <c r="D73" s="19" t="s">
        <v>294</v>
      </c>
      <c r="E73" s="19" t="s">
        <v>295</v>
      </c>
      <c r="F73" s="19" t="s">
        <v>296</v>
      </c>
      <c r="G73" s="19" t="s">
        <v>297</v>
      </c>
      <c r="H73" s="19" t="s">
        <v>55</v>
      </c>
      <c r="I73" s="20" t="s">
        <v>56</v>
      </c>
      <c r="J73" s="19" t="s">
        <v>298</v>
      </c>
      <c r="K73" s="19" t="s">
        <v>66</v>
      </c>
      <c r="L73" s="19" t="s">
        <v>25</v>
      </c>
      <c r="M73" s="19" t="s">
        <v>317</v>
      </c>
      <c r="N73" s="9">
        <v>60342.099999999999</v>
      </c>
      <c r="O73" s="9">
        <v>60342.099999999999</v>
      </c>
      <c r="P73" s="19">
        <v>0</v>
      </c>
      <c r="Q73" s="20">
        <v>0</v>
      </c>
      <c r="R73" s="19">
        <v>0.223</v>
      </c>
      <c r="S73" s="22">
        <v>37225</v>
      </c>
      <c r="T73" s="19" t="s">
        <v>300</v>
      </c>
      <c r="U73" s="19" t="s">
        <v>25</v>
      </c>
      <c r="V73" s="19" t="s">
        <v>25</v>
      </c>
      <c r="W73" s="19" t="s">
        <v>25</v>
      </c>
    </row>
    <row r="74" spans="1:23" ht="12.75">
      <c r="A74" s="19" t="s">
        <v>246</v>
      </c>
      <c r="B74" s="19" t="s">
        <v>316</v>
      </c>
      <c r="C74" s="19" t="s">
        <v>293</v>
      </c>
      <c r="D74" s="19" t="s">
        <v>294</v>
      </c>
      <c r="E74" s="19" t="s">
        <v>295</v>
      </c>
      <c r="F74" s="19" t="s">
        <v>296</v>
      </c>
      <c r="G74" s="19" t="s">
        <v>297</v>
      </c>
      <c r="H74" s="19" t="s">
        <v>55</v>
      </c>
      <c r="I74" s="20" t="s">
        <v>56</v>
      </c>
      <c r="J74" s="19" t="s">
        <v>298</v>
      </c>
      <c r="K74" s="19" t="s">
        <v>80</v>
      </c>
      <c r="L74" s="19" t="s">
        <v>25</v>
      </c>
      <c r="M74" s="19" t="s">
        <v>317</v>
      </c>
      <c r="N74" s="9">
        <v>-60342.099999999999</v>
      </c>
      <c r="O74" s="9">
        <v>-60342.099999999999</v>
      </c>
      <c r="P74" s="19">
        <v>0</v>
      </c>
      <c r="Q74" s="20">
        <v>0</v>
      </c>
      <c r="R74" s="19">
        <v>-0.223</v>
      </c>
      <c r="S74" s="22">
        <v>44196</v>
      </c>
      <c r="T74" s="19" t="s">
        <v>301</v>
      </c>
      <c r="U74" s="19" t="s">
        <v>302</v>
      </c>
      <c r="V74" s="19" t="s">
        <v>25</v>
      </c>
      <c r="W74" s="19" t="s">
        <v>25</v>
      </c>
    </row>
    <row r="75" spans="1:23" ht="12.75">
      <c r="A75" s="19" t="s">
        <v>246</v>
      </c>
      <c r="B75" s="19" t="s">
        <v>318</v>
      </c>
      <c r="C75" s="19" t="s">
        <v>293</v>
      </c>
      <c r="D75" s="19" t="s">
        <v>294</v>
      </c>
      <c r="E75" s="19" t="s">
        <v>295</v>
      </c>
      <c r="F75" s="19" t="s">
        <v>296</v>
      </c>
      <c r="G75" s="19" t="s">
        <v>297</v>
      </c>
      <c r="H75" s="19" t="s">
        <v>55</v>
      </c>
      <c r="I75" s="20" t="s">
        <v>56</v>
      </c>
      <c r="J75" s="19" t="s">
        <v>298</v>
      </c>
      <c r="K75" s="19" t="s">
        <v>66</v>
      </c>
      <c r="L75" s="19" t="s">
        <v>25</v>
      </c>
      <c r="M75" s="19" t="s">
        <v>319</v>
      </c>
      <c r="N75" s="9">
        <v>12500</v>
      </c>
      <c r="O75" s="9">
        <v>12500</v>
      </c>
      <c r="P75" s="19">
        <v>0</v>
      </c>
      <c r="Q75" s="20">
        <v>0</v>
      </c>
      <c r="R75" s="19">
        <v>0</v>
      </c>
      <c r="S75" s="22">
        <v>37225</v>
      </c>
      <c r="T75" s="19" t="s">
        <v>300</v>
      </c>
      <c r="U75" s="19" t="s">
        <v>25</v>
      </c>
      <c r="V75" s="19" t="s">
        <v>25</v>
      </c>
      <c r="W75" s="19" t="s">
        <v>25</v>
      </c>
    </row>
    <row r="76" spans="1:23" ht="12.75">
      <c r="A76" s="19" t="s">
        <v>246</v>
      </c>
      <c r="B76" s="19" t="s">
        <v>318</v>
      </c>
      <c r="C76" s="19" t="s">
        <v>293</v>
      </c>
      <c r="D76" s="19" t="s">
        <v>294</v>
      </c>
      <c r="E76" s="19" t="s">
        <v>295</v>
      </c>
      <c r="F76" s="19" t="s">
        <v>296</v>
      </c>
      <c r="G76" s="19" t="s">
        <v>297</v>
      </c>
      <c r="H76" s="19" t="s">
        <v>55</v>
      </c>
      <c r="I76" s="20" t="s">
        <v>56</v>
      </c>
      <c r="J76" s="19" t="s">
        <v>298</v>
      </c>
      <c r="K76" s="19" t="s">
        <v>80</v>
      </c>
      <c r="L76" s="19" t="s">
        <v>25</v>
      </c>
      <c r="M76" s="19" t="s">
        <v>319</v>
      </c>
      <c r="N76" s="9">
        <v>-12500</v>
      </c>
      <c r="O76" s="9">
        <v>-12500</v>
      </c>
      <c r="P76" s="19">
        <v>0</v>
      </c>
      <c r="Q76" s="20">
        <v>0</v>
      </c>
      <c r="R76" s="19">
        <v>0</v>
      </c>
      <c r="S76" s="22">
        <v>44196</v>
      </c>
      <c r="T76" s="19" t="s">
        <v>301</v>
      </c>
      <c r="U76" s="19" t="s">
        <v>302</v>
      </c>
      <c r="V76" s="19" t="s">
        <v>25</v>
      </c>
      <c r="W76" s="19" t="s">
        <v>25</v>
      </c>
    </row>
    <row r="77" spans="1:23" ht="12.75">
      <c r="A77" s="19" t="s">
        <v>246</v>
      </c>
      <c r="B77" s="19" t="s">
        <v>320</v>
      </c>
      <c r="C77" s="19" t="s">
        <v>293</v>
      </c>
      <c r="D77" s="19" t="s">
        <v>294</v>
      </c>
      <c r="E77" s="19" t="s">
        <v>295</v>
      </c>
      <c r="F77" s="19" t="s">
        <v>296</v>
      </c>
      <c r="G77" s="19" t="s">
        <v>297</v>
      </c>
      <c r="H77" s="19" t="s">
        <v>55</v>
      </c>
      <c r="I77" s="20" t="s">
        <v>56</v>
      </c>
      <c r="J77" s="19" t="s">
        <v>298</v>
      </c>
      <c r="K77" s="19" t="s">
        <v>66</v>
      </c>
      <c r="L77" s="19" t="s">
        <v>25</v>
      </c>
      <c r="M77" s="19" t="s">
        <v>304</v>
      </c>
      <c r="N77" s="9">
        <v>1299.4100000000001</v>
      </c>
      <c r="O77" s="9">
        <v>1299.4100000000001</v>
      </c>
      <c r="P77" s="19">
        <v>0</v>
      </c>
      <c r="Q77" s="20">
        <v>0</v>
      </c>
      <c r="R77" s="19">
        <v>0</v>
      </c>
      <c r="S77" s="22">
        <v>37225</v>
      </c>
      <c r="T77" s="19" t="s">
        <v>300</v>
      </c>
      <c r="U77" s="19" t="s">
        <v>25</v>
      </c>
      <c r="V77" s="19" t="s">
        <v>25</v>
      </c>
      <c r="W77" s="19" t="s">
        <v>25</v>
      </c>
    </row>
    <row r="78" spans="1:23" ht="12.75">
      <c r="A78" s="19" t="s">
        <v>246</v>
      </c>
      <c r="B78" s="19" t="s">
        <v>320</v>
      </c>
      <c r="C78" s="19" t="s">
        <v>293</v>
      </c>
      <c r="D78" s="19" t="s">
        <v>294</v>
      </c>
      <c r="E78" s="19" t="s">
        <v>295</v>
      </c>
      <c r="F78" s="19" t="s">
        <v>296</v>
      </c>
      <c r="G78" s="19" t="s">
        <v>297</v>
      </c>
      <c r="H78" s="19" t="s">
        <v>55</v>
      </c>
      <c r="I78" s="20" t="s">
        <v>56</v>
      </c>
      <c r="J78" s="19" t="s">
        <v>298</v>
      </c>
      <c r="K78" s="19" t="s">
        <v>80</v>
      </c>
      <c r="L78" s="19" t="s">
        <v>25</v>
      </c>
      <c r="M78" s="19" t="s">
        <v>304</v>
      </c>
      <c r="N78" s="9">
        <v>-1299.4100000000001</v>
      </c>
      <c r="O78" s="9">
        <v>-1299.4100000000001</v>
      </c>
      <c r="P78" s="19">
        <v>0</v>
      </c>
      <c r="Q78" s="20">
        <v>0</v>
      </c>
      <c r="R78" s="19">
        <v>0</v>
      </c>
      <c r="S78" s="22">
        <v>44196</v>
      </c>
      <c r="T78" s="19" t="s">
        <v>301</v>
      </c>
      <c r="U78" s="19" t="s">
        <v>302</v>
      </c>
      <c r="V78" s="19" t="s">
        <v>25</v>
      </c>
      <c r="W78" s="19" t="s">
        <v>25</v>
      </c>
    </row>
    <row r="79" spans="14:19" ht="12.75">
      <c r="N79" s="20"/>
      <c r="O79" s="20"/>
      <c r="Q79" s="20"/>
      <c r="S79" s="22"/>
    </row>
    <row r="80" spans="15:18" ht="13.5" thickBot="1">
      <c r="O80" s="16">
        <f>O57+O59+O61+O63+O65+O67+O69+O71+O73+O75+O77</f>
        <v>159685.58000000002</v>
      </c>
      <c r="Q80" s="20">
        <f>SUM(Q57:Q79)</f>
        <v>0</v>
      </c>
      <c r="R80" s="17">
        <f>R57+R59+R61+R63+R65+R67+R69+R71+R73+R75+R77</f>
        <v>1.3129999999999999</v>
      </c>
    </row>
    <row r="81" spans="18:18" ht="13.5" thickTop="1">
      <c r="R81" s="23"/>
    </row>
    <row r="82" spans="15:16" ht="12.75">
      <c r="O82" s="20">
        <f>ROUND(O80/R80,2)</f>
        <v>121618.87</v>
      </c>
      <c r="P82" s="3" t="s">
        <v>97</v>
      </c>
    </row>
    <row r="83" spans="15:18" ht="12.75">
      <c r="O83" s="20">
        <f>ROUND(O82*Q83,2)</f>
        <v>159685.57999999999</v>
      </c>
      <c r="P83" s="3" t="s">
        <v>98</v>
      </c>
      <c r="Q83" s="43">
        <v>1.3129999999999999</v>
      </c>
      <c r="R83" s="13" t="s">
        <v>99</v>
      </c>
    </row>
    <row r="86" spans="1:20" ht="15">
      <c r="A86" s="8" t="s">
        <v>100</v>
      </c>
      <c r="O86" s="46"/>
      <c r="P86" s="49"/>
      <c r="Q86" s="28"/>
      <c r="R86" s="28"/>
      <c r="S86" s="28"/>
      <c r="T86" s="28"/>
    </row>
    <row r="87" spans="15:20" ht="15.75" thickBot="1">
      <c r="O87" s="46"/>
      <c r="P87" s="49"/>
      <c r="Q87" s="28"/>
      <c r="R87" s="28"/>
      <c r="S87" s="28"/>
      <c r="T87" s="46"/>
    </row>
    <row r="88" spans="2:20" ht="12.75">
      <c r="B88" s="24"/>
      <c r="C88" s="25"/>
      <c r="D88" s="25"/>
      <c r="E88" s="25"/>
      <c r="F88" s="25"/>
      <c r="G88" s="26"/>
      <c r="O88" s="28"/>
      <c r="P88" s="49"/>
      <c r="Q88" s="28"/>
      <c r="R88" s="28"/>
      <c r="S88" s="28"/>
      <c r="T88" s="28"/>
    </row>
    <row r="89" spans="2:20" ht="12.75">
      <c r="B89" s="27"/>
      <c r="C89" s="40">
        <f>I44</f>
        <v>-1660376.23</v>
      </c>
      <c r="D89" s="28"/>
      <c r="E89" s="66" t="s">
        <v>103</v>
      </c>
      <c r="F89" s="66"/>
      <c r="G89" s="5"/>
      <c r="O89" s="28"/>
      <c r="P89" s="49"/>
      <c r="Q89" s="28"/>
      <c r="R89" s="28"/>
      <c r="S89" s="28"/>
      <c r="T89" s="28"/>
    </row>
    <row r="90" spans="2:20" ht="12.75">
      <c r="B90" s="27"/>
      <c r="C90" s="18">
        <f>I5+I6+I7+I8+I9+I10+I11+I12+I13+I14+I15+I16+I17+I18+I19+I20+I21+I22+I23+I24+I25+I26+I27+I28+I29+I30+I31+I32+I33+I34+I36+I37+I38+I40+I41</f>
        <v>424657.75</v>
      </c>
      <c r="D90" s="28"/>
      <c r="E90" s="67" t="s">
        <v>104</v>
      </c>
      <c r="F90" s="67"/>
      <c r="G90" s="5"/>
      <c r="O90" s="28"/>
      <c r="P90" s="49"/>
      <c r="Q90" s="28"/>
      <c r="R90" s="28"/>
      <c r="S90" s="28"/>
      <c r="T90" s="28"/>
    </row>
    <row r="91" spans="2:20" ht="15">
      <c r="B91" s="27"/>
      <c r="C91" s="40">
        <f>C89+C90</f>
        <v>-1235718.48</v>
      </c>
      <c r="D91" s="28"/>
      <c r="E91" s="66" t="s">
        <v>105</v>
      </c>
      <c r="F91" s="66"/>
      <c r="G91" s="5"/>
      <c r="O91" s="47"/>
      <c r="P91" s="49"/>
      <c r="Q91" s="28"/>
      <c r="R91" s="28"/>
      <c r="S91" s="28"/>
      <c r="T91" s="28"/>
    </row>
    <row r="92" spans="2:20" ht="15">
      <c r="B92" s="27"/>
      <c r="C92" s="40">
        <f>O83</f>
        <v>159685.57999999999</v>
      </c>
      <c r="D92" s="28"/>
      <c r="E92" s="67" t="s">
        <v>107</v>
      </c>
      <c r="F92" s="67"/>
      <c r="G92" s="5"/>
      <c r="O92" s="47"/>
      <c r="P92" s="49"/>
      <c r="Q92" s="28"/>
      <c r="R92" s="28"/>
      <c r="S92" s="28"/>
      <c r="T92" s="28"/>
    </row>
    <row r="93" spans="2:20" ht="13.5" thickBot="1">
      <c r="B93" s="27"/>
      <c r="C93" s="41">
        <f>SUM(C91:C92)</f>
        <v>-1076032.8999999999</v>
      </c>
      <c r="D93" s="28"/>
      <c r="E93" s="66" t="s">
        <v>109</v>
      </c>
      <c r="F93" s="66"/>
      <c r="G93" s="69"/>
      <c r="O93" s="28"/>
      <c r="P93" s="49"/>
      <c r="Q93" s="28"/>
      <c r="R93" s="28"/>
      <c r="S93" s="28"/>
      <c r="T93" s="28"/>
    </row>
    <row r="94" spans="2:20" ht="16.5" thickTop="1" thickBot="1">
      <c r="B94" s="31"/>
      <c r="C94" s="32"/>
      <c r="D94" s="32"/>
      <c r="E94" s="32"/>
      <c r="F94" s="32"/>
      <c r="G94" s="33"/>
      <c r="O94" s="28"/>
      <c r="P94" s="49"/>
      <c r="Q94" s="46"/>
      <c r="R94" s="28"/>
      <c r="S94" s="28"/>
      <c r="T94" s="28"/>
    </row>
    <row r="95" spans="15:20" ht="15">
      <c r="O95" s="28"/>
      <c r="P95" s="49"/>
      <c r="Q95" s="46"/>
      <c r="R95" s="28"/>
      <c r="S95" s="28"/>
      <c r="T95" s="28"/>
    </row>
    <row r="96" spans="15:20" ht="15">
      <c r="O96" s="28"/>
      <c r="P96" s="49"/>
      <c r="Q96" s="46"/>
      <c r="R96" s="28"/>
      <c r="S96" s="28"/>
      <c r="T96" s="28"/>
    </row>
    <row r="97" spans="1:20" ht="12.75">
      <c r="A97" s="8" t="s">
        <v>113</v>
      </c>
      <c r="B97" s="7"/>
      <c r="C97" s="7"/>
      <c r="D97" s="7"/>
      <c r="E97" s="7"/>
      <c r="F97" s="7"/>
      <c r="G97" s="7"/>
      <c r="H97" s="7"/>
      <c r="I97" s="6"/>
      <c r="J97" s="7"/>
      <c r="K97" s="7"/>
      <c r="O97" s="28"/>
      <c r="P97" s="28"/>
      <c r="Q97" s="28"/>
      <c r="R97" s="28"/>
      <c r="S97" s="28"/>
      <c r="T97" s="28"/>
    </row>
    <row r="98" spans="1:11" ht="12.75">
      <c r="A98" s="8"/>
      <c r="B98" s="7"/>
      <c r="C98" s="7"/>
      <c r="D98" s="7"/>
      <c r="E98" s="7"/>
      <c r="F98" s="7"/>
      <c r="G98" s="7"/>
      <c r="H98" s="7"/>
      <c r="I98" s="6"/>
      <c r="J98" s="7"/>
      <c r="K98" s="7"/>
    </row>
    <row r="99" spans="1:17" ht="15">
      <c r="A99" s="8" t="s">
        <v>114</v>
      </c>
      <c r="B99" s="7"/>
      <c r="C99" s="7"/>
      <c r="D99" s="7"/>
      <c r="E99" s="7"/>
      <c r="F99" s="7"/>
      <c r="G99" s="7"/>
      <c r="H99" s="7"/>
      <c r="I99" s="6"/>
      <c r="J99" s="7"/>
      <c r="K99" s="7"/>
      <c r="P99" s="20"/>
      <c r="Q99" s="14"/>
    </row>
    <row r="100" spans="1:11" ht="12.75">
      <c r="A100" s="7"/>
      <c r="B100" s="7"/>
      <c r="C100" s="7"/>
      <c r="D100" s="7"/>
      <c r="E100" s="7"/>
      <c r="F100" s="7"/>
      <c r="G100" s="7"/>
      <c r="H100" s="7"/>
      <c r="I100" s="6"/>
      <c r="J100" s="7"/>
      <c r="K100" s="7"/>
    </row>
    <row r="101" spans="1:13" ht="12.75">
      <c r="A101" s="34" t="s">
        <v>115</v>
      </c>
      <c r="B101" s="34" t="s">
        <v>116</v>
      </c>
      <c r="C101" s="34" t="s">
        <v>6</v>
      </c>
      <c r="D101" s="34" t="s">
        <v>7</v>
      </c>
      <c r="E101" s="34" t="s">
        <v>8</v>
      </c>
      <c r="F101" s="34" t="s">
        <v>9</v>
      </c>
      <c r="G101" s="34" t="s">
        <v>10</v>
      </c>
      <c r="H101" s="34" t="s">
        <v>11</v>
      </c>
      <c r="I101" s="50" t="s">
        <v>117</v>
      </c>
      <c r="J101" s="34" t="s">
        <v>46</v>
      </c>
      <c r="K101" s="70" t="s">
        <v>118</v>
      </c>
      <c r="L101" s="71"/>
      <c r="M101" s="72"/>
    </row>
    <row r="102" spans="1:13" ht="12.75">
      <c r="A102" s="35" t="s">
        <v>246</v>
      </c>
      <c r="B102" s="35" t="str">
        <f>B5</f>
        <v>584340</v>
      </c>
      <c r="C102" s="35" t="s">
        <v>321</v>
      </c>
      <c r="D102" s="35" t="s">
        <v>120</v>
      </c>
      <c r="E102" s="35" t="str">
        <f>E5</f>
        <v>02006403</v>
      </c>
      <c r="F102" s="35" t="s">
        <v>24</v>
      </c>
      <c r="G102" s="35" t="s">
        <v>24</v>
      </c>
      <c r="H102" s="35" t="s">
        <v>25</v>
      </c>
      <c r="I102" s="42">
        <f>-I103</f>
        <v>1076032.8999999999</v>
      </c>
      <c r="J102" s="35"/>
      <c r="K102" s="74" t="s">
        <v>322</v>
      </c>
      <c r="L102" s="74"/>
      <c r="M102" s="74"/>
    </row>
    <row r="103" spans="1:13" ht="12.75">
      <c r="A103" s="35" t="str">
        <f>A102</f>
        <v>ESD</v>
      </c>
      <c r="B103" s="51" t="str">
        <f>B102</f>
        <v>584340</v>
      </c>
      <c r="C103" s="35" t="s">
        <v>121</v>
      </c>
      <c r="D103" s="35" t="s">
        <v>122</v>
      </c>
      <c r="E103" s="35" t="str">
        <f>E102</f>
        <v>02006403</v>
      </c>
      <c r="F103" s="35" t="s">
        <v>24</v>
      </c>
      <c r="G103" s="35" t="s">
        <v>24</v>
      </c>
      <c r="H103" s="35" t="s">
        <v>25</v>
      </c>
      <c r="I103" s="42">
        <f>ROUND(C93,2)</f>
        <v>-1076032.8999999999</v>
      </c>
      <c r="J103" s="35"/>
      <c r="K103" s="74" t="str">
        <f>K102</f>
        <v>Sale of 515 Park Ave</v>
      </c>
      <c r="L103" s="74"/>
      <c r="M103" s="74"/>
    </row>
    <row r="104" spans="1:11" s="28" customFormat="1" ht="12.75">
      <c r="A104" s="37"/>
      <c r="B104" s="37"/>
      <c r="C104" s="37"/>
      <c r="D104" s="37"/>
      <c r="E104" s="37"/>
      <c r="F104" s="37"/>
      <c r="G104" s="37"/>
      <c r="H104" s="37"/>
      <c r="I104" s="38"/>
      <c r="J104" s="37"/>
      <c r="K104" s="39"/>
    </row>
    <row r="106" spans="1:1" ht="12.75">
      <c r="A106" s="8" t="s">
        <v>126</v>
      </c>
    </row>
    <row r="109" spans="1:1" ht="12.75">
      <c r="A109" s="8" t="s">
        <v>127</v>
      </c>
    </row>
    <row r="111" ht="13.5" thickBot="1"/>
    <row r="112" spans="1:3" ht="16.5" thickTop="1" thickBot="1">
      <c r="A112" s="10"/>
      <c r="B112" s="10"/>
      <c r="C112" s="10"/>
    </row>
    <row r="113" spans="1:20" ht="16.5" thickTop="1" thickBot="1">
      <c r="A113" s="10" t="s">
        <v>0</v>
      </c>
      <c r="B113" s="10" t="s">
        <v>8</v>
      </c>
      <c r="C113" s="10" t="s">
        <v>32</v>
      </c>
      <c r="D113" s="10" t="s">
        <v>39</v>
      </c>
      <c r="E113" s="10" t="s">
        <v>6</v>
      </c>
      <c r="F113" s="10" t="s">
        <v>35</v>
      </c>
      <c r="G113" s="10" t="s">
        <v>37</v>
      </c>
      <c r="H113" s="10" t="s">
        <v>18</v>
      </c>
      <c r="I113" s="11" t="s">
        <v>36</v>
      </c>
      <c r="J113" s="10" t="s">
        <v>38</v>
      </c>
      <c r="K113" s="10" t="s">
        <v>44</v>
      </c>
      <c r="L113" s="10" t="s">
        <v>40</v>
      </c>
      <c r="M113" s="10" t="s">
        <v>46</v>
      </c>
      <c r="N113" s="10" t="s">
        <v>47</v>
      </c>
      <c r="O113" s="10" t="s">
        <v>18</v>
      </c>
      <c r="P113" s="10" t="s">
        <v>43</v>
      </c>
      <c r="Q113" s="10" t="s">
        <v>42</v>
      </c>
      <c r="R113" s="10" t="s">
        <v>41</v>
      </c>
      <c r="S113" s="10" t="s">
        <v>45</v>
      </c>
      <c r="T113" s="10" t="s">
        <v>33</v>
      </c>
    </row>
    <row r="114" spans="1:20" ht="13.5" thickTop="1">
      <c r="A114" s="21" t="s">
        <v>246</v>
      </c>
      <c r="B114" s="21" t="s">
        <v>249</v>
      </c>
      <c r="C114" s="21" t="s">
        <v>323</v>
      </c>
      <c r="D114" s="21" t="s">
        <v>299</v>
      </c>
      <c r="E114" s="21" t="s">
        <v>324</v>
      </c>
      <c r="F114" s="21" t="s">
        <v>325</v>
      </c>
      <c r="G114" s="21" t="s">
        <v>56</v>
      </c>
      <c r="H114" s="21" t="s">
        <v>57</v>
      </c>
      <c r="I114" s="20" t="s">
        <v>55</v>
      </c>
      <c r="J114" s="21" t="s">
        <v>80</v>
      </c>
      <c r="K114" s="23">
        <v>-0.12</v>
      </c>
      <c r="L114" s="9">
        <v>-12001</v>
      </c>
      <c r="M114" s="21" t="s">
        <v>301</v>
      </c>
      <c r="N114" s="21" t="s">
        <v>67</v>
      </c>
      <c r="O114" s="21" t="s">
        <v>326</v>
      </c>
      <c r="P114" s="20">
        <v>0</v>
      </c>
      <c r="Q114" s="20">
        <v>0</v>
      </c>
      <c r="R114" s="9">
        <v>-12001</v>
      </c>
      <c r="T114" s="21" t="s">
        <v>293</v>
      </c>
    </row>
    <row r="115" spans="1:20" ht="12.75">
      <c r="A115" s="21" t="s">
        <v>246</v>
      </c>
      <c r="B115" s="21" t="s">
        <v>249</v>
      </c>
      <c r="C115" s="21" t="s">
        <v>327</v>
      </c>
      <c r="D115" s="21" t="s">
        <v>304</v>
      </c>
      <c r="E115" s="21" t="s">
        <v>324</v>
      </c>
      <c r="F115" s="21" t="s">
        <v>325</v>
      </c>
      <c r="G115" s="21" t="s">
        <v>56</v>
      </c>
      <c r="H115" s="21" t="s">
        <v>57</v>
      </c>
      <c r="I115" s="20" t="s">
        <v>55</v>
      </c>
      <c r="J115" s="21" t="s">
        <v>80</v>
      </c>
      <c r="K115" s="23">
        <v>0</v>
      </c>
      <c r="L115" s="9">
        <v>-159.40000000000001</v>
      </c>
      <c r="M115" s="21" t="s">
        <v>301</v>
      </c>
      <c r="N115" s="21" t="s">
        <v>67</v>
      </c>
      <c r="O115" s="21" t="s">
        <v>326</v>
      </c>
      <c r="P115" s="20">
        <v>0</v>
      </c>
      <c r="Q115" s="20">
        <v>0</v>
      </c>
      <c r="R115" s="9">
        <v>-159.40000000000001</v>
      </c>
      <c r="T115" s="21" t="s">
        <v>293</v>
      </c>
    </row>
    <row r="116" spans="1:20" ht="12.75">
      <c r="A116" s="21" t="s">
        <v>246</v>
      </c>
      <c r="B116" s="21" t="s">
        <v>249</v>
      </c>
      <c r="C116" s="21" t="s">
        <v>328</v>
      </c>
      <c r="D116" s="21" t="s">
        <v>307</v>
      </c>
      <c r="E116" s="21" t="s">
        <v>324</v>
      </c>
      <c r="F116" s="21" t="s">
        <v>325</v>
      </c>
      <c r="G116" s="21" t="s">
        <v>56</v>
      </c>
      <c r="H116" s="21" t="s">
        <v>57</v>
      </c>
      <c r="I116" s="20" t="s">
        <v>55</v>
      </c>
      <c r="J116" s="21" t="s">
        <v>80</v>
      </c>
      <c r="K116" s="23">
        <v>-0.63</v>
      </c>
      <c r="L116" s="9">
        <v>-36179.5</v>
      </c>
      <c r="M116" s="21" t="s">
        <v>301</v>
      </c>
      <c r="N116" s="21" t="s">
        <v>67</v>
      </c>
      <c r="O116" s="21" t="s">
        <v>326</v>
      </c>
      <c r="P116" s="20">
        <v>0</v>
      </c>
      <c r="Q116" s="20">
        <v>0</v>
      </c>
      <c r="R116" s="9">
        <v>-36179.5</v>
      </c>
      <c r="T116" s="21" t="s">
        <v>293</v>
      </c>
    </row>
    <row r="117" spans="1:20" ht="12.75">
      <c r="A117" s="21" t="s">
        <v>246</v>
      </c>
      <c r="B117" s="21" t="s">
        <v>249</v>
      </c>
      <c r="C117" s="21" t="s">
        <v>329</v>
      </c>
      <c r="D117" s="21" t="s">
        <v>309</v>
      </c>
      <c r="E117" s="21" t="s">
        <v>324</v>
      </c>
      <c r="F117" s="21" t="s">
        <v>325</v>
      </c>
      <c r="G117" s="21" t="s">
        <v>56</v>
      </c>
      <c r="H117" s="21" t="s">
        <v>57</v>
      </c>
      <c r="I117" s="20" t="s">
        <v>55</v>
      </c>
      <c r="J117" s="21" t="s">
        <v>80</v>
      </c>
      <c r="K117" s="23">
        <v>0</v>
      </c>
      <c r="L117" s="9">
        <v>-2270.0599999999999</v>
      </c>
      <c r="M117" s="21" t="s">
        <v>301</v>
      </c>
      <c r="N117" s="21" t="s">
        <v>67</v>
      </c>
      <c r="O117" s="21" t="s">
        <v>326</v>
      </c>
      <c r="P117" s="20">
        <v>0</v>
      </c>
      <c r="Q117" s="20">
        <v>0</v>
      </c>
      <c r="R117" s="9">
        <v>-2270.0599999999999</v>
      </c>
      <c r="T117" s="21" t="s">
        <v>293</v>
      </c>
    </row>
    <row r="118" spans="1:20" ht="12.75">
      <c r="A118" s="21" t="s">
        <v>246</v>
      </c>
      <c r="B118" s="21" t="s">
        <v>249</v>
      </c>
      <c r="C118" s="21" t="s">
        <v>330</v>
      </c>
      <c r="D118" s="21" t="s">
        <v>311</v>
      </c>
      <c r="E118" s="21" t="s">
        <v>324</v>
      </c>
      <c r="F118" s="21" t="s">
        <v>325</v>
      </c>
      <c r="G118" s="21" t="s">
        <v>56</v>
      </c>
      <c r="H118" s="21" t="s">
        <v>57</v>
      </c>
      <c r="I118" s="20" t="s">
        <v>55</v>
      </c>
      <c r="J118" s="21" t="s">
        <v>80</v>
      </c>
      <c r="K118" s="23">
        <v>0</v>
      </c>
      <c r="L118" s="9">
        <v>-1126.79</v>
      </c>
      <c r="M118" s="21" t="s">
        <v>301</v>
      </c>
      <c r="N118" s="21" t="s">
        <v>67</v>
      </c>
      <c r="O118" s="21" t="s">
        <v>326</v>
      </c>
      <c r="P118" s="20">
        <v>0</v>
      </c>
      <c r="Q118" s="20">
        <v>0</v>
      </c>
      <c r="R118" s="9">
        <v>-1126.79</v>
      </c>
      <c r="T118" s="21" t="s">
        <v>293</v>
      </c>
    </row>
    <row r="119" spans="1:20" ht="12.75">
      <c r="A119" s="21" t="s">
        <v>246</v>
      </c>
      <c r="B119" s="21" t="s">
        <v>249</v>
      </c>
      <c r="C119" s="21" t="s">
        <v>331</v>
      </c>
      <c r="D119" s="21" t="s">
        <v>304</v>
      </c>
      <c r="E119" s="21" t="s">
        <v>324</v>
      </c>
      <c r="F119" s="21" t="s">
        <v>325</v>
      </c>
      <c r="G119" s="21" t="s">
        <v>56</v>
      </c>
      <c r="H119" s="21" t="s">
        <v>57</v>
      </c>
      <c r="I119" s="20" t="s">
        <v>55</v>
      </c>
      <c r="J119" s="21" t="s">
        <v>80</v>
      </c>
      <c r="K119" s="23">
        <v>0</v>
      </c>
      <c r="L119" s="9">
        <v>-1377.3900000000001</v>
      </c>
      <c r="M119" s="21" t="s">
        <v>301</v>
      </c>
      <c r="N119" s="21" t="s">
        <v>67</v>
      </c>
      <c r="O119" s="21" t="s">
        <v>326</v>
      </c>
      <c r="P119" s="20">
        <v>0</v>
      </c>
      <c r="Q119" s="20">
        <v>0</v>
      </c>
      <c r="R119" s="9">
        <v>-1377.3900000000001</v>
      </c>
      <c r="T119" s="21" t="s">
        <v>293</v>
      </c>
    </row>
    <row r="120" spans="1:20" ht="12.75">
      <c r="A120" s="21" t="s">
        <v>246</v>
      </c>
      <c r="B120" s="21" t="s">
        <v>249</v>
      </c>
      <c r="C120" s="21" t="s">
        <v>332</v>
      </c>
      <c r="D120" s="21" t="s">
        <v>314</v>
      </c>
      <c r="E120" s="21" t="s">
        <v>324</v>
      </c>
      <c r="F120" s="21" t="s">
        <v>325</v>
      </c>
      <c r="G120" s="21" t="s">
        <v>56</v>
      </c>
      <c r="H120" s="21" t="s">
        <v>57</v>
      </c>
      <c r="I120" s="20" t="s">
        <v>55</v>
      </c>
      <c r="J120" s="21" t="s">
        <v>80</v>
      </c>
      <c r="K120" s="23">
        <v>-0.34999999999999998</v>
      </c>
      <c r="L120" s="9">
        <v>-31134.52</v>
      </c>
      <c r="M120" s="21" t="s">
        <v>301</v>
      </c>
      <c r="N120" s="21" t="s">
        <v>67</v>
      </c>
      <c r="O120" s="21" t="s">
        <v>326</v>
      </c>
      <c r="P120" s="20">
        <v>0</v>
      </c>
      <c r="Q120" s="20">
        <v>0</v>
      </c>
      <c r="R120" s="9">
        <v>-31134.52</v>
      </c>
      <c r="T120" s="21" t="s">
        <v>293</v>
      </c>
    </row>
    <row r="121" spans="1:20" ht="12.75">
      <c r="A121" s="21" t="s">
        <v>246</v>
      </c>
      <c r="B121" s="21" t="s">
        <v>249</v>
      </c>
      <c r="C121" s="21" t="s">
        <v>333</v>
      </c>
      <c r="D121" s="21" t="s">
        <v>304</v>
      </c>
      <c r="E121" s="21" t="s">
        <v>324</v>
      </c>
      <c r="F121" s="21" t="s">
        <v>325</v>
      </c>
      <c r="G121" s="21" t="s">
        <v>56</v>
      </c>
      <c r="H121" s="21" t="s">
        <v>57</v>
      </c>
      <c r="I121" s="20" t="s">
        <v>55</v>
      </c>
      <c r="J121" s="21" t="s">
        <v>80</v>
      </c>
      <c r="K121" s="23">
        <v>0</v>
      </c>
      <c r="L121" s="9">
        <v>-1295.4100000000001</v>
      </c>
      <c r="M121" s="21" t="s">
        <v>301</v>
      </c>
      <c r="N121" s="21" t="s">
        <v>67</v>
      </c>
      <c r="O121" s="21" t="s">
        <v>326</v>
      </c>
      <c r="P121" s="20">
        <v>0</v>
      </c>
      <c r="Q121" s="20">
        <v>0</v>
      </c>
      <c r="R121" s="9">
        <v>-1295.4100000000001</v>
      </c>
      <c r="T121" s="21" t="s">
        <v>293</v>
      </c>
    </row>
    <row r="122" spans="1:20" ht="12.75">
      <c r="A122" s="21" t="s">
        <v>246</v>
      </c>
      <c r="B122" s="21" t="s">
        <v>249</v>
      </c>
      <c r="C122" s="21" t="s">
        <v>334</v>
      </c>
      <c r="D122" s="21" t="s">
        <v>317</v>
      </c>
      <c r="E122" s="21" t="s">
        <v>324</v>
      </c>
      <c r="F122" s="21" t="s">
        <v>325</v>
      </c>
      <c r="G122" s="21" t="s">
        <v>56</v>
      </c>
      <c r="H122" s="21" t="s">
        <v>57</v>
      </c>
      <c r="I122" s="20" t="s">
        <v>55</v>
      </c>
      <c r="J122" s="21" t="s">
        <v>80</v>
      </c>
      <c r="K122" s="23">
        <v>-0.22</v>
      </c>
      <c r="L122" s="9">
        <v>-60342.099999999999</v>
      </c>
      <c r="M122" s="21" t="s">
        <v>301</v>
      </c>
      <c r="N122" s="21" t="s">
        <v>67</v>
      </c>
      <c r="O122" s="21" t="s">
        <v>326</v>
      </c>
      <c r="P122" s="20">
        <v>0</v>
      </c>
      <c r="Q122" s="20">
        <v>0</v>
      </c>
      <c r="R122" s="9">
        <v>-60342.099999999999</v>
      </c>
      <c r="T122" s="21" t="s">
        <v>293</v>
      </c>
    </row>
    <row r="123" spans="1:20" ht="12.75">
      <c r="A123" s="21" t="s">
        <v>246</v>
      </c>
      <c r="B123" s="21" t="s">
        <v>249</v>
      </c>
      <c r="C123" s="21" t="s">
        <v>335</v>
      </c>
      <c r="D123" s="21" t="s">
        <v>319</v>
      </c>
      <c r="E123" s="21" t="s">
        <v>324</v>
      </c>
      <c r="F123" s="21" t="s">
        <v>325</v>
      </c>
      <c r="G123" s="21" t="s">
        <v>56</v>
      </c>
      <c r="H123" s="21" t="s">
        <v>57</v>
      </c>
      <c r="I123" s="20" t="s">
        <v>55</v>
      </c>
      <c r="J123" s="21" t="s">
        <v>80</v>
      </c>
      <c r="K123" s="23">
        <v>0</v>
      </c>
      <c r="L123" s="9">
        <v>-12500</v>
      </c>
      <c r="M123" s="21" t="s">
        <v>301</v>
      </c>
      <c r="N123" s="21" t="s">
        <v>67</v>
      </c>
      <c r="O123" s="21" t="s">
        <v>326</v>
      </c>
      <c r="P123" s="20">
        <v>0</v>
      </c>
      <c r="Q123" s="20">
        <v>0</v>
      </c>
      <c r="R123" s="9">
        <v>-12500</v>
      </c>
      <c r="T123" s="21" t="s">
        <v>293</v>
      </c>
    </row>
    <row r="124" spans="1:20" ht="12.75">
      <c r="A124" s="21" t="s">
        <v>246</v>
      </c>
      <c r="B124" s="21" t="s">
        <v>249</v>
      </c>
      <c r="C124" s="21" t="s">
        <v>336</v>
      </c>
      <c r="D124" s="21" t="s">
        <v>304</v>
      </c>
      <c r="E124" s="21" t="s">
        <v>324</v>
      </c>
      <c r="F124" s="21" t="s">
        <v>325</v>
      </c>
      <c r="G124" s="21" t="s">
        <v>56</v>
      </c>
      <c r="H124" s="21" t="s">
        <v>57</v>
      </c>
      <c r="I124" s="20" t="s">
        <v>55</v>
      </c>
      <c r="J124" s="21" t="s">
        <v>80</v>
      </c>
      <c r="K124" s="23">
        <v>0</v>
      </c>
      <c r="L124" s="9">
        <v>-1299.4100000000001</v>
      </c>
      <c r="M124" s="21" t="s">
        <v>301</v>
      </c>
      <c r="N124" s="21" t="s">
        <v>67</v>
      </c>
      <c r="O124" s="21" t="s">
        <v>326</v>
      </c>
      <c r="P124" s="20">
        <v>0</v>
      </c>
      <c r="Q124" s="20">
        <v>0</v>
      </c>
      <c r="R124" s="9">
        <v>-1299.4100000000001</v>
      </c>
      <c r="T124" s="21" t="s">
        <v>293</v>
      </c>
    </row>
    <row r="125" spans="1:20" ht="12.75">
      <c r="A125" s="21" t="s">
        <v>246</v>
      </c>
      <c r="B125" s="21" t="s">
        <v>249</v>
      </c>
      <c r="C125" s="21" t="s">
        <v>292</v>
      </c>
      <c r="D125" s="21" t="s">
        <v>299</v>
      </c>
      <c r="E125" s="21" t="s">
        <v>295</v>
      </c>
      <c r="F125" s="21" t="s">
        <v>297</v>
      </c>
      <c r="G125" s="21" t="s">
        <v>56</v>
      </c>
      <c r="H125" s="21" t="s">
        <v>298</v>
      </c>
      <c r="I125" s="20" t="s">
        <v>55</v>
      </c>
      <c r="J125" s="21" t="s">
        <v>66</v>
      </c>
      <c r="K125" s="23">
        <v>0.12</v>
      </c>
      <c r="L125" s="9">
        <v>12001</v>
      </c>
      <c r="M125" s="21" t="s">
        <v>301</v>
      </c>
      <c r="N125" s="21" t="s">
        <v>67</v>
      </c>
      <c r="O125" s="21" t="s">
        <v>326</v>
      </c>
      <c r="P125" s="20">
        <v>0</v>
      </c>
      <c r="Q125" s="20">
        <v>0</v>
      </c>
      <c r="R125" s="9">
        <v>12001</v>
      </c>
      <c r="T125" s="21" t="s">
        <v>293</v>
      </c>
    </row>
    <row r="126" spans="1:20" ht="12.75">
      <c r="A126" s="21" t="s">
        <v>246</v>
      </c>
      <c r="B126" s="21" t="s">
        <v>249</v>
      </c>
      <c r="C126" s="21" t="s">
        <v>303</v>
      </c>
      <c r="D126" s="21" t="s">
        <v>304</v>
      </c>
      <c r="E126" s="21" t="s">
        <v>295</v>
      </c>
      <c r="F126" s="21" t="s">
        <v>297</v>
      </c>
      <c r="G126" s="21" t="s">
        <v>56</v>
      </c>
      <c r="H126" s="21" t="s">
        <v>298</v>
      </c>
      <c r="I126" s="20" t="s">
        <v>55</v>
      </c>
      <c r="J126" s="21" t="s">
        <v>66</v>
      </c>
      <c r="K126" s="23">
        <v>0</v>
      </c>
      <c r="L126" s="9">
        <v>159.40000000000001</v>
      </c>
      <c r="M126" s="21" t="s">
        <v>301</v>
      </c>
      <c r="N126" s="21" t="s">
        <v>67</v>
      </c>
      <c r="O126" s="21" t="s">
        <v>326</v>
      </c>
      <c r="P126" s="20">
        <v>0</v>
      </c>
      <c r="Q126" s="20">
        <v>0</v>
      </c>
      <c r="R126" s="9">
        <v>159.40000000000001</v>
      </c>
      <c r="T126" s="21" t="s">
        <v>293</v>
      </c>
    </row>
    <row r="127" spans="1:20" ht="12.75">
      <c r="A127" s="21" t="s">
        <v>246</v>
      </c>
      <c r="B127" s="21" t="s">
        <v>249</v>
      </c>
      <c r="C127" s="21" t="s">
        <v>306</v>
      </c>
      <c r="D127" s="21" t="s">
        <v>307</v>
      </c>
      <c r="E127" s="21" t="s">
        <v>295</v>
      </c>
      <c r="F127" s="21" t="s">
        <v>297</v>
      </c>
      <c r="G127" s="21" t="s">
        <v>56</v>
      </c>
      <c r="H127" s="21" t="s">
        <v>298</v>
      </c>
      <c r="I127" s="20" t="s">
        <v>55</v>
      </c>
      <c r="J127" s="21" t="s">
        <v>66</v>
      </c>
      <c r="K127" s="23">
        <v>0.63</v>
      </c>
      <c r="L127" s="9">
        <v>36179.5</v>
      </c>
      <c r="M127" s="21" t="s">
        <v>301</v>
      </c>
      <c r="N127" s="21" t="s">
        <v>67</v>
      </c>
      <c r="O127" s="21" t="s">
        <v>326</v>
      </c>
      <c r="P127" s="20">
        <v>0</v>
      </c>
      <c r="Q127" s="20">
        <v>0</v>
      </c>
      <c r="R127" s="9">
        <v>36179.5</v>
      </c>
      <c r="T127" s="21" t="s">
        <v>293</v>
      </c>
    </row>
    <row r="128" spans="1:20" ht="12.75">
      <c r="A128" s="21" t="s">
        <v>246</v>
      </c>
      <c r="B128" s="21" t="s">
        <v>249</v>
      </c>
      <c r="C128" s="21" t="s">
        <v>308</v>
      </c>
      <c r="D128" s="21" t="s">
        <v>309</v>
      </c>
      <c r="E128" s="21" t="s">
        <v>295</v>
      </c>
      <c r="F128" s="21" t="s">
        <v>297</v>
      </c>
      <c r="G128" s="21" t="s">
        <v>56</v>
      </c>
      <c r="H128" s="21" t="s">
        <v>298</v>
      </c>
      <c r="I128" s="20" t="s">
        <v>55</v>
      </c>
      <c r="J128" s="21" t="s">
        <v>66</v>
      </c>
      <c r="K128" s="23">
        <v>0</v>
      </c>
      <c r="L128" s="9">
        <v>2270.0599999999999</v>
      </c>
      <c r="M128" s="21" t="s">
        <v>301</v>
      </c>
      <c r="N128" s="21" t="s">
        <v>67</v>
      </c>
      <c r="O128" s="21" t="s">
        <v>326</v>
      </c>
      <c r="P128" s="20">
        <v>0</v>
      </c>
      <c r="Q128" s="20">
        <v>0</v>
      </c>
      <c r="R128" s="9">
        <v>2270.0599999999999</v>
      </c>
      <c r="T128" s="21" t="s">
        <v>293</v>
      </c>
    </row>
    <row r="129" spans="1:20" ht="12.75">
      <c r="A129" s="21" t="s">
        <v>246</v>
      </c>
      <c r="B129" s="21" t="s">
        <v>249</v>
      </c>
      <c r="C129" s="21" t="s">
        <v>310</v>
      </c>
      <c r="D129" s="21" t="s">
        <v>311</v>
      </c>
      <c r="E129" s="21" t="s">
        <v>295</v>
      </c>
      <c r="F129" s="21" t="s">
        <v>297</v>
      </c>
      <c r="G129" s="21" t="s">
        <v>56</v>
      </c>
      <c r="H129" s="21" t="s">
        <v>298</v>
      </c>
      <c r="I129" s="20" t="s">
        <v>55</v>
      </c>
      <c r="J129" s="21" t="s">
        <v>66</v>
      </c>
      <c r="K129" s="23">
        <v>0</v>
      </c>
      <c r="L129" s="9">
        <v>1126.79</v>
      </c>
      <c r="M129" s="21" t="s">
        <v>301</v>
      </c>
      <c r="N129" s="21" t="s">
        <v>67</v>
      </c>
      <c r="O129" s="21" t="s">
        <v>326</v>
      </c>
      <c r="P129" s="20">
        <v>0</v>
      </c>
      <c r="Q129" s="20">
        <v>0</v>
      </c>
      <c r="R129" s="9">
        <v>1126.79</v>
      </c>
      <c r="T129" s="21" t="s">
        <v>293</v>
      </c>
    </row>
    <row r="130" spans="1:20" ht="12.75">
      <c r="A130" s="21" t="s">
        <v>246</v>
      </c>
      <c r="B130" s="21" t="s">
        <v>249</v>
      </c>
      <c r="C130" s="21" t="s">
        <v>312</v>
      </c>
      <c r="D130" s="21" t="s">
        <v>304</v>
      </c>
      <c r="E130" s="21" t="s">
        <v>295</v>
      </c>
      <c r="F130" s="21" t="s">
        <v>297</v>
      </c>
      <c r="G130" s="21" t="s">
        <v>56</v>
      </c>
      <c r="H130" s="21" t="s">
        <v>298</v>
      </c>
      <c r="I130" s="20" t="s">
        <v>55</v>
      </c>
      <c r="J130" s="21" t="s">
        <v>66</v>
      </c>
      <c r="K130" s="23">
        <v>0</v>
      </c>
      <c r="L130" s="9">
        <v>1377.3900000000001</v>
      </c>
      <c r="M130" s="21" t="s">
        <v>301</v>
      </c>
      <c r="N130" s="21" t="s">
        <v>67</v>
      </c>
      <c r="O130" s="21" t="s">
        <v>326</v>
      </c>
      <c r="P130" s="20">
        <v>0</v>
      </c>
      <c r="Q130" s="20">
        <v>0</v>
      </c>
      <c r="R130" s="9">
        <v>1377.3900000000001</v>
      </c>
      <c r="T130" s="21" t="s">
        <v>293</v>
      </c>
    </row>
    <row r="131" spans="1:20" ht="12.75">
      <c r="A131" s="21" t="s">
        <v>246</v>
      </c>
      <c r="B131" s="21" t="s">
        <v>249</v>
      </c>
      <c r="C131" s="21" t="s">
        <v>313</v>
      </c>
      <c r="D131" s="21" t="s">
        <v>314</v>
      </c>
      <c r="E131" s="21" t="s">
        <v>295</v>
      </c>
      <c r="F131" s="21" t="s">
        <v>297</v>
      </c>
      <c r="G131" s="21" t="s">
        <v>56</v>
      </c>
      <c r="H131" s="21" t="s">
        <v>298</v>
      </c>
      <c r="I131" s="20" t="s">
        <v>55</v>
      </c>
      <c r="J131" s="21" t="s">
        <v>66</v>
      </c>
      <c r="K131" s="23">
        <v>0.34999999999999998</v>
      </c>
      <c r="L131" s="9">
        <v>31134.52</v>
      </c>
      <c r="M131" s="21" t="s">
        <v>301</v>
      </c>
      <c r="N131" s="21" t="s">
        <v>67</v>
      </c>
      <c r="O131" s="21" t="s">
        <v>326</v>
      </c>
      <c r="P131" s="20">
        <v>0</v>
      </c>
      <c r="Q131" s="20">
        <v>0</v>
      </c>
      <c r="R131" s="9">
        <v>31134.52</v>
      </c>
      <c r="T131" s="21" t="s">
        <v>293</v>
      </c>
    </row>
    <row r="132" spans="1:20" ht="12.75">
      <c r="A132" s="21" t="s">
        <v>246</v>
      </c>
      <c r="B132" s="21" t="s">
        <v>249</v>
      </c>
      <c r="C132" s="21" t="s">
        <v>315</v>
      </c>
      <c r="D132" s="21" t="s">
        <v>304</v>
      </c>
      <c r="E132" s="21" t="s">
        <v>295</v>
      </c>
      <c r="F132" s="21" t="s">
        <v>297</v>
      </c>
      <c r="G132" s="21" t="s">
        <v>56</v>
      </c>
      <c r="H132" s="21" t="s">
        <v>298</v>
      </c>
      <c r="I132" s="20" t="s">
        <v>55</v>
      </c>
      <c r="J132" s="21" t="s">
        <v>66</v>
      </c>
      <c r="K132" s="23">
        <v>0</v>
      </c>
      <c r="L132" s="9">
        <v>1295.4100000000001</v>
      </c>
      <c r="M132" s="21" t="s">
        <v>301</v>
      </c>
      <c r="N132" s="21" t="s">
        <v>67</v>
      </c>
      <c r="O132" s="21" t="s">
        <v>326</v>
      </c>
      <c r="P132" s="20">
        <v>0</v>
      </c>
      <c r="Q132" s="20">
        <v>0</v>
      </c>
      <c r="R132" s="9">
        <v>1295.4100000000001</v>
      </c>
      <c r="T132" s="21" t="s">
        <v>293</v>
      </c>
    </row>
    <row r="133" spans="1:20" ht="12.75">
      <c r="A133" s="21" t="s">
        <v>246</v>
      </c>
      <c r="B133" s="21" t="s">
        <v>249</v>
      </c>
      <c r="C133" s="21" t="s">
        <v>316</v>
      </c>
      <c r="D133" s="21" t="s">
        <v>317</v>
      </c>
      <c r="E133" s="21" t="s">
        <v>295</v>
      </c>
      <c r="F133" s="21" t="s">
        <v>297</v>
      </c>
      <c r="G133" s="21" t="s">
        <v>56</v>
      </c>
      <c r="H133" s="21" t="s">
        <v>298</v>
      </c>
      <c r="I133" s="20" t="s">
        <v>55</v>
      </c>
      <c r="J133" s="21" t="s">
        <v>66</v>
      </c>
      <c r="K133" s="23">
        <v>0.22</v>
      </c>
      <c r="L133" s="9">
        <v>60342.099999999999</v>
      </c>
      <c r="M133" s="21" t="s">
        <v>301</v>
      </c>
      <c r="N133" s="21" t="s">
        <v>67</v>
      </c>
      <c r="O133" s="21" t="s">
        <v>326</v>
      </c>
      <c r="P133" s="20">
        <v>0</v>
      </c>
      <c r="Q133" s="20">
        <v>0</v>
      </c>
      <c r="R133" s="9">
        <v>60342.099999999999</v>
      </c>
      <c r="T133" s="21" t="s">
        <v>293</v>
      </c>
    </row>
    <row r="134" spans="1:20" ht="12.75">
      <c r="A134" s="21" t="s">
        <v>246</v>
      </c>
      <c r="B134" s="21" t="s">
        <v>249</v>
      </c>
      <c r="C134" s="21" t="s">
        <v>318</v>
      </c>
      <c r="D134" s="21" t="s">
        <v>319</v>
      </c>
      <c r="E134" s="21" t="s">
        <v>295</v>
      </c>
      <c r="F134" s="21" t="s">
        <v>297</v>
      </c>
      <c r="G134" s="21" t="s">
        <v>56</v>
      </c>
      <c r="H134" s="21" t="s">
        <v>298</v>
      </c>
      <c r="I134" s="20" t="s">
        <v>55</v>
      </c>
      <c r="J134" s="21" t="s">
        <v>66</v>
      </c>
      <c r="K134" s="23">
        <v>0</v>
      </c>
      <c r="L134" s="9">
        <v>12500</v>
      </c>
      <c r="M134" s="21" t="s">
        <v>301</v>
      </c>
      <c r="N134" s="21" t="s">
        <v>67</v>
      </c>
      <c r="O134" s="21" t="s">
        <v>326</v>
      </c>
      <c r="P134" s="20">
        <v>0</v>
      </c>
      <c r="Q134" s="20">
        <v>0</v>
      </c>
      <c r="R134" s="9">
        <v>12500</v>
      </c>
      <c r="T134" s="21" t="s">
        <v>293</v>
      </c>
    </row>
    <row r="135" spans="1:20" ht="12.75">
      <c r="A135" s="21" t="s">
        <v>246</v>
      </c>
      <c r="B135" s="21" t="s">
        <v>249</v>
      </c>
      <c r="C135" s="21" t="s">
        <v>320</v>
      </c>
      <c r="D135" s="21" t="s">
        <v>304</v>
      </c>
      <c r="E135" s="21" t="s">
        <v>295</v>
      </c>
      <c r="F135" s="21" t="s">
        <v>297</v>
      </c>
      <c r="G135" s="21" t="s">
        <v>56</v>
      </c>
      <c r="H135" s="21" t="s">
        <v>298</v>
      </c>
      <c r="I135" s="20" t="s">
        <v>55</v>
      </c>
      <c r="J135" s="21" t="s">
        <v>66</v>
      </c>
      <c r="K135" s="23">
        <v>0</v>
      </c>
      <c r="L135" s="9">
        <v>1299.4100000000001</v>
      </c>
      <c r="M135" s="21" t="s">
        <v>301</v>
      </c>
      <c r="N135" s="21" t="s">
        <v>67</v>
      </c>
      <c r="O135" s="21" t="s">
        <v>326</v>
      </c>
      <c r="P135" s="20">
        <v>0</v>
      </c>
      <c r="Q135" s="20">
        <v>0</v>
      </c>
      <c r="R135" s="9">
        <v>1299.4100000000001</v>
      </c>
      <c r="T135" s="21" t="s">
        <v>293</v>
      </c>
    </row>
    <row r="136" spans="1:20" ht="12.75">
      <c r="A136" s="21" t="s">
        <v>246</v>
      </c>
      <c r="B136" s="21" t="s">
        <v>249</v>
      </c>
      <c r="C136" s="21" t="s">
        <v>292</v>
      </c>
      <c r="D136" s="21" t="s">
        <v>299</v>
      </c>
      <c r="E136" s="21" t="s">
        <v>295</v>
      </c>
      <c r="F136" s="21" t="s">
        <v>297</v>
      </c>
      <c r="G136" s="21" t="s">
        <v>56</v>
      </c>
      <c r="H136" s="21" t="s">
        <v>298</v>
      </c>
      <c r="I136" s="20" t="s">
        <v>55</v>
      </c>
      <c r="J136" s="21" t="s">
        <v>71</v>
      </c>
      <c r="K136" s="23">
        <v>-0.12</v>
      </c>
      <c r="L136" s="9">
        <v>-12001</v>
      </c>
      <c r="M136" s="21" t="s">
        <v>337</v>
      </c>
      <c r="N136" s="21" t="s">
        <v>67</v>
      </c>
      <c r="O136" s="21" t="s">
        <v>338</v>
      </c>
      <c r="P136" s="20">
        <v>0</v>
      </c>
      <c r="Q136" s="20">
        <v>0</v>
      </c>
      <c r="R136" s="9">
        <v>-12001</v>
      </c>
      <c r="T136" s="21" t="s">
        <v>293</v>
      </c>
    </row>
    <row r="137" spans="1:20" ht="12.75">
      <c r="A137" s="21" t="s">
        <v>246</v>
      </c>
      <c r="B137" s="21" t="s">
        <v>249</v>
      </c>
      <c r="C137" s="21" t="s">
        <v>303</v>
      </c>
      <c r="D137" s="21" t="s">
        <v>304</v>
      </c>
      <c r="E137" s="21" t="s">
        <v>295</v>
      </c>
      <c r="F137" s="21" t="s">
        <v>297</v>
      </c>
      <c r="G137" s="21" t="s">
        <v>56</v>
      </c>
      <c r="H137" s="21" t="s">
        <v>298</v>
      </c>
      <c r="I137" s="20" t="s">
        <v>55</v>
      </c>
      <c r="J137" s="21" t="s">
        <v>71</v>
      </c>
      <c r="K137" s="23">
        <v>0</v>
      </c>
      <c r="L137" s="9">
        <v>-159.40000000000001</v>
      </c>
      <c r="M137" s="21" t="s">
        <v>337</v>
      </c>
      <c r="N137" s="21" t="s">
        <v>67</v>
      </c>
      <c r="O137" s="21" t="s">
        <v>338</v>
      </c>
      <c r="P137" s="20">
        <v>0</v>
      </c>
      <c r="Q137" s="20">
        <v>0</v>
      </c>
      <c r="R137" s="9">
        <v>-159.40000000000001</v>
      </c>
      <c r="T137" s="21" t="s">
        <v>293</v>
      </c>
    </row>
    <row r="138" spans="1:20" ht="12.75">
      <c r="A138" s="21" t="s">
        <v>246</v>
      </c>
      <c r="B138" s="21" t="s">
        <v>249</v>
      </c>
      <c r="C138" s="21" t="s">
        <v>306</v>
      </c>
      <c r="D138" s="21" t="s">
        <v>307</v>
      </c>
      <c r="E138" s="21" t="s">
        <v>295</v>
      </c>
      <c r="F138" s="21" t="s">
        <v>297</v>
      </c>
      <c r="G138" s="21" t="s">
        <v>56</v>
      </c>
      <c r="H138" s="21" t="s">
        <v>298</v>
      </c>
      <c r="I138" s="20" t="s">
        <v>55</v>
      </c>
      <c r="J138" s="21" t="s">
        <v>71</v>
      </c>
      <c r="K138" s="23">
        <v>-0.63</v>
      </c>
      <c r="L138" s="9">
        <v>-36179.5</v>
      </c>
      <c r="M138" s="21" t="s">
        <v>337</v>
      </c>
      <c r="N138" s="21" t="s">
        <v>67</v>
      </c>
      <c r="O138" s="21" t="s">
        <v>338</v>
      </c>
      <c r="P138" s="20">
        <v>0</v>
      </c>
      <c r="Q138" s="20">
        <v>0</v>
      </c>
      <c r="R138" s="9">
        <v>-36179.5</v>
      </c>
      <c r="T138" s="21" t="s">
        <v>293</v>
      </c>
    </row>
    <row r="139" spans="1:20" ht="12.75">
      <c r="A139" s="21" t="s">
        <v>246</v>
      </c>
      <c r="B139" s="21" t="s">
        <v>249</v>
      </c>
      <c r="C139" s="21" t="s">
        <v>308</v>
      </c>
      <c r="D139" s="21" t="s">
        <v>309</v>
      </c>
      <c r="E139" s="21" t="s">
        <v>295</v>
      </c>
      <c r="F139" s="21" t="s">
        <v>297</v>
      </c>
      <c r="G139" s="21" t="s">
        <v>56</v>
      </c>
      <c r="H139" s="21" t="s">
        <v>298</v>
      </c>
      <c r="I139" s="20" t="s">
        <v>55</v>
      </c>
      <c r="J139" s="21" t="s">
        <v>71</v>
      </c>
      <c r="K139" s="23">
        <v>0</v>
      </c>
      <c r="L139" s="9">
        <v>-2270.0599999999999</v>
      </c>
      <c r="M139" s="21" t="s">
        <v>337</v>
      </c>
      <c r="N139" s="21" t="s">
        <v>67</v>
      </c>
      <c r="O139" s="21" t="s">
        <v>338</v>
      </c>
      <c r="P139" s="20">
        <v>0</v>
      </c>
      <c r="Q139" s="20">
        <v>0</v>
      </c>
      <c r="R139" s="9">
        <v>-2270.0599999999999</v>
      </c>
      <c r="T139" s="21" t="s">
        <v>293</v>
      </c>
    </row>
    <row r="140" spans="1:20" ht="12.75">
      <c r="A140" s="21" t="s">
        <v>246</v>
      </c>
      <c r="B140" s="21" t="s">
        <v>249</v>
      </c>
      <c r="C140" s="21" t="s">
        <v>310</v>
      </c>
      <c r="D140" s="21" t="s">
        <v>311</v>
      </c>
      <c r="E140" s="21" t="s">
        <v>295</v>
      </c>
      <c r="F140" s="21" t="s">
        <v>297</v>
      </c>
      <c r="G140" s="21" t="s">
        <v>56</v>
      </c>
      <c r="H140" s="21" t="s">
        <v>298</v>
      </c>
      <c r="I140" s="20" t="s">
        <v>55</v>
      </c>
      <c r="J140" s="21" t="s">
        <v>71</v>
      </c>
      <c r="K140" s="23">
        <v>0</v>
      </c>
      <c r="L140" s="9">
        <v>-1126.79</v>
      </c>
      <c r="M140" s="21" t="s">
        <v>337</v>
      </c>
      <c r="N140" s="21" t="s">
        <v>67</v>
      </c>
      <c r="O140" s="21" t="s">
        <v>338</v>
      </c>
      <c r="P140" s="20">
        <v>0</v>
      </c>
      <c r="Q140" s="20">
        <v>0</v>
      </c>
      <c r="R140" s="9">
        <v>-1126.79</v>
      </c>
      <c r="T140" s="21" t="s">
        <v>293</v>
      </c>
    </row>
    <row r="141" spans="1:20" ht="12.75">
      <c r="A141" s="21" t="s">
        <v>246</v>
      </c>
      <c r="B141" s="21" t="s">
        <v>249</v>
      </c>
      <c r="C141" s="21" t="s">
        <v>312</v>
      </c>
      <c r="D141" s="21" t="s">
        <v>304</v>
      </c>
      <c r="E141" s="21" t="s">
        <v>295</v>
      </c>
      <c r="F141" s="21" t="s">
        <v>297</v>
      </c>
      <c r="G141" s="21" t="s">
        <v>56</v>
      </c>
      <c r="H141" s="21" t="s">
        <v>298</v>
      </c>
      <c r="I141" s="20" t="s">
        <v>55</v>
      </c>
      <c r="J141" s="21" t="s">
        <v>71</v>
      </c>
      <c r="K141" s="23">
        <v>0</v>
      </c>
      <c r="L141" s="9">
        <v>-1377.3900000000001</v>
      </c>
      <c r="M141" s="21" t="s">
        <v>337</v>
      </c>
      <c r="N141" s="21" t="s">
        <v>67</v>
      </c>
      <c r="O141" s="21" t="s">
        <v>338</v>
      </c>
      <c r="P141" s="20">
        <v>0</v>
      </c>
      <c r="Q141" s="20">
        <v>0</v>
      </c>
      <c r="R141" s="9">
        <v>-1377.3900000000001</v>
      </c>
      <c r="T141" s="21" t="s">
        <v>293</v>
      </c>
    </row>
    <row r="142" spans="1:20" ht="12.75">
      <c r="A142" s="21" t="s">
        <v>246</v>
      </c>
      <c r="B142" s="21" t="s">
        <v>249</v>
      </c>
      <c r="C142" s="21" t="s">
        <v>313</v>
      </c>
      <c r="D142" s="21" t="s">
        <v>314</v>
      </c>
      <c r="E142" s="21" t="s">
        <v>295</v>
      </c>
      <c r="F142" s="21" t="s">
        <v>297</v>
      </c>
      <c r="G142" s="21" t="s">
        <v>56</v>
      </c>
      <c r="H142" s="21" t="s">
        <v>298</v>
      </c>
      <c r="I142" s="20" t="s">
        <v>55</v>
      </c>
      <c r="J142" s="21" t="s">
        <v>71</v>
      </c>
      <c r="K142" s="23">
        <v>-0.34999999999999998</v>
      </c>
      <c r="L142" s="9">
        <v>-31134.52</v>
      </c>
      <c r="M142" s="21" t="s">
        <v>337</v>
      </c>
      <c r="N142" s="21" t="s">
        <v>67</v>
      </c>
      <c r="O142" s="21" t="s">
        <v>338</v>
      </c>
      <c r="P142" s="20">
        <v>0</v>
      </c>
      <c r="Q142" s="20">
        <v>0</v>
      </c>
      <c r="R142" s="9">
        <v>-31134.52</v>
      </c>
      <c r="T142" s="21" t="s">
        <v>293</v>
      </c>
    </row>
    <row r="143" spans="1:20" ht="12.75">
      <c r="A143" s="21" t="s">
        <v>246</v>
      </c>
      <c r="B143" s="21" t="s">
        <v>249</v>
      </c>
      <c r="C143" s="21" t="s">
        <v>315</v>
      </c>
      <c r="D143" s="21" t="s">
        <v>304</v>
      </c>
      <c r="E143" s="21" t="s">
        <v>295</v>
      </c>
      <c r="F143" s="21" t="s">
        <v>297</v>
      </c>
      <c r="G143" s="21" t="s">
        <v>56</v>
      </c>
      <c r="H143" s="21" t="s">
        <v>298</v>
      </c>
      <c r="I143" s="20" t="s">
        <v>55</v>
      </c>
      <c r="J143" s="21" t="s">
        <v>71</v>
      </c>
      <c r="K143" s="23">
        <v>0</v>
      </c>
      <c r="L143" s="9">
        <v>-1295.4100000000001</v>
      </c>
      <c r="M143" s="21" t="s">
        <v>337</v>
      </c>
      <c r="N143" s="21" t="s">
        <v>67</v>
      </c>
      <c r="O143" s="21" t="s">
        <v>338</v>
      </c>
      <c r="P143" s="20">
        <v>0</v>
      </c>
      <c r="Q143" s="20">
        <v>0</v>
      </c>
      <c r="R143" s="9">
        <v>-1295.4100000000001</v>
      </c>
      <c r="T143" s="21" t="s">
        <v>293</v>
      </c>
    </row>
    <row r="144" spans="1:20" ht="12.75">
      <c r="A144" s="21" t="s">
        <v>246</v>
      </c>
      <c r="B144" s="21" t="s">
        <v>249</v>
      </c>
      <c r="C144" s="21" t="s">
        <v>316</v>
      </c>
      <c r="D144" s="21" t="s">
        <v>317</v>
      </c>
      <c r="E144" s="21" t="s">
        <v>295</v>
      </c>
      <c r="F144" s="21" t="s">
        <v>297</v>
      </c>
      <c r="G144" s="21" t="s">
        <v>56</v>
      </c>
      <c r="H144" s="21" t="s">
        <v>298</v>
      </c>
      <c r="I144" s="20" t="s">
        <v>55</v>
      </c>
      <c r="J144" s="21" t="s">
        <v>71</v>
      </c>
      <c r="K144" s="23">
        <v>-0.22</v>
      </c>
      <c r="L144" s="9">
        <v>-60342.099999999999</v>
      </c>
      <c r="M144" s="21" t="s">
        <v>337</v>
      </c>
      <c r="N144" s="21" t="s">
        <v>67</v>
      </c>
      <c r="O144" s="21" t="s">
        <v>338</v>
      </c>
      <c r="P144" s="20">
        <v>0</v>
      </c>
      <c r="Q144" s="20">
        <v>0</v>
      </c>
      <c r="R144" s="9">
        <v>-60342.099999999999</v>
      </c>
      <c r="T144" s="21" t="s">
        <v>293</v>
      </c>
    </row>
    <row r="145" spans="1:20" ht="12.75">
      <c r="A145" s="21" t="s">
        <v>246</v>
      </c>
      <c r="B145" s="21" t="s">
        <v>249</v>
      </c>
      <c r="C145" s="21" t="s">
        <v>318</v>
      </c>
      <c r="D145" s="21" t="s">
        <v>319</v>
      </c>
      <c r="E145" s="21" t="s">
        <v>295</v>
      </c>
      <c r="F145" s="21" t="s">
        <v>297</v>
      </c>
      <c r="G145" s="21" t="s">
        <v>56</v>
      </c>
      <c r="H145" s="21" t="s">
        <v>298</v>
      </c>
      <c r="I145" s="20" t="s">
        <v>55</v>
      </c>
      <c r="J145" s="21" t="s">
        <v>71</v>
      </c>
      <c r="K145" s="23">
        <v>0</v>
      </c>
      <c r="L145" s="9">
        <v>-12500</v>
      </c>
      <c r="M145" s="21" t="s">
        <v>337</v>
      </c>
      <c r="N145" s="21" t="s">
        <v>67</v>
      </c>
      <c r="O145" s="21" t="s">
        <v>338</v>
      </c>
      <c r="P145" s="20">
        <v>0</v>
      </c>
      <c r="Q145" s="20">
        <v>0</v>
      </c>
      <c r="R145" s="9">
        <v>-12500</v>
      </c>
      <c r="T145" s="21" t="s">
        <v>293</v>
      </c>
    </row>
    <row r="146" spans="1:20" ht="12.75">
      <c r="A146" s="21" t="s">
        <v>246</v>
      </c>
      <c r="B146" s="21" t="s">
        <v>249</v>
      </c>
      <c r="C146" s="21" t="s">
        <v>320</v>
      </c>
      <c r="D146" s="21" t="s">
        <v>304</v>
      </c>
      <c r="E146" s="21" t="s">
        <v>295</v>
      </c>
      <c r="F146" s="21" t="s">
        <v>297</v>
      </c>
      <c r="G146" s="21" t="s">
        <v>56</v>
      </c>
      <c r="H146" s="21" t="s">
        <v>298</v>
      </c>
      <c r="I146" s="20" t="s">
        <v>55</v>
      </c>
      <c r="J146" s="21" t="s">
        <v>71</v>
      </c>
      <c r="K146" s="23">
        <v>0</v>
      </c>
      <c r="L146" s="9">
        <v>-1299.4100000000001</v>
      </c>
      <c r="M146" s="21" t="s">
        <v>337</v>
      </c>
      <c r="N146" s="21" t="s">
        <v>67</v>
      </c>
      <c r="O146" s="21" t="s">
        <v>338</v>
      </c>
      <c r="P146" s="20">
        <v>0</v>
      </c>
      <c r="Q146" s="20">
        <v>0</v>
      </c>
      <c r="R146" s="9">
        <v>-1299.4100000000001</v>
      </c>
      <c r="T146" s="21" t="s">
        <v>293</v>
      </c>
    </row>
    <row r="147" spans="1:20" ht="12.75">
      <c r="A147" s="21"/>
      <c r="B147" s="21"/>
      <c r="C147" s="21"/>
      <c r="D147" s="21"/>
      <c r="E147" s="21"/>
      <c r="F147" s="21"/>
      <c r="G147" s="21"/>
      <c r="H147" s="21"/>
      <c r="J147" s="21"/>
      <c r="K147" s="23"/>
      <c r="L147" s="9"/>
      <c r="M147" s="21"/>
      <c r="N147" s="21"/>
      <c r="O147" s="21"/>
      <c r="P147" s="20"/>
      <c r="Q147" s="20"/>
      <c r="R147" s="20"/>
      <c r="T147" s="21"/>
    </row>
    <row r="148" spans="1:20" ht="13.5" thickBot="1">
      <c r="A148" s="21"/>
      <c r="B148" s="21"/>
      <c r="C148" s="21"/>
      <c r="D148" s="21"/>
      <c r="E148" s="21"/>
      <c r="F148" s="21"/>
      <c r="G148" s="21"/>
      <c r="H148" s="21"/>
      <c r="J148" s="21"/>
      <c r="K148" s="45">
        <f>SUM(K136:K147)</f>
        <v>-1.3200000000000001</v>
      </c>
      <c r="L148" s="54">
        <f>SUM(L136:L147)</f>
        <v>-159685.58000000002</v>
      </c>
      <c r="M148" s="21"/>
      <c r="N148" s="21"/>
      <c r="O148" s="21"/>
      <c r="P148" s="20"/>
      <c r="Q148" s="20"/>
      <c r="R148" s="20"/>
      <c r="T148" s="21"/>
    </row>
    <row r="149" spans="1:20" ht="13.5" thickTop="1">
      <c r="A149" s="21"/>
      <c r="B149" s="21"/>
      <c r="C149" s="21"/>
      <c r="D149" s="21"/>
      <c r="E149" s="21"/>
      <c r="F149" s="21"/>
      <c r="G149" s="21"/>
      <c r="H149" s="21"/>
      <c r="J149" s="21"/>
      <c r="K149" s="23"/>
      <c r="L149" s="9"/>
      <c r="M149" s="21"/>
      <c r="N149" s="21"/>
      <c r="O149" s="21"/>
      <c r="P149" s="20"/>
      <c r="Q149" s="20"/>
      <c r="R149" s="20"/>
      <c r="T149" s="21"/>
    </row>
    <row r="150" spans="1:20" ht="12.75">
      <c r="A150" s="21"/>
      <c r="B150" s="21"/>
      <c r="C150" s="21"/>
      <c r="D150" s="21"/>
      <c r="E150" s="21"/>
      <c r="F150" s="21"/>
      <c r="G150" s="21"/>
      <c r="H150" s="21"/>
      <c r="J150" s="21"/>
      <c r="K150" s="23"/>
      <c r="L150" s="20"/>
      <c r="M150" s="21"/>
      <c r="N150" s="21"/>
      <c r="O150" s="21"/>
      <c r="P150" s="20"/>
      <c r="Q150" s="20"/>
      <c r="R150" s="20"/>
      <c r="T150" s="21"/>
    </row>
    <row r="151" spans="1:20" ht="12.75">
      <c r="A151" s="21"/>
      <c r="B151" s="21"/>
      <c r="C151" s="21"/>
      <c r="D151" s="21"/>
      <c r="E151" s="21"/>
      <c r="F151" s="21"/>
      <c r="G151" s="21"/>
      <c r="H151" s="21"/>
      <c r="J151" s="21"/>
      <c r="K151" s="23"/>
      <c r="L151" s="20"/>
      <c r="M151" s="21"/>
      <c r="N151" s="21"/>
      <c r="O151" s="21"/>
      <c r="P151" s="20"/>
      <c r="Q151" s="20"/>
      <c r="R151" s="20"/>
      <c r="T151" s="21"/>
    </row>
    <row r="152" spans="1:20" ht="12.75">
      <c r="A152" s="21"/>
      <c r="B152" s="21"/>
      <c r="C152" s="21"/>
      <c r="D152" s="21"/>
      <c r="E152" s="21"/>
      <c r="F152" s="21"/>
      <c r="G152" s="21"/>
      <c r="H152" s="21"/>
      <c r="J152" s="21"/>
      <c r="K152" s="23"/>
      <c r="L152" s="20"/>
      <c r="M152" s="21"/>
      <c r="N152" s="21"/>
      <c r="O152" s="21"/>
      <c r="P152" s="20"/>
      <c r="Q152" s="20"/>
      <c r="R152" s="20"/>
      <c r="T152" s="21"/>
    </row>
  </sheetData>
  <mergeCells count="11">
    <mergeCell ref="E92:F92"/>
    <mergeCell ref="E93:G93"/>
    <mergeCell ref="K101:M101"/>
    <mergeCell ref="K102:M102"/>
    <mergeCell ref="K103:M103"/>
    <mergeCell ref="E91:F91"/>
    <mergeCell ref="A1:F1"/>
    <mergeCell ref="A3:E3"/>
    <mergeCell ref="A55:D55"/>
    <mergeCell ref="E89:F89"/>
    <mergeCell ref="E90:F90"/>
  </mergeCells>
  <dataValidations count="10">
    <dataValidation type="textLength" showInputMessage="1" showErrorMessage="1" error="Text exceeds maximum character length of 30 characters" sqref="K102:K104">
      <formula1>0</formula1>
      <formula2>30</formula2>
    </dataValidation>
    <dataValidation type="textLength" showInputMessage="1" showErrorMessage="1" error="Text exceeds maximum character length of 10 characters" sqref="J102:J104">
      <formula1>0</formula1>
      <formula2>10</formula2>
    </dataValidation>
    <dataValidation type="textLength" showInputMessage="1" showErrorMessage="1" error="Text exceeds maximum character length of 23 characters" sqref="I102:I104">
      <formula1>0</formula1>
      <formula2>23</formula2>
    </dataValidation>
    <dataValidation type="textLength" showInputMessage="1" showErrorMessage="1" error="Text exceeds maximum character length of 5 characters" sqref="H102:H104 A102:A104">
      <formula1>0</formula1>
      <formula2>5</formula2>
    </dataValidation>
    <dataValidation type="textLength" showInputMessage="1" showErrorMessage="1" error="Text exceeds maximum character length of 4 characters" sqref="F102:G104">
      <formula1>0</formula1>
      <formula2>4</formula2>
    </dataValidation>
    <dataValidation type="textLength" showInputMessage="1" showErrorMessage="1" error="Text exceeds maximum character length of 8 characters" sqref="E102:E104">
      <formula1>0</formula1>
      <formula2>8</formula2>
    </dataValidation>
    <dataValidation type="textLength" showInputMessage="1" showErrorMessage="1" error="Text exceeds maximum character length of 3 characters" sqref="D102:D104">
      <formula1>0</formula1>
      <formula2>3</formula2>
    </dataValidation>
    <dataValidation type="textLength" showInputMessage="1" showErrorMessage="1" error="Text exceeds maximum character length of 7 characters" sqref="C102:C104">
      <formula1>0</formula1>
      <formula2>7</formula2>
    </dataValidation>
    <dataValidation type="textLength" showInputMessage="1" showErrorMessage="1" error="Text exceeds maximum character length of 6 characters" sqref="B102:B104">
      <formula1>0</formula1>
      <formula2>6</formula2>
    </dataValidation>
    <dataValidation errorStyle="information" type="list" allowBlank="1" showInputMessage="1" showErrorMessage="1" prompt="This field only accepts 'NEXT' or the current journal ID - OK to accept this value" error="This field only accepts 'NEXT' or the current journal ID - OK to accept this value" sqref="F2">
      <formula1>"NEXT"</formula1>
    </dataValidation>
  </dataValidations>
  <pageMargins left="0.7" right="0.7" top="2.5" bottom="0.75" header="1.25" footer="0.3"/>
  <pageSetup fitToHeight="0" orientation="landscape" scale="37" r:id="rId1"/>
  <headerFooter>
    <oddHeader>&amp;C&amp;"Arial,Bold"&amp;12
 2022 RATE CASE
ONCOR ELECTRIC DELIVERY COMPANY LLC
GAIN OR LOSS ON SALE OF UTILITY ASSETS
FOR THE TEST YEAR ENDING DECEMBER 31, 2021
SPONSOR: W. A. LEDBETTER&amp;R&amp;"Arial,Bold"&amp;12&amp;K000000WP/II-B-13/01
Page &amp;P of &amp;N</oddHeader>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_dlc_DocId xmlns="4f7156c1-be87-4d1f-9274-ce189f982c1a">FHHXVRPN3UPD-1807981734-31933</_dlc_DocId>
    <_dlc_DocIdUrl xmlns="4f7156c1-be87-4d1f-9274-ce189f982c1a">
      <Url>http://intranet.corp.oncor.com/sites/Finance/_layouts/15/DocIdRedir.aspx?ID=FHHXVRPN3UPD-1807981734-31933</Url>
      <Description>FHHXVRPN3UPD-1807981734-31933</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027CE8EF2137B4CA3F17065297CF102" ma:contentTypeVersion="5" ma:contentTypeDescription="Create a new document." ma:contentTypeScope="" ma:versionID="c691f8f861fed439a9f9bc405e700cd3">
  <xsd:schema xmlns:xsd="http://www.w3.org/2001/XMLSchema" xmlns:xs="http://www.w3.org/2001/XMLSchema" xmlns:p="http://schemas.microsoft.com/office/2006/metadata/properties" xmlns:ns1="http://schemas.microsoft.com/sharepoint/v3" xmlns:ns2="4f7156c1-be87-4d1f-9274-ce189f982c1a" targetNamespace="http://schemas.microsoft.com/office/2006/metadata/properties" ma:root="true" ma:fieldsID="8690dca1c0a9094a2a6515f869531236" ns1:_="" ns2:_="">
    <xsd:import namespace="http://schemas.microsoft.com/sharepoint/v3"/>
    <xsd:import namespace="4f7156c1-be87-4d1f-9274-ce189f982c1a"/>
    <xsd:element name="properties">
      <xsd:complexType>
        <xsd:sequence>
          <xsd:element name="documentManagement">
            <xsd:complexType>
              <xsd:all>
                <xsd:element ref="ns1:PublishingStartDate" minOccurs="0"/>
                <xsd:element ref="ns1:PublishingExpirationDate" minOccurs="0"/>
                <xsd:element ref="ns2:_dlc_DocId" minOccurs="0"/>
                <xsd:element ref="ns2:_dlc_DocIdUrl" minOccurs="0"/>
                <xsd:element ref="ns2:_dlc_DocIdPersistId"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f7156c1-be87-4d1f-9274-ce189f982c1a" elementFormDefault="qualified">
    <xsd:import namespace="http://schemas.microsoft.com/office/2006/documentManagement/types"/>
    <xsd:import namespace="http://schemas.microsoft.com/office/infopath/2007/PartnerControls"/>
    <xsd:element name="_dlc_DocId" ma:index="6" nillable="true" ma:displayName="Document ID Value" ma:description="The value of the document ID assigned to this item." ma:internalName="_dlc_DocId" ma:readOnly="true">
      <xsd:simpleType>
        <xsd:restriction base="dms:Text"/>
      </xsd:simpleType>
    </xsd:element>
    <xsd:element name="_dlc_DocIdUrl" ma:index="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8" nillable="true" ma:displayName="Persist ID" ma:description="Keep ID on add." ma:hidden="true" ma:internalName="_dlc_DocIdPersistId" ma:readOnly="true">
      <xsd:simpleType>
        <xsd:restriction base="dms:Boolean"/>
      </xsd:simpleType>
    </xsd:element>
    <xsd:element name="SharedWithUsers" ma:index="1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1F44460-48C8-4BD4-9F36-14AEE128950E}">
  <ds:schemaRefs>
    <ds:schemaRef ds:uri="http://schemas.microsoft.com/sharepoint/v3/contenttype/forms"/>
  </ds:schemaRefs>
</ds:datastoreItem>
</file>

<file path=customXml/itemProps2.xml><?xml version="1.0" encoding="utf-8"?>
<ds:datastoreItem xmlns:ds="http://schemas.openxmlformats.org/officeDocument/2006/customXml" ds:itemID="{1494A195-8A9B-4C20-ABAB-A255B2BA9317}">
  <ds:schemaRefs>
    <ds:schemaRef ds:uri="http://schemas.microsoft.com/office/2006/metadata/properties"/>
    <ds:schemaRef ds:uri="http://schemas.microsoft.com/office/infopath/2007/PartnerControls"/>
    <ds:schemaRef ds:uri="http://schemas.microsoft.com/sharepoint/v3"/>
    <ds:schemaRef ds:uri="4f7156c1-be87-4d1f-9274-ce189f982c1a"/>
  </ds:schemaRefs>
</ds:datastoreItem>
</file>

<file path=customXml/itemProps3.xml><?xml version="1.0" encoding="utf-8"?>
<ds:datastoreItem xmlns:ds="http://schemas.openxmlformats.org/officeDocument/2006/customXml" ds:itemID="{A762460E-030D-47EF-9A62-6D04985CA6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7156c1-be87-4d1f-9274-ce189f982c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890A349-2072-485F-9507-4297402798BE}">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ScaleCrop>false</ScaleCrop>
  <HeadingPairs>
    <vt:vector size="2" baseType="variant">
      <vt:variant>
        <vt:lpstr>Worksheets</vt:lpstr>
      </vt:variant>
      <vt:variant>
        <vt:i4>8</vt:i4>
      </vt:variant>
    </vt:vector>
  </HeadingPairs>
  <TitlesOfParts>
    <vt:vector size="8" baseType="lpstr">
      <vt:lpstr>Sale of 33.006 Acres</vt:lpstr>
      <vt:lpstr>Sale of 0.1813 acres</vt:lpstr>
      <vt:lpstr>Sale of 0.684 acres</vt:lpstr>
      <vt:lpstr>Sale of  0.147 acres</vt:lpstr>
      <vt:lpstr>Sale of 0.035 acres</vt:lpstr>
      <vt:lpstr>Sale of 5.4851 Acres</vt:lpstr>
      <vt:lpstr>Sale of 0.0209 acres</vt:lpstr>
      <vt:lpstr>Sale of 515 Park Ave</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0x0101002027CE8EF2137B4CA3F17065297CF102</vt:lpwstr>
  </property>
  <property fmtid="{D5CDD505-2E9C-101B-9397-08002B2CF9AE}" pid="3" name="_dlc_DocIdItemGuid">
    <vt:lpwstr>acddad47-136b-400e-b149-d0678f120bad</vt:lpwstr>
  </property>
</Properties>
</file>