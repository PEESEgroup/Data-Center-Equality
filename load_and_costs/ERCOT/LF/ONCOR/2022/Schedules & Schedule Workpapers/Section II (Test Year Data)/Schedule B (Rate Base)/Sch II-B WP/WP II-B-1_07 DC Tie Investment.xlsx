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28800" windowHeight="11438" activeTab="0"/>
  </bookViews>
  <sheets>
    <sheet name="WP II-B-1_07 DC Tie Investment" sheetId="1" r:id="rId2"/>
  </sheets>
  <definedNames>
    <definedName name="_xlnm.Print_Titles" localSheetId="0">'WP II-B-1_07 DC Tie Investment'!$1:$1</definedName>
  </definedNames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3" i="1" l="1"/>
</calcChain>
</file>

<file path=xl/sharedStrings.xml><?xml version="1.0" encoding="utf-8"?>
<sst xmlns="http://schemas.openxmlformats.org/spreadsheetml/2006/main" count="926" uniqueCount="90">
  <si>
    <t>Construction Work Location</t>
  </si>
  <si>
    <t>Description</t>
  </si>
  <si>
    <t>Vintage Year</t>
  </si>
  <si>
    <t>0301505</t>
  </si>
  <si>
    <t>ELECTRICAL SYSTEM</t>
  </si>
  <si>
    <t>GROUNDING SYSTEM</t>
  </si>
  <si>
    <t>YARD IMPROVEMENTS AND SURFACING</t>
  </si>
  <si>
    <t>BATTERY CHARGING SET</t>
  </si>
  <si>
    <t>BUILDING, ELECTRICAL EQUIPMENT</t>
  </si>
  <si>
    <t>BUSS ASSEMBLY - 345KV</t>
  </si>
  <si>
    <t>CARRIER LINE TRAP, 345KV</t>
  </si>
  <si>
    <t>CARRIER LINE TUNER, 345KV</t>
  </si>
  <si>
    <t>CARRIER X/MTR/RCVR, 345KV</t>
  </si>
  <si>
    <t>CIRCUIT BREAKER, 3000 AMPERE, 345KV</t>
  </si>
  <si>
    <t>CONDUIT OR DUCT SYSTEM</t>
  </si>
  <si>
    <t>COUPLING CAPACITOR, 345KV</t>
  </si>
  <si>
    <t>FENCES, PROTECTIVE</t>
  </si>
  <si>
    <t>HEATING - VENTILATING - AIR CONDITIONING SYSTEM</t>
  </si>
  <si>
    <t>POWER CIRCUIT BREAKER 345 KV</t>
  </si>
  <si>
    <t>RELAYS, 345KV</t>
  </si>
  <si>
    <t>STATION METERING</t>
  </si>
  <si>
    <t>STORAGE BATTERY</t>
  </si>
  <si>
    <t>STRUCTURES, 345KV</t>
  </si>
  <si>
    <t>SUPERVISORY CONTROL EQUIPMENT</t>
  </si>
  <si>
    <t>SWITCH, AIRBREAK, 345KV</t>
  </si>
  <si>
    <t>SWITCHBOARD 345KV</t>
  </si>
  <si>
    <t>SWITCHBOARD PANEL, BUS DIFFERENTIAL, 345KV</t>
  </si>
  <si>
    <t>SWITCHBOARD PANEL, CONTROL CABLE, 0-60KV</t>
  </si>
  <si>
    <t>SWITCHBOARD PANEL, CONTROL CABLE, 345KV</t>
  </si>
  <si>
    <t>SWITCHBOARD PANEL, INTERCONNECT METERING, 345KV</t>
  </si>
  <si>
    <t>SWITCHBOARD PANEL, LINE RELAYING, 345KV</t>
  </si>
  <si>
    <t>TRANSFORMER - AUXILIARY AND STATION SERVICE</t>
  </si>
  <si>
    <t>TRANSFORMER, INSTRUMENT 0-60 KV</t>
  </si>
  <si>
    <t>TRANSFORMER, INSTRUMENT 345 KV</t>
  </si>
  <si>
    <t>0301920</t>
  </si>
  <si>
    <t>HVAC SYSTEM</t>
  </si>
  <si>
    <t>OUTDOOR LIGHTING SYSTEM</t>
  </si>
  <si>
    <t>PLUMBING SYSTEM</t>
  </si>
  <si>
    <t>SERVICE BUILDING</t>
  </si>
  <si>
    <t>BUSS ASSEMBLY - 0 - 60KV</t>
  </si>
  <si>
    <t>BUSS ASSEMBLY - 138KV</t>
  </si>
  <si>
    <t>CAPACITOR BANK 345 KV</t>
  </si>
  <si>
    <t>CARRIER CURRENT TONE AND TRANSFER TRIP EQUIP345 KV</t>
  </si>
  <si>
    <t>CONTROL CENTER AND ELECTRICAL EQUIP.</t>
  </si>
  <si>
    <t>CRANE OR HOIST</t>
  </si>
  <si>
    <t>FIRE PROTECTION SYSTEM</t>
  </si>
  <si>
    <t>FUSE EQUIPMENT 0-60 KV</t>
  </si>
  <si>
    <t>LIGHTNING ARRESTOR 345 KV</t>
  </si>
  <si>
    <t>MOTOR OPERATORS, 0-60KV</t>
  </si>
  <si>
    <t>MOTOR OPERATORS, 138KV</t>
  </si>
  <si>
    <t>MOTOR OPERATORS, 345KV</t>
  </si>
  <si>
    <t>REACTOR 345KV</t>
  </si>
  <si>
    <t>REACTOR OR RESISTOR 345 KV (OBSOLETE JUN 2009)</t>
  </si>
  <si>
    <t>STRUCTURES, 0-60KV</t>
  </si>
  <si>
    <t>SWITCH, AIRBREAK, 0-60KV</t>
  </si>
  <si>
    <t>SWITCH, DISCONNECT, 345KV</t>
  </si>
  <si>
    <t>SWITCH, GROUNDING, 138KV</t>
  </si>
  <si>
    <t>SWITCHBOARD PANEL, CONTROL CABLE, 138KV</t>
  </si>
  <si>
    <t>SWITCHBOARD PANEL, STATION METERING, 0-60KV</t>
  </si>
  <si>
    <t>SWITCHBOARD PANEL, TRANSFORMER DIFFERENTIAL, 138KV</t>
  </si>
  <si>
    <t>SWITCHGEAR, METAL ENCLOSED 0-60 KV</t>
  </si>
  <si>
    <t>TRANSFORMER, AUTO 345 KV</t>
  </si>
  <si>
    <t>TRANSFORMER, POWER 345 KV</t>
  </si>
  <si>
    <t>352 Total</t>
  </si>
  <si>
    <t>353 Total</t>
  </si>
  <si>
    <t>FERC Account</t>
  </si>
  <si>
    <t>352</t>
  </si>
  <si>
    <t>353</t>
  </si>
  <si>
    <t>SWITCH 345 KV</t>
  </si>
  <si>
    <t>1997</t>
  </si>
  <si>
    <t>1998</t>
  </si>
  <si>
    <t>1999</t>
  </si>
  <si>
    <t>2008</t>
  </si>
  <si>
    <t>2010</t>
  </si>
  <si>
    <t>2005</t>
  </si>
  <si>
    <t>2014</t>
  </si>
  <si>
    <t>2009</t>
  </si>
  <si>
    <t>2018</t>
  </si>
  <si>
    <t>2019</t>
  </si>
  <si>
    <t>2002</t>
  </si>
  <si>
    <t>2011</t>
  </si>
  <si>
    <t>2015</t>
  </si>
  <si>
    <t>2016</t>
  </si>
  <si>
    <t>2017</t>
  </si>
  <si>
    <t>1974</t>
  </si>
  <si>
    <t>2003</t>
  </si>
  <si>
    <t>Total Investment</t>
  </si>
  <si>
    <t>DIST</t>
  </si>
  <si>
    <t>TRAN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</si>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</sst>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39" fontId="2" fillId="0" borderId="0" xfId="0" applyNumberFormat="1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39" fontId="3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233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4.25" outlineLevelRow="2"/>
  <cols>
    <col min="1" max="1" width="16.2857142857143" style="5" customWidth="1"/>
    <col min="2" max="2" width="12.8571428571429" style="9" customWidth="1"/>
    <col min="3" max="3" width="62.1428571428571" style="4" bestFit="1" customWidth="1"/>
    <col min="4" max="4" width="9.28571428571429" style="9" customWidth="1"/>
    <col min="5" max="7" width="14.5714285714286" style="7" bestFit="1" customWidth="1"/>
    <col min="8" max="16384" width="9" style="4"/>
  </cols>
  <sheetData>
    <row r="1" spans="1:7" ht="28.55">
      <c r="A1" s="1" t="s">
        <v>0</v>
      </c>
      <c r="B1" s="2" t="s">
        <v>65</v>
      </c>
      <c r="C1" s="1" t="s">
        <v>1</v>
      </c>
      <c r="D1" s="2" t="s">
        <v>2</v>
      </c>
      <c r="E1" s="3" t="s">
        <v>86</v>
      </c>
      <c r="F1" s="3" t="s">
        <v>88</v>
      </c>
      <c r="G1" s="3" t="s">
        <v>87</v>
      </c>
    </row>
    <row r="2" spans="1:6" ht="13.6" outlineLevel="2">
      <c r="A2" s="5" t="s">
        <v>3</v>
      </c>
      <c r="B2" s="6" t="s">
        <v>66</v>
      </c>
      <c r="C2" s="4" t="s">
        <v>6</v>
      </c>
      <c r="D2" s="6" t="s">
        <v>69</v>
      </c>
      <c r="E2" s="7">
        <v>46940.709999999999</v>
      </c>
      <c r="F2" s="7">
        <v>46940.709999999999</v>
      </c>
    </row>
    <row r="3" spans="1:6" ht="13.6" outlineLevel="2">
      <c r="A3" s="5" t="s">
        <v>3</v>
      </c>
      <c r="B3" s="6" t="s">
        <v>66</v>
      </c>
      <c r="C3" s="4" t="s">
        <v>5</v>
      </c>
      <c r="D3" s="6" t="s">
        <v>74</v>
      </c>
      <c r="E3" s="7">
        <v>3447.4899999999998</v>
      </c>
      <c r="F3" s="7">
        <v>3447.4899999999998</v>
      </c>
    </row>
    <row r="4" spans="1:6" ht="13.6" outlineLevel="2">
      <c r="A4" s="5" t="s">
        <v>3</v>
      </c>
      <c r="B4" s="6" t="s">
        <v>66</v>
      </c>
      <c r="C4" s="4" t="s">
        <v>4</v>
      </c>
      <c r="D4" s="6" t="s">
        <v>75</v>
      </c>
      <c r="E4" s="7">
        <v>573.30999999999995</v>
      </c>
      <c r="F4" s="7">
        <v>573.30999999999995</v>
      </c>
    </row>
    <row r="5" spans="1:6" ht="13.6" outlineLevel="2">
      <c r="A5" s="5" t="s">
        <v>34</v>
      </c>
      <c r="B5" s="6" t="s">
        <v>66</v>
      </c>
      <c r="C5" s="4" t="s">
        <v>35</v>
      </c>
      <c r="D5" s="6" t="s">
        <v>69</v>
      </c>
      <c r="E5" s="7">
        <v>78485.960000000006</v>
      </c>
      <c r="F5" s="7">
        <v>78485.960000000006</v>
      </c>
    </row>
    <row r="6" spans="1:6" ht="13.6" outlineLevel="2">
      <c r="A6" s="5" t="s">
        <v>34</v>
      </c>
      <c r="B6" s="6" t="s">
        <v>66</v>
      </c>
      <c r="C6" s="4" t="s">
        <v>6</v>
      </c>
      <c r="D6" s="6" t="s">
        <v>69</v>
      </c>
      <c r="E6" s="7">
        <v>454697.84000000003</v>
      </c>
      <c r="F6" s="7">
        <v>454697.84000000003</v>
      </c>
    </row>
    <row r="7" spans="1:6" ht="13.6" outlineLevel="2">
      <c r="A7" s="5" t="s">
        <v>34</v>
      </c>
      <c r="B7" s="6" t="s">
        <v>66</v>
      </c>
      <c r="C7" s="4" t="s">
        <v>38</v>
      </c>
      <c r="D7" s="6" t="s">
        <v>69</v>
      </c>
      <c r="E7" s="7">
        <v>470916.40999999997</v>
      </c>
      <c r="F7" s="7">
        <v>470916.40999999997</v>
      </c>
    </row>
    <row r="8" spans="1:6" ht="13.6" outlineLevel="2">
      <c r="A8" s="5" t="s">
        <v>34</v>
      </c>
      <c r="B8" s="6" t="s">
        <v>66</v>
      </c>
      <c r="C8" s="4" t="s">
        <v>37</v>
      </c>
      <c r="D8" s="6" t="s">
        <v>69</v>
      </c>
      <c r="E8" s="7">
        <v>78485.960000000006</v>
      </c>
      <c r="F8" s="7">
        <v>78485.960000000006</v>
      </c>
    </row>
    <row r="9" spans="1:6" ht="13.6" outlineLevel="2">
      <c r="A9" s="5" t="s">
        <v>34</v>
      </c>
      <c r="B9" s="6" t="s">
        <v>66</v>
      </c>
      <c r="C9" s="4" t="s">
        <v>4</v>
      </c>
      <c r="D9" s="6" t="s">
        <v>69</v>
      </c>
      <c r="E9" s="7">
        <v>156971.92999999999</v>
      </c>
      <c r="F9" s="7">
        <v>156971.92999999999</v>
      </c>
    </row>
    <row r="10" spans="1:6" ht="13.6" outlineLevel="2">
      <c r="A10" s="5" t="s">
        <v>34</v>
      </c>
      <c r="B10" s="6" t="s">
        <v>66</v>
      </c>
      <c r="C10" s="4" t="s">
        <v>4</v>
      </c>
      <c r="D10" s="6" t="s">
        <v>75</v>
      </c>
      <c r="E10" s="7">
        <v>10706.799999999999</v>
      </c>
      <c r="F10" s="7">
        <v>10706.799999999999</v>
      </c>
    </row>
    <row r="11" spans="1:6" ht="13.6" outlineLevel="2">
      <c r="A11" s="5" t="s">
        <v>34</v>
      </c>
      <c r="B11" s="6" t="s">
        <v>66</v>
      </c>
      <c r="C11" s="4" t="s">
        <v>5</v>
      </c>
      <c r="D11" s="6" t="s">
        <v>75</v>
      </c>
      <c r="E11" s="7">
        <v>10706.799999999999</v>
      </c>
      <c r="F11" s="7">
        <v>10706.799999999999</v>
      </c>
    </row>
    <row r="12" spans="1:6" ht="13.6" outlineLevel="2">
      <c r="A12" s="5" t="s">
        <v>34</v>
      </c>
      <c r="B12" s="6" t="s">
        <v>66</v>
      </c>
      <c r="C12" s="4" t="s">
        <v>4</v>
      </c>
      <c r="D12" s="6" t="s">
        <v>81</v>
      </c>
      <c r="E12" s="7">
        <v>2964.5900000000001</v>
      </c>
      <c r="F12" s="7">
        <v>2964.5900000000001</v>
      </c>
    </row>
    <row r="13" spans="1:6" ht="13.6" outlineLevel="2">
      <c r="A13" s="5" t="s">
        <v>34</v>
      </c>
      <c r="B13" s="6" t="s">
        <v>66</v>
      </c>
      <c r="C13" s="4" t="s">
        <v>5</v>
      </c>
      <c r="D13" s="6" t="s">
        <v>81</v>
      </c>
      <c r="E13" s="7">
        <v>2964.5900000000001</v>
      </c>
      <c r="F13" s="7">
        <v>2964.5900000000001</v>
      </c>
    </row>
    <row r="14" spans="1:6" ht="13.6" outlineLevel="2">
      <c r="A14" s="5" t="s">
        <v>34</v>
      </c>
      <c r="B14" s="6" t="s">
        <v>66</v>
      </c>
      <c r="C14" s="4" t="s">
        <v>36</v>
      </c>
      <c r="D14" s="6" t="s">
        <v>83</v>
      </c>
      <c r="E14" s="7">
        <v>116573.28999999999</v>
      </c>
      <c r="F14" s="7">
        <v>116573.28999999999</v>
      </c>
    </row>
    <row r="15" spans="1:6" ht="13.6" outlineLevel="2">
      <c r="A15" s="5" t="s">
        <v>34</v>
      </c>
      <c r="B15" s="6" t="s">
        <v>66</v>
      </c>
      <c r="C15" s="4" t="s">
        <v>5</v>
      </c>
      <c r="D15" s="6" t="s">
        <v>83</v>
      </c>
      <c r="E15" s="7">
        <v>233146.60999999999</v>
      </c>
      <c r="F15" s="7">
        <v>233146.60999999999</v>
      </c>
    </row>
    <row r="16" spans="1:6" ht="13.6" outlineLevel="2">
      <c r="A16" s="5" t="s">
        <v>34</v>
      </c>
      <c r="B16" s="6" t="s">
        <v>66</v>
      </c>
      <c r="C16" s="4" t="s">
        <v>36</v>
      </c>
      <c r="D16" s="6" t="s">
        <v>77</v>
      </c>
      <c r="E16" s="7">
        <v>6327.5200000000004</v>
      </c>
      <c r="F16" s="7">
        <v>6327.5200000000004</v>
      </c>
    </row>
    <row r="17" spans="1:6" ht="13.6" outlineLevel="2">
      <c r="A17" s="5" t="s">
        <v>34</v>
      </c>
      <c r="B17" s="6" t="s">
        <v>66</v>
      </c>
      <c r="C17" s="4" t="s">
        <v>5</v>
      </c>
      <c r="D17" s="6" t="s">
        <v>77</v>
      </c>
      <c r="E17" s="7">
        <v>12655.08</v>
      </c>
      <c r="F17" s="7">
        <v>12655.08</v>
      </c>
    </row>
    <row r="18" spans="1:6" ht="13.6" outlineLevel="2">
      <c r="A18" s="5" t="s">
        <v>34</v>
      </c>
      <c r="B18" s="6" t="s">
        <v>66</v>
      </c>
      <c r="C18" s="4" t="s">
        <v>36</v>
      </c>
      <c r="D18" s="6" t="s">
        <v>78</v>
      </c>
      <c r="E18" s="7">
        <v>1.3500000000000001</v>
      </c>
      <c r="F18" s="7">
        <v>1.3500000000000001</v>
      </c>
    </row>
    <row r="19" spans="1:6" ht="13.6" outlineLevel="2">
      <c r="A19" s="5" t="s">
        <v>34</v>
      </c>
      <c r="B19" s="6" t="s">
        <v>66</v>
      </c>
      <c r="C19" s="4" t="s">
        <v>5</v>
      </c>
      <c r="D19" s="6" t="s">
        <v>78</v>
      </c>
      <c r="E19" s="7">
        <v>2.7000000000000002</v>
      </c>
      <c r="F19" s="7">
        <v>2.7000000000000002</v>
      </c>
    </row>
    <row r="20" spans="2:7" ht="14.3" outlineLevel="1">
      <c r="B20" s="8" t="s">
        <v>63</v>
      </c>
      <c r="D20" s="6"/>
      <c r="E20" s="7">
        <f>SUBTOTAL(9,E2:E19)</f>
        <v>1686568.9400000002</v>
      </c>
      <c r="F20" s="7">
        <f>SUBTOTAL(9,F2:F19)</f>
        <v>1686568.9400000002</v>
      </c>
      <c r="G20" s="7">
        <f>SUBTOTAL(9,G2:G19)</f>
        <v>0</v>
      </c>
    </row>
    <row r="21" spans="1:6" ht="13.6" outlineLevel="2">
      <c r="A21" s="5" t="s">
        <v>3</v>
      </c>
      <c r="B21" s="6" t="s">
        <v>67</v>
      </c>
      <c r="C21" s="4" t="s">
        <v>22</v>
      </c>
      <c r="D21" s="6" t="s">
        <v>84</v>
      </c>
      <c r="E21" s="7">
        <v>0</v>
      </c>
      <c r="F21" s="7">
        <v>0</v>
      </c>
    </row>
    <row r="22" spans="1:7" ht="13.6" outlineLevel="2">
      <c r="A22" s="5" t="s">
        <v>3</v>
      </c>
      <c r="B22" s="6" t="s">
        <v>67</v>
      </c>
      <c r="C22" s="4" t="s">
        <v>14</v>
      </c>
      <c r="D22" s="6" t="s">
        <v>69</v>
      </c>
      <c r="E22" s="7">
        <v>30240.700000000001</v>
      </c>
      <c r="F22" s="7">
        <v>29106.821759316448</v>
      </c>
      <c r="G22" s="7">
        <v>1133.8782406835526</v>
      </c>
    </row>
    <row r="23" spans="1:7" ht="13.6" outlineLevel="2">
      <c r="A23" s="5" t="s">
        <v>3</v>
      </c>
      <c r="B23" s="6" t="s">
        <v>67</v>
      </c>
      <c r="C23" s="4" t="s">
        <v>31</v>
      </c>
      <c r="D23" s="6" t="s">
        <v>69</v>
      </c>
      <c r="E23" s="7">
        <v>8129.8599999999997</v>
      </c>
      <c r="F23" s="7">
        <v>7825.0300405809521</v>
      </c>
      <c r="G23" s="7">
        <v>304.82995941904755</v>
      </c>
    </row>
    <row r="24" spans="1:7" ht="13.6" outlineLevel="2">
      <c r="A24" s="5" t="s">
        <v>3</v>
      </c>
      <c r="B24" s="6" t="s">
        <v>67</v>
      </c>
      <c r="C24" s="4" t="s">
        <v>16</v>
      </c>
      <c r="D24" s="6" t="s">
        <v>69</v>
      </c>
      <c r="E24" s="7">
        <v>2134.5599999999999</v>
      </c>
      <c r="F24" s="7">
        <v>2054.524447336421</v>
      </c>
      <c r="G24" s="7">
        <v>80.035552663578983</v>
      </c>
    </row>
    <row r="25" spans="1:7" ht="13.6" outlineLevel="2">
      <c r="A25" s="5" t="s">
        <v>3</v>
      </c>
      <c r="B25" s="6" t="s">
        <v>67</v>
      </c>
      <c r="C25" s="4" t="s">
        <v>8</v>
      </c>
      <c r="D25" s="6" t="s">
        <v>69</v>
      </c>
      <c r="E25" s="7">
        <v>26979.799999999999</v>
      </c>
      <c r="F25" s="7">
        <v>25968.189549250044</v>
      </c>
      <c r="G25" s="7">
        <v>1011.6104507499549</v>
      </c>
    </row>
    <row r="26" spans="1:7" ht="13.6" outlineLevel="2">
      <c r="A26" s="5" t="s">
        <v>3</v>
      </c>
      <c r="B26" s="6" t="s">
        <v>67</v>
      </c>
      <c r="C26" s="4" t="s">
        <v>23</v>
      </c>
      <c r="D26" s="6" t="s">
        <v>69</v>
      </c>
      <c r="E26" s="7">
        <v>56627.650000000001</v>
      </c>
      <c r="F26" s="7">
        <v>54504.390281936459</v>
      </c>
      <c r="G26" s="7">
        <v>2123.2597180635421</v>
      </c>
    </row>
    <row r="27" spans="1:6" ht="13.6" outlineLevel="2">
      <c r="A27" s="5" t="s">
        <v>3</v>
      </c>
      <c r="B27" s="6" t="s">
        <v>67</v>
      </c>
      <c r="C27" s="4" t="s">
        <v>9</v>
      </c>
      <c r="D27" s="6" t="s">
        <v>69</v>
      </c>
      <c r="E27" s="7">
        <v>138647.19</v>
      </c>
      <c r="F27" s="7">
        <v>138647.19</v>
      </c>
    </row>
    <row r="28" spans="1:6" ht="13.6" outlineLevel="2">
      <c r="A28" s="5" t="s">
        <v>3</v>
      </c>
      <c r="B28" s="6" t="s">
        <v>67</v>
      </c>
      <c r="C28" s="4" t="s">
        <v>18</v>
      </c>
      <c r="D28" s="6" t="s">
        <v>69</v>
      </c>
      <c r="E28" s="7">
        <v>20409.259999999998</v>
      </c>
      <c r="F28" s="7">
        <v>20409.259999999998</v>
      </c>
    </row>
    <row r="29" spans="1:6" ht="13.6" outlineLevel="2">
      <c r="A29" s="5" t="s">
        <v>3</v>
      </c>
      <c r="B29" s="6" t="s">
        <v>67</v>
      </c>
      <c r="C29" s="4" t="s">
        <v>29</v>
      </c>
      <c r="D29" s="6" t="s">
        <v>69</v>
      </c>
      <c r="E29" s="7">
        <v>25481.450000000001</v>
      </c>
      <c r="F29" s="7">
        <v>25481.450000000001</v>
      </c>
    </row>
    <row r="30" spans="1:6" ht="13.6" outlineLevel="2">
      <c r="A30" s="5" t="s">
        <v>3</v>
      </c>
      <c r="B30" s="6" t="s">
        <v>67</v>
      </c>
      <c r="C30" s="4" t="s">
        <v>28</v>
      </c>
      <c r="D30" s="6" t="s">
        <v>69</v>
      </c>
      <c r="E30" s="7">
        <v>51293.370000000003</v>
      </c>
      <c r="F30" s="7">
        <v>51293.370000000003</v>
      </c>
    </row>
    <row r="31" spans="1:6" ht="13.6" outlineLevel="2">
      <c r="A31" s="5" t="s">
        <v>3</v>
      </c>
      <c r="B31" s="6" t="s">
        <v>67</v>
      </c>
      <c r="C31" s="4" t="s">
        <v>22</v>
      </c>
      <c r="D31" s="6" t="s">
        <v>69</v>
      </c>
      <c r="E31" s="7">
        <v>262736.94</v>
      </c>
      <c r="F31" s="7">
        <v>262736.94</v>
      </c>
    </row>
    <row r="32" spans="1:6" ht="13.6" outlineLevel="2">
      <c r="A32" s="5" t="s">
        <v>3</v>
      </c>
      <c r="B32" s="6" t="s">
        <v>67</v>
      </c>
      <c r="C32" s="4" t="s">
        <v>68</v>
      </c>
      <c r="D32" s="6" t="s">
        <v>69</v>
      </c>
      <c r="E32" s="7">
        <v>0</v>
      </c>
      <c r="F32" s="7">
        <v>0</v>
      </c>
    </row>
    <row r="33" spans="1:6" ht="13.6" outlineLevel="2">
      <c r="A33" s="5" t="s">
        <v>3</v>
      </c>
      <c r="B33" s="6" t="s">
        <v>67</v>
      </c>
      <c r="C33" s="4" t="s">
        <v>24</v>
      </c>
      <c r="D33" s="6" t="s">
        <v>69</v>
      </c>
      <c r="E33" s="7">
        <v>484501.51000000001</v>
      </c>
      <c r="F33" s="7">
        <v>484501.51000000001</v>
      </c>
    </row>
    <row r="34" spans="1:6" ht="13.6" outlineLevel="2">
      <c r="A34" s="5" t="s">
        <v>3</v>
      </c>
      <c r="B34" s="6" t="s">
        <v>67</v>
      </c>
      <c r="C34" s="4" t="s">
        <v>12</v>
      </c>
      <c r="D34" s="6" t="s">
        <v>69</v>
      </c>
      <c r="E34" s="7">
        <v>40620.400000000001</v>
      </c>
      <c r="F34" s="7">
        <v>40620.400000000001</v>
      </c>
    </row>
    <row r="35" spans="1:6" ht="13.6" outlineLevel="2">
      <c r="A35" s="5" t="s">
        <v>3</v>
      </c>
      <c r="B35" s="6" t="s">
        <v>67</v>
      </c>
      <c r="C35" s="4" t="s">
        <v>11</v>
      </c>
      <c r="D35" s="6" t="s">
        <v>69</v>
      </c>
      <c r="E35" s="7">
        <v>5506.4700000000003</v>
      </c>
      <c r="F35" s="7">
        <v>5506.4700000000003</v>
      </c>
    </row>
    <row r="36" spans="1:6" ht="13.6" outlineLevel="2">
      <c r="A36" s="5" t="s">
        <v>3</v>
      </c>
      <c r="B36" s="6" t="s">
        <v>67</v>
      </c>
      <c r="C36" s="4" t="s">
        <v>10</v>
      </c>
      <c r="D36" s="6" t="s">
        <v>69</v>
      </c>
      <c r="E36" s="7">
        <v>26567.560000000001</v>
      </c>
      <c r="F36" s="7">
        <v>26567.560000000001</v>
      </c>
    </row>
    <row r="37" spans="1:6" ht="13.6" outlineLevel="2">
      <c r="A37" s="5" t="s">
        <v>3</v>
      </c>
      <c r="B37" s="6" t="s">
        <v>67</v>
      </c>
      <c r="C37" s="4" t="s">
        <v>15</v>
      </c>
      <c r="D37" s="6" t="s">
        <v>69</v>
      </c>
      <c r="E37" s="7">
        <v>4717.0699999999997</v>
      </c>
      <c r="F37" s="7">
        <v>4717.0699999999997</v>
      </c>
    </row>
    <row r="38" spans="1:7" ht="13.6" outlineLevel="2">
      <c r="A38" s="5" t="s">
        <v>3</v>
      </c>
      <c r="B38" s="6" t="s">
        <v>67</v>
      </c>
      <c r="C38" s="4" t="s">
        <v>7</v>
      </c>
      <c r="D38" s="6" t="s">
        <v>70</v>
      </c>
      <c r="E38" s="7">
        <v>0</v>
      </c>
      <c r="F38" s="7">
        <v>0</v>
      </c>
      <c r="G38" s="7">
        <v>0</v>
      </c>
    </row>
    <row r="39" spans="1:7" ht="13.6" outlineLevel="2">
      <c r="A39" s="5" t="s">
        <v>3</v>
      </c>
      <c r="B39" s="6" t="s">
        <v>67</v>
      </c>
      <c r="C39" s="4" t="s">
        <v>21</v>
      </c>
      <c r="D39" s="6" t="s">
        <v>70</v>
      </c>
      <c r="E39" s="7">
        <v>0</v>
      </c>
      <c r="F39" s="7">
        <v>0</v>
      </c>
      <c r="G39" s="7">
        <v>0</v>
      </c>
    </row>
    <row r="40" spans="1:6" ht="13.6" outlineLevel="2">
      <c r="A40" s="5" t="s">
        <v>3</v>
      </c>
      <c r="B40" s="6" t="s">
        <v>67</v>
      </c>
      <c r="C40" s="4" t="s">
        <v>26</v>
      </c>
      <c r="D40" s="6" t="s">
        <v>70</v>
      </c>
      <c r="E40" s="7">
        <v>0</v>
      </c>
      <c r="F40" s="7">
        <v>0</v>
      </c>
    </row>
    <row r="41" spans="1:7" ht="13.6" outlineLevel="2">
      <c r="A41" s="5" t="s">
        <v>3</v>
      </c>
      <c r="B41" s="6" t="s">
        <v>67</v>
      </c>
      <c r="C41" s="4" t="s">
        <v>7</v>
      </c>
      <c r="D41" s="6" t="s">
        <v>71</v>
      </c>
      <c r="E41" s="7">
        <v>0</v>
      </c>
      <c r="F41" s="7">
        <v>0</v>
      </c>
      <c r="G41" s="7">
        <v>0</v>
      </c>
    </row>
    <row r="42" spans="1:7" ht="13.6" outlineLevel="2">
      <c r="A42" s="5" t="s">
        <v>3</v>
      </c>
      <c r="B42" s="6" t="s">
        <v>67</v>
      </c>
      <c r="C42" s="4" t="s">
        <v>21</v>
      </c>
      <c r="D42" s="6" t="s">
        <v>71</v>
      </c>
      <c r="E42" s="7">
        <v>0</v>
      </c>
      <c r="F42" s="7">
        <v>0</v>
      </c>
      <c r="G42" s="7">
        <v>0</v>
      </c>
    </row>
    <row r="43" spans="1:6" ht="13.6" outlineLevel="2">
      <c r="A43" s="5" t="s">
        <v>3</v>
      </c>
      <c r="B43" s="6" t="s">
        <v>67</v>
      </c>
      <c r="C43" s="4" t="s">
        <v>26</v>
      </c>
      <c r="D43" s="6" t="s">
        <v>71</v>
      </c>
      <c r="E43" s="7">
        <v>0</v>
      </c>
      <c r="F43" s="7">
        <v>0</v>
      </c>
    </row>
    <row r="44" spans="1:6" ht="13.6" outlineLevel="2">
      <c r="A44" s="5" t="s">
        <v>3</v>
      </c>
      <c r="B44" s="6" t="s">
        <v>67</v>
      </c>
      <c r="C44" s="4" t="s">
        <v>20</v>
      </c>
      <c r="D44" s="6" t="s">
        <v>79</v>
      </c>
      <c r="E44" s="7">
        <v>0</v>
      </c>
      <c r="F44" s="7">
        <v>0</v>
      </c>
    </row>
    <row r="45" spans="1:6" ht="13.6" outlineLevel="2">
      <c r="A45" s="5" t="s">
        <v>3</v>
      </c>
      <c r="B45" s="6" t="s">
        <v>67</v>
      </c>
      <c r="C45" s="4" t="s">
        <v>20</v>
      </c>
      <c r="D45" s="6" t="s">
        <v>79</v>
      </c>
      <c r="E45" s="7">
        <v>59482.93</v>
      </c>
      <c r="F45" s="7">
        <v>59482.93</v>
      </c>
    </row>
    <row r="46" spans="1:7" ht="13.6" outlineLevel="2">
      <c r="A46" s="5" t="s">
        <v>3</v>
      </c>
      <c r="B46" s="6" t="s">
        <v>67</v>
      </c>
      <c r="C46" s="4" t="s">
        <v>32</v>
      </c>
      <c r="D46" s="6" t="s">
        <v>79</v>
      </c>
      <c r="E46" s="7">
        <v>0</v>
      </c>
      <c r="G46" s="7">
        <v>0</v>
      </c>
    </row>
    <row r="47" spans="1:7" ht="13.6" outlineLevel="2">
      <c r="A47" s="5" t="s">
        <v>3</v>
      </c>
      <c r="B47" s="6" t="s">
        <v>67</v>
      </c>
      <c r="C47" s="4" t="s">
        <v>32</v>
      </c>
      <c r="D47" s="6" t="s">
        <v>79</v>
      </c>
      <c r="E47" s="7">
        <v>15517.280000000001</v>
      </c>
      <c r="G47" s="7">
        <v>15517.280000000001</v>
      </c>
    </row>
    <row r="48" spans="1:6" ht="13.6" outlineLevel="2">
      <c r="A48" s="5" t="s">
        <v>3</v>
      </c>
      <c r="B48" s="6" t="s">
        <v>67</v>
      </c>
      <c r="C48" s="4" t="s">
        <v>33</v>
      </c>
      <c r="D48" s="6" t="s">
        <v>79</v>
      </c>
      <c r="E48" s="7">
        <v>0</v>
      </c>
      <c r="F48" s="7">
        <v>0</v>
      </c>
    </row>
    <row r="49" spans="1:6" ht="13.6" outlineLevel="2">
      <c r="A49" s="5" t="s">
        <v>3</v>
      </c>
      <c r="B49" s="6" t="s">
        <v>67</v>
      </c>
      <c r="C49" s="4" t="s">
        <v>33</v>
      </c>
      <c r="D49" s="6" t="s">
        <v>79</v>
      </c>
      <c r="E49" s="7">
        <v>1293.0999999999999</v>
      </c>
      <c r="F49" s="7">
        <v>1293.0999999999999</v>
      </c>
    </row>
    <row r="50" spans="1:6" ht="13.6" outlineLevel="2">
      <c r="A50" s="5" t="s">
        <v>3</v>
      </c>
      <c r="B50" s="6" t="s">
        <v>67</v>
      </c>
      <c r="C50" s="4" t="s">
        <v>33</v>
      </c>
      <c r="D50" s="6" t="s">
        <v>79</v>
      </c>
      <c r="E50" s="7">
        <v>0</v>
      </c>
      <c r="F50" s="7">
        <v>0</v>
      </c>
    </row>
    <row r="51" spans="1:7" ht="13.6" outlineLevel="2">
      <c r="A51" s="5" t="s">
        <v>3</v>
      </c>
      <c r="B51" s="6" t="s">
        <v>67</v>
      </c>
      <c r="C51" s="4" t="s">
        <v>14</v>
      </c>
      <c r="D51" s="6" t="s">
        <v>74</v>
      </c>
      <c r="E51" s="7">
        <v>6033.1099999999997</v>
      </c>
      <c r="F51" s="7">
        <v>5806.8979033008372</v>
      </c>
      <c r="G51" s="7">
        <v>226.21209669916243</v>
      </c>
    </row>
    <row r="52" spans="1:7" ht="13.6" outlineLevel="2">
      <c r="A52" s="5" t="s">
        <v>3</v>
      </c>
      <c r="B52" s="6" t="s">
        <v>67</v>
      </c>
      <c r="C52" s="4" t="s">
        <v>21</v>
      </c>
      <c r="D52" s="6" t="s">
        <v>74</v>
      </c>
      <c r="E52" s="7">
        <v>0</v>
      </c>
      <c r="F52" s="7">
        <v>0</v>
      </c>
      <c r="G52" s="7">
        <v>0</v>
      </c>
    </row>
    <row r="53" spans="1:7" ht="13.6" outlineLevel="2">
      <c r="A53" s="5" t="s">
        <v>3</v>
      </c>
      <c r="B53" s="6" t="s">
        <v>67</v>
      </c>
      <c r="C53" s="4" t="s">
        <v>23</v>
      </c>
      <c r="D53" s="6" t="s">
        <v>74</v>
      </c>
      <c r="E53" s="7">
        <v>184.06999999999999</v>
      </c>
      <c r="F53" s="7">
        <v>177.16827590754772</v>
      </c>
      <c r="G53" s="7">
        <v>6.9017240924522696</v>
      </c>
    </row>
    <row r="54" spans="1:7" ht="13.6" outlineLevel="2">
      <c r="A54" s="5" t="s">
        <v>3</v>
      </c>
      <c r="B54" s="6" t="s">
        <v>67</v>
      </c>
      <c r="C54" s="4" t="s">
        <v>32</v>
      </c>
      <c r="D54" s="6" t="s">
        <v>74</v>
      </c>
      <c r="E54" s="7">
        <v>861.87</v>
      </c>
      <c r="G54" s="7">
        <v>861.87</v>
      </c>
    </row>
    <row r="55" spans="1:7" ht="13.6" outlineLevel="2">
      <c r="A55" s="5" t="s">
        <v>3</v>
      </c>
      <c r="B55" s="6" t="s">
        <v>67</v>
      </c>
      <c r="C55" s="4" t="s">
        <v>32</v>
      </c>
      <c r="D55" s="6" t="s">
        <v>74</v>
      </c>
      <c r="E55" s="7">
        <v>6953.96</v>
      </c>
      <c r="G55" s="7">
        <v>6953.96</v>
      </c>
    </row>
    <row r="56" spans="1:6" ht="13.6" outlineLevel="2">
      <c r="A56" s="5" t="s">
        <v>3</v>
      </c>
      <c r="B56" s="6" t="s">
        <v>67</v>
      </c>
      <c r="C56" s="4" t="s">
        <v>9</v>
      </c>
      <c r="D56" s="6" t="s">
        <v>74</v>
      </c>
      <c r="E56" s="7">
        <v>8618.7299999999996</v>
      </c>
      <c r="F56" s="7">
        <v>8618.7299999999996</v>
      </c>
    </row>
    <row r="57" spans="1:6" ht="13.6" outlineLevel="2">
      <c r="A57" s="5" t="s">
        <v>3</v>
      </c>
      <c r="B57" s="6" t="s">
        <v>67</v>
      </c>
      <c r="C57" s="4" t="s">
        <v>13</v>
      </c>
      <c r="D57" s="6" t="s">
        <v>74</v>
      </c>
      <c r="E57" s="7">
        <v>7756.8500000000004</v>
      </c>
      <c r="F57" s="7">
        <v>7756.8500000000004</v>
      </c>
    </row>
    <row r="58" spans="1:6" ht="13.6" outlineLevel="2">
      <c r="A58" s="5" t="s">
        <v>3</v>
      </c>
      <c r="B58" s="6" t="s">
        <v>67</v>
      </c>
      <c r="C58" s="4" t="s">
        <v>25</v>
      </c>
      <c r="D58" s="6" t="s">
        <v>74</v>
      </c>
      <c r="E58" s="7">
        <v>25856.169999999998</v>
      </c>
      <c r="F58" s="7">
        <v>25856.169999999998</v>
      </c>
    </row>
    <row r="59" spans="1:6" ht="13.6" outlineLevel="2">
      <c r="A59" s="5" t="s">
        <v>3</v>
      </c>
      <c r="B59" s="6" t="s">
        <v>67</v>
      </c>
      <c r="C59" s="4" t="s">
        <v>19</v>
      </c>
      <c r="D59" s="6" t="s">
        <v>74</v>
      </c>
      <c r="E59" s="7">
        <v>1723.74</v>
      </c>
      <c r="F59" s="7">
        <v>1723.74</v>
      </c>
    </row>
    <row r="60" spans="1:6" ht="13.6" outlineLevel="2">
      <c r="A60" s="5" t="s">
        <v>3</v>
      </c>
      <c r="B60" s="6" t="s">
        <v>67</v>
      </c>
      <c r="C60" s="4" t="s">
        <v>28</v>
      </c>
      <c r="D60" s="6" t="s">
        <v>74</v>
      </c>
      <c r="E60" s="7">
        <v>6894.9799999999996</v>
      </c>
      <c r="F60" s="7">
        <v>6894.9799999999996</v>
      </c>
    </row>
    <row r="61" spans="1:6" ht="13.6" outlineLevel="2">
      <c r="A61" s="5" t="s">
        <v>3</v>
      </c>
      <c r="B61" s="6" t="s">
        <v>67</v>
      </c>
      <c r="C61" s="4" t="s">
        <v>28</v>
      </c>
      <c r="D61" s="6" t="s">
        <v>74</v>
      </c>
      <c r="E61" s="7">
        <v>772.65999999999997</v>
      </c>
      <c r="F61" s="7">
        <v>772.65999999999997</v>
      </c>
    </row>
    <row r="62" spans="1:6" ht="13.6" outlineLevel="2">
      <c r="A62" s="5" t="s">
        <v>3</v>
      </c>
      <c r="B62" s="6" t="s">
        <v>67</v>
      </c>
      <c r="C62" s="4" t="s">
        <v>22</v>
      </c>
      <c r="D62" s="6" t="s">
        <v>74</v>
      </c>
      <c r="E62" s="7">
        <v>14651.83</v>
      </c>
      <c r="F62" s="7">
        <v>14651.83</v>
      </c>
    </row>
    <row r="63" spans="1:6" ht="13.6" outlineLevel="2">
      <c r="A63" s="5" t="s">
        <v>3</v>
      </c>
      <c r="B63" s="6" t="s">
        <v>67</v>
      </c>
      <c r="C63" s="4" t="s">
        <v>24</v>
      </c>
      <c r="D63" s="6" t="s">
        <v>74</v>
      </c>
      <c r="E63" s="7">
        <v>10342.469999999999</v>
      </c>
      <c r="F63" s="7">
        <v>10342.469999999999</v>
      </c>
    </row>
    <row r="64" spans="1:7" ht="13.6" outlineLevel="2">
      <c r="A64" s="5" t="s">
        <v>3</v>
      </c>
      <c r="B64" s="6" t="s">
        <v>67</v>
      </c>
      <c r="C64" s="4" t="s">
        <v>7</v>
      </c>
      <c r="D64" s="6" t="s">
        <v>72</v>
      </c>
      <c r="E64" s="7">
        <v>280.5</v>
      </c>
      <c r="F64" s="7">
        <v>269.98262287209832</v>
      </c>
      <c r="G64" s="7">
        <v>10.517377127901682</v>
      </c>
    </row>
    <row r="65" spans="1:7" ht="13.6" outlineLevel="2">
      <c r="A65" s="5" t="s">
        <v>3</v>
      </c>
      <c r="B65" s="6" t="s">
        <v>67</v>
      </c>
      <c r="C65" s="4" t="s">
        <v>14</v>
      </c>
      <c r="D65" s="6" t="s">
        <v>72</v>
      </c>
      <c r="E65" s="7">
        <v>0</v>
      </c>
      <c r="F65" s="7">
        <v>0</v>
      </c>
      <c r="G65" s="7">
        <v>0</v>
      </c>
    </row>
    <row r="66" spans="1:7" ht="13.6" outlineLevel="2">
      <c r="A66" s="5" t="s">
        <v>3</v>
      </c>
      <c r="B66" s="6" t="s">
        <v>67</v>
      </c>
      <c r="C66" s="4" t="s">
        <v>14</v>
      </c>
      <c r="D66" s="6" t="s">
        <v>72</v>
      </c>
      <c r="E66" s="7">
        <v>1178.6900000000001</v>
      </c>
      <c r="F66" s="7">
        <v>1134.4948939504941</v>
      </c>
      <c r="G66" s="7">
        <v>44.195106049505966</v>
      </c>
    </row>
    <row r="67" spans="1:7" ht="13.6" outlineLevel="2">
      <c r="A67" s="5" t="s">
        <v>3</v>
      </c>
      <c r="B67" s="6" t="s">
        <v>67</v>
      </c>
      <c r="C67" s="4" t="s">
        <v>23</v>
      </c>
      <c r="D67" s="6" t="s">
        <v>72</v>
      </c>
      <c r="E67" s="7">
        <v>7822.2399999999998</v>
      </c>
      <c r="F67" s="7">
        <v>7528.9442849734123</v>
      </c>
      <c r="G67" s="7">
        <v>293.29571502658746</v>
      </c>
    </row>
    <row r="68" spans="1:7" ht="13.6" outlineLevel="2">
      <c r="A68" s="5" t="s">
        <v>3</v>
      </c>
      <c r="B68" s="6" t="s">
        <v>67</v>
      </c>
      <c r="C68" s="4" t="s">
        <v>27</v>
      </c>
      <c r="D68" s="6" t="s">
        <v>72</v>
      </c>
      <c r="E68" s="7">
        <v>1714.46</v>
      </c>
      <c r="G68" s="7">
        <v>1714.46</v>
      </c>
    </row>
    <row r="69" spans="1:7" ht="13.6" outlineLevel="2">
      <c r="A69" s="5" t="s">
        <v>3</v>
      </c>
      <c r="B69" s="6" t="s">
        <v>67</v>
      </c>
      <c r="C69" s="4" t="s">
        <v>21</v>
      </c>
      <c r="D69" s="6" t="s">
        <v>76</v>
      </c>
      <c r="E69" s="7">
        <v>0</v>
      </c>
      <c r="F69" s="7">
        <v>0</v>
      </c>
      <c r="G69" s="7">
        <v>0</v>
      </c>
    </row>
    <row r="70" spans="1:7" ht="13.6" outlineLevel="2">
      <c r="A70" s="5" t="s">
        <v>3</v>
      </c>
      <c r="B70" s="6" t="s">
        <v>67</v>
      </c>
      <c r="C70" s="4" t="s">
        <v>17</v>
      </c>
      <c r="D70" s="6" t="s">
        <v>76</v>
      </c>
      <c r="E70" s="7">
        <v>183.94999999999999</v>
      </c>
      <c r="F70" s="7">
        <v>177.05277532022274</v>
      </c>
      <c r="G70" s="7">
        <v>6.8972246797772527</v>
      </c>
    </row>
    <row r="71" spans="1:7" ht="13.6" outlineLevel="2">
      <c r="A71" s="5" t="s">
        <v>3</v>
      </c>
      <c r="B71" s="6" t="s">
        <v>67</v>
      </c>
      <c r="C71" s="4" t="s">
        <v>7</v>
      </c>
      <c r="D71" s="6" t="s">
        <v>73</v>
      </c>
      <c r="E71" s="7">
        <v>786.35000000000002</v>
      </c>
      <c r="F71" s="7">
        <v>756.86572369153123</v>
      </c>
      <c r="G71" s="7">
        <v>29.484276308468793</v>
      </c>
    </row>
    <row r="72" spans="1:6" ht="13.6" outlineLevel="2">
      <c r="A72" s="5" t="s">
        <v>3</v>
      </c>
      <c r="B72" s="6" t="s">
        <v>67</v>
      </c>
      <c r="C72" s="4" t="s">
        <v>20</v>
      </c>
      <c r="D72" s="6" t="s">
        <v>80</v>
      </c>
      <c r="E72" s="7">
        <v>-14491.51</v>
      </c>
      <c r="F72" s="7">
        <v>-14491.51</v>
      </c>
    </row>
    <row r="73" spans="1:7" ht="13.6" outlineLevel="2">
      <c r="A73" s="5" t="s">
        <v>3</v>
      </c>
      <c r="B73" s="6" t="s">
        <v>67</v>
      </c>
      <c r="C73" s="4" t="s">
        <v>32</v>
      </c>
      <c r="D73" s="6" t="s">
        <v>80</v>
      </c>
      <c r="E73" s="7">
        <v>-3780.3899999999999</v>
      </c>
      <c r="G73" s="7">
        <v>-3780.3899999999999</v>
      </c>
    </row>
    <row r="74" spans="1:6" ht="13.6" outlineLevel="2">
      <c r="A74" s="5" t="s">
        <v>3</v>
      </c>
      <c r="B74" s="6" t="s">
        <v>67</v>
      </c>
      <c r="C74" s="4" t="s">
        <v>33</v>
      </c>
      <c r="D74" s="6" t="s">
        <v>80</v>
      </c>
      <c r="E74" s="7">
        <v>-315.02999999999997</v>
      </c>
      <c r="F74" s="7">
        <v>-315.02999999999997</v>
      </c>
    </row>
    <row r="75" spans="1:6" ht="13.6" outlineLevel="2">
      <c r="A75" s="5" t="s">
        <v>3</v>
      </c>
      <c r="B75" s="6" t="s">
        <v>67</v>
      </c>
      <c r="C75" s="4" t="s">
        <v>33</v>
      </c>
      <c r="D75" s="6" t="s">
        <v>80</v>
      </c>
      <c r="E75" s="7">
        <v>-12916.34</v>
      </c>
      <c r="F75" s="7">
        <v>-12916.34</v>
      </c>
    </row>
    <row r="76" spans="1:6" ht="13.6" outlineLevel="2">
      <c r="A76" s="5" t="s">
        <v>3</v>
      </c>
      <c r="B76" s="6" t="s">
        <v>67</v>
      </c>
      <c r="C76" s="4" t="s">
        <v>33</v>
      </c>
      <c r="D76" s="6" t="s">
        <v>80</v>
      </c>
      <c r="E76" s="7">
        <v>52673.989999999998</v>
      </c>
      <c r="F76" s="7">
        <v>52673.989999999998</v>
      </c>
    </row>
    <row r="77" spans="1:6" ht="13.6" outlineLevel="2">
      <c r="A77" s="5" t="s">
        <v>3</v>
      </c>
      <c r="B77" s="6" t="s">
        <v>67</v>
      </c>
      <c r="C77" s="4" t="s">
        <v>26</v>
      </c>
      <c r="D77" s="6" t="s">
        <v>75</v>
      </c>
      <c r="E77" s="7">
        <v>53097.510000000002</v>
      </c>
      <c r="F77" s="7">
        <v>53097.510000000002</v>
      </c>
    </row>
    <row r="78" spans="1:6" ht="13.6" outlineLevel="2">
      <c r="A78" s="5" t="s">
        <v>3</v>
      </c>
      <c r="B78" s="6" t="s">
        <v>67</v>
      </c>
      <c r="C78" s="4" t="s">
        <v>30</v>
      </c>
      <c r="D78" s="6" t="s">
        <v>75</v>
      </c>
      <c r="E78" s="7">
        <v>112441.8</v>
      </c>
      <c r="F78" s="7">
        <v>112441.8</v>
      </c>
    </row>
    <row r="79" spans="1:6" ht="13.6" outlineLevel="2">
      <c r="A79" s="5" t="s">
        <v>3</v>
      </c>
      <c r="B79" s="6" t="s">
        <v>67</v>
      </c>
      <c r="C79" s="4" t="s">
        <v>26</v>
      </c>
      <c r="D79" s="6" t="s">
        <v>81</v>
      </c>
      <c r="E79" s="7">
        <v>-5401.1499999999996</v>
      </c>
      <c r="F79" s="7">
        <v>-5401.1499999999996</v>
      </c>
    </row>
    <row r="80" spans="1:6" ht="13.6" outlineLevel="2">
      <c r="A80" s="5" t="s">
        <v>3</v>
      </c>
      <c r="B80" s="6" t="s">
        <v>67</v>
      </c>
      <c r="C80" s="4" t="s">
        <v>30</v>
      </c>
      <c r="D80" s="6" t="s">
        <v>81</v>
      </c>
      <c r="E80" s="7">
        <v>-11437.700000000001</v>
      </c>
      <c r="F80" s="7">
        <v>-11437.700000000001</v>
      </c>
    </row>
    <row r="81" spans="1:6" ht="13.6" outlineLevel="2">
      <c r="A81" s="5" t="s">
        <v>3</v>
      </c>
      <c r="B81" s="6" t="s">
        <v>67</v>
      </c>
      <c r="C81" s="4" t="s">
        <v>26</v>
      </c>
      <c r="D81" s="6" t="s">
        <v>82</v>
      </c>
      <c r="E81" s="7">
        <v>-374.24000000000001</v>
      </c>
      <c r="F81" s="7">
        <v>-374.24000000000001</v>
      </c>
    </row>
    <row r="82" spans="1:6" ht="13.6" outlineLevel="2">
      <c r="A82" s="5" t="s">
        <v>3</v>
      </c>
      <c r="B82" s="6" t="s">
        <v>67</v>
      </c>
      <c r="C82" s="4" t="s">
        <v>30</v>
      </c>
      <c r="D82" s="6" t="s">
        <v>82</v>
      </c>
      <c r="E82" s="7">
        <v>-792.5</v>
      </c>
      <c r="F82" s="7">
        <v>-792.5</v>
      </c>
    </row>
    <row r="83" spans="1:6" ht="13.6" outlineLevel="2">
      <c r="A83" s="5" t="s">
        <v>3</v>
      </c>
      <c r="B83" s="6" t="s">
        <v>67</v>
      </c>
      <c r="C83" s="4" t="s">
        <v>15</v>
      </c>
      <c r="D83" s="6" t="s">
        <v>82</v>
      </c>
      <c r="E83" s="7">
        <v>50675.099999999999</v>
      </c>
      <c r="F83" s="7">
        <v>50675.099999999999</v>
      </c>
    </row>
    <row r="84" spans="1:6" ht="13.6" outlineLevel="2">
      <c r="A84" s="5" t="s">
        <v>3</v>
      </c>
      <c r="B84" s="6" t="s">
        <v>67</v>
      </c>
      <c r="C84" s="4" t="s">
        <v>26</v>
      </c>
      <c r="D84" s="6" t="s">
        <v>83</v>
      </c>
      <c r="E84" s="7">
        <v>-25.870000000000001</v>
      </c>
      <c r="F84" s="7">
        <v>-25.870000000000001</v>
      </c>
    </row>
    <row r="85" spans="1:6" ht="13.6" outlineLevel="2">
      <c r="A85" s="5" t="s">
        <v>3</v>
      </c>
      <c r="B85" s="6" t="s">
        <v>67</v>
      </c>
      <c r="C85" s="4" t="s">
        <v>30</v>
      </c>
      <c r="D85" s="6" t="s">
        <v>83</v>
      </c>
      <c r="E85" s="7">
        <v>-54.810000000000002</v>
      </c>
      <c r="F85" s="7">
        <v>-54.810000000000002</v>
      </c>
    </row>
    <row r="86" spans="1:7" ht="13.6" outlineLevel="2">
      <c r="A86" s="5" t="s">
        <v>3</v>
      </c>
      <c r="B86" s="6" t="s">
        <v>67</v>
      </c>
      <c r="C86" s="4" t="s">
        <v>21</v>
      </c>
      <c r="D86" s="6" t="s">
        <v>77</v>
      </c>
      <c r="E86" s="7">
        <v>1716.8299999999999</v>
      </c>
      <c r="F86" s="7">
        <v>1652.4572778092852</v>
      </c>
      <c r="G86" s="7">
        <v>64.37272219071474</v>
      </c>
    </row>
    <row r="87" spans="1:7" ht="13.6" outlineLevel="2">
      <c r="A87" s="5" t="s">
        <v>3</v>
      </c>
      <c r="B87" s="6" t="s">
        <v>67</v>
      </c>
      <c r="C87" s="4" t="s">
        <v>21</v>
      </c>
      <c r="D87" s="6" t="s">
        <v>78</v>
      </c>
      <c r="E87" s="7">
        <v>1714.0699999999999</v>
      </c>
      <c r="F87" s="7">
        <v>1649.8007643008111</v>
      </c>
      <c r="G87" s="7">
        <v>64.269235699188812</v>
      </c>
    </row>
    <row r="88" spans="1:7" ht="13.6" outlineLevel="2">
      <c r="A88" s="5" t="s">
        <v>34</v>
      </c>
      <c r="B88" s="6" t="s">
        <v>67</v>
      </c>
      <c r="C88" s="4" t="s">
        <v>44</v>
      </c>
      <c r="D88" s="6" t="s">
        <v>69</v>
      </c>
      <c r="E88" s="7">
        <v>218858.48999999999</v>
      </c>
      <c r="F88" s="7">
        <v>129648.2210152083</v>
      </c>
      <c r="G88" s="7">
        <v>89210.268984791692</v>
      </c>
    </row>
    <row r="89" spans="1:7" ht="13.6" outlineLevel="2">
      <c r="A89" s="5" t="s">
        <v>34</v>
      </c>
      <c r="B89" s="6" t="s">
        <v>67</v>
      </c>
      <c r="C89" s="4" t="s">
        <v>45</v>
      </c>
      <c r="D89" s="6" t="s">
        <v>69</v>
      </c>
      <c r="E89" s="7">
        <v>328448.85999999999</v>
      </c>
      <c r="F89" s="7">
        <v>194567.77936041323</v>
      </c>
      <c r="G89" s="7">
        <v>133881.08063958676</v>
      </c>
    </row>
    <row r="90" spans="1:7" ht="13.6" outlineLevel="2">
      <c r="A90" s="5" t="s">
        <v>34</v>
      </c>
      <c r="B90" s="6" t="s">
        <v>67</v>
      </c>
      <c r="C90" s="4" t="s">
        <v>21</v>
      </c>
      <c r="D90" s="6" t="s">
        <v>69</v>
      </c>
      <c r="E90" s="7">
        <v>80581.309999999998</v>
      </c>
      <c r="F90" s="7">
        <v>47735.061539422182</v>
      </c>
      <c r="G90" s="7">
        <v>32846.248460577815</v>
      </c>
    </row>
    <row r="91" spans="1:7" ht="13.6" outlineLevel="2">
      <c r="A91" s="5" t="s">
        <v>34</v>
      </c>
      <c r="B91" s="6" t="s">
        <v>67</v>
      </c>
      <c r="C91" s="4" t="s">
        <v>31</v>
      </c>
      <c r="D91" s="6" t="s">
        <v>69</v>
      </c>
      <c r="E91" s="7">
        <v>132153.23000000001</v>
      </c>
      <c r="F91" s="7">
        <v>78285.430786412064</v>
      </c>
      <c r="G91" s="7">
        <v>53867.799213587947</v>
      </c>
    </row>
    <row r="92" spans="1:7" ht="13.6" outlineLevel="2">
      <c r="A92" s="5" t="s">
        <v>34</v>
      </c>
      <c r="B92" s="6" t="s">
        <v>67</v>
      </c>
      <c r="C92" s="4" t="s">
        <v>8</v>
      </c>
      <c r="D92" s="6" t="s">
        <v>69</v>
      </c>
      <c r="E92" s="7">
        <v>547146.53000000003</v>
      </c>
      <c r="F92" s="7">
        <v>324120.73321507563</v>
      </c>
      <c r="G92" s="7">
        <v>223025.7967849244</v>
      </c>
    </row>
    <row r="93" spans="1:7" ht="13.6" outlineLevel="2">
      <c r="A93" s="5" t="s">
        <v>34</v>
      </c>
      <c r="B93" s="6" t="s">
        <v>67</v>
      </c>
      <c r="C93" s="4" t="s">
        <v>17</v>
      </c>
      <c r="D93" s="6" t="s">
        <v>69</v>
      </c>
      <c r="E93" s="7">
        <v>109429.24000000001</v>
      </c>
      <c r="F93" s="7">
        <v>64824.10754568522</v>
      </c>
      <c r="G93" s="7">
        <v>44605.132454314786</v>
      </c>
    </row>
    <row r="94" spans="1:7" ht="13.6" outlineLevel="2">
      <c r="A94" s="5" t="s">
        <v>34</v>
      </c>
      <c r="B94" s="6" t="s">
        <v>67</v>
      </c>
      <c r="C94" s="4" t="s">
        <v>39</v>
      </c>
      <c r="D94" s="6" t="s">
        <v>69</v>
      </c>
      <c r="E94" s="7">
        <v>2844860.23</v>
      </c>
      <c r="G94" s="7">
        <v>2844860.23</v>
      </c>
    </row>
    <row r="95" spans="1:7" ht="13.6" outlineLevel="2">
      <c r="A95" s="5" t="s">
        <v>34</v>
      </c>
      <c r="B95" s="6" t="s">
        <v>67</v>
      </c>
      <c r="C95" s="4" t="s">
        <v>60</v>
      </c>
      <c r="D95" s="6" t="s">
        <v>69</v>
      </c>
      <c r="E95" s="7">
        <v>93474.369999999995</v>
      </c>
      <c r="G95" s="7">
        <v>93474.369999999995</v>
      </c>
    </row>
    <row r="96" spans="1:6" ht="13.6" outlineLevel="2">
      <c r="A96" s="5" t="s">
        <v>34</v>
      </c>
      <c r="B96" s="6" t="s">
        <v>67</v>
      </c>
      <c r="C96" s="4" t="s">
        <v>41</v>
      </c>
      <c r="D96" s="6" t="s">
        <v>69</v>
      </c>
      <c r="E96" s="7">
        <v>803265.98999999999</v>
      </c>
      <c r="F96" s="7">
        <v>803265.98999999999</v>
      </c>
    </row>
    <row r="97" spans="1:6" ht="13.6" outlineLevel="2">
      <c r="A97" s="5" t="s">
        <v>34</v>
      </c>
      <c r="B97" s="6" t="s">
        <v>67</v>
      </c>
      <c r="C97" s="4" t="s">
        <v>18</v>
      </c>
      <c r="D97" s="6" t="s">
        <v>69</v>
      </c>
      <c r="E97" s="7">
        <v>996374.44999999995</v>
      </c>
      <c r="F97" s="7">
        <v>996374.44999999995</v>
      </c>
    </row>
    <row r="98" spans="1:6" ht="13.6" outlineLevel="2">
      <c r="A98" s="5" t="s">
        <v>34</v>
      </c>
      <c r="B98" s="6" t="s">
        <v>67</v>
      </c>
      <c r="C98" s="4" t="s">
        <v>52</v>
      </c>
      <c r="D98" s="6" t="s">
        <v>69</v>
      </c>
      <c r="E98" s="7">
        <v>1560729.46</v>
      </c>
      <c r="F98" s="7">
        <v>1560729.46</v>
      </c>
    </row>
    <row r="99" spans="1:6" ht="13.6" outlineLevel="2">
      <c r="A99" s="5" t="s">
        <v>34</v>
      </c>
      <c r="B99" s="9" t="s">
        <v>67</v>
      </c>
      <c r="C99" s="4" t="s">
        <v>68</v>
      </c>
      <c r="D99" s="9" t="s">
        <v>69</v>
      </c>
      <c r="E99" s="7">
        <v>0</v>
      </c>
      <c r="F99" s="7">
        <v>0</v>
      </c>
    </row>
    <row r="100" spans="1:7" ht="13.6" outlineLevel="2">
      <c r="A100" s="5" t="s">
        <v>34</v>
      </c>
      <c r="B100" s="9" t="s">
        <v>67</v>
      </c>
      <c r="C100" s="4" t="s">
        <v>62</v>
      </c>
      <c r="D100" s="9" t="s">
        <v>69</v>
      </c>
      <c r="E100" s="7">
        <v>6777110.0700000003</v>
      </c>
      <c r="G100" s="7">
        <v>6777110.0700000003</v>
      </c>
    </row>
    <row r="101" spans="1:6" ht="13.6" outlineLevel="2">
      <c r="A101" s="5" t="s">
        <v>34</v>
      </c>
      <c r="B101" s="9" t="s">
        <v>67</v>
      </c>
      <c r="C101" s="4" t="s">
        <v>42</v>
      </c>
      <c r="D101" s="9" t="s">
        <v>69</v>
      </c>
      <c r="E101" s="7">
        <v>150928.70000000001</v>
      </c>
      <c r="F101" s="7">
        <v>150928.70000000001</v>
      </c>
    </row>
    <row r="102" spans="1:6" ht="13.6" outlineLevel="2">
      <c r="A102" s="5" t="s">
        <v>34</v>
      </c>
      <c r="B102" s="9" t="s">
        <v>67</v>
      </c>
      <c r="C102" s="4" t="s">
        <v>33</v>
      </c>
      <c r="D102" s="9" t="s">
        <v>69</v>
      </c>
      <c r="E102" s="7">
        <v>325135.06</v>
      </c>
      <c r="F102" s="7">
        <v>325135.06</v>
      </c>
    </row>
    <row r="103" spans="1:6" ht="13.6" outlineLevel="2">
      <c r="A103" s="5" t="s">
        <v>34</v>
      </c>
      <c r="B103" s="6" t="s">
        <v>67</v>
      </c>
      <c r="C103" s="4" t="s">
        <v>13</v>
      </c>
      <c r="D103" s="6" t="s">
        <v>85</v>
      </c>
      <c r="E103" s="7">
        <v>17562.259999999998</v>
      </c>
      <c r="F103" s="7">
        <v>17562.259999999998</v>
      </c>
    </row>
    <row r="104" spans="1:6" ht="13.6" outlineLevel="2">
      <c r="A104" s="5" t="s">
        <v>34</v>
      </c>
      <c r="B104" s="9" t="s">
        <v>67</v>
      </c>
      <c r="C104" s="4" t="s">
        <v>55</v>
      </c>
      <c r="D104" s="9" t="s">
        <v>85</v>
      </c>
      <c r="E104" s="7">
        <v>17562.259999999998</v>
      </c>
      <c r="F104" s="7">
        <v>17562.259999999998</v>
      </c>
    </row>
    <row r="105" spans="1:6" ht="13.6" outlineLevel="2">
      <c r="A105" s="5" t="s">
        <v>34</v>
      </c>
      <c r="B105" s="9" t="s">
        <v>67</v>
      </c>
      <c r="C105" s="4" t="s">
        <v>61</v>
      </c>
      <c r="D105" s="9" t="s">
        <v>85</v>
      </c>
      <c r="E105" s="7">
        <v>215764.98000000001</v>
      </c>
      <c r="F105" s="7">
        <v>215764.98000000001</v>
      </c>
    </row>
    <row r="106" spans="1:7" ht="13.6" outlineLevel="2">
      <c r="A106" s="5" t="s">
        <v>34</v>
      </c>
      <c r="B106" s="6" t="s">
        <v>67</v>
      </c>
      <c r="C106" s="4" t="s">
        <v>45</v>
      </c>
      <c r="D106" s="6" t="s">
        <v>80</v>
      </c>
      <c r="E106" s="7">
        <v>53184.220000000001</v>
      </c>
      <c r="F106" s="7">
        <v>31505.469625973667</v>
      </c>
      <c r="G106" s="7">
        <v>21678.750374026335</v>
      </c>
    </row>
    <row r="107" spans="1:7" ht="13.6" outlineLevel="2">
      <c r="A107" s="5" t="s">
        <v>34</v>
      </c>
      <c r="B107" s="6" t="s">
        <v>67</v>
      </c>
      <c r="C107" s="4" t="s">
        <v>14</v>
      </c>
      <c r="D107" s="6" t="s">
        <v>75</v>
      </c>
      <c r="E107" s="7">
        <v>10706.799999999999</v>
      </c>
      <c r="F107" s="7">
        <v>6342.5347253635537</v>
      </c>
      <c r="G107" s="7">
        <v>4364.2652746364456</v>
      </c>
    </row>
    <row r="108" spans="1:7" ht="13.6" outlineLevel="2">
      <c r="A108" s="5" t="s">
        <v>34</v>
      </c>
      <c r="B108" s="6" t="s">
        <v>67</v>
      </c>
      <c r="C108" s="4" t="s">
        <v>31</v>
      </c>
      <c r="D108" s="6" t="s">
        <v>75</v>
      </c>
      <c r="E108" s="7">
        <v>10706.799999999999</v>
      </c>
      <c r="F108" s="7">
        <v>6342.5347253635537</v>
      </c>
      <c r="G108" s="7">
        <v>4364.2652746364456</v>
      </c>
    </row>
    <row r="109" spans="1:7" ht="13.6" outlineLevel="2">
      <c r="A109" s="5" t="s">
        <v>34</v>
      </c>
      <c r="B109" s="6" t="s">
        <v>67</v>
      </c>
      <c r="C109" s="4" t="s">
        <v>39</v>
      </c>
      <c r="D109" s="6" t="s">
        <v>75</v>
      </c>
      <c r="E109" s="7">
        <v>10706.799999999999</v>
      </c>
      <c r="G109" s="7">
        <v>10706.799999999999</v>
      </c>
    </row>
    <row r="110" spans="1:7" ht="13.6" outlineLevel="2">
      <c r="A110" s="5" t="s">
        <v>34</v>
      </c>
      <c r="B110" s="6" t="s">
        <v>67</v>
      </c>
      <c r="C110" s="4" t="s">
        <v>39</v>
      </c>
      <c r="D110" s="6" t="s">
        <v>75</v>
      </c>
      <c r="E110" s="7">
        <v>10706.799999999999</v>
      </c>
      <c r="G110" s="7">
        <v>10706.799999999999</v>
      </c>
    </row>
    <row r="111" spans="1:7" ht="13.6" outlineLevel="2">
      <c r="A111" s="5" t="s">
        <v>34</v>
      </c>
      <c r="B111" s="6" t="s">
        <v>67</v>
      </c>
      <c r="C111" s="4" t="s">
        <v>39</v>
      </c>
      <c r="D111" s="6" t="s">
        <v>75</v>
      </c>
      <c r="E111" s="7">
        <v>10706.799999999999</v>
      </c>
      <c r="G111" s="7">
        <v>10706.799999999999</v>
      </c>
    </row>
    <row r="112" spans="1:7" ht="13.6" outlineLevel="2">
      <c r="A112" s="5" t="s">
        <v>34</v>
      </c>
      <c r="B112" s="6" t="s">
        <v>67</v>
      </c>
      <c r="C112" s="4" t="s">
        <v>46</v>
      </c>
      <c r="D112" s="6" t="s">
        <v>75</v>
      </c>
      <c r="E112" s="7">
        <v>10706.799999999999</v>
      </c>
      <c r="G112" s="7">
        <v>10706.799999999999</v>
      </c>
    </row>
    <row r="113" spans="1:7" ht="13.6" outlineLevel="2">
      <c r="A113" s="5" t="s">
        <v>34</v>
      </c>
      <c r="B113" s="6" t="s">
        <v>67</v>
      </c>
      <c r="C113" s="4" t="s">
        <v>58</v>
      </c>
      <c r="D113" s="6" t="s">
        <v>75</v>
      </c>
      <c r="E113" s="7">
        <v>10706.799999999999</v>
      </c>
      <c r="G113" s="7">
        <v>10706.799999999999</v>
      </c>
    </row>
    <row r="114" spans="1:7" ht="13.6" outlineLevel="2">
      <c r="A114" s="5" t="s">
        <v>34</v>
      </c>
      <c r="B114" s="6" t="s">
        <v>67</v>
      </c>
      <c r="C114" s="4" t="s">
        <v>27</v>
      </c>
      <c r="D114" s="6" t="s">
        <v>75</v>
      </c>
      <c r="E114" s="7">
        <v>10706.799999999999</v>
      </c>
      <c r="G114" s="7">
        <v>10706.799999999999</v>
      </c>
    </row>
    <row r="115" spans="1:7" ht="13.6" outlineLevel="2">
      <c r="A115" s="5" t="s">
        <v>34</v>
      </c>
      <c r="B115" s="6" t="s">
        <v>67</v>
      </c>
      <c r="C115" s="4" t="s">
        <v>53</v>
      </c>
      <c r="D115" s="6" t="s">
        <v>75</v>
      </c>
      <c r="E115" s="7">
        <v>10706.799999999999</v>
      </c>
      <c r="G115" s="7">
        <v>10706.799999999999</v>
      </c>
    </row>
    <row r="116" spans="1:7" ht="13.6" outlineLevel="2">
      <c r="A116" s="5" t="s">
        <v>34</v>
      </c>
      <c r="B116" s="6" t="s">
        <v>67</v>
      </c>
      <c r="C116" s="4" t="s">
        <v>54</v>
      </c>
      <c r="D116" s="6" t="s">
        <v>75</v>
      </c>
      <c r="E116" s="7">
        <v>10706.799999999999</v>
      </c>
      <c r="G116" s="7">
        <v>10706.799999999999</v>
      </c>
    </row>
    <row r="117" spans="1:7" ht="13.6" outlineLevel="2">
      <c r="A117" s="5" t="s">
        <v>34</v>
      </c>
      <c r="B117" s="6" t="s">
        <v>67</v>
      </c>
      <c r="C117" s="4" t="s">
        <v>48</v>
      </c>
      <c r="D117" s="6" t="s">
        <v>75</v>
      </c>
      <c r="E117" s="7">
        <v>10706.799999999999</v>
      </c>
      <c r="G117" s="7">
        <v>10706.799999999999</v>
      </c>
    </row>
    <row r="118" spans="1:7" ht="13.6" outlineLevel="2">
      <c r="A118" s="5" t="s">
        <v>34</v>
      </c>
      <c r="B118" s="6" t="s">
        <v>67</v>
      </c>
      <c r="C118" s="4" t="s">
        <v>32</v>
      </c>
      <c r="D118" s="6" t="s">
        <v>75</v>
      </c>
      <c r="E118" s="7">
        <v>10706.799999999999</v>
      </c>
      <c r="G118" s="7">
        <v>10706.799999999999</v>
      </c>
    </row>
    <row r="119" spans="1:6" ht="13.6" outlineLevel="2">
      <c r="A119" s="5" t="s">
        <v>34</v>
      </c>
      <c r="B119" s="6" t="s">
        <v>67</v>
      </c>
      <c r="C119" s="4" t="s">
        <v>59</v>
      </c>
      <c r="D119" s="6" t="s">
        <v>75</v>
      </c>
      <c r="E119" s="7">
        <v>21413.599999999999</v>
      </c>
      <c r="F119" s="7">
        <v>21413.599999999999</v>
      </c>
    </row>
    <row r="120" spans="1:6" ht="13.6" outlineLevel="2">
      <c r="A120" s="5" t="s">
        <v>34</v>
      </c>
      <c r="B120" s="6" t="s">
        <v>67</v>
      </c>
      <c r="C120" s="4" t="s">
        <v>57</v>
      </c>
      <c r="D120" s="6" t="s">
        <v>75</v>
      </c>
      <c r="E120" s="7">
        <v>10706.799999999999</v>
      </c>
      <c r="F120" s="7">
        <v>10706.799999999999</v>
      </c>
    </row>
    <row r="121" spans="1:6" ht="13.6" outlineLevel="2">
      <c r="A121" s="5" t="s">
        <v>34</v>
      </c>
      <c r="B121" s="6" t="s">
        <v>67</v>
      </c>
      <c r="C121" s="4" t="s">
        <v>56</v>
      </c>
      <c r="D121" s="6" t="s">
        <v>75</v>
      </c>
      <c r="E121" s="7">
        <v>7066.1300000000001</v>
      </c>
      <c r="F121" s="7">
        <v>7066.1300000000001</v>
      </c>
    </row>
    <row r="122" spans="1:6" ht="13.6" outlineLevel="2">
      <c r="A122" s="5" t="s">
        <v>34</v>
      </c>
      <c r="B122" s="6" t="s">
        <v>67</v>
      </c>
      <c r="C122" s="4" t="s">
        <v>49</v>
      </c>
      <c r="D122" s="6" t="s">
        <v>75</v>
      </c>
      <c r="E122" s="7">
        <v>10706.799999999999</v>
      </c>
      <c r="F122" s="7">
        <v>10706.799999999999</v>
      </c>
    </row>
    <row r="123" spans="1:6" ht="13.6" outlineLevel="2">
      <c r="A123" s="5" t="s">
        <v>34</v>
      </c>
      <c r="B123" s="6" t="s">
        <v>67</v>
      </c>
      <c r="C123" s="4" t="s">
        <v>9</v>
      </c>
      <c r="D123" s="6" t="s">
        <v>75</v>
      </c>
      <c r="E123" s="7">
        <v>14507.299999999999</v>
      </c>
      <c r="F123" s="7">
        <v>14507.299999999999</v>
      </c>
    </row>
    <row r="124" spans="1:6" ht="13.6" outlineLevel="2">
      <c r="A124" s="5" t="s">
        <v>34</v>
      </c>
      <c r="B124" s="6" t="s">
        <v>67</v>
      </c>
      <c r="C124" s="4" t="s">
        <v>9</v>
      </c>
      <c r="D124" s="6" t="s">
        <v>75</v>
      </c>
      <c r="E124" s="7">
        <v>10706.799999999999</v>
      </c>
      <c r="F124" s="7">
        <v>10706.799999999999</v>
      </c>
    </row>
    <row r="125" spans="1:6" ht="13.6" outlineLevel="2">
      <c r="A125" s="5" t="s">
        <v>34</v>
      </c>
      <c r="B125" s="6" t="s">
        <v>67</v>
      </c>
      <c r="C125" s="4" t="s">
        <v>9</v>
      </c>
      <c r="D125" s="6" t="s">
        <v>75</v>
      </c>
      <c r="E125" s="7">
        <v>10706.799999999999</v>
      </c>
      <c r="F125" s="7">
        <v>10706.799999999999</v>
      </c>
    </row>
    <row r="126" spans="1:6" ht="13.6" outlineLevel="2">
      <c r="A126" s="5" t="s">
        <v>34</v>
      </c>
      <c r="B126" s="6" t="s">
        <v>67</v>
      </c>
      <c r="C126" s="4" t="s">
        <v>47</v>
      </c>
      <c r="D126" s="6" t="s">
        <v>75</v>
      </c>
      <c r="E126" s="7">
        <v>10706.799999999999</v>
      </c>
      <c r="F126" s="7">
        <v>10706.799999999999</v>
      </c>
    </row>
    <row r="127" spans="1:6" ht="13.6" outlineLevel="2">
      <c r="A127" s="5" t="s">
        <v>34</v>
      </c>
      <c r="B127" s="6" t="s">
        <v>67</v>
      </c>
      <c r="C127" s="4" t="s">
        <v>13</v>
      </c>
      <c r="D127" s="6" t="s">
        <v>75</v>
      </c>
      <c r="E127" s="7">
        <v>53534.010000000002</v>
      </c>
      <c r="F127" s="7">
        <v>53534.010000000002</v>
      </c>
    </row>
    <row r="128" spans="1:6" ht="13.6" outlineLevel="2">
      <c r="A128" s="5" t="s">
        <v>34</v>
      </c>
      <c r="B128" s="6" t="s">
        <v>67</v>
      </c>
      <c r="C128" s="4" t="s">
        <v>30</v>
      </c>
      <c r="D128" s="6" t="s">
        <v>75</v>
      </c>
      <c r="E128" s="7">
        <v>21760.959999999999</v>
      </c>
      <c r="F128" s="7">
        <v>21760.959999999999</v>
      </c>
    </row>
    <row r="129" spans="1:6" ht="13.6" outlineLevel="2">
      <c r="A129" s="5" t="s">
        <v>34</v>
      </c>
      <c r="B129" s="6" t="s">
        <v>67</v>
      </c>
      <c r="C129" s="4" t="s">
        <v>30</v>
      </c>
      <c r="D129" s="6" t="s">
        <v>75</v>
      </c>
      <c r="E129" s="7">
        <v>10706.799999999999</v>
      </c>
      <c r="F129" s="7">
        <v>10706.799999999999</v>
      </c>
    </row>
    <row r="130" spans="1:6" ht="13.6" outlineLevel="2">
      <c r="A130" s="5" t="s">
        <v>34</v>
      </c>
      <c r="B130" s="6" t="s">
        <v>67</v>
      </c>
      <c r="C130" s="4" t="s">
        <v>28</v>
      </c>
      <c r="D130" s="6" t="s">
        <v>75</v>
      </c>
      <c r="E130" s="7">
        <v>10706.799999999999</v>
      </c>
      <c r="F130" s="7">
        <v>10706.799999999999</v>
      </c>
    </row>
    <row r="131" spans="1:6" ht="13.6" outlineLevel="2">
      <c r="A131" s="5" t="s">
        <v>34</v>
      </c>
      <c r="B131" s="9" t="s">
        <v>67</v>
      </c>
      <c r="C131" s="4" t="s">
        <v>52</v>
      </c>
      <c r="D131" s="9" t="s">
        <v>75</v>
      </c>
      <c r="E131" s="7">
        <v>652828.93999999994</v>
      </c>
      <c r="F131" s="7">
        <v>652828.93999999994</v>
      </c>
    </row>
    <row r="132" spans="1:6" ht="13.6" outlineLevel="2">
      <c r="A132" s="5" t="s">
        <v>34</v>
      </c>
      <c r="B132" s="9" t="s">
        <v>67</v>
      </c>
      <c r="C132" s="4" t="s">
        <v>22</v>
      </c>
      <c r="D132" s="9" t="s">
        <v>75</v>
      </c>
      <c r="E132" s="7">
        <v>10706.799999999999</v>
      </c>
      <c r="F132" s="7">
        <v>10706.799999999999</v>
      </c>
    </row>
    <row r="133" spans="1:6" ht="13.6" outlineLevel="2">
      <c r="A133" s="5" t="s">
        <v>34</v>
      </c>
      <c r="B133" s="9" t="s">
        <v>67</v>
      </c>
      <c r="C133" s="4" t="s">
        <v>24</v>
      </c>
      <c r="D133" s="9" t="s">
        <v>75</v>
      </c>
      <c r="E133" s="7">
        <v>21760.959999999999</v>
      </c>
      <c r="F133" s="7">
        <v>21760.959999999999</v>
      </c>
    </row>
    <row r="134" spans="1:6" ht="13.6" outlineLevel="2">
      <c r="A134" s="5" t="s">
        <v>34</v>
      </c>
      <c r="B134" s="9" t="s">
        <v>67</v>
      </c>
      <c r="C134" s="4" t="s">
        <v>24</v>
      </c>
      <c r="D134" s="9" t="s">
        <v>75</v>
      </c>
      <c r="E134" s="7">
        <v>10706.799999999999</v>
      </c>
      <c r="F134" s="7">
        <v>10706.799999999999</v>
      </c>
    </row>
    <row r="135" spans="1:6" ht="13.6" outlineLevel="2">
      <c r="A135" s="5" t="s">
        <v>34</v>
      </c>
      <c r="B135" s="9" t="s">
        <v>67</v>
      </c>
      <c r="C135" s="4" t="s">
        <v>50</v>
      </c>
      <c r="D135" s="9" t="s">
        <v>75</v>
      </c>
      <c r="E135" s="7">
        <v>14507.299999999999</v>
      </c>
      <c r="F135" s="7">
        <v>14507.299999999999</v>
      </c>
    </row>
    <row r="136" spans="1:7" ht="13.6" outlineLevel="2">
      <c r="A136" s="5" t="s">
        <v>34</v>
      </c>
      <c r="B136" s="9" t="s">
        <v>67</v>
      </c>
      <c r="C136" s="4" t="s">
        <v>62</v>
      </c>
      <c r="D136" s="9" t="s">
        <v>75</v>
      </c>
      <c r="E136" s="7">
        <v>738769.30000000005</v>
      </c>
      <c r="G136" s="7">
        <v>738769.30000000005</v>
      </c>
    </row>
    <row r="137" spans="1:6" ht="13.6" outlineLevel="2">
      <c r="A137" s="5" t="s">
        <v>34</v>
      </c>
      <c r="B137" s="9" t="s">
        <v>67</v>
      </c>
      <c r="C137" s="4" t="s">
        <v>33</v>
      </c>
      <c r="D137" s="9" t="s">
        <v>75</v>
      </c>
      <c r="E137" s="7">
        <v>10706.799999999999</v>
      </c>
      <c r="F137" s="7">
        <v>10706.799999999999</v>
      </c>
    </row>
    <row r="138" spans="1:7" ht="13.6" outlineLevel="2">
      <c r="A138" s="5" t="s">
        <v>34</v>
      </c>
      <c r="B138" s="6" t="s">
        <v>67</v>
      </c>
      <c r="C138" s="4" t="s">
        <v>14</v>
      </c>
      <c r="D138" s="6" t="s">
        <v>81</v>
      </c>
      <c r="E138" s="7">
        <v>2964.5900000000001</v>
      </c>
      <c r="F138" s="7">
        <v>1756.175049638131</v>
      </c>
      <c r="G138" s="7">
        <v>1208.4149503618692</v>
      </c>
    </row>
    <row r="139" spans="1:7" ht="13.6" outlineLevel="2">
      <c r="A139" s="5" t="s">
        <v>34</v>
      </c>
      <c r="B139" s="6" t="s">
        <v>67</v>
      </c>
      <c r="C139" s="4" t="s">
        <v>31</v>
      </c>
      <c r="D139" s="6" t="s">
        <v>81</v>
      </c>
      <c r="E139" s="7">
        <v>2964.5900000000001</v>
      </c>
      <c r="F139" s="7">
        <v>1756.175049638131</v>
      </c>
      <c r="G139" s="7">
        <v>1208.4149503618692</v>
      </c>
    </row>
    <row r="140" spans="1:7" ht="13.6" outlineLevel="2">
      <c r="A140" s="5" t="s">
        <v>34</v>
      </c>
      <c r="B140" s="6" t="s">
        <v>67</v>
      </c>
      <c r="C140" s="4" t="s">
        <v>39</v>
      </c>
      <c r="D140" s="6" t="s">
        <v>81</v>
      </c>
      <c r="E140" s="7">
        <v>2964.5900000000001</v>
      </c>
      <c r="G140" s="7">
        <v>2964.5900000000001</v>
      </c>
    </row>
    <row r="141" spans="1:7" ht="13.6" outlineLevel="2">
      <c r="A141" s="5" t="s">
        <v>34</v>
      </c>
      <c r="B141" s="6" t="s">
        <v>67</v>
      </c>
      <c r="C141" s="4" t="s">
        <v>39</v>
      </c>
      <c r="D141" s="6" t="s">
        <v>81</v>
      </c>
      <c r="E141" s="7">
        <v>2964.5900000000001</v>
      </c>
      <c r="G141" s="7">
        <v>2964.5900000000001</v>
      </c>
    </row>
    <row r="142" spans="1:7" ht="13.6" outlineLevel="2">
      <c r="A142" s="5" t="s">
        <v>34</v>
      </c>
      <c r="B142" s="6" t="s">
        <v>67</v>
      </c>
      <c r="C142" s="4" t="s">
        <v>39</v>
      </c>
      <c r="D142" s="6" t="s">
        <v>81</v>
      </c>
      <c r="E142" s="7">
        <v>2964.5900000000001</v>
      </c>
      <c r="G142" s="7">
        <v>2964.5900000000001</v>
      </c>
    </row>
    <row r="143" spans="1:7" ht="13.6" outlineLevel="2">
      <c r="A143" s="5" t="s">
        <v>34</v>
      </c>
      <c r="B143" s="6" t="s">
        <v>67</v>
      </c>
      <c r="C143" s="4" t="s">
        <v>46</v>
      </c>
      <c r="D143" s="6" t="s">
        <v>81</v>
      </c>
      <c r="E143" s="7">
        <v>2964.5900000000001</v>
      </c>
      <c r="G143" s="7">
        <v>2964.5900000000001</v>
      </c>
    </row>
    <row r="144" spans="1:7" ht="13.6" outlineLevel="2">
      <c r="A144" s="5" t="s">
        <v>34</v>
      </c>
      <c r="B144" s="6" t="s">
        <v>67</v>
      </c>
      <c r="C144" s="4" t="s">
        <v>58</v>
      </c>
      <c r="D144" s="6" t="s">
        <v>81</v>
      </c>
      <c r="E144" s="7">
        <v>2964.5900000000001</v>
      </c>
      <c r="G144" s="7">
        <v>2964.5900000000001</v>
      </c>
    </row>
    <row r="145" spans="1:7" ht="13.6" outlineLevel="2">
      <c r="A145" s="5" t="s">
        <v>34</v>
      </c>
      <c r="B145" s="6" t="s">
        <v>67</v>
      </c>
      <c r="C145" s="4" t="s">
        <v>27</v>
      </c>
      <c r="D145" s="6" t="s">
        <v>81</v>
      </c>
      <c r="E145" s="7">
        <v>2964.5900000000001</v>
      </c>
      <c r="G145" s="7">
        <v>2964.5900000000001</v>
      </c>
    </row>
    <row r="146" spans="1:7" ht="13.6" outlineLevel="2">
      <c r="A146" s="5" t="s">
        <v>34</v>
      </c>
      <c r="B146" s="6" t="s">
        <v>67</v>
      </c>
      <c r="C146" s="4" t="s">
        <v>53</v>
      </c>
      <c r="D146" s="6" t="s">
        <v>81</v>
      </c>
      <c r="E146" s="7">
        <v>2964.5900000000001</v>
      </c>
      <c r="G146" s="7">
        <v>2964.5900000000001</v>
      </c>
    </row>
    <row r="147" spans="1:7" ht="13.6" outlineLevel="2">
      <c r="A147" s="5" t="s">
        <v>34</v>
      </c>
      <c r="B147" s="6" t="s">
        <v>67</v>
      </c>
      <c r="C147" s="4" t="s">
        <v>54</v>
      </c>
      <c r="D147" s="6" t="s">
        <v>81</v>
      </c>
      <c r="E147" s="7">
        <v>2964.5900000000001</v>
      </c>
      <c r="G147" s="7">
        <v>2964.5900000000001</v>
      </c>
    </row>
    <row r="148" spans="1:7" ht="13.6" outlineLevel="2">
      <c r="A148" s="5" t="s">
        <v>34</v>
      </c>
      <c r="B148" s="6" t="s">
        <v>67</v>
      </c>
      <c r="C148" s="4" t="s">
        <v>48</v>
      </c>
      <c r="D148" s="6" t="s">
        <v>81</v>
      </c>
      <c r="E148" s="7">
        <v>2964.5900000000001</v>
      </c>
      <c r="G148" s="7">
        <v>2964.5900000000001</v>
      </c>
    </row>
    <row r="149" spans="1:7" ht="13.6" outlineLevel="2">
      <c r="A149" s="5" t="s">
        <v>34</v>
      </c>
      <c r="B149" s="6" t="s">
        <v>67</v>
      </c>
      <c r="C149" s="4" t="s">
        <v>32</v>
      </c>
      <c r="D149" s="6" t="s">
        <v>81</v>
      </c>
      <c r="E149" s="7">
        <v>2964.5900000000001</v>
      </c>
      <c r="G149" s="7">
        <v>2964.5900000000001</v>
      </c>
    </row>
    <row r="150" spans="1:6" ht="13.6" outlineLevel="2">
      <c r="A150" s="5" t="s">
        <v>34</v>
      </c>
      <c r="B150" s="6" t="s">
        <v>67</v>
      </c>
      <c r="C150" s="4" t="s">
        <v>59</v>
      </c>
      <c r="D150" s="6" t="s">
        <v>81</v>
      </c>
      <c r="E150" s="7">
        <v>5929.1999999999998</v>
      </c>
      <c r="F150" s="7">
        <v>5929.1999999999998</v>
      </c>
    </row>
    <row r="151" spans="1:6" ht="13.6" outlineLevel="2">
      <c r="A151" s="5" t="s">
        <v>34</v>
      </c>
      <c r="B151" s="6" t="s">
        <v>67</v>
      </c>
      <c r="C151" s="4" t="s">
        <v>57</v>
      </c>
      <c r="D151" s="6" t="s">
        <v>81</v>
      </c>
      <c r="E151" s="7">
        <v>2964.5900000000001</v>
      </c>
      <c r="F151" s="7">
        <v>2964.5900000000001</v>
      </c>
    </row>
    <row r="152" spans="1:6" ht="13.6" outlineLevel="2">
      <c r="A152" s="5" t="s">
        <v>34</v>
      </c>
      <c r="B152" s="6" t="s">
        <v>67</v>
      </c>
      <c r="C152" s="4" t="s">
        <v>49</v>
      </c>
      <c r="D152" s="6" t="s">
        <v>81</v>
      </c>
      <c r="E152" s="7">
        <v>2964.5900000000001</v>
      </c>
      <c r="F152" s="7">
        <v>2964.5900000000001</v>
      </c>
    </row>
    <row r="153" spans="1:6" ht="13.6" outlineLevel="2">
      <c r="A153" s="5" t="s">
        <v>34</v>
      </c>
      <c r="B153" s="6" t="s">
        <v>67</v>
      </c>
      <c r="C153" s="4" t="s">
        <v>9</v>
      </c>
      <c r="D153" s="6" t="s">
        <v>81</v>
      </c>
      <c r="E153" s="7">
        <v>2964.5900000000001</v>
      </c>
      <c r="F153" s="7">
        <v>2964.5900000000001</v>
      </c>
    </row>
    <row r="154" spans="1:6" ht="13.6" outlineLevel="2">
      <c r="A154" s="5" t="s">
        <v>34</v>
      </c>
      <c r="B154" s="6" t="s">
        <v>67</v>
      </c>
      <c r="C154" s="4" t="s">
        <v>9</v>
      </c>
      <c r="D154" s="6" t="s">
        <v>81</v>
      </c>
      <c r="E154" s="7">
        <v>2964.5900000000001</v>
      </c>
      <c r="F154" s="7">
        <v>2964.5900000000001</v>
      </c>
    </row>
    <row r="155" spans="1:6" ht="13.6" outlineLevel="2">
      <c r="A155" s="5" t="s">
        <v>34</v>
      </c>
      <c r="B155" s="6" t="s">
        <v>67</v>
      </c>
      <c r="C155" s="4" t="s">
        <v>47</v>
      </c>
      <c r="D155" s="6" t="s">
        <v>81</v>
      </c>
      <c r="E155" s="7">
        <v>2964.5900000000001</v>
      </c>
      <c r="F155" s="7">
        <v>2964.5900000000001</v>
      </c>
    </row>
    <row r="156" spans="1:6" ht="13.6" outlineLevel="2">
      <c r="A156" s="5" t="s">
        <v>34</v>
      </c>
      <c r="B156" s="6" t="s">
        <v>67</v>
      </c>
      <c r="C156" s="4" t="s">
        <v>13</v>
      </c>
      <c r="D156" s="6" t="s">
        <v>81</v>
      </c>
      <c r="E156" s="7">
        <v>14823.02</v>
      </c>
      <c r="F156" s="7">
        <v>14823.02</v>
      </c>
    </row>
    <row r="157" spans="1:6" ht="13.6" outlineLevel="2">
      <c r="A157" s="5" t="s">
        <v>34</v>
      </c>
      <c r="B157" s="6" t="s">
        <v>67</v>
      </c>
      <c r="C157" s="4" t="s">
        <v>30</v>
      </c>
      <c r="D157" s="6" t="s">
        <v>81</v>
      </c>
      <c r="E157" s="7">
        <v>2964.5900000000001</v>
      </c>
      <c r="F157" s="7">
        <v>2964.5900000000001</v>
      </c>
    </row>
    <row r="158" spans="1:6" ht="13.6" outlineLevel="2">
      <c r="A158" s="5" t="s">
        <v>34</v>
      </c>
      <c r="B158" s="6" t="s">
        <v>67</v>
      </c>
      <c r="C158" s="4" t="s">
        <v>28</v>
      </c>
      <c r="D158" s="6" t="s">
        <v>81</v>
      </c>
      <c r="E158" s="7">
        <v>2964.5900000000001</v>
      </c>
      <c r="F158" s="7">
        <v>2964.5900000000001</v>
      </c>
    </row>
    <row r="159" spans="1:6" ht="13.6" outlineLevel="2">
      <c r="A159" s="5" t="s">
        <v>34</v>
      </c>
      <c r="B159" s="9" t="s">
        <v>67</v>
      </c>
      <c r="C159" s="4" t="s">
        <v>22</v>
      </c>
      <c r="D159" s="9" t="s">
        <v>81</v>
      </c>
      <c r="E159" s="7">
        <v>2964.5900000000001</v>
      </c>
      <c r="F159" s="7">
        <v>2964.5900000000001</v>
      </c>
    </row>
    <row r="160" spans="1:6" ht="13.6" outlineLevel="2">
      <c r="A160" s="5" t="s">
        <v>34</v>
      </c>
      <c r="B160" s="9" t="s">
        <v>67</v>
      </c>
      <c r="C160" s="4" t="s">
        <v>24</v>
      </c>
      <c r="D160" s="9" t="s">
        <v>81</v>
      </c>
      <c r="E160" s="7">
        <v>2964.5900000000001</v>
      </c>
      <c r="F160" s="7">
        <v>2964.5900000000001</v>
      </c>
    </row>
    <row r="161" spans="1:7" ht="13.6" outlineLevel="2">
      <c r="A161" s="5" t="s">
        <v>34</v>
      </c>
      <c r="B161" s="9" t="s">
        <v>67</v>
      </c>
      <c r="C161" s="4" t="s">
        <v>62</v>
      </c>
      <c r="D161" s="9" t="s">
        <v>81</v>
      </c>
      <c r="E161" s="7">
        <v>204558.67000000001</v>
      </c>
      <c r="G161" s="7">
        <v>204558.67000000001</v>
      </c>
    </row>
    <row r="162" spans="1:6" ht="13.6" outlineLevel="2">
      <c r="A162" s="5" t="s">
        <v>34</v>
      </c>
      <c r="B162" s="9" t="s">
        <v>67</v>
      </c>
      <c r="C162" s="4" t="s">
        <v>33</v>
      </c>
      <c r="D162" s="9" t="s">
        <v>81</v>
      </c>
      <c r="E162" s="7">
        <v>2964.5900000000001</v>
      </c>
      <c r="F162" s="7">
        <v>2964.5900000000001</v>
      </c>
    </row>
    <row r="163" spans="1:7" ht="13.6" outlineLevel="2">
      <c r="A163" s="5" t="s">
        <v>34</v>
      </c>
      <c r="B163" s="6" t="s">
        <v>67</v>
      </c>
      <c r="C163" s="4" t="s">
        <v>14</v>
      </c>
      <c r="D163" s="6" t="s">
        <v>83</v>
      </c>
      <c r="E163" s="7">
        <v>116573.28999999999</v>
      </c>
      <c r="F163" s="7">
        <v>69056.12693567414</v>
      </c>
      <c r="G163" s="7">
        <v>47517.163064325854</v>
      </c>
    </row>
    <row r="164" spans="1:7" ht="13.6" outlineLevel="2">
      <c r="A164" s="5" t="s">
        <v>34</v>
      </c>
      <c r="B164" s="6" t="s">
        <v>67</v>
      </c>
      <c r="C164" s="4" t="s">
        <v>43</v>
      </c>
      <c r="D164" s="6" t="s">
        <v>83</v>
      </c>
      <c r="E164" s="7">
        <v>816013.15000000002</v>
      </c>
      <c r="F164" s="7">
        <v>483392.95963577344</v>
      </c>
      <c r="G164" s="7">
        <v>332620.19036422658</v>
      </c>
    </row>
    <row r="165" spans="1:7" ht="13.6" outlineLevel="2">
      <c r="A165" s="5" t="s">
        <v>34</v>
      </c>
      <c r="B165" s="6" t="s">
        <v>67</v>
      </c>
      <c r="C165" s="4" t="s">
        <v>39</v>
      </c>
      <c r="D165" s="6" t="s">
        <v>83</v>
      </c>
      <c r="E165" s="7">
        <v>116573.28999999999</v>
      </c>
      <c r="G165" s="7">
        <v>116573.28999999999</v>
      </c>
    </row>
    <row r="166" spans="1:6" ht="13.6" outlineLevel="2">
      <c r="A166" s="5" t="s">
        <v>34</v>
      </c>
      <c r="B166" s="6" t="s">
        <v>67</v>
      </c>
      <c r="C166" s="4" t="s">
        <v>40</v>
      </c>
      <c r="D166" s="6" t="s">
        <v>83</v>
      </c>
      <c r="E166" s="7">
        <v>116573.28999999999</v>
      </c>
      <c r="F166" s="7">
        <v>116573.28999999999</v>
      </c>
    </row>
    <row r="167" spans="1:6" ht="13.6" outlineLevel="2">
      <c r="A167" s="5" t="s">
        <v>34</v>
      </c>
      <c r="B167" s="6" t="s">
        <v>67</v>
      </c>
      <c r="C167" s="4" t="s">
        <v>57</v>
      </c>
      <c r="D167" s="6" t="s">
        <v>83</v>
      </c>
      <c r="E167" s="7">
        <v>116573.28999999999</v>
      </c>
      <c r="F167" s="7">
        <v>116573.28999999999</v>
      </c>
    </row>
    <row r="168" spans="1:6" ht="13.6" outlineLevel="2">
      <c r="A168" s="5" t="s">
        <v>34</v>
      </c>
      <c r="B168" s="6" t="s">
        <v>67</v>
      </c>
      <c r="C168" s="4" t="s">
        <v>49</v>
      </c>
      <c r="D168" s="6" t="s">
        <v>83</v>
      </c>
      <c r="E168" s="7">
        <v>1165733.0900000001</v>
      </c>
      <c r="F168" s="7">
        <v>1165733.0900000001</v>
      </c>
    </row>
    <row r="169" spans="1:6" ht="13.6" outlineLevel="2">
      <c r="A169" s="5" t="s">
        <v>34</v>
      </c>
      <c r="B169" s="6" t="s">
        <v>67</v>
      </c>
      <c r="C169" s="4" t="s">
        <v>9</v>
      </c>
      <c r="D169" s="6" t="s">
        <v>83</v>
      </c>
      <c r="E169" s="7">
        <v>116573.28999999999</v>
      </c>
      <c r="F169" s="7">
        <v>116573.28999999999</v>
      </c>
    </row>
    <row r="170" spans="1:6" ht="13.6" outlineLevel="2">
      <c r="A170" s="5" t="s">
        <v>34</v>
      </c>
      <c r="B170" s="6" t="s">
        <v>67</v>
      </c>
      <c r="C170" s="4" t="s">
        <v>9</v>
      </c>
      <c r="D170" s="6" t="s">
        <v>83</v>
      </c>
      <c r="E170" s="7">
        <v>233146.60999999999</v>
      </c>
      <c r="F170" s="7">
        <v>233146.60999999999</v>
      </c>
    </row>
    <row r="171" spans="1:6" ht="13.6" outlineLevel="2">
      <c r="A171" s="5" t="s">
        <v>34</v>
      </c>
      <c r="B171" s="6" t="s">
        <v>67</v>
      </c>
      <c r="C171" s="4" t="s">
        <v>9</v>
      </c>
      <c r="D171" s="6" t="s">
        <v>83</v>
      </c>
      <c r="E171" s="7">
        <v>233146.60999999999</v>
      </c>
      <c r="F171" s="7">
        <v>233146.60999999999</v>
      </c>
    </row>
    <row r="172" spans="1:6" ht="13.6" outlineLevel="2">
      <c r="A172" s="5" t="s">
        <v>34</v>
      </c>
      <c r="B172" s="6" t="s">
        <v>67</v>
      </c>
      <c r="C172" s="4" t="s">
        <v>41</v>
      </c>
      <c r="D172" s="6" t="s">
        <v>83</v>
      </c>
      <c r="E172" s="7">
        <v>582866.54000000004</v>
      </c>
      <c r="F172" s="7">
        <v>582866.54000000004</v>
      </c>
    </row>
    <row r="173" spans="1:6" ht="13.6" outlineLevel="2">
      <c r="A173" s="5" t="s">
        <v>34</v>
      </c>
      <c r="B173" s="6" t="s">
        <v>67</v>
      </c>
      <c r="C173" s="4" t="s">
        <v>47</v>
      </c>
      <c r="D173" s="6" t="s">
        <v>83</v>
      </c>
      <c r="E173" s="7">
        <v>233146.60999999999</v>
      </c>
      <c r="F173" s="7">
        <v>233146.60999999999</v>
      </c>
    </row>
    <row r="174" spans="1:6" ht="13.6" outlineLevel="2">
      <c r="A174" s="5" t="s">
        <v>34</v>
      </c>
      <c r="B174" s="6" t="s">
        <v>67</v>
      </c>
      <c r="C174" s="4" t="s">
        <v>13</v>
      </c>
      <c r="D174" s="6" t="s">
        <v>83</v>
      </c>
      <c r="E174" s="7">
        <v>582866.54000000004</v>
      </c>
      <c r="F174" s="7">
        <v>582866.54000000004</v>
      </c>
    </row>
    <row r="175" spans="1:6" ht="13.6" outlineLevel="2">
      <c r="A175" s="5" t="s">
        <v>34</v>
      </c>
      <c r="B175" s="6" t="s">
        <v>67</v>
      </c>
      <c r="C175" s="4" t="s">
        <v>13</v>
      </c>
      <c r="D175" s="6" t="s">
        <v>83</v>
      </c>
      <c r="E175" s="7">
        <v>1165733.4399999999</v>
      </c>
      <c r="F175" s="7">
        <v>1165733.4399999999</v>
      </c>
    </row>
    <row r="176" spans="1:6" ht="13.6" outlineLevel="2">
      <c r="A176" s="5" t="s">
        <v>34</v>
      </c>
      <c r="B176" s="6" t="s">
        <v>67</v>
      </c>
      <c r="C176" s="4" t="s">
        <v>25</v>
      </c>
      <c r="D176" s="6" t="s">
        <v>83</v>
      </c>
      <c r="E176" s="7">
        <v>582866.54000000004</v>
      </c>
      <c r="F176" s="7">
        <v>582866.54000000004</v>
      </c>
    </row>
    <row r="177" spans="1:6" ht="13.6" outlineLevel="2">
      <c r="A177" s="5" t="s">
        <v>34</v>
      </c>
      <c r="B177" s="6" t="s">
        <v>67</v>
      </c>
      <c r="C177" s="4" t="s">
        <v>30</v>
      </c>
      <c r="D177" s="6" t="s">
        <v>83</v>
      </c>
      <c r="E177" s="7">
        <v>582866.54000000004</v>
      </c>
      <c r="F177" s="7">
        <v>582866.54000000004</v>
      </c>
    </row>
    <row r="178" spans="1:6" ht="13.6" outlineLevel="2">
      <c r="A178" s="5" t="s">
        <v>34</v>
      </c>
      <c r="B178" s="6" t="s">
        <v>67</v>
      </c>
      <c r="C178" s="4" t="s">
        <v>28</v>
      </c>
      <c r="D178" s="6" t="s">
        <v>83</v>
      </c>
      <c r="E178" s="7">
        <v>233146.60999999999</v>
      </c>
      <c r="F178" s="7">
        <v>233146.60999999999</v>
      </c>
    </row>
    <row r="179" spans="1:6" ht="13.6" outlineLevel="2">
      <c r="A179" s="5" t="s">
        <v>34</v>
      </c>
      <c r="B179" s="9" t="s">
        <v>67</v>
      </c>
      <c r="C179" s="4" t="s">
        <v>52</v>
      </c>
      <c r="D179" s="9" t="s">
        <v>83</v>
      </c>
      <c r="E179" s="7">
        <v>582866.54000000004</v>
      </c>
      <c r="F179" s="7">
        <v>582866.54000000004</v>
      </c>
    </row>
    <row r="180" spans="1:6" ht="13.6" outlineLevel="2">
      <c r="A180" s="5" t="s">
        <v>34</v>
      </c>
      <c r="B180" s="9" t="s">
        <v>67</v>
      </c>
      <c r="C180" s="4" t="s">
        <v>51</v>
      </c>
      <c r="D180" s="9" t="s">
        <v>83</v>
      </c>
      <c r="E180" s="7">
        <v>582866.54000000004</v>
      </c>
      <c r="F180" s="7">
        <v>582866.54000000004</v>
      </c>
    </row>
    <row r="181" spans="1:6" ht="13.6" outlineLevel="2">
      <c r="A181" s="5" t="s">
        <v>34</v>
      </c>
      <c r="B181" s="9" t="s">
        <v>67</v>
      </c>
      <c r="C181" s="4" t="s">
        <v>22</v>
      </c>
      <c r="D181" s="9" t="s">
        <v>83</v>
      </c>
      <c r="E181" s="7">
        <v>233146.60999999999</v>
      </c>
      <c r="F181" s="7">
        <v>233146.60999999999</v>
      </c>
    </row>
    <row r="182" spans="1:6" ht="13.6" outlineLevel="2">
      <c r="A182" s="5" t="s">
        <v>34</v>
      </c>
      <c r="B182" s="9" t="s">
        <v>67</v>
      </c>
      <c r="C182" s="4" t="s">
        <v>24</v>
      </c>
      <c r="D182" s="9" t="s">
        <v>83</v>
      </c>
      <c r="E182" s="7">
        <v>1165733.0900000001</v>
      </c>
      <c r="F182" s="7">
        <v>1165733.0900000001</v>
      </c>
    </row>
    <row r="183" spans="1:6" ht="13.6" outlineLevel="2">
      <c r="A183" s="5" t="s">
        <v>34</v>
      </c>
      <c r="B183" s="9" t="s">
        <v>67</v>
      </c>
      <c r="C183" s="4" t="s">
        <v>55</v>
      </c>
      <c r="D183" s="9" t="s">
        <v>83</v>
      </c>
      <c r="E183" s="7">
        <v>582866.54000000004</v>
      </c>
      <c r="F183" s="7">
        <v>582866.54000000004</v>
      </c>
    </row>
    <row r="184" spans="1:6" ht="13.6" outlineLevel="2">
      <c r="A184" s="5" t="s">
        <v>34</v>
      </c>
      <c r="B184" s="9" t="s">
        <v>67</v>
      </c>
      <c r="C184" s="4" t="s">
        <v>15</v>
      </c>
      <c r="D184" s="9" t="s">
        <v>83</v>
      </c>
      <c r="E184" s="7">
        <v>582866.54000000004</v>
      </c>
      <c r="F184" s="7">
        <v>582866.54000000004</v>
      </c>
    </row>
    <row r="185" spans="1:6" ht="13.6" outlineLevel="2">
      <c r="A185" s="5" t="s">
        <v>34</v>
      </c>
      <c r="B185" s="9" t="s">
        <v>67</v>
      </c>
      <c r="C185" s="4" t="s">
        <v>33</v>
      </c>
      <c r="D185" s="9" t="s">
        <v>83</v>
      </c>
      <c r="E185" s="7">
        <v>582866.54000000004</v>
      </c>
      <c r="F185" s="7">
        <v>582866.54000000004</v>
      </c>
    </row>
    <row r="186" spans="1:7" ht="13.6" outlineLevel="2">
      <c r="A186" s="5" t="s">
        <v>34</v>
      </c>
      <c r="B186" s="6" t="s">
        <v>67</v>
      </c>
      <c r="C186" s="4" t="s">
        <v>14</v>
      </c>
      <c r="D186" s="6" t="s">
        <v>77</v>
      </c>
      <c r="E186" s="7">
        <v>6327.5200000000004</v>
      </c>
      <c r="F186" s="7">
        <v>3748.3202567931035</v>
      </c>
      <c r="G186" s="7">
        <v>2579.199743206897</v>
      </c>
    </row>
    <row r="187" spans="1:7" ht="13.6" outlineLevel="2">
      <c r="A187" s="5" t="s">
        <v>34</v>
      </c>
      <c r="B187" s="6" t="s">
        <v>67</v>
      </c>
      <c r="C187" s="4" t="s">
        <v>43</v>
      </c>
      <c r="D187" s="6" t="s">
        <v>77</v>
      </c>
      <c r="E187" s="7">
        <v>44292.879999999997</v>
      </c>
      <c r="F187" s="7">
        <v>26238.383969660485</v>
      </c>
      <c r="G187" s="7">
        <v>18054.496030339513</v>
      </c>
    </row>
    <row r="188" spans="1:7" ht="13.6" outlineLevel="2">
      <c r="A188" s="5" t="s">
        <v>34</v>
      </c>
      <c r="B188" s="6" t="s">
        <v>67</v>
      </c>
      <c r="C188" s="4" t="s">
        <v>39</v>
      </c>
      <c r="D188" s="6" t="s">
        <v>77</v>
      </c>
      <c r="E188" s="7">
        <v>6327.5200000000004</v>
      </c>
      <c r="G188" s="7">
        <v>6327.5200000000004</v>
      </c>
    </row>
    <row r="189" spans="1:6" ht="13.6" outlineLevel="2">
      <c r="A189" s="5" t="s">
        <v>34</v>
      </c>
      <c r="B189" s="6" t="s">
        <v>67</v>
      </c>
      <c r="C189" s="4" t="s">
        <v>40</v>
      </c>
      <c r="D189" s="6" t="s">
        <v>77</v>
      </c>
      <c r="E189" s="7">
        <v>6327.5200000000004</v>
      </c>
      <c r="F189" s="7">
        <v>6327.5200000000004</v>
      </c>
    </row>
    <row r="190" spans="1:6" ht="13.6" outlineLevel="2">
      <c r="A190" s="5" t="s">
        <v>34</v>
      </c>
      <c r="B190" s="6" t="s">
        <v>67</v>
      </c>
      <c r="C190" s="4" t="s">
        <v>57</v>
      </c>
      <c r="D190" s="6" t="s">
        <v>77</v>
      </c>
      <c r="E190" s="7">
        <v>6327.5200000000004</v>
      </c>
      <c r="F190" s="7">
        <v>6327.5200000000004</v>
      </c>
    </row>
    <row r="191" spans="1:6" ht="13.6" outlineLevel="2">
      <c r="A191" s="5" t="s">
        <v>34</v>
      </c>
      <c r="B191" s="6" t="s">
        <v>67</v>
      </c>
      <c r="C191" s="4" t="s">
        <v>49</v>
      </c>
      <c r="D191" s="6" t="s">
        <v>77</v>
      </c>
      <c r="E191" s="7">
        <v>63275.550000000003</v>
      </c>
      <c r="F191" s="7">
        <v>63275.550000000003</v>
      </c>
    </row>
    <row r="192" spans="1:6" ht="13.6" outlineLevel="2">
      <c r="A192" s="5" t="s">
        <v>34</v>
      </c>
      <c r="B192" s="6" t="s">
        <v>67</v>
      </c>
      <c r="C192" s="4" t="s">
        <v>9</v>
      </c>
      <c r="D192" s="6" t="s">
        <v>77</v>
      </c>
      <c r="E192" s="7">
        <v>6327.5200000000004</v>
      </c>
      <c r="F192" s="7">
        <v>6327.5200000000004</v>
      </c>
    </row>
    <row r="193" spans="1:6" ht="13.6" outlineLevel="2">
      <c r="A193" s="5" t="s">
        <v>34</v>
      </c>
      <c r="B193" s="6" t="s">
        <v>67</v>
      </c>
      <c r="C193" s="4" t="s">
        <v>9</v>
      </c>
      <c r="D193" s="6" t="s">
        <v>77</v>
      </c>
      <c r="E193" s="7">
        <v>12655.08</v>
      </c>
      <c r="F193" s="7">
        <v>12655.08</v>
      </c>
    </row>
    <row r="194" spans="1:6" ht="13.6" outlineLevel="2">
      <c r="A194" s="5" t="s">
        <v>34</v>
      </c>
      <c r="B194" s="6" t="s">
        <v>67</v>
      </c>
      <c r="C194" s="4" t="s">
        <v>9</v>
      </c>
      <c r="D194" s="6" t="s">
        <v>77</v>
      </c>
      <c r="E194" s="7">
        <v>12655.08</v>
      </c>
      <c r="F194" s="7">
        <v>12655.08</v>
      </c>
    </row>
    <row r="195" spans="1:6" ht="13.6" outlineLevel="2">
      <c r="A195" s="5" t="s">
        <v>34</v>
      </c>
      <c r="B195" s="6" t="s">
        <v>67</v>
      </c>
      <c r="C195" s="4" t="s">
        <v>41</v>
      </c>
      <c r="D195" s="6" t="s">
        <v>77</v>
      </c>
      <c r="E195" s="7">
        <v>31637.77</v>
      </c>
      <c r="F195" s="7">
        <v>31637.77</v>
      </c>
    </row>
    <row r="196" spans="1:6" ht="13.6" outlineLevel="2">
      <c r="A196" s="5" t="s">
        <v>34</v>
      </c>
      <c r="B196" s="6" t="s">
        <v>67</v>
      </c>
      <c r="C196" s="4" t="s">
        <v>47</v>
      </c>
      <c r="D196" s="6" t="s">
        <v>77</v>
      </c>
      <c r="E196" s="7">
        <v>12655.08</v>
      </c>
      <c r="F196" s="7">
        <v>12655.08</v>
      </c>
    </row>
    <row r="197" spans="1:6" ht="13.6" outlineLevel="2">
      <c r="A197" s="5" t="s">
        <v>34</v>
      </c>
      <c r="B197" s="6" t="s">
        <v>67</v>
      </c>
      <c r="C197" s="4" t="s">
        <v>13</v>
      </c>
      <c r="D197" s="6" t="s">
        <v>77</v>
      </c>
      <c r="E197" s="7">
        <v>31637.77</v>
      </c>
      <c r="F197" s="7">
        <v>31637.77</v>
      </c>
    </row>
    <row r="198" spans="1:6" ht="13.6" outlineLevel="2">
      <c r="A198" s="5" t="s">
        <v>34</v>
      </c>
      <c r="B198" s="6" t="s">
        <v>67</v>
      </c>
      <c r="C198" s="4" t="s">
        <v>13</v>
      </c>
      <c r="D198" s="6" t="s">
        <v>77</v>
      </c>
      <c r="E198" s="7">
        <v>63276.370000000003</v>
      </c>
      <c r="F198" s="7">
        <v>63276.370000000003</v>
      </c>
    </row>
    <row r="199" spans="1:6" ht="13.6" outlineLevel="2">
      <c r="A199" s="5" t="s">
        <v>34</v>
      </c>
      <c r="B199" s="6" t="s">
        <v>67</v>
      </c>
      <c r="C199" s="4" t="s">
        <v>25</v>
      </c>
      <c r="D199" s="6" t="s">
        <v>77</v>
      </c>
      <c r="E199" s="7">
        <v>31637.77</v>
      </c>
      <c r="F199" s="7">
        <v>31637.77</v>
      </c>
    </row>
    <row r="200" spans="1:6" ht="13.6" outlineLevel="2">
      <c r="A200" s="5" t="s">
        <v>34</v>
      </c>
      <c r="B200" s="6" t="s">
        <v>67</v>
      </c>
      <c r="C200" s="4" t="s">
        <v>30</v>
      </c>
      <c r="D200" s="6" t="s">
        <v>77</v>
      </c>
      <c r="E200" s="7">
        <v>31637.77</v>
      </c>
      <c r="F200" s="7">
        <v>31637.77</v>
      </c>
    </row>
    <row r="201" spans="1:6" ht="13.6" outlineLevel="2">
      <c r="A201" s="5" t="s">
        <v>34</v>
      </c>
      <c r="B201" s="6" t="s">
        <v>67</v>
      </c>
      <c r="C201" s="4" t="s">
        <v>28</v>
      </c>
      <c r="D201" s="6" t="s">
        <v>77</v>
      </c>
      <c r="E201" s="7">
        <v>12655.08</v>
      </c>
      <c r="F201" s="7">
        <v>12655.08</v>
      </c>
    </row>
    <row r="202" spans="1:6" ht="13.6" outlineLevel="2">
      <c r="A202" s="5" t="s">
        <v>34</v>
      </c>
      <c r="B202" s="9" t="s">
        <v>67</v>
      </c>
      <c r="C202" s="4" t="s">
        <v>52</v>
      </c>
      <c r="D202" s="9" t="s">
        <v>77</v>
      </c>
      <c r="E202" s="7">
        <v>31637.77</v>
      </c>
      <c r="F202" s="7">
        <v>31637.77</v>
      </c>
    </row>
    <row r="203" spans="1:6" ht="13.6" outlineLevel="2">
      <c r="A203" s="5" t="s">
        <v>34</v>
      </c>
      <c r="B203" s="9" t="s">
        <v>67</v>
      </c>
      <c r="C203" s="4" t="s">
        <v>51</v>
      </c>
      <c r="D203" s="9" t="s">
        <v>77</v>
      </c>
      <c r="E203" s="7">
        <v>31637.77</v>
      </c>
      <c r="F203" s="7">
        <v>31637.77</v>
      </c>
    </row>
    <row r="204" spans="1:6" ht="13.6" outlineLevel="2">
      <c r="A204" s="5" t="s">
        <v>34</v>
      </c>
      <c r="B204" s="9" t="s">
        <v>67</v>
      </c>
      <c r="C204" s="4" t="s">
        <v>22</v>
      </c>
      <c r="D204" s="9" t="s">
        <v>77</v>
      </c>
      <c r="E204" s="7">
        <v>12655.08</v>
      </c>
      <c r="F204" s="7">
        <v>12655.08</v>
      </c>
    </row>
    <row r="205" spans="1:6" ht="13.6" outlineLevel="2">
      <c r="A205" s="5" t="s">
        <v>34</v>
      </c>
      <c r="B205" s="9" t="s">
        <v>67</v>
      </c>
      <c r="C205" s="4" t="s">
        <v>24</v>
      </c>
      <c r="D205" s="9" t="s">
        <v>77</v>
      </c>
      <c r="E205" s="7">
        <v>63275.550000000003</v>
      </c>
      <c r="F205" s="7">
        <v>63275.550000000003</v>
      </c>
    </row>
    <row r="206" spans="1:6" ht="13.6" outlineLevel="2">
      <c r="A206" s="5" t="s">
        <v>34</v>
      </c>
      <c r="B206" s="9" t="s">
        <v>67</v>
      </c>
      <c r="C206" s="4" t="s">
        <v>55</v>
      </c>
      <c r="D206" s="9" t="s">
        <v>77</v>
      </c>
      <c r="E206" s="7">
        <v>31637.77</v>
      </c>
      <c r="F206" s="7">
        <v>31637.77</v>
      </c>
    </row>
    <row r="207" spans="1:6" ht="13.6" outlineLevel="2">
      <c r="A207" s="5" t="s">
        <v>34</v>
      </c>
      <c r="B207" s="9" t="s">
        <v>67</v>
      </c>
      <c r="C207" s="4" t="s">
        <v>15</v>
      </c>
      <c r="D207" s="9" t="s">
        <v>77</v>
      </c>
      <c r="E207" s="7">
        <v>31637.77</v>
      </c>
      <c r="F207" s="7">
        <v>31637.77</v>
      </c>
    </row>
    <row r="208" spans="1:6" ht="13.6" outlineLevel="2">
      <c r="A208" s="5" t="s">
        <v>34</v>
      </c>
      <c r="B208" s="9" t="s">
        <v>67</v>
      </c>
      <c r="C208" s="4" t="s">
        <v>33</v>
      </c>
      <c r="D208" s="9" t="s">
        <v>77</v>
      </c>
      <c r="E208" s="7">
        <v>31637.77</v>
      </c>
      <c r="F208" s="7">
        <v>31637.77</v>
      </c>
    </row>
    <row r="209" spans="1:7" ht="13.6" outlineLevel="2">
      <c r="A209" s="5" t="s">
        <v>34</v>
      </c>
      <c r="B209" s="6" t="s">
        <v>67</v>
      </c>
      <c r="C209" s="4" t="s">
        <v>14</v>
      </c>
      <c r="D209" s="6" t="s">
        <v>78</v>
      </c>
      <c r="E209" s="7">
        <v>1.3500000000000001</v>
      </c>
      <c r="F209" s="7">
        <v>0.79971811178324048</v>
      </c>
      <c r="G209" s="7">
        <v>0.55028188821675961</v>
      </c>
    </row>
    <row r="210" spans="1:7" ht="13.6" outlineLevel="2">
      <c r="A210" s="5" t="s">
        <v>34</v>
      </c>
      <c r="B210" s="6" t="s">
        <v>67</v>
      </c>
      <c r="C210" s="4" t="s">
        <v>43</v>
      </c>
      <c r="D210" s="6" t="s">
        <v>78</v>
      </c>
      <c r="E210" s="7">
        <v>9.4600000000000009</v>
      </c>
      <c r="F210" s="7">
        <v>5.603950620347744</v>
      </c>
      <c r="G210" s="7">
        <v>3.8560493796522568</v>
      </c>
    </row>
    <row r="211" spans="1:7" ht="13.6" outlineLevel="2">
      <c r="A211" s="5" t="s">
        <v>34</v>
      </c>
      <c r="B211" s="6" t="s">
        <v>67</v>
      </c>
      <c r="C211" s="4" t="s">
        <v>39</v>
      </c>
      <c r="D211" s="6" t="s">
        <v>78</v>
      </c>
      <c r="E211" s="7">
        <v>1.3500000000000001</v>
      </c>
      <c r="G211" s="7">
        <v>1.3500000000000001</v>
      </c>
    </row>
    <row r="212" spans="1:6" ht="13.6" outlineLevel="2">
      <c r="A212" s="5" t="s">
        <v>34</v>
      </c>
      <c r="B212" s="6" t="s">
        <v>67</v>
      </c>
      <c r="C212" s="4" t="s">
        <v>40</v>
      </c>
      <c r="D212" s="6" t="s">
        <v>78</v>
      </c>
      <c r="E212" s="7">
        <v>1.3500000000000001</v>
      </c>
      <c r="F212" s="7">
        <v>1.3500000000000001</v>
      </c>
    </row>
    <row r="213" spans="1:6" ht="13.6" outlineLevel="2">
      <c r="A213" s="5" t="s">
        <v>34</v>
      </c>
      <c r="B213" s="6" t="s">
        <v>67</v>
      </c>
      <c r="C213" s="4" t="s">
        <v>57</v>
      </c>
      <c r="D213" s="6" t="s">
        <v>78</v>
      </c>
      <c r="E213" s="7">
        <v>1.3500000000000001</v>
      </c>
      <c r="F213" s="7">
        <v>1.3500000000000001</v>
      </c>
    </row>
    <row r="214" spans="1:6" ht="13.6" outlineLevel="2">
      <c r="A214" s="5" t="s">
        <v>34</v>
      </c>
      <c r="B214" s="6" t="s">
        <v>67</v>
      </c>
      <c r="C214" s="4" t="s">
        <v>49</v>
      </c>
      <c r="D214" s="6" t="s">
        <v>78</v>
      </c>
      <c r="E214" s="7">
        <v>13.51</v>
      </c>
      <c r="F214" s="7">
        <v>13.51</v>
      </c>
    </row>
    <row r="215" spans="1:6" ht="13.6" outlineLevel="2">
      <c r="A215" s="5" t="s">
        <v>34</v>
      </c>
      <c r="B215" s="6" t="s">
        <v>67</v>
      </c>
      <c r="C215" s="4" t="s">
        <v>9</v>
      </c>
      <c r="D215" s="6" t="s">
        <v>78</v>
      </c>
      <c r="E215" s="7">
        <v>1.3500000000000001</v>
      </c>
      <c r="F215" s="7">
        <v>1.3500000000000001</v>
      </c>
    </row>
    <row r="216" spans="1:6" ht="13.6" outlineLevel="2">
      <c r="A216" s="5" t="s">
        <v>34</v>
      </c>
      <c r="B216" s="6" t="s">
        <v>67</v>
      </c>
      <c r="C216" s="4" t="s">
        <v>9</v>
      </c>
      <c r="D216" s="6" t="s">
        <v>78</v>
      </c>
      <c r="E216" s="7">
        <v>2.7000000000000002</v>
      </c>
      <c r="F216" s="7">
        <v>2.7000000000000002</v>
      </c>
    </row>
    <row r="217" spans="1:6" ht="13.6" outlineLevel="2">
      <c r="A217" s="5" t="s">
        <v>34</v>
      </c>
      <c r="B217" s="6" t="s">
        <v>67</v>
      </c>
      <c r="C217" s="4" t="s">
        <v>9</v>
      </c>
      <c r="D217" s="6" t="s">
        <v>78</v>
      </c>
      <c r="E217" s="7">
        <v>2.7000000000000002</v>
      </c>
      <c r="F217" s="7">
        <v>2.7000000000000002</v>
      </c>
    </row>
    <row r="218" spans="1:6" ht="13.6" outlineLevel="2">
      <c r="A218" s="5" t="s">
        <v>34</v>
      </c>
      <c r="B218" s="6" t="s">
        <v>67</v>
      </c>
      <c r="C218" s="4" t="s">
        <v>41</v>
      </c>
      <c r="D218" s="6" t="s">
        <v>78</v>
      </c>
      <c r="E218" s="7">
        <v>6.75</v>
      </c>
      <c r="F218" s="7">
        <v>6.75</v>
      </c>
    </row>
    <row r="219" spans="1:6" ht="13.6" outlineLevel="2">
      <c r="A219" s="5" t="s">
        <v>34</v>
      </c>
      <c r="B219" s="6" t="s">
        <v>67</v>
      </c>
      <c r="C219" s="4" t="s">
        <v>47</v>
      </c>
      <c r="D219" s="6" t="s">
        <v>78</v>
      </c>
      <c r="E219" s="7">
        <v>2.7000000000000002</v>
      </c>
      <c r="F219" s="7">
        <v>2.7000000000000002</v>
      </c>
    </row>
    <row r="220" spans="1:6" ht="13.6" outlineLevel="2">
      <c r="A220" s="5" t="s">
        <v>34</v>
      </c>
      <c r="B220" s="6" t="s">
        <v>67</v>
      </c>
      <c r="C220" s="4" t="s">
        <v>13</v>
      </c>
      <c r="D220" s="6" t="s">
        <v>78</v>
      </c>
      <c r="E220" s="7">
        <v>6.75</v>
      </c>
      <c r="F220" s="7">
        <v>6.75</v>
      </c>
    </row>
    <row r="221" spans="1:6" ht="13.6" outlineLevel="2">
      <c r="A221" s="5" t="s">
        <v>34</v>
      </c>
      <c r="B221" s="6" t="s">
        <v>67</v>
      </c>
      <c r="C221" s="4" t="s">
        <v>13</v>
      </c>
      <c r="D221" s="6" t="s">
        <v>78</v>
      </c>
      <c r="E221" s="7">
        <v>13.65</v>
      </c>
      <c r="F221" s="7">
        <v>13.65</v>
      </c>
    </row>
    <row r="222" spans="1:6" ht="13.6" outlineLevel="2">
      <c r="A222" s="5" t="s">
        <v>34</v>
      </c>
      <c r="B222" s="6" t="s">
        <v>67</v>
      </c>
      <c r="C222" s="4" t="s">
        <v>25</v>
      </c>
      <c r="D222" s="6" t="s">
        <v>78</v>
      </c>
      <c r="E222" s="7">
        <v>6.75</v>
      </c>
      <c r="F222" s="7">
        <v>6.75</v>
      </c>
    </row>
    <row r="223" spans="1:6" ht="13.6" outlineLevel="2">
      <c r="A223" s="5" t="s">
        <v>34</v>
      </c>
      <c r="B223" s="6" t="s">
        <v>67</v>
      </c>
      <c r="C223" s="4" t="s">
        <v>30</v>
      </c>
      <c r="D223" s="6" t="s">
        <v>78</v>
      </c>
      <c r="E223" s="7">
        <v>6.75</v>
      </c>
      <c r="F223" s="7">
        <v>6.75</v>
      </c>
    </row>
    <row r="224" spans="1:6" ht="13.6" outlineLevel="2">
      <c r="A224" s="5" t="s">
        <v>34</v>
      </c>
      <c r="B224" s="6" t="s">
        <v>67</v>
      </c>
      <c r="C224" s="4" t="s">
        <v>28</v>
      </c>
      <c r="D224" s="6" t="s">
        <v>78</v>
      </c>
      <c r="E224" s="7">
        <v>2.7000000000000002</v>
      </c>
      <c r="F224" s="7">
        <v>2.7000000000000002</v>
      </c>
    </row>
    <row r="225" spans="1:6" ht="13.6" outlineLevel="2">
      <c r="A225" s="5" t="s">
        <v>34</v>
      </c>
      <c r="B225" s="9" t="s">
        <v>67</v>
      </c>
      <c r="C225" s="4" t="s">
        <v>52</v>
      </c>
      <c r="D225" s="9" t="s">
        <v>78</v>
      </c>
      <c r="E225" s="7">
        <v>6.75</v>
      </c>
      <c r="F225" s="7">
        <v>6.75</v>
      </c>
    </row>
    <row r="226" spans="1:6" ht="13.6" outlineLevel="2">
      <c r="A226" s="5" t="s">
        <v>34</v>
      </c>
      <c r="B226" s="9" t="s">
        <v>67</v>
      </c>
      <c r="C226" s="4" t="s">
        <v>51</v>
      </c>
      <c r="D226" s="9" t="s">
        <v>78</v>
      </c>
      <c r="E226" s="7">
        <v>6.75</v>
      </c>
      <c r="F226" s="7">
        <v>6.75</v>
      </c>
    </row>
    <row r="227" spans="1:6" ht="13.6" outlineLevel="2">
      <c r="A227" s="5" t="s">
        <v>34</v>
      </c>
      <c r="B227" s="9" t="s">
        <v>67</v>
      </c>
      <c r="C227" s="4" t="s">
        <v>22</v>
      </c>
      <c r="D227" s="9" t="s">
        <v>78</v>
      </c>
      <c r="E227" s="7">
        <v>2.7000000000000002</v>
      </c>
      <c r="F227" s="7">
        <v>2.7000000000000002</v>
      </c>
    </row>
    <row r="228" spans="1:6" ht="13.6" outlineLevel="2">
      <c r="A228" s="5" t="s">
        <v>34</v>
      </c>
      <c r="B228" s="9" t="s">
        <v>67</v>
      </c>
      <c r="C228" s="4" t="s">
        <v>24</v>
      </c>
      <c r="D228" s="9" t="s">
        <v>78</v>
      </c>
      <c r="E228" s="7">
        <v>13.51</v>
      </c>
      <c r="F228" s="7">
        <v>13.51</v>
      </c>
    </row>
    <row r="229" spans="1:6" ht="13.6" outlineLevel="2">
      <c r="A229" s="5" t="s">
        <v>34</v>
      </c>
      <c r="B229" s="9" t="s">
        <v>67</v>
      </c>
      <c r="C229" s="4" t="s">
        <v>55</v>
      </c>
      <c r="D229" s="9" t="s">
        <v>78</v>
      </c>
      <c r="E229" s="7">
        <v>6.75</v>
      </c>
      <c r="F229" s="7">
        <v>6.75</v>
      </c>
    </row>
    <row r="230" spans="1:6" ht="13.6" outlineLevel="2">
      <c r="A230" s="5" t="s">
        <v>34</v>
      </c>
      <c r="B230" s="9" t="s">
        <v>67</v>
      </c>
      <c r="C230" s="4" t="s">
        <v>15</v>
      </c>
      <c r="D230" s="9" t="s">
        <v>78</v>
      </c>
      <c r="E230" s="7">
        <v>6.75</v>
      </c>
      <c r="F230" s="7">
        <v>6.75</v>
      </c>
    </row>
    <row r="231" spans="1:6" ht="13.6" outlineLevel="2">
      <c r="A231" s="5" t="s">
        <v>34</v>
      </c>
      <c r="B231" s="9" t="s">
        <v>67</v>
      </c>
      <c r="C231" s="4" t="s">
        <v>33</v>
      </c>
      <c r="D231" s="9" t="s">
        <v>78</v>
      </c>
      <c r="E231" s="7">
        <v>6.75</v>
      </c>
      <c r="F231" s="7">
        <v>6.75</v>
      </c>
    </row>
    <row r="232" spans="2:7" ht="14.3" outlineLevel="1">
      <c r="B232" s="10" t="s">
        <v>64</v>
      </c>
      <c r="E232" s="7">
        <f>SUBTOTAL(9,E21:E231)</f>
        <v>30852548.709999997</v>
      </c>
      <c r="F232" s="7">
        <f>SUBTOTAL(9,F21:F231)</f>
        <v>18896457.177705348</v>
      </c>
      <c r="G232" s="7">
        <f>SUBTOTAL(9,G21:G231)</f>
        <v>11956091.532294631</v>
      </c>
    </row>
    <row r="233" spans="2:7" ht="14.3">
      <c r="B233" s="10" t="s">
        <v>89</v>
      </c>
      <c r="E233" s="7">
        <f>SUBTOTAL(9,E2:E231)</f>
        <v>32539117.649999999</v>
      </c>
      <c r="F233" s="7">
        <f>SUBTOTAL(9,F2:F231)</f>
        <v>20583026.117705353</v>
      </c>
      <c r="G233" s="7">
        <f>SUBTOTAL(9,G2:G231)</f>
        <v>11956091.532294631</v>
      </c>
    </row>
  </sheetData>
  <sortState ref="A2:G230">
    <sortCondition sortBy="value" ref="B2:B230"/>
    <sortCondition sortBy="value" ref="A2:A230"/>
    <sortCondition sortBy="value" ref="D2:D230"/>
  </sortState>
  <printOptions horizontalCentered="1"/>
  <pageMargins left="1.5" right="0.7" top="2.25" bottom="0.5" header="0.5" footer="0.5"/>
  <pageSetup fitToHeight="0" orientation="portrait" scale="55" r:id="rId1"/>
  <headerFooter>
    <oddHeader>&amp;C&amp;"Arial,Bold"
2022 RATE CASE
ONCOR ELECTRIC DELIVERY COMPANY LLC
DC TIE INVESTMENT
FOR THE TEST YEAR ENDING DECEMBER 31, 2021
SPONSOR: W. A. LEDBETTER&amp;R&amp;"Arial,Bold"WP/II-B-1/07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FHHXVRPN3UPD-1807981734-30099</_dlc_DocId>
    <_dlc_DocIdUrl xmlns="4f7156c1-be87-4d1f-9274-ce189f982c1a">
      <Url>http://intranet.corp.oncor.com/sites/Finance/_layouts/15/DocIdRedir.aspx?ID=FHHXVRPN3UPD-1807981734-30099</Url>
      <Description>FHHXVRPN3UPD-1807981734-30099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0C0A6B-4C6F-4879-8098-BF6574BFF47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9EB7E78-4B6E-4B01-9439-C4CF0239A7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DE5BE-66E3-452A-B407-CCE8FC64A924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587B048-D59C-469A-A930-2C0D79DEB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II-B-1_07 DC Tie Investment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bffad1fe-ab98-41e1-9cc0-70579ebe8ef3</vt:lpwstr>
  </property>
</Properties>
</file>