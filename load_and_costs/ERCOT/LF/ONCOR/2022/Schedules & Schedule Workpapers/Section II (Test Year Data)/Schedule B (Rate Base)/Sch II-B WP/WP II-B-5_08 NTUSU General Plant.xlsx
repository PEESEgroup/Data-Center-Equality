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-122" yWindow="-122" windowWidth="29045" windowHeight="15840" activeTab="0"/>
  </bookViews>
  <sheets>
    <sheet name="WP II-B-5_08" sheetId="1" r:id="rId2"/>
  </sheets>
  <definedNames>
    <definedName name="_xlnm.Print_Area" localSheetId="0">'WP II-B-5_08'!$A$9:$J$49</definedName>
    <definedName name="_xlnm.Print_Titles" localSheetId="0">'WP II-B-5_08'!$1:$8</definedName>
  </definedNames>
  <calcPr calcId="191029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0" i="1" l="1"/>
</calcChain>
</file>

<file path=xl/sharedStrings.xml><?xml version="1.0" encoding="utf-8"?>
<sst xmlns="http://schemas.openxmlformats.org/spreadsheetml/2006/main" count="39" uniqueCount="30">
  <si>
    <t>Plant Acct</t>
  </si>
  <si>
    <t>Vntg Yr</t>
  </si>
  <si>
    <t>Investment</t>
  </si>
  <si>
    <t>391 Computer</t>
  </si>
  <si>
    <t>392 Light Trucks</t>
  </si>
  <si>
    <t>392 Trailer</t>
  </si>
  <si>
    <t>394 Snall Tools</t>
  </si>
  <si>
    <t>Age</t>
  </si>
  <si>
    <t>ASL</t>
  </si>
  <si>
    <t>RL</t>
  </si>
  <si>
    <t>Net Salvage</t>
  </si>
  <si>
    <t>Theo Res</t>
  </si>
  <si>
    <t>390 Total</t>
  </si>
  <si>
    <t>391 Total</t>
  </si>
  <si>
    <t>396 Total</t>
  </si>
  <si>
    <t>397 Total</t>
  </si>
  <si>
    <t>398 Total</t>
  </si>
  <si>
    <t>391 Computer Total</t>
  </si>
  <si>
    <t>392 Light Trucks Total</t>
  </si>
  <si>
    <t>392 Trailer Total</t>
  </si>
  <si>
    <t>394 Snall Tools Total</t>
  </si>
  <si>
    <t>Grand Total</t>
  </si>
  <si>
    <t>2022 RATE CASE</t>
  </si>
  <si>
    <t>ONCOR ELECTRIC DELIVERY  LLC</t>
  </si>
  <si>
    <t>FOR THE TEST YEAR ENDING  DECEMBER 31, 2021</t>
  </si>
  <si>
    <t>NTUSU TRN</t>
  </si>
  <si>
    <t>CALCULATION OF GENERAL PLANT- NTUSU</t>
  </si>
  <si>
    <t>SPONSOR D. A. WATSON</t>
  </si>
  <si>
    <t>Plant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</si>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</sst>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43" fontId="2" fillId="0" borderId="0" xfId="18" applyFont="1"/>
    <xf numFmtId="10" fontId="2" fillId="0" borderId="0" xfId="0" applyNumberFormat="1" applyFont="1"/>
    <xf numFmtId="0" fontId="3" fillId="0" borderId="0" xfId="0" applyFont="1"/>
    <xf numFmtId="43" fontId="3" fillId="0" borderId="0" xfId="18" applyFont="1"/>
    <xf numFmtId="10" fontId="3" fillId="0" borderId="0" xfId="0" applyNumberFormat="1" applyFont="1"/>
    <xf numFmtId="43" fontId="3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J50"/>
  <sheetViews>
    <sheetView tabSelected="1" workbookViewId="0" topLeftCell="A1">
      <pane ySplit="8" topLeftCell="A9" activePane="bottomLeft" state="frozen"/>
      <selection pane="topLeft" activeCell="A1" sqref="A1"/>
      <selection pane="bottomLeft" activeCell="A9" sqref="A9"/>
    </sheetView>
  </sheetViews>
  <sheetFormatPr defaultColWidth="9.12428571428571" defaultRowHeight="15.75" outlineLevelRow="2"/>
  <cols>
    <col min="1" max="1" width="25.4285714285714" style="4" bestFit="1" customWidth="1"/>
    <col min="2" max="2" width="9.28571428571429" style="4" bestFit="1" customWidth="1"/>
    <col min="3" max="3" width="5.57142857142857" style="4" bestFit="1" customWidth="1"/>
    <col min="4" max="4" width="16.1428571428571" style="5" bestFit="1" customWidth="1"/>
    <col min="5" max="6" width="8.42857142857143" style="5" bestFit="1" customWidth="1"/>
    <col min="7" max="7" width="14.4285714285714" style="6" bestFit="1" customWidth="1"/>
    <col min="8" max="8" width="16.1428571428571" style="5" bestFit="1" customWidth="1"/>
    <col min="9" max="10" width="16.4285714285714" style="4" bestFit="1" customWidth="1"/>
    <col min="11" max="16384" width="9.14285714285714" style="4"/>
  </cols>
  <sheetData>
    <row r="1" spans="1:10" s="1" customFormat="1" ht="15.65">
      <c r="A1" s="12" t="s">
        <v>22</v>
      </c>
      <c r="B1" s="12"/>
      <c r="C1" s="12"/>
      <c r="D1" s="12"/>
      <c r="E1" s="12"/>
      <c r="F1" s="12"/>
      <c r="G1" s="12"/>
      <c r="H1" s="12"/>
      <c r="I1" s="13"/>
      <c r="J1" s="13"/>
    </row>
    <row r="2" spans="1:10" s="1" customFormat="1" ht="15.65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s="1" customFormat="1" ht="15.65">
      <c r="A3" s="12" t="s">
        <v>26</v>
      </c>
      <c r="B3" s="12"/>
      <c r="C3" s="12"/>
      <c r="D3" s="12"/>
      <c r="E3" s="12"/>
      <c r="F3" s="12"/>
      <c r="G3" s="12"/>
      <c r="H3" s="12"/>
      <c r="I3" s="13"/>
      <c r="J3" s="13"/>
    </row>
    <row r="4" spans="1:10" s="1" customFormat="1" ht="15.65">
      <c r="A4" s="12" t="s">
        <v>24</v>
      </c>
      <c r="B4" s="12"/>
      <c r="C4" s="12"/>
      <c r="D4" s="12"/>
      <c r="E4" s="12"/>
      <c r="F4" s="12"/>
      <c r="G4" s="12"/>
      <c r="H4" s="12"/>
      <c r="I4" s="13"/>
      <c r="J4" s="13"/>
    </row>
    <row r="5" spans="1:10" s="1" customFormat="1" ht="15.65">
      <c r="A5" s="11"/>
      <c r="B5" s="11"/>
      <c r="C5" s="11"/>
      <c r="D5" s="11"/>
      <c r="E5" s="11"/>
      <c r="F5" s="11"/>
      <c r="G5" s="11"/>
      <c r="H5" s="11"/>
      <c r="I5" s="14"/>
      <c r="J5" s="14"/>
    </row>
    <row r="6" spans="1:10" s="1" customFormat="1" ht="15.65">
      <c r="A6" s="12" t="s">
        <v>27</v>
      </c>
      <c r="B6" s="12"/>
      <c r="C6" s="12"/>
      <c r="D6" s="12"/>
      <c r="E6" s="12"/>
      <c r="F6" s="12"/>
      <c r="G6" s="12"/>
      <c r="H6" s="12"/>
      <c r="I6" s="13"/>
      <c r="J6" s="13"/>
    </row>
    <row r="7" spans="4:10" s="1" customFormat="1" ht="15.65">
      <c r="D7" s="2"/>
      <c r="E7" s="2"/>
      <c r="F7" s="2"/>
      <c r="G7" s="3"/>
      <c r="H7" s="2"/>
      <c r="I7" s="1" t="s">
        <v>28</v>
      </c>
      <c r="J7" s="1" t="s">
        <v>29</v>
      </c>
    </row>
    <row r="8" spans="1:10" s="1" customFormat="1" ht="15.65">
      <c r="A8" s="1" t="s">
        <v>0</v>
      </c>
      <c r="B8" s="1" t="s">
        <v>1</v>
      </c>
      <c r="C8" s="1" t="s">
        <v>7</v>
      </c>
      <c r="D8" s="2" t="s">
        <v>2</v>
      </c>
      <c r="E8" s="2" t="s">
        <v>8</v>
      </c>
      <c r="F8" s="2" t="s">
        <v>9</v>
      </c>
      <c r="G8" s="3" t="s">
        <v>10</v>
      </c>
      <c r="H8" s="2" t="s">
        <v>11</v>
      </c>
      <c r="I8" s="2" t="s">
        <v>25</v>
      </c>
      <c r="J8" s="2" t="s">
        <v>25</v>
      </c>
    </row>
    <row r="9" spans="1:10" ht="15.65" outlineLevel="2">
      <c r="A9" s="9">
        <v>390</v>
      </c>
      <c r="B9" s="4">
        <v>2020</v>
      </c>
      <c r="C9" s="4">
        <f>2021.5-B9</f>
        <v>1.5</v>
      </c>
      <c r="D9" s="5">
        <v>1144016.53</v>
      </c>
      <c r="E9" s="5">
        <v>60</v>
      </c>
      <c r="F9" s="5">
        <v>58.889114999999997</v>
      </c>
      <c r="G9" s="6">
        <v>-0.050000000000000003</v>
      </c>
      <c r="H9" s="5">
        <f>+D9*(1-G9)*(1-F9/E9)</f>
        <v>22240.239051258402</v>
      </c>
      <c r="I9" s="7">
        <f>+D9</f>
        <v>1144016.53</v>
      </c>
      <c r="J9" s="7">
        <f>+H9</f>
        <v>22240.239051258402</v>
      </c>
    </row>
    <row r="10" spans="1:10" ht="15.65" outlineLevel="2">
      <c r="A10" s="9">
        <v>390</v>
      </c>
      <c r="B10" s="4">
        <v>2020</v>
      </c>
      <c r="C10" s="4">
        <f>2021.5-B10</f>
        <v>1.5</v>
      </c>
      <c r="D10" s="5">
        <v>2022.28</v>
      </c>
      <c r="E10" s="5">
        <v>60</v>
      </c>
      <c r="F10" s="5">
        <v>58.889114999999997</v>
      </c>
      <c r="G10" s="6">
        <v>-0.050000000000000003</v>
      </c>
      <c r="H10" s="5">
        <f t="shared" si="0" ref="H10:H47">+D10*(1-G10)*(1-F10/E10)</f>
        <v>39.314109061500055</v>
      </c>
      <c r="I10" s="7">
        <f>+D10</f>
        <v>2022.28</v>
      </c>
      <c r="J10" s="7">
        <f>+H10</f>
        <v>39.314109061500055</v>
      </c>
    </row>
    <row r="11" spans="1:10" ht="15.65" outlineLevel="2">
      <c r="A11" s="9">
        <v>390</v>
      </c>
      <c r="B11" s="4">
        <v>2018</v>
      </c>
      <c r="C11" s="4">
        <f>2021.5-B11</f>
        <v>3.5</v>
      </c>
      <c r="D11" s="5">
        <v>23641.810000000001</v>
      </c>
      <c r="E11" s="5">
        <v>60</v>
      </c>
      <c r="F11" s="5">
        <v>57.420988999999999</v>
      </c>
      <c r="G11" s="6">
        <v>-0.050000000000000003</v>
      </c>
      <c r="H11" s="5">
        <f t="shared" si="0"/>
        <v>1067.0185408734251</v>
      </c>
      <c r="I11" s="7">
        <f>+D11</f>
        <v>23641.810000000001</v>
      </c>
      <c r="J11" s="7">
        <f>+H11</f>
        <v>1067.0185408734251</v>
      </c>
    </row>
    <row r="12" spans="1:10" ht="15.65" outlineLevel="2">
      <c r="A12" s="9">
        <v>390</v>
      </c>
      <c r="B12" s="4">
        <v>2017</v>
      </c>
      <c r="C12" s="4">
        <f>2021.5-B12</f>
        <v>4.5</v>
      </c>
      <c r="D12" s="5">
        <v>40000</v>
      </c>
      <c r="E12" s="5">
        <v>60</v>
      </c>
      <c r="F12" s="5">
        <v>56.692729999999997</v>
      </c>
      <c r="G12" s="6">
        <v>-0.050000000000000003</v>
      </c>
      <c r="H12" s="5">
        <f t="shared" si="0"/>
        <v>2315.0889999999999</v>
      </c>
      <c r="I12" s="7">
        <f>+D12</f>
        <v>40000</v>
      </c>
      <c r="J12" s="7">
        <f>+H12</f>
        <v>2315.0889999999999</v>
      </c>
    </row>
    <row r="13" spans="1:10" ht="15.65" outlineLevel="2">
      <c r="A13" s="9">
        <v>390</v>
      </c>
      <c r="B13" s="4">
        <v>2015</v>
      </c>
      <c r="C13" s="4">
        <f>2021.5-B13</f>
        <v>6.5</v>
      </c>
      <c r="D13" s="5">
        <v>233716.42999999999</v>
      </c>
      <c r="E13" s="5">
        <v>20</v>
      </c>
      <c r="F13" s="5">
        <f>+E13-C13</f>
        <v>13.5</v>
      </c>
      <c r="G13" s="6">
        <v>-0.050000000000000003</v>
      </c>
      <c r="H13" s="5">
        <f t="shared" si="0"/>
        <v>79755.731737499998</v>
      </c>
      <c r="I13" s="7">
        <f>+D13</f>
        <v>233716.42999999999</v>
      </c>
      <c r="J13" s="7">
        <f>+H13</f>
        <v>79755.731737499998</v>
      </c>
    </row>
    <row r="14" spans="1:10" ht="15.65" outlineLevel="1">
      <c r="A14" s="8" t="s">
        <v>12</v>
      </c>
      <c r="D14" s="5">
        <f>SUBTOTAL(9,D9:D13)</f>
        <v>1443397.0500000001</v>
      </c>
      <c r="H14" s="5">
        <f>SUBTOTAL(9,H9:H13)</f>
        <v>105417.39243869332</v>
      </c>
      <c r="I14" s="5">
        <f t="shared" si="1" ref="I14:J14">SUBTOTAL(9,I9:I13)</f>
        <v>1443397.0500000001</v>
      </c>
      <c r="J14" s="5">
        <f t="shared" si="1"/>
        <v>105417.39243869332</v>
      </c>
    </row>
    <row r="15" spans="1:10" ht="15.65" outlineLevel="2">
      <c r="A15" s="9">
        <v>391</v>
      </c>
      <c r="B15" s="4">
        <v>2020</v>
      </c>
      <c r="C15" s="4">
        <f t="shared" si="2" ref="C15:C20">2021.5-B15</f>
        <v>1.5</v>
      </c>
      <c r="D15" s="5">
        <v>15293.540000000001</v>
      </c>
      <c r="E15" s="5">
        <v>20</v>
      </c>
      <c r="F15" s="5">
        <f t="shared" si="3" ref="F15:F20">+E15-C15</f>
        <v>18.5</v>
      </c>
      <c r="G15" s="6">
        <v>0</v>
      </c>
      <c r="H15" s="5">
        <f t="shared" si="0"/>
        <v>1147.0154999999993</v>
      </c>
      <c r="I15" s="7">
        <f t="shared" si="4" ref="I15:I20">+D15</f>
        <v>15293.540000000001</v>
      </c>
      <c r="J15" s="7">
        <f t="shared" si="5" ref="J15:J20">+H15</f>
        <v>1147.0154999999993</v>
      </c>
    </row>
    <row r="16" spans="1:10" ht="15.65" outlineLevel="2">
      <c r="A16" s="9">
        <v>391</v>
      </c>
      <c r="B16" s="4">
        <v>2017</v>
      </c>
      <c r="C16" s="4">
        <f t="shared" si="2"/>
        <v>4.5</v>
      </c>
      <c r="D16" s="5">
        <v>37096.339999999997</v>
      </c>
      <c r="E16" s="5">
        <v>20</v>
      </c>
      <c r="F16" s="5">
        <f t="shared" si="3"/>
        <v>15.5</v>
      </c>
      <c r="G16" s="6">
        <v>0</v>
      </c>
      <c r="H16" s="5">
        <f t="shared" si="0"/>
        <v>8346.6764999999978</v>
      </c>
      <c r="I16" s="7">
        <f t="shared" si="4"/>
        <v>37096.339999999997</v>
      </c>
      <c r="J16" s="7">
        <f t="shared" si="5"/>
        <v>8346.6764999999978</v>
      </c>
    </row>
    <row r="17" spans="1:10" ht="15.65" outlineLevel="2">
      <c r="A17" s="9">
        <v>391</v>
      </c>
      <c r="B17" s="4">
        <v>2016</v>
      </c>
      <c r="C17" s="4">
        <f t="shared" si="2"/>
        <v>5.5</v>
      </c>
      <c r="D17" s="5">
        <v>185850.28</v>
      </c>
      <c r="E17" s="5">
        <v>20</v>
      </c>
      <c r="F17" s="5">
        <f t="shared" si="3"/>
        <v>14.5</v>
      </c>
      <c r="G17" s="6">
        <v>0</v>
      </c>
      <c r="H17" s="5">
        <f t="shared" si="0"/>
        <v>51108.827000000005</v>
      </c>
      <c r="I17" s="7">
        <f t="shared" si="4"/>
        <v>185850.28</v>
      </c>
      <c r="J17" s="7">
        <f t="shared" si="5"/>
        <v>51108.827000000005</v>
      </c>
    </row>
    <row r="18" spans="1:10" ht="15.65" outlineLevel="2">
      <c r="A18" s="9">
        <v>391</v>
      </c>
      <c r="B18" s="4">
        <v>2015</v>
      </c>
      <c r="C18" s="4">
        <f t="shared" si="2"/>
        <v>6.5</v>
      </c>
      <c r="D18" s="5">
        <v>724385.33999999997</v>
      </c>
      <c r="E18" s="5">
        <v>20</v>
      </c>
      <c r="F18" s="5">
        <f t="shared" si="3"/>
        <v>13.5</v>
      </c>
      <c r="G18" s="6">
        <v>0</v>
      </c>
      <c r="H18" s="5">
        <f t="shared" si="0"/>
        <v>235425.23549999995</v>
      </c>
      <c r="I18" s="7">
        <f t="shared" si="4"/>
        <v>724385.33999999997</v>
      </c>
      <c r="J18" s="7">
        <f t="shared" si="5"/>
        <v>235425.23549999995</v>
      </c>
    </row>
    <row r="19" spans="1:10" ht="15.65" outlineLevel="2">
      <c r="A19" s="9">
        <v>391</v>
      </c>
      <c r="B19" s="4">
        <v>2013</v>
      </c>
      <c r="C19" s="4">
        <f t="shared" si="2"/>
        <v>8.5</v>
      </c>
      <c r="D19" s="5">
        <v>976884.82999999996</v>
      </c>
      <c r="E19" s="5">
        <v>20</v>
      </c>
      <c r="F19" s="5">
        <f t="shared" si="3"/>
        <v>11.5</v>
      </c>
      <c r="G19" s="6">
        <v>0</v>
      </c>
      <c r="H19" s="5">
        <f t="shared" si="0"/>
        <v>415176.05275000003</v>
      </c>
      <c r="I19" s="7">
        <f t="shared" si="4"/>
        <v>976884.82999999996</v>
      </c>
      <c r="J19" s="7">
        <f t="shared" si="5"/>
        <v>415176.05275000003</v>
      </c>
    </row>
    <row r="20" spans="1:10" ht="15.65" outlineLevel="2">
      <c r="A20" s="9">
        <v>391</v>
      </c>
      <c r="B20" s="4">
        <v>2013</v>
      </c>
      <c r="C20" s="4">
        <f t="shared" si="2"/>
        <v>8.5</v>
      </c>
      <c r="D20" s="5">
        <v>194890.20999999999</v>
      </c>
      <c r="E20" s="5">
        <v>20</v>
      </c>
      <c r="F20" s="5">
        <f t="shared" si="3"/>
        <v>11.5</v>
      </c>
      <c r="G20" s="6">
        <v>0</v>
      </c>
      <c r="H20" s="5">
        <f t="shared" si="0"/>
        <v>82828.339250000005</v>
      </c>
      <c r="I20" s="7">
        <f t="shared" si="4"/>
        <v>194890.20999999999</v>
      </c>
      <c r="J20" s="7">
        <f t="shared" si="5"/>
        <v>82828.339250000005</v>
      </c>
    </row>
    <row r="21" spans="1:10" ht="15.65" outlineLevel="1">
      <c r="A21" s="8" t="s">
        <v>13</v>
      </c>
      <c r="D21" s="5">
        <f>SUBTOTAL(9,D15:D20)</f>
        <v>2134400.54</v>
      </c>
      <c r="H21" s="5">
        <f>SUBTOTAL(9,H15:H20)</f>
        <v>794032.14649999992</v>
      </c>
      <c r="I21" s="5">
        <f t="shared" si="6" ref="I21:J21">SUBTOTAL(9,I15:I20)</f>
        <v>2134400.54</v>
      </c>
      <c r="J21" s="5">
        <f t="shared" si="6"/>
        <v>794032.14649999992</v>
      </c>
    </row>
    <row r="22" spans="1:10" ht="15.65" outlineLevel="2">
      <c r="A22" s="9">
        <v>396</v>
      </c>
      <c r="B22" s="4">
        <v>2017</v>
      </c>
      <c r="C22" s="4">
        <f>2021.5-B22</f>
        <v>4.5</v>
      </c>
      <c r="D22" s="5">
        <v>152570.76000000001</v>
      </c>
      <c r="E22" s="5">
        <v>15</v>
      </c>
      <c r="F22" s="5">
        <f>+E22-C22</f>
        <v>10.5</v>
      </c>
      <c r="G22" s="6">
        <v>0.20000000000000001</v>
      </c>
      <c r="H22" s="5">
        <f t="shared" si="0"/>
        <v>36616.982400000008</v>
      </c>
      <c r="I22" s="7">
        <f>+D22</f>
        <v>152570.76000000001</v>
      </c>
      <c r="J22" s="7">
        <f>+H22</f>
        <v>36616.982400000008</v>
      </c>
    </row>
    <row r="23" spans="1:10" ht="15.65" outlineLevel="2">
      <c r="A23" s="9">
        <v>396</v>
      </c>
      <c r="B23" s="4">
        <v>2016</v>
      </c>
      <c r="C23" s="4">
        <f>2021.5-B23</f>
        <v>5.5</v>
      </c>
      <c r="D23" s="5">
        <v>38897.709999999999</v>
      </c>
      <c r="E23" s="5">
        <v>15</v>
      </c>
      <c r="F23" s="5">
        <f>+E23-C23</f>
        <v>9.5</v>
      </c>
      <c r="G23" s="6">
        <v>0.20000000000000001</v>
      </c>
      <c r="H23" s="5">
        <f t="shared" si="0"/>
        <v>11409.994933333335</v>
      </c>
      <c r="I23" s="7">
        <f>+D23</f>
        <v>38897.709999999999</v>
      </c>
      <c r="J23" s="7">
        <f>+H23</f>
        <v>11409.994933333335</v>
      </c>
    </row>
    <row r="24" spans="1:10" ht="15.65" outlineLevel="2">
      <c r="A24" s="9">
        <v>396</v>
      </c>
      <c r="B24" s="4">
        <v>2015</v>
      </c>
      <c r="C24" s="4">
        <f>2021.5-B24</f>
        <v>6.5</v>
      </c>
      <c r="D24" s="5">
        <v>166971.17999999999</v>
      </c>
      <c r="E24" s="5">
        <v>15</v>
      </c>
      <c r="F24" s="5">
        <f>+E24-C24</f>
        <v>8.5</v>
      </c>
      <c r="G24" s="6">
        <v>0.20000000000000001</v>
      </c>
      <c r="H24" s="5">
        <f t="shared" si="0"/>
        <v>57883.342399999994</v>
      </c>
      <c r="I24" s="7">
        <f>+D24</f>
        <v>166971.17999999999</v>
      </c>
      <c r="J24" s="7">
        <f>+H24</f>
        <v>57883.342399999994</v>
      </c>
    </row>
    <row r="25" spans="1:10" ht="15.65" outlineLevel="1">
      <c r="A25" s="8" t="s">
        <v>14</v>
      </c>
      <c r="D25" s="5">
        <f>SUBTOTAL(9,D22:D24)</f>
        <v>358439.65000000002</v>
      </c>
      <c r="H25" s="5">
        <f>SUBTOTAL(9,H22:H24)</f>
        <v>105910.31973333334</v>
      </c>
      <c r="I25" s="5">
        <f t="shared" si="7" ref="I25:J25">SUBTOTAL(9,I22:I24)</f>
        <v>358439.65000000002</v>
      </c>
      <c r="J25" s="5">
        <f t="shared" si="7"/>
        <v>105910.31973333334</v>
      </c>
    </row>
    <row r="26" spans="1:10" ht="15.65" outlineLevel="2">
      <c r="A26" s="9">
        <v>397</v>
      </c>
      <c r="B26" s="4">
        <v>2014</v>
      </c>
      <c r="C26" s="4">
        <f>2021.5-B26</f>
        <v>7.5</v>
      </c>
      <c r="D26" s="5">
        <v>16570.82</v>
      </c>
      <c r="E26" s="5">
        <v>15</v>
      </c>
      <c r="F26" s="5">
        <f>+E26-C26</f>
        <v>7.5</v>
      </c>
      <c r="G26" s="6">
        <v>0</v>
      </c>
      <c r="H26" s="5">
        <f t="shared" si="0"/>
        <v>8285.4099999999999</v>
      </c>
      <c r="I26" s="7">
        <f>+D26</f>
        <v>16570.82</v>
      </c>
      <c r="J26" s="7">
        <f>+H26</f>
        <v>8285.4099999999999</v>
      </c>
    </row>
    <row r="27" spans="1:10" ht="15.65" outlineLevel="1">
      <c r="A27" s="8" t="s">
        <v>15</v>
      </c>
      <c r="D27" s="5">
        <f>SUBTOTAL(9,D26:D26)</f>
        <v>16570.82</v>
      </c>
      <c r="H27" s="5">
        <f>SUBTOTAL(9,H26:H26)</f>
        <v>8285.4099999999999</v>
      </c>
      <c r="I27" s="5">
        <f t="shared" si="8" ref="I27:J27">SUBTOTAL(9,I26:I26)</f>
        <v>16570.82</v>
      </c>
      <c r="J27" s="5">
        <f t="shared" si="8"/>
        <v>8285.4099999999999</v>
      </c>
    </row>
    <row r="28" spans="1:10" ht="15.65" outlineLevel="2">
      <c r="A28" s="9">
        <v>398</v>
      </c>
      <c r="B28" s="4">
        <v>2020</v>
      </c>
      <c r="C28" s="4">
        <f>2021.5-B28</f>
        <v>1.5</v>
      </c>
      <c r="D28" s="5">
        <v>8215.5300000000007</v>
      </c>
      <c r="E28" s="5">
        <v>22</v>
      </c>
      <c r="F28" s="5">
        <f>+E28-C28</f>
        <v>20.5</v>
      </c>
      <c r="G28" s="6">
        <v>0</v>
      </c>
      <c r="H28" s="5">
        <f t="shared" si="0"/>
        <v>560.14977272727322</v>
      </c>
      <c r="I28" s="7">
        <f>+D28</f>
        <v>8215.5300000000007</v>
      </c>
      <c r="J28" s="7">
        <f>+H28</f>
        <v>560.14977272727322</v>
      </c>
    </row>
    <row r="29" spans="1:10" ht="15.65" outlineLevel="2">
      <c r="A29" s="9">
        <v>398</v>
      </c>
      <c r="B29" s="4">
        <v>2017</v>
      </c>
      <c r="C29" s="4">
        <f>2021.5-B29</f>
        <v>4.5</v>
      </c>
      <c r="D29" s="5">
        <v>16150.360000000001</v>
      </c>
      <c r="E29" s="5">
        <v>22</v>
      </c>
      <c r="F29" s="5">
        <f>+E29-C29</f>
        <v>17.5</v>
      </c>
      <c r="G29" s="6">
        <v>0</v>
      </c>
      <c r="H29" s="5">
        <f t="shared" si="0"/>
        <v>3303.482727272728</v>
      </c>
      <c r="I29" s="7">
        <f>+D29</f>
        <v>16150.360000000001</v>
      </c>
      <c r="J29" s="7">
        <f>+H29</f>
        <v>3303.482727272728</v>
      </c>
    </row>
    <row r="30" spans="1:10" ht="15.65" outlineLevel="2">
      <c r="A30" s="9">
        <v>398</v>
      </c>
      <c r="B30" s="4">
        <v>2014</v>
      </c>
      <c r="C30" s="4">
        <f>2021.5-B30</f>
        <v>7.5</v>
      </c>
      <c r="D30" s="5">
        <v>3118.5799999999999</v>
      </c>
      <c r="E30" s="5">
        <v>22</v>
      </c>
      <c r="F30" s="5">
        <f>+E30-C30</f>
        <v>14.5</v>
      </c>
      <c r="G30" s="6">
        <v>0</v>
      </c>
      <c r="H30" s="5">
        <f t="shared" si="0"/>
        <v>1063.1522727272727</v>
      </c>
      <c r="I30" s="7">
        <f>+D30</f>
        <v>3118.5799999999999</v>
      </c>
      <c r="J30" s="7">
        <f>+H30</f>
        <v>1063.1522727272727</v>
      </c>
    </row>
    <row r="31" spans="1:10" ht="15.65" outlineLevel="2">
      <c r="A31" s="9">
        <v>398</v>
      </c>
      <c r="B31" s="4">
        <v>2012</v>
      </c>
      <c r="C31" s="4">
        <f>2021.5-B31</f>
        <v>9.5</v>
      </c>
      <c r="D31" s="5">
        <v>3882.4499999999998</v>
      </c>
      <c r="E31" s="5">
        <v>22</v>
      </c>
      <c r="F31" s="5">
        <f>+E31-C31</f>
        <v>12.5</v>
      </c>
      <c r="G31" s="6">
        <v>0</v>
      </c>
      <c r="H31" s="5">
        <f t="shared" si="0"/>
        <v>1676.5124999999998</v>
      </c>
      <c r="I31" s="7">
        <f>+D31</f>
        <v>3882.4499999999998</v>
      </c>
      <c r="J31" s="7">
        <f>+H31</f>
        <v>1676.5124999999998</v>
      </c>
    </row>
    <row r="32" spans="1:10" ht="15.65" outlineLevel="1">
      <c r="A32" s="8" t="s">
        <v>16</v>
      </c>
      <c r="D32" s="5">
        <f>SUBTOTAL(9,D28:D31)</f>
        <v>31366.920000000002</v>
      </c>
      <c r="H32" s="5">
        <f>SUBTOTAL(9,H28:H31)</f>
        <v>6603.2972727272736</v>
      </c>
      <c r="I32" s="5">
        <f>SUBTOTAL(9,I28:I31)</f>
        <v>31366.920000000002</v>
      </c>
      <c r="J32" s="5">
        <f>SUBTOTAL(9,J28:J31)</f>
        <v>6603.2972727272736</v>
      </c>
    </row>
    <row r="33" spans="1:10" ht="15.65" outlineLevel="2">
      <c r="A33" s="9" t="s">
        <v>3</v>
      </c>
      <c r="B33" s="4">
        <v>2018</v>
      </c>
      <c r="C33" s="4">
        <f>2021.5-B33</f>
        <v>3.5</v>
      </c>
      <c r="D33" s="5">
        <v>14047.690000000001</v>
      </c>
      <c r="E33" s="5">
        <v>7</v>
      </c>
      <c r="F33" s="5">
        <f>+E33-C33</f>
        <v>3.5</v>
      </c>
      <c r="G33" s="6">
        <v>0</v>
      </c>
      <c r="H33" s="5">
        <f t="shared" si="0"/>
        <v>7023.8450000000003</v>
      </c>
      <c r="I33" s="7"/>
      <c r="J33" s="7">
        <f>+H33</f>
        <v>7023.8450000000003</v>
      </c>
    </row>
    <row r="34" spans="1:10" ht="15.65" outlineLevel="1">
      <c r="A34" s="8" t="s">
        <v>17</v>
      </c>
      <c r="D34" s="5">
        <f>SUBTOTAL(9,D33:D33)</f>
        <v>14047.690000000001</v>
      </c>
      <c r="H34" s="5">
        <f>SUBTOTAL(9,H33:H33)</f>
        <v>7023.8450000000003</v>
      </c>
      <c r="I34" s="5">
        <f t="shared" si="9" ref="I34:J34">SUBTOTAL(9,I33:I33)</f>
        <v>0</v>
      </c>
      <c r="J34" s="5">
        <f t="shared" si="9"/>
        <v>7023.8450000000003</v>
      </c>
    </row>
    <row r="35" spans="1:10" ht="15.65" outlineLevel="2">
      <c r="A35" s="9" t="s">
        <v>4</v>
      </c>
      <c r="B35" s="4">
        <v>2018</v>
      </c>
      <c r="C35" s="4">
        <f t="shared" si="10" ref="C35:C40">2021.5-B35</f>
        <v>3.5</v>
      </c>
      <c r="D35" s="5">
        <v>56654.059999999998</v>
      </c>
      <c r="E35" s="5">
        <v>7</v>
      </c>
      <c r="F35" s="5">
        <f>+E35-C35</f>
        <v>3.5</v>
      </c>
      <c r="G35" s="6">
        <v>0.20000000000000001</v>
      </c>
      <c r="H35" s="5">
        <f t="shared" si="0"/>
        <v>22661.624</v>
      </c>
      <c r="I35" s="7">
        <f t="shared" si="11" ref="I35:I40">+D35</f>
        <v>56654.059999999998</v>
      </c>
      <c r="J35" s="7">
        <f t="shared" si="12" ref="J35:J40">+H35</f>
        <v>22661.624</v>
      </c>
    </row>
    <row r="36" spans="1:10" ht="15.65" outlineLevel="2">
      <c r="A36" s="9" t="s">
        <v>4</v>
      </c>
      <c r="B36" s="4">
        <v>2017</v>
      </c>
      <c r="C36" s="4">
        <f t="shared" si="10"/>
        <v>4.5</v>
      </c>
      <c r="D36" s="5">
        <v>470241.08000000002</v>
      </c>
      <c r="E36" s="5">
        <v>7</v>
      </c>
      <c r="F36" s="5">
        <f>+E36-C36</f>
        <v>2.5</v>
      </c>
      <c r="G36" s="6">
        <v>0.20000000000000001</v>
      </c>
      <c r="H36" s="5">
        <f t="shared" si="0"/>
        <v>241838.26971428574</v>
      </c>
      <c r="I36" s="7">
        <f t="shared" si="11"/>
        <v>470241.08000000002</v>
      </c>
      <c r="J36" s="7">
        <f t="shared" si="12"/>
        <v>241838.26971428574</v>
      </c>
    </row>
    <row r="37" spans="1:10" ht="15.65" outlineLevel="2">
      <c r="A37" s="9" t="s">
        <v>4</v>
      </c>
      <c r="B37" s="4">
        <v>2016</v>
      </c>
      <c r="C37" s="4">
        <f t="shared" si="10"/>
        <v>5.5</v>
      </c>
      <c r="D37" s="5">
        <v>136523.14999999999</v>
      </c>
      <c r="E37" s="5">
        <v>7</v>
      </c>
      <c r="F37" s="5">
        <f>+E37-C37</f>
        <v>1.5</v>
      </c>
      <c r="G37" s="6">
        <v>0.20000000000000001</v>
      </c>
      <c r="H37" s="5">
        <f t="shared" si="0"/>
        <v>85814.551428571431</v>
      </c>
      <c r="I37" s="7">
        <f t="shared" si="11"/>
        <v>136523.14999999999</v>
      </c>
      <c r="J37" s="7">
        <f t="shared" si="12"/>
        <v>85814.551428571431</v>
      </c>
    </row>
    <row r="38" spans="1:10" ht="15.65" outlineLevel="2">
      <c r="A38" s="9" t="s">
        <v>4</v>
      </c>
      <c r="B38" s="4">
        <v>2015</v>
      </c>
      <c r="C38" s="4">
        <f t="shared" si="10"/>
        <v>6.5</v>
      </c>
      <c r="D38" s="5">
        <v>193154.76000000001</v>
      </c>
      <c r="E38" s="5">
        <v>7</v>
      </c>
      <c r="F38" s="5">
        <f>+E38-C38</f>
        <v>0.5</v>
      </c>
      <c r="G38" s="6">
        <v>0.20000000000000001</v>
      </c>
      <c r="H38" s="5">
        <f t="shared" si="0"/>
        <v>143486.39314285715</v>
      </c>
      <c r="I38" s="7">
        <f t="shared" si="11"/>
        <v>193154.76000000001</v>
      </c>
      <c r="J38" s="7">
        <f t="shared" si="12"/>
        <v>143486.39314285715</v>
      </c>
    </row>
    <row r="39" spans="1:10" ht="15.65" outlineLevel="2">
      <c r="A39" s="9" t="s">
        <v>4</v>
      </c>
      <c r="B39" s="4">
        <v>2014</v>
      </c>
      <c r="C39" s="4">
        <f t="shared" si="10"/>
        <v>7.5</v>
      </c>
      <c r="D39" s="5">
        <v>250572.23000000001</v>
      </c>
      <c r="E39" s="5">
        <v>7</v>
      </c>
      <c r="F39" s="5">
        <v>0</v>
      </c>
      <c r="G39" s="6">
        <v>0.20000000000000001</v>
      </c>
      <c r="H39" s="5">
        <f>+D39</f>
        <v>250572.23000000001</v>
      </c>
      <c r="I39" s="7">
        <f t="shared" si="11"/>
        <v>250572.23000000001</v>
      </c>
      <c r="J39" s="7">
        <f t="shared" si="12"/>
        <v>250572.23000000001</v>
      </c>
    </row>
    <row r="40" spans="1:10" ht="15.65" outlineLevel="2">
      <c r="A40" s="9" t="s">
        <v>4</v>
      </c>
      <c r="B40" s="4">
        <v>2013</v>
      </c>
      <c r="C40" s="4">
        <f t="shared" si="10"/>
        <v>8.5</v>
      </c>
      <c r="D40" s="5">
        <v>159192.75</v>
      </c>
      <c r="E40" s="5">
        <v>7</v>
      </c>
      <c r="F40" s="5">
        <v>0</v>
      </c>
      <c r="G40" s="6">
        <v>0.20000000000000001</v>
      </c>
      <c r="H40" s="5">
        <f>+D40</f>
        <v>159192.75</v>
      </c>
      <c r="I40" s="7">
        <f t="shared" si="11"/>
        <v>159192.75</v>
      </c>
      <c r="J40" s="7">
        <f t="shared" si="12"/>
        <v>159192.75</v>
      </c>
    </row>
    <row r="41" spans="1:10" ht="15.65" outlineLevel="1">
      <c r="A41" s="8" t="s">
        <v>18</v>
      </c>
      <c r="D41" s="5">
        <f>SUBTOTAL(9,D35:D40)</f>
        <v>1266338.03</v>
      </c>
      <c r="H41" s="5">
        <f>SUBTOTAL(9,H35:H40)</f>
        <v>903565.81828571425</v>
      </c>
      <c r="I41" s="5">
        <f t="shared" si="13" ref="I41:J41">SUBTOTAL(9,I35:I40)</f>
        <v>1266338.03</v>
      </c>
      <c r="J41" s="5">
        <f t="shared" si="13"/>
        <v>903565.81828571425</v>
      </c>
    </row>
    <row r="42" spans="1:10" ht="15.65" outlineLevel="2">
      <c r="A42" s="9" t="s">
        <v>5</v>
      </c>
      <c r="B42" s="4">
        <v>2020</v>
      </c>
      <c r="C42" s="4">
        <f>2021.5-B42</f>
        <v>1.5</v>
      </c>
      <c r="D42" s="5">
        <v>52908.959999999999</v>
      </c>
      <c r="E42" s="5">
        <v>15</v>
      </c>
      <c r="F42" s="5">
        <f>+E42-C42</f>
        <v>13.5</v>
      </c>
      <c r="G42" s="6">
        <v>0.20000000000000001</v>
      </c>
      <c r="H42" s="5">
        <f t="shared" si="0"/>
        <v>4232.7167999999992</v>
      </c>
      <c r="I42" s="7">
        <f>+D42</f>
        <v>52908.959999999999</v>
      </c>
      <c r="J42" s="7">
        <f>+H42</f>
        <v>4232.7167999999992</v>
      </c>
    </row>
    <row r="43" spans="1:10" ht="15.65" outlineLevel="2">
      <c r="A43" s="9" t="s">
        <v>5</v>
      </c>
      <c r="B43" s="4">
        <v>2020</v>
      </c>
      <c r="C43" s="4">
        <f>2021.5-B43</f>
        <v>1.5</v>
      </c>
      <c r="D43" s="5">
        <v>55488.849999999999</v>
      </c>
      <c r="E43" s="5">
        <v>15</v>
      </c>
      <c r="F43" s="5">
        <f>+E43-C43</f>
        <v>13.5</v>
      </c>
      <c r="G43" s="6">
        <v>0.20000000000000001</v>
      </c>
      <c r="H43" s="5">
        <f t="shared" si="0"/>
        <v>4439.1079999999993</v>
      </c>
      <c r="I43" s="7">
        <f>+D43</f>
        <v>55488.849999999999</v>
      </c>
      <c r="J43" s="7">
        <f>+H43</f>
        <v>4439.1079999999993</v>
      </c>
    </row>
    <row r="44" spans="1:10" ht="15.65" outlineLevel="2">
      <c r="A44" s="9" t="s">
        <v>5</v>
      </c>
      <c r="B44" s="4">
        <v>2013</v>
      </c>
      <c r="C44" s="4">
        <f>2021.5-B44</f>
        <v>8.5</v>
      </c>
      <c r="D44" s="5">
        <v>12816.190000000001</v>
      </c>
      <c r="E44" s="5">
        <v>15</v>
      </c>
      <c r="F44" s="5">
        <f>+E44-C44</f>
        <v>6.5</v>
      </c>
      <c r="G44" s="6">
        <v>0.20000000000000001</v>
      </c>
      <c r="H44" s="5">
        <f t="shared" si="0"/>
        <v>5810.0061333333342</v>
      </c>
      <c r="I44" s="7">
        <f>+D44</f>
        <v>12816.190000000001</v>
      </c>
      <c r="J44" s="7">
        <f>+H44</f>
        <v>5810.0061333333342</v>
      </c>
    </row>
    <row r="45" spans="1:10" ht="15.65" outlineLevel="1">
      <c r="A45" s="8" t="s">
        <v>19</v>
      </c>
      <c r="D45" s="5">
        <f>SUBTOTAL(9,D42:D44)</f>
        <v>121214</v>
      </c>
      <c r="H45" s="5">
        <f>SUBTOTAL(9,H42:H44)</f>
        <v>14481.830933333333</v>
      </c>
      <c r="I45" s="5">
        <f t="shared" si="14" ref="I45:J45">SUBTOTAL(9,I42:I44)</f>
        <v>121214</v>
      </c>
      <c r="J45" s="5">
        <f t="shared" si="14"/>
        <v>14481.830933333333</v>
      </c>
    </row>
    <row r="46" spans="1:10" ht="15.65" outlineLevel="2">
      <c r="A46" s="9" t="s">
        <v>6</v>
      </c>
      <c r="B46" s="4">
        <v>2016</v>
      </c>
      <c r="C46" s="4">
        <f>2021.5-B46</f>
        <v>5.5</v>
      </c>
      <c r="D46" s="5">
        <v>25308.439999999999</v>
      </c>
      <c r="E46" s="5">
        <v>10</v>
      </c>
      <c r="F46" s="5">
        <f>+E46-C46</f>
        <v>4.5</v>
      </c>
      <c r="G46" s="6">
        <v>0</v>
      </c>
      <c r="H46" s="5">
        <f t="shared" si="0"/>
        <v>13919.642</v>
      </c>
      <c r="I46" s="7">
        <f>+D46</f>
        <v>25308.439999999999</v>
      </c>
      <c r="J46" s="7">
        <f>+H46</f>
        <v>13919.642</v>
      </c>
    </row>
    <row r="47" spans="1:10" ht="15.65" outlineLevel="2">
      <c r="A47" s="9" t="s">
        <v>6</v>
      </c>
      <c r="B47" s="4">
        <v>2012</v>
      </c>
      <c r="C47" s="4">
        <f>2021.5-B47</f>
        <v>9.5</v>
      </c>
      <c r="D47" s="5">
        <v>58042.5</v>
      </c>
      <c r="E47" s="5">
        <v>10</v>
      </c>
      <c r="F47" s="5">
        <f>+E47-C47</f>
        <v>0.5</v>
      </c>
      <c r="G47" s="6">
        <v>0</v>
      </c>
      <c r="H47" s="5">
        <f t="shared" si="0"/>
        <v>55140.375</v>
      </c>
      <c r="I47" s="7">
        <f>+D47</f>
        <v>58042.5</v>
      </c>
      <c r="J47" s="7">
        <f>+H47</f>
        <v>55140.375</v>
      </c>
    </row>
    <row r="48" spans="1:10" ht="15.65" outlineLevel="1">
      <c r="A48" s="8" t="s">
        <v>20</v>
      </c>
      <c r="D48" s="5">
        <f>SUBTOTAL(9,D46:D47)</f>
        <v>83350.940000000002</v>
      </c>
      <c r="H48" s="5">
        <f>SUBTOTAL(9,H46:H47)</f>
        <v>69060.016999999993</v>
      </c>
      <c r="I48" s="5">
        <f t="shared" si="15" ref="I48:J48">SUBTOTAL(9,I46:I47)</f>
        <v>83350.940000000002</v>
      </c>
      <c r="J48" s="5">
        <f t="shared" si="15"/>
        <v>69060.016999999993</v>
      </c>
    </row>
    <row r="49" spans="1:10" ht="15.65">
      <c r="A49" s="10" t="s">
        <v>21</v>
      </c>
      <c r="D49" s="5">
        <f>SUBTOTAL(9,D9:D47)</f>
        <v>5469125.6400000015</v>
      </c>
      <c r="H49" s="5">
        <f>SUBTOTAL(9,H9:H47)</f>
        <v>2014380.0771638015</v>
      </c>
      <c r="I49" s="5">
        <f t="shared" si="16" ref="I49:J49">SUBTOTAL(9,I9:I47)</f>
        <v>5455077.9500000011</v>
      </c>
      <c r="J49" s="5">
        <f t="shared" si="16"/>
        <v>2014380.0771638015</v>
      </c>
    </row>
    <row r="50" spans="10:10" ht="15.65">
      <c r="J50" s="7">
        <f>+J49-H49</f>
        <v>0</v>
      </c>
    </row>
  </sheetData>
  <sortState ref="A8:G46">
    <sortCondition sortBy="value" ref="A8:A46"/>
    <sortCondition sortBy="value" ref="C8:C46"/>
  </sortState>
  <mergeCells count="5">
    <mergeCell ref="A1:J1"/>
    <mergeCell ref="A2:J2"/>
    <mergeCell ref="A3:J3"/>
    <mergeCell ref="A4:J4"/>
    <mergeCell ref="A6:J6"/>
  </mergeCells>
  <printOptions horizontalCentered="1"/>
  <pageMargins left="0.7" right="0.7" top="2" bottom="0.75" header="1" footer="0.3"/>
  <pageSetup fitToHeight="0" orientation="landscape" scale="89" r:id="rId1"/>
  <headerFooter>
    <oddHeader>&amp;R&amp;"Arial,Bold"WP/II-B-5/08
Page 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FHHXVRPN3UPD-1807981734-30864</_dlc_DocId>
    <_dlc_DocIdUrl xmlns="4f7156c1-be87-4d1f-9274-ce189f982c1a">
      <Url>http://intranet.corp.oncor.com/sites/Finance/_layouts/15/DocIdRedir.aspx?ID=FHHXVRPN3UPD-1807981734-30864</Url>
      <Description>FHHXVRPN3UPD-1807981734-30864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6508152-C5C2-4982-A72B-76D920265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590B55-CF43-4FC8-ADA0-273C6AFE1E3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D2DE2C-81F8-4FB2-90C5-1B615E74F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3892A3-61A2-4374-8C9A-C61BE9CBEBF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II-B-5_08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660841f4-cfa7-4578-aea2-a4c058f1d582</vt:lpwstr>
  </property>
</Properties>
</file>