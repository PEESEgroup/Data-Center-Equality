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28800" windowHeight="12715" activeTab="0"/>
  </bookViews>
  <sheets>
    <sheet name="WP II-B-2_02" sheetId="1" r:id="rId2"/>
  </sheets>
  <definedNames>
    <definedName name="_xlnm.Print_Titles" localSheetId="0">'WP II-B-2_02'!$1:$1</definedName>
  </definedNames>
  <calcPr calcId="152511"/>
</workbook>
</file>

<file path=xl/calcChain.xml><?xml version="1.0" encoding="utf-8"?>
<calcChain xmlns="http://schemas.openxmlformats.org/spreadsheetml/2006/main">
  <c r="N192" i="1" l="1"/>
</calcChain>
</file>

<file path=xl/sharedStrings.xml><?xml version="1.0" encoding="utf-8"?>
<sst xmlns="http://schemas.openxmlformats.org/spreadsheetml/2006/main" count="1289" uniqueCount="208">
  <si>
    <t>Business Unit</t>
  </si>
  <si>
    <t>Location</t>
  </si>
  <si>
    <t>Adjusted T&amp;D Electric</t>
  </si>
  <si>
    <t>DIST</t>
  </si>
  <si>
    <t>MET</t>
  </si>
  <si>
    <t>TDCS</t>
  </si>
  <si>
    <t>0000964</t>
  </si>
  <si>
    <t>0002010</t>
  </si>
  <si>
    <t>0002072</t>
  </si>
  <si>
    <t>0002090</t>
  </si>
  <si>
    <t>0002409</t>
  </si>
  <si>
    <t>0002410</t>
  </si>
  <si>
    <t>0003020</t>
  </si>
  <si>
    <t>0003450</t>
  </si>
  <si>
    <t>0003460</t>
  </si>
  <si>
    <t>0003520</t>
  </si>
  <si>
    <t>0003540</t>
  </si>
  <si>
    <t>0003580</t>
  </si>
  <si>
    <t>0003640</t>
  </si>
  <si>
    <t>0003760</t>
  </si>
  <si>
    <t>0003883</t>
  </si>
  <si>
    <t>0003889</t>
  </si>
  <si>
    <t>0003893</t>
  </si>
  <si>
    <t>0003894</t>
  </si>
  <si>
    <t>0003898</t>
  </si>
  <si>
    <t>0003911</t>
  </si>
  <si>
    <t>0004932</t>
  </si>
  <si>
    <t>0005140</t>
  </si>
  <si>
    <t>0002000</t>
  </si>
  <si>
    <t>0002037</t>
  </si>
  <si>
    <t>0003120</t>
  </si>
  <si>
    <t>0003150</t>
  </si>
  <si>
    <t>0003281</t>
  </si>
  <si>
    <t>0003710</t>
  </si>
  <si>
    <t>0003900</t>
  </si>
  <si>
    <t>0005060</t>
  </si>
  <si>
    <t>0007846</t>
  </si>
  <si>
    <t>0000901</t>
  </si>
  <si>
    <t>0000910</t>
  </si>
  <si>
    <t>Location Description</t>
  </si>
  <si>
    <t>Ne. Serv Center &amp; Warehouse #5</t>
  </si>
  <si>
    <t>Electric Service Building</t>
  </si>
  <si>
    <t>Fort Worth Operations Center</t>
  </si>
  <si>
    <t>Fw-North North Service Ctr</t>
  </si>
  <si>
    <t>Ft Worth Serv Ctr (Benbrook)</t>
  </si>
  <si>
    <t>Midland Service Center</t>
  </si>
  <si>
    <t>Athens Service Center</t>
  </si>
  <si>
    <t>T&amp;D Complex,100 N. Irving Hgts</t>
  </si>
  <si>
    <t>Cleburne Service Center</t>
  </si>
  <si>
    <t>Irving Serv Ctr,2525 W. Story</t>
  </si>
  <si>
    <t>Killeen Service Center</t>
  </si>
  <si>
    <t>Lake Dallas Service Center</t>
  </si>
  <si>
    <t>Lufkin Service Center</t>
  </si>
  <si>
    <t>Mesquite Service Center</t>
  </si>
  <si>
    <t>Paris Service Center</t>
  </si>
  <si>
    <t>System Operating Serv Facility</t>
  </si>
  <si>
    <t>Temple Service Center</t>
  </si>
  <si>
    <t>Taylor Service Center</t>
  </si>
  <si>
    <t>Terrell Service Center</t>
  </si>
  <si>
    <t>Texoma Customer Opr - Denison</t>
  </si>
  <si>
    <t>Tyler Service Center</t>
  </si>
  <si>
    <t>Waco Service Center</t>
  </si>
  <si>
    <t>Energy Plaza</t>
  </si>
  <si>
    <t>Mexia Service Center</t>
  </si>
  <si>
    <t>Gen Plt Property Mtn Creek</t>
  </si>
  <si>
    <t>Fort Worth Trans Div.Hdqtr.</t>
  </si>
  <si>
    <t>Odessa Transmission Office</t>
  </si>
  <si>
    <t>Texoma</t>
  </si>
  <si>
    <t>Transmission Grid Management</t>
  </si>
  <si>
    <t>FERC Account</t>
  </si>
  <si>
    <t>TRAN</t>
  </si>
  <si>
    <t>0005020</t>
  </si>
  <si>
    <t>0002050</t>
  </si>
  <si>
    <t>0002073</t>
  </si>
  <si>
    <t>0002034</t>
  </si>
  <si>
    <t>Allocation Methodology</t>
  </si>
  <si>
    <t>Direct Assigned</t>
  </si>
  <si>
    <t>0007898</t>
  </si>
  <si>
    <t>Lancaster, SOSF</t>
  </si>
  <si>
    <t>Ledger Account</t>
  </si>
  <si>
    <t>Vintage</t>
  </si>
  <si>
    <t>0003886</t>
  </si>
  <si>
    <t>0003910</t>
  </si>
  <si>
    <t>L000006</t>
  </si>
  <si>
    <t>L000003</t>
  </si>
  <si>
    <t>0002712</t>
  </si>
  <si>
    <t>L000009</t>
  </si>
  <si>
    <t>1616 Woodall Rodgers</t>
  </si>
  <si>
    <t>LEASED:Forney 905 E. Broad St.</t>
  </si>
  <si>
    <t>Mesquite Data Center</t>
  </si>
  <si>
    <t>Trinity Warehouse, Ft Worth</t>
  </si>
  <si>
    <t>Tyler Transmission District</t>
  </si>
  <si>
    <t>Waco Customer Operations</t>
  </si>
  <si>
    <t>Arlington Business Office</t>
  </si>
  <si>
    <t>Irving Cust Opr,4200 N.Beltlin</t>
  </si>
  <si>
    <t>West Serv Ctr Rec Strg Fw</t>
  </si>
  <si>
    <t>LEASED:Texoma(Shrmn) 313 Dorse</t>
  </si>
  <si>
    <t>LEASED:Lufkin 4110 Ellen Trout</t>
  </si>
  <si>
    <t>Midland West 138-12.5KV</t>
  </si>
  <si>
    <t>General Plant Prop Dallas SE</t>
  </si>
  <si>
    <t>Allocate based on Intangible Investment</t>
  </si>
  <si>
    <t>Non-AMS Computer Equipment</t>
  </si>
  <si>
    <t>NTU</t>
  </si>
  <si>
    <t>391</t>
  </si>
  <si>
    <t>1010798</t>
  </si>
  <si>
    <t>2010</t>
  </si>
  <si>
    <t>2020</t>
  </si>
  <si>
    <t>2013</t>
  </si>
  <si>
    <t>2014</t>
  </si>
  <si>
    <t>0000965</t>
  </si>
  <si>
    <t>Dallas Southwest Service Ctr</t>
  </si>
  <si>
    <t>2017</t>
  </si>
  <si>
    <t>2018</t>
  </si>
  <si>
    <t>2016</t>
  </si>
  <si>
    <t>2009</t>
  </si>
  <si>
    <t>2015</t>
  </si>
  <si>
    <t>2012</t>
  </si>
  <si>
    <t>2019</t>
  </si>
  <si>
    <t>0002320</t>
  </si>
  <si>
    <t>Eastland T&amp;D Center</t>
  </si>
  <si>
    <t>0002417</t>
  </si>
  <si>
    <t>Stanton Service Center</t>
  </si>
  <si>
    <t>0003060</t>
  </si>
  <si>
    <t>Brownwood Service Center</t>
  </si>
  <si>
    <t>0003320</t>
  </si>
  <si>
    <t>Euless Serv Cntr(Northeast)</t>
  </si>
  <si>
    <t>0003560</t>
  </si>
  <si>
    <t>Desoto Service Center</t>
  </si>
  <si>
    <t>0003620</t>
  </si>
  <si>
    <t>Mckinney Service Center</t>
  </si>
  <si>
    <t>0003627</t>
  </si>
  <si>
    <t>Celeste Service Center</t>
  </si>
  <si>
    <t>0003680</t>
  </si>
  <si>
    <t>Nacogdoches Customer Operation</t>
  </si>
  <si>
    <t>0003820</t>
  </si>
  <si>
    <t>Round Rock Service Center</t>
  </si>
  <si>
    <t>0003891</t>
  </si>
  <si>
    <t>2011</t>
  </si>
  <si>
    <t>2008</t>
  </si>
  <si>
    <t>N006800</t>
  </si>
  <si>
    <t>Amarillo Trans Service Center</t>
  </si>
  <si>
    <t>Ft Worth Operations Cntr</t>
  </si>
  <si>
    <t>0002310</t>
  </si>
  <si>
    <t>Wichita Falls 1900 Jacksboro H</t>
  </si>
  <si>
    <t>0002420</t>
  </si>
  <si>
    <t>Big Spring Service Center</t>
  </si>
  <si>
    <t>0002430</t>
  </si>
  <si>
    <t>Sweetwater T&amp;D Service Center</t>
  </si>
  <si>
    <t>0002438</t>
  </si>
  <si>
    <t>Graham Transmission</t>
  </si>
  <si>
    <t>Irving Serv Ctr,2525 W Story</t>
  </si>
  <si>
    <t>0003882</t>
  </si>
  <si>
    <t>Sulphur Springs Transmission</t>
  </si>
  <si>
    <t>System Materials Center,Ligget</t>
  </si>
  <si>
    <t>0007847</t>
  </si>
  <si>
    <t>Lancaster,  TOC</t>
  </si>
  <si>
    <t>0007856</t>
  </si>
  <si>
    <t>Mesquite DPC</t>
  </si>
  <si>
    <t>0007902</t>
  </si>
  <si>
    <t>Temple T&amp;D Satellite</t>
  </si>
  <si>
    <t>L000055</t>
  </si>
  <si>
    <t>Leased:260 Gilbert Road WH</t>
  </si>
  <si>
    <t>L000777</t>
  </si>
  <si>
    <t>LEASED: 777 Main St - Ft Worth</t>
  </si>
  <si>
    <t>1010796</t>
  </si>
  <si>
    <t>Intangible Investment % from WP II-B-1_02</t>
  </si>
  <si>
    <t>2021</t>
  </si>
  <si>
    <t>Collin SES</t>
  </si>
  <si>
    <t>Commerce Switch</t>
  </si>
  <si>
    <t>Glenrose Transm Service Ctr</t>
  </si>
  <si>
    <t>Greenwood Repeater</t>
  </si>
  <si>
    <t>Irving Microwave</t>
  </si>
  <si>
    <t>LEASED: Lubbock 4415 Idalou Rd</t>
  </si>
  <si>
    <t>McKinney Microwave</t>
  </si>
  <si>
    <t>Merit Repeater</t>
  </si>
  <si>
    <t>Monticello Microwave</t>
  </si>
  <si>
    <t>North Lake SES Microwave</t>
  </si>
  <si>
    <t>Northeast Service Center</t>
  </si>
  <si>
    <t>Paris Switch</t>
  </si>
  <si>
    <t>Plano Parkway Microwave</t>
  </si>
  <si>
    <t>River Crest SES</t>
  </si>
  <si>
    <t>Sherman Microwave</t>
  </si>
  <si>
    <t>Sulphur Springs</t>
  </si>
  <si>
    <t>TGM Microwave</t>
  </si>
  <si>
    <t>Valley SES</t>
  </si>
  <si>
    <t>Van Alystyne Repeater</t>
  </si>
  <si>
    <t>Windom Repeater</t>
  </si>
  <si>
    <t>0007810</t>
  </si>
  <si>
    <t>0007812</t>
  </si>
  <si>
    <t>0002436</t>
  </si>
  <si>
    <t>0007830</t>
  </si>
  <si>
    <t>0007808</t>
  </si>
  <si>
    <t>0007844</t>
  </si>
  <si>
    <t>L000056</t>
  </si>
  <si>
    <t>0007852</t>
  </si>
  <si>
    <t>0007854</t>
  </si>
  <si>
    <t>0007860</t>
  </si>
  <si>
    <t>0007813</t>
  </si>
  <si>
    <t>0007866</t>
  </si>
  <si>
    <t>0007876</t>
  </si>
  <si>
    <t>0007823</t>
  </si>
  <si>
    <t>0007882</t>
  </si>
  <si>
    <t>0007827</t>
  </si>
  <si>
    <t>0007896</t>
  </si>
  <si>
    <t>0007815</t>
  </si>
  <si>
    <t>0007914</t>
  </si>
  <si>
    <t>0007916</t>
  </si>
  <si>
    <t>0007918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</si>
</sst>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double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5" fillId="0" borderId="0">
      <alignment/>
      <protection/>
    </xf>
    <xf numFmtId="9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wrapText="1"/>
    </xf>
    <xf numFmtId="40" fontId="3" fillId="0" borderId="1" xfId="0" applyNumberFormat="1" applyFont="1" applyBorder="1" applyAlignment="1">
      <alignment horizontal="center" wrapText="1"/>
    </xf>
    <xf numFmtId="40" fontId="3" fillId="0" borderId="1" xfId="0" applyNumberFormat="1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/>
    </xf>
    <xf numFmtId="40" fontId="4" fillId="0" borderId="0" xfId="0" applyNumberFormat="1" applyFont="1"/>
    <xf numFmtId="40" fontId="4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40" fontId="3" fillId="0" borderId="0" xfId="0" applyNumberFormat="1" applyFont="1" applyAlignment="1">
      <alignment horizontal="center" wrapText="1"/>
    </xf>
    <xf numFmtId="10" fontId="3" fillId="0" borderId="0" xfId="15" applyNumberFormat="1" applyFont="1" applyAlignment="1">
      <alignment horizontal="center"/>
    </xf>
    <xf numFmtId="40" fontId="3" fillId="0" borderId="0" xfId="0" applyNumberFormat="1" applyFont="1" applyAlignment="1">
      <alignment horizontal="center"/>
    </xf>
    <xf numFmtId="39" fontId="4" fillId="0" borderId="0" xfId="0" applyNumberFormat="1" applyFont="1"/>
    <xf numFmtId="39" fontId="4" fillId="0" borderId="2" xfId="0" applyNumberFormat="1" applyFont="1" applyBorder="1"/>
    <xf numFmtId="39" fontId="4" fillId="0" borderId="3" xfId="0" applyNumberFormat="1" applyFont="1" applyBorder="1"/>
    <xf numFmtId="10" fontId="0" fillId="0" borderId="0" xfId="0" applyNumberFormat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Percent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N192"/>
  <sheetViews>
    <sheetView tabSelected="1" workbookViewId="0" topLeftCell="E1">
      <pane ySplit="1" topLeftCell="A167" activePane="bottomLeft" state="frozen"/>
      <selection pane="topLeft" activeCell="E1" sqref="E1"/>
      <selection pane="bottomLeft" activeCell="I192" sqref="I192"/>
    </sheetView>
  </sheetViews>
  <sheetFormatPr defaultColWidth="9.12428571428571" defaultRowHeight="15.75"/>
  <cols>
    <col min="1" max="1" width="11.5714285714286" style="5" bestFit="1" customWidth="1"/>
    <col min="2" max="3" width="10.5714285714286" style="5" bestFit="1" customWidth="1"/>
    <col min="4" max="4" width="10.5714285714286" style="5" customWidth="1"/>
    <col min="5" max="5" width="10.8571428571429" style="5" bestFit="1" customWidth="1"/>
    <col min="6" max="6" width="44.8571428571429" style="6" bestFit="1" customWidth="1"/>
    <col min="7" max="7" width="49.1428571428571" style="8" customWidth="1"/>
    <col min="8" max="8" width="18.1428571428571" style="7" bestFit="1" customWidth="1"/>
    <col min="9" max="9" width="16.7142857142857" style="7" bestFit="1" customWidth="1"/>
    <col min="10" max="10" width="18.1428571428571" style="7" bestFit="1" customWidth="1"/>
    <col min="11" max="13" width="16.7142857142857" style="7" bestFit="1" customWidth="1"/>
    <col min="14" max="15" width="8.71428571428571" customWidth="1"/>
    <col min="16" max="16384" width="9.14285714285714" style="4"/>
  </cols>
  <sheetData>
    <row r="1" spans="1:13" ht="42.8" customHeight="1">
      <c r="A1" s="1" t="s">
        <v>0</v>
      </c>
      <c r="B1" s="1" t="s">
        <v>69</v>
      </c>
      <c r="C1" s="9" t="s">
        <v>79</v>
      </c>
      <c r="D1" s="9" t="s">
        <v>80</v>
      </c>
      <c r="E1" s="1" t="s">
        <v>1</v>
      </c>
      <c r="F1" s="1" t="s">
        <v>39</v>
      </c>
      <c r="G1" s="2" t="s">
        <v>75</v>
      </c>
      <c r="H1" s="2" t="s">
        <v>2</v>
      </c>
      <c r="I1" s="3" t="s">
        <v>70</v>
      </c>
      <c r="J1" s="3" t="s">
        <v>102</v>
      </c>
      <c r="K1" s="3" t="s">
        <v>3</v>
      </c>
      <c r="L1" s="3" t="s">
        <v>4</v>
      </c>
      <c r="M1" s="3" t="s">
        <v>5</v>
      </c>
    </row>
    <row r="2" spans="1:13" ht="15.65">
      <c r="A2" s="5" t="s">
        <v>3</v>
      </c>
      <c r="B2" s="5" t="s">
        <v>103</v>
      </c>
      <c r="C2" s="5" t="s">
        <v>104</v>
      </c>
      <c r="D2" s="5" t="s">
        <v>137</v>
      </c>
      <c r="E2" s="5" t="s">
        <v>71</v>
      </c>
      <c r="F2" s="6" t="s">
        <v>87</v>
      </c>
      <c r="G2" s="8" t="s">
        <v>100</v>
      </c>
      <c r="H2" s="13">
        <v>391995.79999999999</v>
      </c>
      <c r="I2" s="13">
        <f t="shared" si="0" ref="I2:I33">ROUND(H2*$I$192,2)</f>
        <v>90910.949999999997</v>
      </c>
      <c r="J2" s="13">
        <f t="shared" si="1" ref="J2:J33">ROUND(H2*J192,2)</f>
        <v>0</v>
      </c>
      <c r="K2" s="13">
        <f t="shared" si="2" ref="K2:K33">ROUND(H2*$K$192,2)</f>
        <v>118859</v>
      </c>
      <c r="L2" s="13">
        <f t="shared" si="3" ref="L2:L33">ROUND(H2*$L$192,2)</f>
        <v>68117.850000000006</v>
      </c>
      <c r="M2" s="13">
        <f>H2-I2-J2-K2-L2</f>
        <v>114107.99999999997</v>
      </c>
    </row>
    <row r="3" spans="1:13" ht="15.65">
      <c r="A3" s="5" t="s">
        <v>3</v>
      </c>
      <c r="B3" s="5" t="s">
        <v>103</v>
      </c>
      <c r="C3" s="5" t="s">
        <v>104</v>
      </c>
      <c r="D3" s="5" t="s">
        <v>105</v>
      </c>
      <c r="E3" s="5" t="s">
        <v>71</v>
      </c>
      <c r="F3" s="6" t="s">
        <v>87</v>
      </c>
      <c r="G3" s="8" t="s">
        <v>100</v>
      </c>
      <c r="H3" s="13">
        <v>462172.94</v>
      </c>
      <c r="I3" s="13">
        <f t="shared" si="0"/>
        <v>107186.31</v>
      </c>
      <c r="J3" s="13">
        <f t="shared" si="1"/>
        <v>0</v>
      </c>
      <c r="K3" s="13">
        <f t="shared" si="2"/>
        <v>140137.76000000001</v>
      </c>
      <c r="L3" s="13">
        <f t="shared" si="3"/>
        <v>80312.669999999998</v>
      </c>
      <c r="M3" s="13">
        <f t="shared" si="4" ref="M3:M66">H3-I3-J3-K3-L3</f>
        <v>134536.20000000001</v>
      </c>
    </row>
    <row r="4" spans="1:13" ht="15.65">
      <c r="A4" s="5" t="s">
        <v>3</v>
      </c>
      <c r="B4" s="5" t="s">
        <v>103</v>
      </c>
      <c r="C4" s="5" t="s">
        <v>104</v>
      </c>
      <c r="D4" s="5" t="s">
        <v>117</v>
      </c>
      <c r="E4" s="5" t="s">
        <v>71</v>
      </c>
      <c r="F4" s="6" t="s">
        <v>87</v>
      </c>
      <c r="G4" s="8" t="s">
        <v>100</v>
      </c>
      <c r="H4" s="13">
        <v>7757352.2199999997</v>
      </c>
      <c r="I4" s="13">
        <f t="shared" si="0"/>
        <v>1799071.04</v>
      </c>
      <c r="J4" s="13">
        <f t="shared" si="1"/>
        <v>0</v>
      </c>
      <c r="K4" s="13">
        <f t="shared" si="2"/>
        <v>2352145.3500000001</v>
      </c>
      <c r="L4" s="13">
        <f t="shared" si="3"/>
        <v>1348009.8200000001</v>
      </c>
      <c r="M4" s="13">
        <f t="shared" si="4"/>
        <v>2258126.0099999998</v>
      </c>
    </row>
    <row r="5" spans="1:13" ht="15.65">
      <c r="A5" s="5" t="s">
        <v>3</v>
      </c>
      <c r="B5" s="5" t="s">
        <v>103</v>
      </c>
      <c r="C5" s="5" t="s">
        <v>104</v>
      </c>
      <c r="D5" s="5" t="s">
        <v>115</v>
      </c>
      <c r="E5" s="5" t="s">
        <v>71</v>
      </c>
      <c r="F5" s="6" t="s">
        <v>87</v>
      </c>
      <c r="G5" s="8" t="s">
        <v>100</v>
      </c>
      <c r="H5" s="13">
        <v>10303590.779999999</v>
      </c>
      <c r="I5" s="13">
        <f t="shared" si="0"/>
        <v>2389590.0600000001</v>
      </c>
      <c r="J5" s="13">
        <f t="shared" si="1"/>
        <v>0</v>
      </c>
      <c r="K5" s="13">
        <f t="shared" si="2"/>
        <v>3124203.0099999998</v>
      </c>
      <c r="L5" s="13">
        <f t="shared" si="3"/>
        <v>1790474.53</v>
      </c>
      <c r="M5" s="13">
        <f t="shared" si="4"/>
        <v>2999323.1799999988</v>
      </c>
    </row>
    <row r="6" spans="1:13" ht="15.65">
      <c r="A6" s="5" t="s">
        <v>3</v>
      </c>
      <c r="B6" s="5" t="s">
        <v>103</v>
      </c>
      <c r="C6" s="5" t="s">
        <v>104</v>
      </c>
      <c r="D6" s="5" t="s">
        <v>112</v>
      </c>
      <c r="E6" s="5" t="s">
        <v>71</v>
      </c>
      <c r="F6" s="6" t="s">
        <v>87</v>
      </c>
      <c r="G6" s="8" t="s">
        <v>100</v>
      </c>
      <c r="H6" s="13">
        <v>13140785.99</v>
      </c>
      <c r="I6" s="13">
        <f t="shared" si="0"/>
        <v>3047587.2200000002</v>
      </c>
      <c r="J6" s="13">
        <f t="shared" si="1"/>
        <v>0</v>
      </c>
      <c r="K6" s="13">
        <f t="shared" si="2"/>
        <v>3984483.0800000001</v>
      </c>
      <c r="L6" s="13">
        <f t="shared" si="3"/>
        <v>2283499.3300000001</v>
      </c>
      <c r="M6" s="13">
        <f t="shared" si="4"/>
        <v>3825216.3599999994</v>
      </c>
    </row>
    <row r="7" spans="1:13" ht="15.65">
      <c r="A7" s="5" t="s">
        <v>3</v>
      </c>
      <c r="B7" s="5" t="s">
        <v>103</v>
      </c>
      <c r="C7" s="5" t="s">
        <v>104</v>
      </c>
      <c r="D7" s="5" t="s">
        <v>111</v>
      </c>
      <c r="E7" s="5" t="s">
        <v>71</v>
      </c>
      <c r="F7" s="6" t="s">
        <v>87</v>
      </c>
      <c r="G7" s="8" t="s">
        <v>100</v>
      </c>
      <c r="H7" s="13">
        <v>13587620.34</v>
      </c>
      <c r="I7" s="13">
        <f t="shared" si="0"/>
        <v>3151216.23</v>
      </c>
      <c r="J7" s="13">
        <f t="shared" si="1"/>
        <v>0</v>
      </c>
      <c r="K7" s="13">
        <f t="shared" si="2"/>
        <v>4119969.9500000002</v>
      </c>
      <c r="L7" s="13">
        <f t="shared" si="3"/>
        <v>2361146.5800000001</v>
      </c>
      <c r="M7" s="13">
        <f t="shared" si="4"/>
        <v>3955287.5799999991</v>
      </c>
    </row>
    <row r="8" spans="1:13" ht="15.65">
      <c r="A8" s="5" t="s">
        <v>3</v>
      </c>
      <c r="B8" s="5" t="s">
        <v>103</v>
      </c>
      <c r="C8" s="5" t="s">
        <v>104</v>
      </c>
      <c r="D8" s="5" t="s">
        <v>107</v>
      </c>
      <c r="E8" s="5" t="s">
        <v>71</v>
      </c>
      <c r="F8" s="6" t="s">
        <v>87</v>
      </c>
      <c r="G8" s="8" t="s">
        <v>100</v>
      </c>
      <c r="H8" s="13">
        <v>14101587.6</v>
      </c>
      <c r="I8" s="13">
        <f t="shared" si="0"/>
        <v>3270414.5899999999</v>
      </c>
      <c r="J8" s="13">
        <f t="shared" si="1"/>
        <v>0</v>
      </c>
      <c r="K8" s="13">
        <f t="shared" si="2"/>
        <v>4275812.5199999996</v>
      </c>
      <c r="L8" s="13">
        <f t="shared" si="3"/>
        <v>2450459.6499999999</v>
      </c>
      <c r="M8" s="13">
        <f t="shared" si="4"/>
        <v>4104900.8400000003</v>
      </c>
    </row>
    <row r="9" spans="1:13" ht="15.65">
      <c r="A9" s="5" t="s">
        <v>3</v>
      </c>
      <c r="B9" s="5" t="s">
        <v>103</v>
      </c>
      <c r="C9" s="5" t="s">
        <v>104</v>
      </c>
      <c r="D9" s="5" t="s">
        <v>166</v>
      </c>
      <c r="E9" s="5" t="s">
        <v>71</v>
      </c>
      <c r="F9" s="6" t="s">
        <v>87</v>
      </c>
      <c r="G9" s="8" t="s">
        <v>100</v>
      </c>
      <c r="H9" s="13">
        <v>18366193.59</v>
      </c>
      <c r="I9" s="13">
        <f t="shared" si="0"/>
        <v>4259454.2599999998</v>
      </c>
      <c r="J9" s="13">
        <f t="shared" si="1"/>
        <v>0</v>
      </c>
      <c r="K9" s="13">
        <f t="shared" si="2"/>
        <v>5568904.9100000001</v>
      </c>
      <c r="L9" s="13">
        <f t="shared" si="3"/>
        <v>3191528.3300000001</v>
      </c>
      <c r="M9" s="13">
        <f t="shared" si="4"/>
        <v>5346306.0899999999</v>
      </c>
    </row>
    <row r="10" spans="1:13" ht="15.65">
      <c r="A10" s="5" t="s">
        <v>3</v>
      </c>
      <c r="B10" s="5" t="s">
        <v>103</v>
      </c>
      <c r="C10" s="5" t="s">
        <v>104</v>
      </c>
      <c r="D10" s="5" t="s">
        <v>106</v>
      </c>
      <c r="E10" s="5" t="s">
        <v>71</v>
      </c>
      <c r="F10" s="6" t="s">
        <v>87</v>
      </c>
      <c r="G10" s="8" t="s">
        <v>100</v>
      </c>
      <c r="H10" s="13">
        <v>27658762.300000001</v>
      </c>
      <c r="I10" s="13">
        <f t="shared" si="0"/>
        <v>6414569.9199999999</v>
      </c>
      <c r="J10" s="13">
        <f t="shared" si="1"/>
        <v>0</v>
      </c>
      <c r="K10" s="13">
        <f t="shared" si="2"/>
        <v>8386550.8899999997</v>
      </c>
      <c r="L10" s="13">
        <f t="shared" si="3"/>
        <v>4806315.6399999997</v>
      </c>
      <c r="M10" s="13">
        <f t="shared" si="4"/>
        <v>8051325.8500000024</v>
      </c>
    </row>
    <row r="11" spans="1:13" ht="15.65">
      <c r="A11" s="5" t="s">
        <v>3</v>
      </c>
      <c r="B11" s="5" t="s">
        <v>103</v>
      </c>
      <c r="C11" s="5" t="s">
        <v>104</v>
      </c>
      <c r="D11" s="5" t="s">
        <v>108</v>
      </c>
      <c r="E11" s="5" t="s">
        <v>71</v>
      </c>
      <c r="F11" s="6" t="s">
        <v>87</v>
      </c>
      <c r="G11" s="8" t="s">
        <v>100</v>
      </c>
      <c r="H11" s="13">
        <v>28635339.530000001</v>
      </c>
      <c r="I11" s="13">
        <f t="shared" si="0"/>
        <v>6641055.9400000004</v>
      </c>
      <c r="J11" s="13">
        <f t="shared" si="1"/>
        <v>0</v>
      </c>
      <c r="K11" s="13">
        <f t="shared" si="2"/>
        <v>8682663.7300000004</v>
      </c>
      <c r="L11" s="13">
        <f t="shared" si="3"/>
        <v>4976017.3200000003</v>
      </c>
      <c r="M11" s="13">
        <f t="shared" si="4"/>
        <v>8335602.5399999991</v>
      </c>
    </row>
    <row r="12" spans="1:13" ht="15.65">
      <c r="A12" s="5" t="s">
        <v>3</v>
      </c>
      <c r="B12" s="5" t="s">
        <v>103</v>
      </c>
      <c r="C12" s="5" t="s">
        <v>104</v>
      </c>
      <c r="D12" s="5" t="s">
        <v>116</v>
      </c>
      <c r="E12" s="5" t="s">
        <v>71</v>
      </c>
      <c r="F12" s="6" t="s">
        <v>87</v>
      </c>
      <c r="G12" s="8" t="s">
        <v>100</v>
      </c>
      <c r="H12" s="13">
        <v>38341449.039999999</v>
      </c>
      <c r="I12" s="13">
        <f t="shared" si="0"/>
        <v>8892079.2300000004</v>
      </c>
      <c r="J12" s="13">
        <f t="shared" si="1"/>
        <v>0</v>
      </c>
      <c r="K12" s="13">
        <f t="shared" si="2"/>
        <v>11625701.48</v>
      </c>
      <c r="L12" s="13">
        <f t="shared" si="3"/>
        <v>6662666.4000000004</v>
      </c>
      <c r="M12" s="13">
        <f t="shared" si="4"/>
        <v>11161001.929999998</v>
      </c>
    </row>
    <row r="13" spans="1:13" ht="15.65">
      <c r="A13" s="5" t="s">
        <v>3</v>
      </c>
      <c r="B13" s="5" t="s">
        <v>103</v>
      </c>
      <c r="C13" s="5" t="s">
        <v>104</v>
      </c>
      <c r="D13" s="5" t="s">
        <v>113</v>
      </c>
      <c r="E13" s="5" t="s">
        <v>71</v>
      </c>
      <c r="F13" s="6" t="s">
        <v>87</v>
      </c>
      <c r="G13" s="8" t="s">
        <v>100</v>
      </c>
      <c r="H13" s="13">
        <v>51037818.399999999</v>
      </c>
      <c r="I13" s="13">
        <f t="shared" si="0"/>
        <v>11836598.15</v>
      </c>
      <c r="J13" s="13">
        <f t="shared" si="1"/>
        <v>0</v>
      </c>
      <c r="K13" s="13">
        <f t="shared" si="2"/>
        <v>15475430.779999999</v>
      </c>
      <c r="L13" s="13">
        <f t="shared" si="3"/>
        <v>8868938.6099999994</v>
      </c>
      <c r="M13" s="13">
        <f t="shared" si="4"/>
        <v>14856850.859999999</v>
      </c>
    </row>
    <row r="14" spans="1:13" ht="15.65">
      <c r="A14" s="5" t="s">
        <v>3</v>
      </c>
      <c r="B14" s="5" t="s">
        <v>103</v>
      </c>
      <c r="C14" s="5" t="s">
        <v>104</v>
      </c>
      <c r="D14" s="5" t="s">
        <v>116</v>
      </c>
      <c r="E14" s="5" t="s">
        <v>71</v>
      </c>
      <c r="F14" s="6" t="s">
        <v>87</v>
      </c>
      <c r="G14" s="8" t="s">
        <v>100</v>
      </c>
      <c r="H14" s="13">
        <v>38197.830000000002</v>
      </c>
      <c r="I14" s="13">
        <f t="shared" si="0"/>
        <v>8858.7700000000004</v>
      </c>
      <c r="J14" s="13">
        <f t="shared" si="1"/>
        <v>0</v>
      </c>
      <c r="K14" s="13">
        <f t="shared" si="2"/>
        <v>11582.15</v>
      </c>
      <c r="L14" s="13">
        <f t="shared" si="3"/>
        <v>6637.71</v>
      </c>
      <c r="M14" s="13">
        <f t="shared" si="4"/>
        <v>11119.200000000004</v>
      </c>
    </row>
    <row r="15" spans="1:13" ht="15.65">
      <c r="A15" s="5" t="s">
        <v>3</v>
      </c>
      <c r="B15" s="5" t="s">
        <v>103</v>
      </c>
      <c r="C15" s="5" t="s">
        <v>104</v>
      </c>
      <c r="D15" s="5" t="s">
        <v>107</v>
      </c>
      <c r="E15" s="5" t="s">
        <v>71</v>
      </c>
      <c r="F15" s="6" t="s">
        <v>87</v>
      </c>
      <c r="G15" s="8" t="s">
        <v>100</v>
      </c>
      <c r="H15" s="13">
        <v>780785.93999999994</v>
      </c>
      <c r="I15" s="13">
        <f t="shared" si="0"/>
        <v>181078.45999999999</v>
      </c>
      <c r="J15" s="13">
        <f t="shared" si="1"/>
        <v>0</v>
      </c>
      <c r="K15" s="13">
        <f t="shared" si="2"/>
        <v>236745.98999999999</v>
      </c>
      <c r="L15" s="13">
        <f t="shared" si="3"/>
        <v>135678.66</v>
      </c>
      <c r="M15" s="13">
        <f t="shared" si="4"/>
        <v>227282.82999999999</v>
      </c>
    </row>
    <row r="16" spans="1:13" ht="15.65">
      <c r="A16" s="5" t="s">
        <v>3</v>
      </c>
      <c r="B16" s="5" t="s">
        <v>103</v>
      </c>
      <c r="C16" s="5" t="s">
        <v>104</v>
      </c>
      <c r="D16" s="5" t="s">
        <v>115</v>
      </c>
      <c r="E16" s="5" t="s">
        <v>71</v>
      </c>
      <c r="F16" s="6" t="s">
        <v>87</v>
      </c>
      <c r="G16" s="8" t="s">
        <v>100</v>
      </c>
      <c r="H16" s="13">
        <v>1017532.62</v>
      </c>
      <c r="I16" s="13">
        <f t="shared" si="0"/>
        <v>235984.32000000001</v>
      </c>
      <c r="J16" s="13">
        <f t="shared" si="1"/>
        <v>0</v>
      </c>
      <c r="K16" s="13">
        <f t="shared" si="2"/>
        <v>308531.13</v>
      </c>
      <c r="L16" s="13">
        <f t="shared" si="3"/>
        <v>176818.57999999999</v>
      </c>
      <c r="M16" s="13">
        <f t="shared" si="4"/>
        <v>296198.59000000008</v>
      </c>
    </row>
    <row r="17" spans="1:13" ht="15.65">
      <c r="A17" s="5" t="s">
        <v>3</v>
      </c>
      <c r="B17" s="5" t="s">
        <v>103</v>
      </c>
      <c r="C17" s="5" t="s">
        <v>104</v>
      </c>
      <c r="D17" s="5" t="s">
        <v>111</v>
      </c>
      <c r="E17" s="5" t="s">
        <v>71</v>
      </c>
      <c r="F17" s="6" t="s">
        <v>87</v>
      </c>
      <c r="G17" s="8" t="s">
        <v>100</v>
      </c>
      <c r="H17" s="13">
        <v>1220745.6100000001</v>
      </c>
      <c r="I17" s="13">
        <f t="shared" si="0"/>
        <v>283113.09999999998</v>
      </c>
      <c r="J17" s="13">
        <f t="shared" si="1"/>
        <v>0</v>
      </c>
      <c r="K17" s="13">
        <f t="shared" si="2"/>
        <v>370148.34999999998</v>
      </c>
      <c r="L17" s="13">
        <f t="shared" si="3"/>
        <v>212131.28</v>
      </c>
      <c r="M17" s="13">
        <f t="shared" si="4"/>
        <v>355352.88000000012</v>
      </c>
    </row>
    <row r="18" spans="1:13" ht="15.65">
      <c r="A18" s="5" t="s">
        <v>3</v>
      </c>
      <c r="B18" s="5" t="s">
        <v>103</v>
      </c>
      <c r="C18" s="5" t="s">
        <v>104</v>
      </c>
      <c r="D18" s="5" t="s">
        <v>114</v>
      </c>
      <c r="E18" s="5" t="s">
        <v>72</v>
      </c>
      <c r="F18" s="6" t="s">
        <v>93</v>
      </c>
      <c r="G18" s="8" t="s">
        <v>100</v>
      </c>
      <c r="H18" s="13">
        <v>6691.0799999999999</v>
      </c>
      <c r="I18" s="13">
        <f t="shared" si="0"/>
        <v>1551.78</v>
      </c>
      <c r="J18" s="13">
        <f t="shared" si="1"/>
        <v>0</v>
      </c>
      <c r="K18" s="13">
        <f t="shared" si="2"/>
        <v>2028.8399999999999</v>
      </c>
      <c r="L18" s="13">
        <f t="shared" si="3"/>
        <v>1162.72</v>
      </c>
      <c r="M18" s="13">
        <f t="shared" si="4"/>
        <v>1947.74</v>
      </c>
    </row>
    <row r="19" spans="1:13" ht="15.65">
      <c r="A19" s="5" t="s">
        <v>3</v>
      </c>
      <c r="B19" s="5" t="s">
        <v>103</v>
      </c>
      <c r="C19" s="5" t="s">
        <v>104</v>
      </c>
      <c r="D19" s="5" t="s">
        <v>108</v>
      </c>
      <c r="E19" s="5" t="s">
        <v>12</v>
      </c>
      <c r="F19" s="6" t="s">
        <v>46</v>
      </c>
      <c r="G19" s="8" t="s">
        <v>100</v>
      </c>
      <c r="H19" s="13">
        <v>11595.74</v>
      </c>
      <c r="I19" s="13">
        <f t="shared" si="0"/>
        <v>2689.2600000000002</v>
      </c>
      <c r="J19" s="13">
        <f t="shared" si="1"/>
        <v>0</v>
      </c>
      <c r="K19" s="13">
        <f t="shared" si="2"/>
        <v>3516</v>
      </c>
      <c r="L19" s="13">
        <f t="shared" si="3"/>
        <v>2015.01</v>
      </c>
      <c r="M19" s="13">
        <f t="shared" si="4"/>
        <v>3375.4699999999993</v>
      </c>
    </row>
    <row r="20" spans="1:13" ht="15.65">
      <c r="A20" s="5" t="s">
        <v>3</v>
      </c>
      <c r="B20" s="5" t="s">
        <v>103</v>
      </c>
      <c r="C20" s="5" t="s">
        <v>104</v>
      </c>
      <c r="D20" s="5" t="s">
        <v>117</v>
      </c>
      <c r="E20" s="5" t="s">
        <v>122</v>
      </c>
      <c r="F20" s="6" t="s">
        <v>123</v>
      </c>
      <c r="G20" s="8" t="s">
        <v>100</v>
      </c>
      <c r="H20" s="13">
        <v>-481.79000000000002</v>
      </c>
      <c r="I20" s="13">
        <f t="shared" si="0"/>
        <v>-111.74</v>
      </c>
      <c r="J20" s="13">
        <f t="shared" si="1"/>
        <v>0</v>
      </c>
      <c r="K20" s="13">
        <f t="shared" si="2"/>
        <v>-146.09</v>
      </c>
      <c r="L20" s="13">
        <f t="shared" si="3"/>
        <v>-83.719999999999999</v>
      </c>
      <c r="M20" s="13">
        <f t="shared" si="4"/>
        <v>-140.24000000000001</v>
      </c>
    </row>
    <row r="21" spans="1:13" ht="15.65">
      <c r="A21" s="5" t="s">
        <v>3</v>
      </c>
      <c r="B21" s="5" t="s">
        <v>103</v>
      </c>
      <c r="C21" s="5" t="s">
        <v>104</v>
      </c>
      <c r="D21" s="5" t="s">
        <v>112</v>
      </c>
      <c r="E21" s="5" t="s">
        <v>130</v>
      </c>
      <c r="F21" s="6" t="s">
        <v>131</v>
      </c>
      <c r="G21" s="8" t="s">
        <v>100</v>
      </c>
      <c r="H21" s="13">
        <v>6511.2200000000003</v>
      </c>
      <c r="I21" s="13">
        <f t="shared" si="0"/>
        <v>1510.0699999999999</v>
      </c>
      <c r="J21" s="13">
        <f t="shared" si="1"/>
        <v>0</v>
      </c>
      <c r="K21" s="13">
        <f t="shared" si="2"/>
        <v>1974.3</v>
      </c>
      <c r="L21" s="13">
        <f t="shared" si="3"/>
        <v>1131.47</v>
      </c>
      <c r="M21" s="13">
        <f t="shared" si="4"/>
        <v>1895.3800000000003</v>
      </c>
    </row>
    <row r="22" spans="1:13" ht="15.65">
      <c r="A22" s="5" t="s">
        <v>3</v>
      </c>
      <c r="B22" s="5" t="s">
        <v>103</v>
      </c>
      <c r="C22" s="5" t="s">
        <v>104</v>
      </c>
      <c r="D22" s="5" t="s">
        <v>108</v>
      </c>
      <c r="E22" s="5" t="s">
        <v>31</v>
      </c>
      <c r="F22" s="6" t="s">
        <v>48</v>
      </c>
      <c r="G22" s="8" t="s">
        <v>100</v>
      </c>
      <c r="H22" s="13">
        <v>5797.8699999999999</v>
      </c>
      <c r="I22" s="13">
        <f t="shared" si="0"/>
        <v>1344.6300000000001</v>
      </c>
      <c r="J22" s="13">
        <f t="shared" si="1"/>
        <v>0</v>
      </c>
      <c r="K22" s="13">
        <f t="shared" si="2"/>
        <v>1758</v>
      </c>
      <c r="L22" s="13">
        <f t="shared" si="3"/>
        <v>1007.51</v>
      </c>
      <c r="M22" s="13">
        <f t="shared" si="4"/>
        <v>1687.7299999999998</v>
      </c>
    </row>
    <row r="23" spans="1:13" ht="15.65">
      <c r="A23" s="5" t="s">
        <v>3</v>
      </c>
      <c r="B23" s="5" t="s">
        <v>103</v>
      </c>
      <c r="C23" s="5" t="s">
        <v>104</v>
      </c>
      <c r="D23" s="5" t="s">
        <v>106</v>
      </c>
      <c r="E23" s="5" t="s">
        <v>109</v>
      </c>
      <c r="F23" s="6" t="s">
        <v>110</v>
      </c>
      <c r="G23" s="8" t="s">
        <v>100</v>
      </c>
      <c r="H23" s="13">
        <v>9045.3700000000008</v>
      </c>
      <c r="I23" s="13">
        <f t="shared" si="0"/>
        <v>2097.79</v>
      </c>
      <c r="J23" s="13">
        <f t="shared" si="1"/>
        <v>0</v>
      </c>
      <c r="K23" s="13">
        <f t="shared" si="2"/>
        <v>2742.6900000000001</v>
      </c>
      <c r="L23" s="13">
        <f t="shared" si="3"/>
        <v>1571.8299999999999</v>
      </c>
      <c r="M23" s="13">
        <f t="shared" si="4"/>
        <v>2633.0600000000013</v>
      </c>
    </row>
    <row r="24" spans="1:13" ht="15.65">
      <c r="A24" s="5" t="s">
        <v>3</v>
      </c>
      <c r="B24" s="5" t="s">
        <v>103</v>
      </c>
      <c r="C24" s="5" t="s">
        <v>104</v>
      </c>
      <c r="D24" s="5" t="s">
        <v>117</v>
      </c>
      <c r="E24" s="5" t="s">
        <v>126</v>
      </c>
      <c r="F24" s="6" t="s">
        <v>127</v>
      </c>
      <c r="G24" s="8" t="s">
        <v>100</v>
      </c>
      <c r="H24" s="13">
        <v>7386.9300000000003</v>
      </c>
      <c r="I24" s="13">
        <f t="shared" si="0"/>
        <v>1713.1600000000001</v>
      </c>
      <c r="J24" s="13">
        <f t="shared" si="1"/>
        <v>0</v>
      </c>
      <c r="K24" s="13">
        <f t="shared" si="2"/>
        <v>2239.8299999999999</v>
      </c>
      <c r="L24" s="13">
        <f t="shared" si="3"/>
        <v>1283.6400000000001</v>
      </c>
      <c r="M24" s="13">
        <f t="shared" si="4"/>
        <v>2150.3000000000002</v>
      </c>
    </row>
    <row r="25" spans="1:13" ht="15.65">
      <c r="A25" s="5" t="s">
        <v>3</v>
      </c>
      <c r="B25" s="5" t="s">
        <v>103</v>
      </c>
      <c r="C25" s="5" t="s">
        <v>104</v>
      </c>
      <c r="D25" s="5" t="s">
        <v>112</v>
      </c>
      <c r="E25" s="5" t="s">
        <v>118</v>
      </c>
      <c r="F25" s="6" t="s">
        <v>119</v>
      </c>
      <c r="G25" s="8" t="s">
        <v>100</v>
      </c>
      <c r="H25" s="13">
        <v>6028.9099999999999</v>
      </c>
      <c r="I25" s="13">
        <f t="shared" si="0"/>
        <v>1398.21</v>
      </c>
      <c r="J25" s="13">
        <f t="shared" si="1"/>
        <v>0</v>
      </c>
      <c r="K25" s="13">
        <f t="shared" si="2"/>
        <v>1828.06</v>
      </c>
      <c r="L25" s="13">
        <f t="shared" si="3"/>
        <v>1047.6600000000001</v>
      </c>
      <c r="M25" s="13">
        <f t="shared" si="4"/>
        <v>1754.9799999999998</v>
      </c>
    </row>
    <row r="26" spans="1:13" ht="15.65">
      <c r="A26" s="5" t="s">
        <v>3</v>
      </c>
      <c r="B26" s="5" t="s">
        <v>103</v>
      </c>
      <c r="C26" s="5" t="s">
        <v>104</v>
      </c>
      <c r="D26" s="5" t="s">
        <v>108</v>
      </c>
      <c r="E26" s="5" t="s">
        <v>28</v>
      </c>
      <c r="F26" s="6" t="s">
        <v>41</v>
      </c>
      <c r="G26" s="8" t="s">
        <v>100</v>
      </c>
      <c r="H26" s="13">
        <v>1221.1400000000001</v>
      </c>
      <c r="I26" s="13">
        <f t="shared" si="0"/>
        <v>283.19999999999999</v>
      </c>
      <c r="J26" s="13">
        <f t="shared" si="1"/>
        <v>0</v>
      </c>
      <c r="K26" s="13">
        <f t="shared" si="2"/>
        <v>370.26999999999998</v>
      </c>
      <c r="L26" s="13">
        <f t="shared" si="3"/>
        <v>212.19999999999999</v>
      </c>
      <c r="M26" s="13">
        <f t="shared" si="4"/>
        <v>355.47000000000008</v>
      </c>
    </row>
    <row r="27" spans="1:13" ht="15.65">
      <c r="A27" s="5" t="s">
        <v>3</v>
      </c>
      <c r="B27" s="5" t="s">
        <v>103</v>
      </c>
      <c r="C27" s="5" t="s">
        <v>104</v>
      </c>
      <c r="D27" s="5" t="s">
        <v>111</v>
      </c>
      <c r="E27" s="5" t="s">
        <v>28</v>
      </c>
      <c r="F27" s="6" t="s">
        <v>41</v>
      </c>
      <c r="G27" s="8" t="s">
        <v>100</v>
      </c>
      <c r="H27" s="13">
        <v>7092.2600000000002</v>
      </c>
      <c r="I27" s="13">
        <f t="shared" si="0"/>
        <v>1644.8199999999999</v>
      </c>
      <c r="J27" s="13">
        <f t="shared" si="1"/>
        <v>0</v>
      </c>
      <c r="K27" s="13">
        <f t="shared" si="2"/>
        <v>2150.48</v>
      </c>
      <c r="L27" s="13">
        <f t="shared" si="3"/>
        <v>1232.4400000000001</v>
      </c>
      <c r="M27" s="13">
        <f t="shared" si="4"/>
        <v>2064.5200000000004</v>
      </c>
    </row>
    <row r="28" spans="1:13" ht="15.65">
      <c r="A28" s="5" t="s">
        <v>3</v>
      </c>
      <c r="B28" s="5" t="s">
        <v>103</v>
      </c>
      <c r="C28" s="5" t="s">
        <v>104</v>
      </c>
      <c r="D28" s="5" t="s">
        <v>112</v>
      </c>
      <c r="E28" s="5" t="s">
        <v>28</v>
      </c>
      <c r="F28" s="6" t="s">
        <v>41</v>
      </c>
      <c r="G28" s="8" t="s">
        <v>100</v>
      </c>
      <c r="H28" s="13">
        <v>9090.2000000000007</v>
      </c>
      <c r="I28" s="13">
        <f t="shared" si="0"/>
        <v>2108.1799999999998</v>
      </c>
      <c r="J28" s="13">
        <f t="shared" si="1"/>
        <v>0</v>
      </c>
      <c r="K28" s="13">
        <f t="shared" si="2"/>
        <v>2756.2800000000002</v>
      </c>
      <c r="L28" s="13">
        <f t="shared" si="3"/>
        <v>1579.6199999999999</v>
      </c>
      <c r="M28" s="13">
        <f t="shared" si="4"/>
        <v>2646.1199999999999</v>
      </c>
    </row>
    <row r="29" spans="1:13" ht="15.65">
      <c r="A29" s="5" t="s">
        <v>3</v>
      </c>
      <c r="B29" s="5" t="s">
        <v>103</v>
      </c>
      <c r="C29" s="5" t="s">
        <v>104</v>
      </c>
      <c r="D29" s="5" t="s">
        <v>106</v>
      </c>
      <c r="E29" s="5" t="s">
        <v>28</v>
      </c>
      <c r="F29" s="6" t="s">
        <v>41</v>
      </c>
      <c r="G29" s="8" t="s">
        <v>100</v>
      </c>
      <c r="H29" s="13">
        <v>9170.7099999999991</v>
      </c>
      <c r="I29" s="13">
        <f t="shared" si="0"/>
        <v>2126.8499999999999</v>
      </c>
      <c r="J29" s="13">
        <f t="shared" si="1"/>
        <v>0</v>
      </c>
      <c r="K29" s="13">
        <f t="shared" si="2"/>
        <v>2780.6999999999998</v>
      </c>
      <c r="L29" s="13">
        <f t="shared" si="3"/>
        <v>1593.6099999999999</v>
      </c>
      <c r="M29" s="13">
        <f t="shared" si="4"/>
        <v>2669.5499999999993</v>
      </c>
    </row>
    <row r="30" spans="1:13" ht="15.65">
      <c r="A30" s="5" t="s">
        <v>3</v>
      </c>
      <c r="B30" s="5" t="s">
        <v>103</v>
      </c>
      <c r="C30" s="5" t="s">
        <v>104</v>
      </c>
      <c r="D30" s="5" t="s">
        <v>113</v>
      </c>
      <c r="E30" s="5" t="s">
        <v>28</v>
      </c>
      <c r="F30" s="6" t="s">
        <v>41</v>
      </c>
      <c r="G30" s="8" t="s">
        <v>100</v>
      </c>
      <c r="H30" s="13">
        <v>31574.43</v>
      </c>
      <c r="I30" s="13">
        <f t="shared" si="0"/>
        <v>7322.6800000000003</v>
      </c>
      <c r="J30" s="13">
        <f t="shared" si="1"/>
        <v>0</v>
      </c>
      <c r="K30" s="13">
        <f t="shared" si="2"/>
        <v>9573.8400000000001</v>
      </c>
      <c r="L30" s="13">
        <f t="shared" si="3"/>
        <v>5486.75</v>
      </c>
      <c r="M30" s="13">
        <f t="shared" si="4"/>
        <v>9191.1599999999999</v>
      </c>
    </row>
    <row r="31" spans="1:13" ht="15.65">
      <c r="A31" s="5" t="s">
        <v>3</v>
      </c>
      <c r="B31" s="5" t="s">
        <v>103</v>
      </c>
      <c r="C31" s="5" t="s">
        <v>104</v>
      </c>
      <c r="D31" s="5" t="s">
        <v>115</v>
      </c>
      <c r="E31" s="5" t="s">
        <v>35</v>
      </c>
      <c r="F31" s="6" t="s">
        <v>62</v>
      </c>
      <c r="G31" s="8" t="s">
        <v>100</v>
      </c>
      <c r="H31" s="13">
        <v>224349.95999999999</v>
      </c>
      <c r="I31" s="13">
        <f t="shared" si="0"/>
        <v>52030.839999999997</v>
      </c>
      <c r="J31" s="13">
        <f t="shared" si="1"/>
        <v>0</v>
      </c>
      <c r="K31" s="13">
        <f t="shared" si="2"/>
        <v>68026.270000000004</v>
      </c>
      <c r="L31" s="13">
        <f t="shared" si="3"/>
        <v>38985.720000000001</v>
      </c>
      <c r="M31" s="13">
        <f t="shared" si="4"/>
        <v>65307.12999999999</v>
      </c>
    </row>
    <row r="32" spans="1:13" ht="15.65">
      <c r="A32" s="5" t="s">
        <v>3</v>
      </c>
      <c r="B32" s="5" t="s">
        <v>103</v>
      </c>
      <c r="C32" s="5" t="s">
        <v>104</v>
      </c>
      <c r="D32" s="5" t="s">
        <v>105</v>
      </c>
      <c r="E32" s="5" t="s">
        <v>35</v>
      </c>
      <c r="F32" s="6" t="s">
        <v>62</v>
      </c>
      <c r="G32" s="8" t="s">
        <v>100</v>
      </c>
      <c r="H32" s="13">
        <v>994082.90000000002</v>
      </c>
      <c r="I32" s="13">
        <f t="shared" si="0"/>
        <v>230545.89999999999</v>
      </c>
      <c r="J32" s="13">
        <f t="shared" si="1"/>
        <v>0</v>
      </c>
      <c r="K32" s="13">
        <f t="shared" si="2"/>
        <v>301420.82000000001</v>
      </c>
      <c r="L32" s="13">
        <f t="shared" si="3"/>
        <v>172743.67000000001</v>
      </c>
      <c r="M32" s="13">
        <f t="shared" si="4"/>
        <v>289372.51000000001</v>
      </c>
    </row>
    <row r="33" spans="1:13" ht="15.65">
      <c r="A33" s="5" t="s">
        <v>3</v>
      </c>
      <c r="B33" s="5" t="s">
        <v>103</v>
      </c>
      <c r="C33" s="5" t="s">
        <v>104</v>
      </c>
      <c r="D33" s="5" t="s">
        <v>107</v>
      </c>
      <c r="E33" s="5" t="s">
        <v>35</v>
      </c>
      <c r="F33" s="6" t="s">
        <v>62</v>
      </c>
      <c r="G33" s="8" t="s">
        <v>100</v>
      </c>
      <c r="H33" s="13">
        <v>1034013.89</v>
      </c>
      <c r="I33" s="13">
        <f t="shared" si="0"/>
        <v>239806.62</v>
      </c>
      <c r="J33" s="13">
        <f t="shared" si="1"/>
        <v>0</v>
      </c>
      <c r="K33" s="13">
        <f t="shared" si="2"/>
        <v>313528.48999999999</v>
      </c>
      <c r="L33" s="13">
        <f t="shared" si="3"/>
        <v>179682.56</v>
      </c>
      <c r="M33" s="13">
        <f t="shared" si="4"/>
        <v>300996.22000000003</v>
      </c>
    </row>
    <row r="34" spans="1:13" ht="15.65">
      <c r="A34" s="5" t="s">
        <v>3</v>
      </c>
      <c r="B34" s="5" t="s">
        <v>103</v>
      </c>
      <c r="C34" s="5" t="s">
        <v>104</v>
      </c>
      <c r="D34" s="5" t="s">
        <v>114</v>
      </c>
      <c r="E34" s="5" t="s">
        <v>35</v>
      </c>
      <c r="F34" s="6" t="s">
        <v>62</v>
      </c>
      <c r="G34" s="8" t="s">
        <v>100</v>
      </c>
      <c r="H34" s="13">
        <v>2135532.6299999999</v>
      </c>
      <c r="I34" s="13">
        <f t="shared" si="5" ref="I34:I65">ROUND(H34*$I$192,2)</f>
        <v>495268.84999999998</v>
      </c>
      <c r="J34" s="13">
        <f t="shared" si="6" ref="J34:J65">ROUND(H34*J224,2)</f>
        <v>0</v>
      </c>
      <c r="K34" s="13">
        <f t="shared" si="7" ref="K34:K65">ROUND(H34*$K$192,2)</f>
        <v>647525.46999999997</v>
      </c>
      <c r="L34" s="13">
        <f t="shared" si="8" ref="L34:L65">ROUND(H34*$L$192,2)</f>
        <v>371095.56</v>
      </c>
      <c r="M34" s="13">
        <f t="shared" si="4"/>
        <v>621642.74999999977</v>
      </c>
    </row>
    <row r="35" spans="1:13" ht="15.65">
      <c r="A35" s="5" t="s">
        <v>3</v>
      </c>
      <c r="B35" s="5" t="s">
        <v>103</v>
      </c>
      <c r="C35" s="5" t="s">
        <v>104</v>
      </c>
      <c r="D35" s="5" t="s">
        <v>112</v>
      </c>
      <c r="E35" s="5" t="s">
        <v>124</v>
      </c>
      <c r="F35" s="6" t="s">
        <v>125</v>
      </c>
      <c r="G35" s="8" t="s">
        <v>100</v>
      </c>
      <c r="H35" s="13">
        <v>7193.21</v>
      </c>
      <c r="I35" s="13">
        <f t="shared" si="5"/>
        <v>1668.24</v>
      </c>
      <c r="J35" s="13">
        <f t="shared" si="6"/>
        <v>0</v>
      </c>
      <c r="K35" s="13">
        <f t="shared" si="7"/>
        <v>2181.0900000000001</v>
      </c>
      <c r="L35" s="13">
        <f t="shared" si="8"/>
        <v>1249.98</v>
      </c>
      <c r="M35" s="13">
        <f t="shared" si="4"/>
        <v>2093.9000000000001</v>
      </c>
    </row>
    <row r="36" spans="1:13" ht="15.65">
      <c r="A36" s="5" t="s">
        <v>3</v>
      </c>
      <c r="B36" s="5" t="s">
        <v>103</v>
      </c>
      <c r="C36" s="5" t="s">
        <v>104</v>
      </c>
      <c r="D36" s="5" t="s">
        <v>114</v>
      </c>
      <c r="E36" s="5" t="s">
        <v>7</v>
      </c>
      <c r="F36" s="6" t="s">
        <v>42</v>
      </c>
      <c r="G36" s="8" t="s">
        <v>100</v>
      </c>
      <c r="H36" s="13">
        <v>42325.75</v>
      </c>
      <c r="I36" s="13">
        <f t="shared" si="5"/>
        <v>9816.1100000000006</v>
      </c>
      <c r="J36" s="13">
        <f t="shared" si="6"/>
        <v>0</v>
      </c>
      <c r="K36" s="13">
        <f t="shared" si="7"/>
        <v>12833.799999999999</v>
      </c>
      <c r="L36" s="13">
        <f t="shared" si="8"/>
        <v>7355.0299999999997</v>
      </c>
      <c r="M36" s="13">
        <f t="shared" si="4"/>
        <v>12320.810000000001</v>
      </c>
    </row>
    <row r="37" spans="1:13" ht="15.65">
      <c r="A37" s="5" t="s">
        <v>3</v>
      </c>
      <c r="B37" s="5" t="s">
        <v>103</v>
      </c>
      <c r="C37" s="5" t="s">
        <v>104</v>
      </c>
      <c r="D37" s="5" t="s">
        <v>108</v>
      </c>
      <c r="E37" s="5" t="s">
        <v>7</v>
      </c>
      <c r="F37" s="6" t="s">
        <v>42</v>
      </c>
      <c r="G37" s="8" t="s">
        <v>100</v>
      </c>
      <c r="H37" s="13">
        <v>66000.809999999998</v>
      </c>
      <c r="I37" s="13">
        <f t="shared" si="5"/>
        <v>15306.790000000001</v>
      </c>
      <c r="J37" s="13">
        <f t="shared" si="6"/>
        <v>0</v>
      </c>
      <c r="K37" s="13">
        <f t="shared" si="7"/>
        <v>20012.43</v>
      </c>
      <c r="L37" s="13">
        <f t="shared" si="8"/>
        <v>11469.09</v>
      </c>
      <c r="M37" s="13">
        <f t="shared" si="4"/>
        <v>19212.499999999996</v>
      </c>
    </row>
    <row r="38" spans="1:13" ht="15.65">
      <c r="A38" s="5" t="s">
        <v>3</v>
      </c>
      <c r="B38" s="5" t="s">
        <v>103</v>
      </c>
      <c r="C38" s="5" t="s">
        <v>104</v>
      </c>
      <c r="D38" s="5" t="s">
        <v>115</v>
      </c>
      <c r="E38" s="5" t="s">
        <v>7</v>
      </c>
      <c r="F38" s="6" t="s">
        <v>42</v>
      </c>
      <c r="G38" s="8" t="s">
        <v>100</v>
      </c>
      <c r="H38" s="13">
        <v>169137.01999999999</v>
      </c>
      <c r="I38" s="13">
        <f t="shared" si="5"/>
        <v>39225.949999999997</v>
      </c>
      <c r="J38" s="13">
        <f t="shared" si="6"/>
        <v>0</v>
      </c>
      <c r="K38" s="13">
        <f t="shared" si="7"/>
        <v>51284.879999999997</v>
      </c>
      <c r="L38" s="13">
        <f t="shared" si="8"/>
        <v>29391.259999999998</v>
      </c>
      <c r="M38" s="13">
        <f t="shared" si="4"/>
        <v>49234.930000000008</v>
      </c>
    </row>
    <row r="39" spans="1:13" ht="15.65">
      <c r="A39" s="5" t="s">
        <v>3</v>
      </c>
      <c r="B39" s="5" t="s">
        <v>103</v>
      </c>
      <c r="C39" s="5" t="s">
        <v>104</v>
      </c>
      <c r="D39" s="5" t="s">
        <v>115</v>
      </c>
      <c r="E39" s="5" t="s">
        <v>7</v>
      </c>
      <c r="F39" s="6" t="s">
        <v>42</v>
      </c>
      <c r="G39" s="8" t="s">
        <v>100</v>
      </c>
      <c r="H39" s="13">
        <v>220040.48999999999</v>
      </c>
      <c r="I39" s="13">
        <f t="shared" si="5"/>
        <v>51031.389999999999</v>
      </c>
      <c r="J39" s="13">
        <f t="shared" si="6"/>
        <v>0</v>
      </c>
      <c r="K39" s="13">
        <f t="shared" si="7"/>
        <v>66719.570000000007</v>
      </c>
      <c r="L39" s="13">
        <f t="shared" si="8"/>
        <v>38236.849999999999</v>
      </c>
      <c r="M39" s="13">
        <f t="shared" si="4"/>
        <v>64052.679999999971</v>
      </c>
    </row>
    <row r="40" spans="1:13" ht="15.65">
      <c r="A40" s="5" t="s">
        <v>3</v>
      </c>
      <c r="B40" s="5" t="s">
        <v>103</v>
      </c>
      <c r="C40" s="5" t="s">
        <v>104</v>
      </c>
      <c r="D40" s="5" t="s">
        <v>166</v>
      </c>
      <c r="E40" s="5" t="s">
        <v>8</v>
      </c>
      <c r="F40" s="6" t="s">
        <v>44</v>
      </c>
      <c r="G40" s="8" t="s">
        <v>100</v>
      </c>
      <c r="H40" s="13">
        <v>1822.98</v>
      </c>
      <c r="I40" s="13">
        <f t="shared" si="5"/>
        <v>422.77999999999997</v>
      </c>
      <c r="J40" s="13">
        <f t="shared" si="6"/>
        <v>0</v>
      </c>
      <c r="K40" s="13">
        <f t="shared" si="7"/>
        <v>552.75</v>
      </c>
      <c r="L40" s="13">
        <f t="shared" si="8"/>
        <v>316.77999999999997</v>
      </c>
      <c r="M40" s="13">
        <f t="shared" si="4"/>
        <v>530.67000000000007</v>
      </c>
    </row>
    <row r="41" spans="1:13" ht="15.65">
      <c r="A41" s="5" t="s">
        <v>3</v>
      </c>
      <c r="B41" s="5" t="s">
        <v>103</v>
      </c>
      <c r="C41" s="5" t="s">
        <v>104</v>
      </c>
      <c r="D41" s="5" t="s">
        <v>108</v>
      </c>
      <c r="E41" s="5" t="s">
        <v>8</v>
      </c>
      <c r="F41" s="6" t="s">
        <v>44</v>
      </c>
      <c r="G41" s="8" t="s">
        <v>100</v>
      </c>
      <c r="H41" s="13">
        <v>5797.8699999999999</v>
      </c>
      <c r="I41" s="13">
        <f t="shared" si="5"/>
        <v>1344.6300000000001</v>
      </c>
      <c r="J41" s="13">
        <f t="shared" si="6"/>
        <v>0</v>
      </c>
      <c r="K41" s="13">
        <f t="shared" si="7"/>
        <v>1758</v>
      </c>
      <c r="L41" s="13">
        <f t="shared" si="8"/>
        <v>1007.51</v>
      </c>
      <c r="M41" s="13">
        <f t="shared" si="4"/>
        <v>1687.7299999999998</v>
      </c>
    </row>
    <row r="42" spans="1:13" ht="15.65">
      <c r="A42" s="5" t="s">
        <v>3</v>
      </c>
      <c r="B42" s="5" t="s">
        <v>103</v>
      </c>
      <c r="C42" s="5" t="s">
        <v>104</v>
      </c>
      <c r="D42" s="5" t="s">
        <v>115</v>
      </c>
      <c r="E42" s="5" t="s">
        <v>29</v>
      </c>
      <c r="F42" s="6" t="s">
        <v>43</v>
      </c>
      <c r="G42" s="8" t="s">
        <v>100</v>
      </c>
      <c r="H42" s="13">
        <v>2426.2600000000002</v>
      </c>
      <c r="I42" s="13">
        <f t="shared" si="5"/>
        <v>562.69000000000005</v>
      </c>
      <c r="J42" s="13">
        <f t="shared" si="6"/>
        <v>0</v>
      </c>
      <c r="K42" s="13">
        <f t="shared" si="7"/>
        <v>735.67999999999995</v>
      </c>
      <c r="L42" s="13">
        <f t="shared" si="8"/>
        <v>421.62</v>
      </c>
      <c r="M42" s="13">
        <f t="shared" si="4"/>
        <v>706.27000000000032</v>
      </c>
    </row>
    <row r="43" spans="1:13" ht="15.65">
      <c r="A43" s="5" t="s">
        <v>3</v>
      </c>
      <c r="B43" s="5" t="s">
        <v>103</v>
      </c>
      <c r="C43" s="5" t="s">
        <v>104</v>
      </c>
      <c r="D43" s="5" t="s">
        <v>106</v>
      </c>
      <c r="E43" s="5" t="s">
        <v>29</v>
      </c>
      <c r="F43" s="6" t="s">
        <v>43</v>
      </c>
      <c r="G43" s="8" t="s">
        <v>100</v>
      </c>
      <c r="H43" s="13">
        <v>3236.3400000000001</v>
      </c>
      <c r="I43" s="13">
        <f t="shared" si="5"/>
        <v>750.57000000000005</v>
      </c>
      <c r="J43" s="13">
        <f t="shared" si="6"/>
        <v>0</v>
      </c>
      <c r="K43" s="13">
        <f t="shared" si="7"/>
        <v>981.30999999999995</v>
      </c>
      <c r="L43" s="13">
        <f t="shared" si="8"/>
        <v>562.38</v>
      </c>
      <c r="M43" s="13">
        <f t="shared" si="4"/>
        <v>942.08000000000004</v>
      </c>
    </row>
    <row r="44" spans="1:13" ht="15.65">
      <c r="A44" s="5" t="s">
        <v>3</v>
      </c>
      <c r="B44" s="5" t="s">
        <v>103</v>
      </c>
      <c r="C44" s="5" t="s">
        <v>104</v>
      </c>
      <c r="D44" s="5" t="s">
        <v>108</v>
      </c>
      <c r="E44" s="5" t="s">
        <v>29</v>
      </c>
      <c r="F44" s="6" t="s">
        <v>43</v>
      </c>
      <c r="G44" s="8" t="s">
        <v>100</v>
      </c>
      <c r="H44" s="13">
        <v>11595.74</v>
      </c>
      <c r="I44" s="13">
        <f t="shared" si="5"/>
        <v>2689.2600000000002</v>
      </c>
      <c r="J44" s="13">
        <f t="shared" si="6"/>
        <v>0</v>
      </c>
      <c r="K44" s="13">
        <f t="shared" si="7"/>
        <v>3516</v>
      </c>
      <c r="L44" s="13">
        <f t="shared" si="8"/>
        <v>2015.01</v>
      </c>
      <c r="M44" s="13">
        <f t="shared" si="4"/>
        <v>3375.4699999999993</v>
      </c>
    </row>
    <row r="45" spans="1:13" ht="15.65">
      <c r="A45" s="5" t="s">
        <v>3</v>
      </c>
      <c r="B45" s="5" t="s">
        <v>103</v>
      </c>
      <c r="C45" s="5" t="s">
        <v>104</v>
      </c>
      <c r="D45" s="5" t="s">
        <v>116</v>
      </c>
      <c r="E45" s="5" t="s">
        <v>29</v>
      </c>
      <c r="F45" s="6" t="s">
        <v>43</v>
      </c>
      <c r="G45" s="8" t="s">
        <v>100</v>
      </c>
      <c r="H45" s="13">
        <v>12710</v>
      </c>
      <c r="I45" s="13">
        <f t="shared" si="5"/>
        <v>2947.6799999999998</v>
      </c>
      <c r="J45" s="13">
        <f t="shared" si="6"/>
        <v>0</v>
      </c>
      <c r="K45" s="13">
        <f t="shared" si="7"/>
        <v>3853.8600000000001</v>
      </c>
      <c r="L45" s="13">
        <f t="shared" si="8"/>
        <v>2208.6399999999999</v>
      </c>
      <c r="M45" s="13">
        <f t="shared" si="4"/>
        <v>3699.8199999999993</v>
      </c>
    </row>
    <row r="46" spans="1:13" ht="15.65">
      <c r="A46" s="5" t="s">
        <v>3</v>
      </c>
      <c r="B46" s="5" t="s">
        <v>103</v>
      </c>
      <c r="C46" s="5" t="s">
        <v>104</v>
      </c>
      <c r="D46" s="5" t="s">
        <v>105</v>
      </c>
      <c r="E46" s="5" t="s">
        <v>37</v>
      </c>
      <c r="F46" s="6" t="s">
        <v>99</v>
      </c>
      <c r="G46" s="8" t="s">
        <v>100</v>
      </c>
      <c r="H46" s="13">
        <v>3391905.3999999999</v>
      </c>
      <c r="I46" s="13">
        <f t="shared" si="5"/>
        <v>786644.54000000004</v>
      </c>
      <c r="J46" s="13">
        <f t="shared" si="6"/>
        <v>0</v>
      </c>
      <c r="K46" s="13">
        <f t="shared" si="7"/>
        <v>1028476.51</v>
      </c>
      <c r="L46" s="13">
        <f t="shared" si="8"/>
        <v>589417.83999999997</v>
      </c>
      <c r="M46" s="13">
        <f t="shared" si="4"/>
        <v>987366.50999999989</v>
      </c>
    </row>
    <row r="47" spans="1:13" ht="15.65">
      <c r="A47" s="5" t="s">
        <v>3</v>
      </c>
      <c r="B47" s="5" t="s">
        <v>103</v>
      </c>
      <c r="C47" s="5" t="s">
        <v>104</v>
      </c>
      <c r="D47" s="5" t="s">
        <v>115</v>
      </c>
      <c r="E47" s="5" t="s">
        <v>13</v>
      </c>
      <c r="F47" s="6" t="s">
        <v>94</v>
      </c>
      <c r="G47" s="8" t="s">
        <v>100</v>
      </c>
      <c r="H47" s="13">
        <v>166907.17000000001</v>
      </c>
      <c r="I47" s="13">
        <f t="shared" si="5"/>
        <v>38708.809999999998</v>
      </c>
      <c r="J47" s="13">
        <f t="shared" si="6"/>
        <v>0</v>
      </c>
      <c r="K47" s="13">
        <f t="shared" si="7"/>
        <v>50608.75</v>
      </c>
      <c r="L47" s="13">
        <f t="shared" si="8"/>
        <v>29003.779999999999</v>
      </c>
      <c r="M47" s="13">
        <f t="shared" si="4"/>
        <v>48585.830000000016</v>
      </c>
    </row>
    <row r="48" spans="1:13" ht="15.65">
      <c r="A48" s="5" t="s">
        <v>3</v>
      </c>
      <c r="B48" s="5" t="s">
        <v>103</v>
      </c>
      <c r="C48" s="5" t="s">
        <v>104</v>
      </c>
      <c r="D48" s="5" t="s">
        <v>115</v>
      </c>
      <c r="E48" s="5" t="s">
        <v>14</v>
      </c>
      <c r="F48" s="6" t="s">
        <v>49</v>
      </c>
      <c r="G48" s="8" t="s">
        <v>100</v>
      </c>
      <c r="H48" s="13">
        <v>47777.5</v>
      </c>
      <c r="I48" s="13">
        <f t="shared" si="5"/>
        <v>11080.469999999999</v>
      </c>
      <c r="J48" s="13">
        <f t="shared" si="6"/>
        <v>0</v>
      </c>
      <c r="K48" s="13">
        <f t="shared" si="7"/>
        <v>14486.85</v>
      </c>
      <c r="L48" s="13">
        <f t="shared" si="8"/>
        <v>8302.3899999999994</v>
      </c>
      <c r="M48" s="13">
        <f t="shared" si="4"/>
        <v>13907.790000000001</v>
      </c>
    </row>
    <row r="49" spans="1:13" ht="15.65">
      <c r="A49" s="5" t="s">
        <v>3</v>
      </c>
      <c r="B49" s="5" t="s">
        <v>103</v>
      </c>
      <c r="C49" s="5" t="s">
        <v>104</v>
      </c>
      <c r="D49" s="5" t="s">
        <v>116</v>
      </c>
      <c r="E49" s="5" t="s">
        <v>14</v>
      </c>
      <c r="F49" s="6" t="s">
        <v>49</v>
      </c>
      <c r="G49" s="8" t="s">
        <v>100</v>
      </c>
      <c r="H49" s="13">
        <v>9105.9899999999998</v>
      </c>
      <c r="I49" s="13">
        <f t="shared" si="5"/>
        <v>2111.8400000000001</v>
      </c>
      <c r="J49" s="13">
        <f t="shared" si="6"/>
        <v>0</v>
      </c>
      <c r="K49" s="13">
        <f t="shared" si="7"/>
        <v>2761.0700000000002</v>
      </c>
      <c r="L49" s="13">
        <f t="shared" si="8"/>
        <v>1582.3699999999999</v>
      </c>
      <c r="M49" s="13">
        <f t="shared" si="4"/>
        <v>2650.71</v>
      </c>
    </row>
    <row r="50" spans="1:13" ht="15.65">
      <c r="A50" s="5" t="s">
        <v>3</v>
      </c>
      <c r="B50" s="5" t="s">
        <v>103</v>
      </c>
      <c r="C50" s="5" t="s">
        <v>104</v>
      </c>
      <c r="D50" s="5" t="s">
        <v>115</v>
      </c>
      <c r="E50" s="5" t="s">
        <v>14</v>
      </c>
      <c r="F50" s="6" t="s">
        <v>49</v>
      </c>
      <c r="G50" s="8" t="s">
        <v>100</v>
      </c>
      <c r="H50" s="13">
        <v>1237573.1399999999</v>
      </c>
      <c r="I50" s="13">
        <f t="shared" si="5"/>
        <v>287015.71999999997</v>
      </c>
      <c r="J50" s="13">
        <f t="shared" si="6"/>
        <v>0</v>
      </c>
      <c r="K50" s="13">
        <f t="shared" si="7"/>
        <v>375250.71000000002</v>
      </c>
      <c r="L50" s="13">
        <f t="shared" si="8"/>
        <v>215055.42999999999</v>
      </c>
      <c r="M50" s="13">
        <f t="shared" si="4"/>
        <v>360251.27999999997</v>
      </c>
    </row>
    <row r="51" spans="1:13" ht="15.65">
      <c r="A51" s="5" t="s">
        <v>3</v>
      </c>
      <c r="B51" s="5" t="s">
        <v>103</v>
      </c>
      <c r="C51" s="5" t="s">
        <v>104</v>
      </c>
      <c r="D51" s="5" t="s">
        <v>107</v>
      </c>
      <c r="E51" s="5" t="s">
        <v>15</v>
      </c>
      <c r="F51" s="6" t="s">
        <v>50</v>
      </c>
      <c r="G51" s="8" t="s">
        <v>100</v>
      </c>
      <c r="H51" s="13">
        <v>8381.7999999999993</v>
      </c>
      <c r="I51" s="13">
        <f t="shared" si="5"/>
        <v>1943.8900000000001</v>
      </c>
      <c r="J51" s="13">
        <f t="shared" si="6"/>
        <v>0</v>
      </c>
      <c r="K51" s="13">
        <f t="shared" si="7"/>
        <v>2541.4899999999998</v>
      </c>
      <c r="L51" s="13">
        <f t="shared" si="8"/>
        <v>1456.52</v>
      </c>
      <c r="M51" s="13">
        <f t="shared" si="4"/>
        <v>2439.8999999999992</v>
      </c>
    </row>
    <row r="52" spans="1:13" ht="15.65">
      <c r="A52" s="5" t="s">
        <v>3</v>
      </c>
      <c r="B52" s="5" t="s">
        <v>103</v>
      </c>
      <c r="C52" s="5" t="s">
        <v>104</v>
      </c>
      <c r="D52" s="5" t="s">
        <v>114</v>
      </c>
      <c r="E52" s="5" t="s">
        <v>16</v>
      </c>
      <c r="F52" s="6" t="s">
        <v>51</v>
      </c>
      <c r="G52" s="8" t="s">
        <v>100</v>
      </c>
      <c r="H52" s="13">
        <v>775.92999999999995</v>
      </c>
      <c r="I52" s="13">
        <f t="shared" si="5"/>
        <v>179.94999999999999</v>
      </c>
      <c r="J52" s="13">
        <f t="shared" si="6"/>
        <v>0</v>
      </c>
      <c r="K52" s="13">
        <f t="shared" si="7"/>
        <v>235.27000000000001</v>
      </c>
      <c r="L52" s="13">
        <f t="shared" si="8"/>
        <v>134.83000000000001</v>
      </c>
      <c r="M52" s="13">
        <f t="shared" si="4"/>
        <v>225.88000000000002</v>
      </c>
    </row>
    <row r="53" spans="1:13" ht="15.65">
      <c r="A53" s="5" t="s">
        <v>3</v>
      </c>
      <c r="B53" s="5" t="s">
        <v>103</v>
      </c>
      <c r="C53" s="5" t="s">
        <v>104</v>
      </c>
      <c r="D53" s="5" t="s">
        <v>115</v>
      </c>
      <c r="E53" s="5" t="s">
        <v>36</v>
      </c>
      <c r="F53" s="6" t="s">
        <v>78</v>
      </c>
      <c r="G53" s="8" t="s">
        <v>100</v>
      </c>
      <c r="H53" s="13">
        <v>2512.9699999999998</v>
      </c>
      <c r="I53" s="13">
        <f t="shared" si="5"/>
        <v>582.79999999999995</v>
      </c>
      <c r="J53" s="13">
        <f t="shared" si="6"/>
        <v>0</v>
      </c>
      <c r="K53" s="13">
        <f t="shared" si="7"/>
        <v>761.97000000000003</v>
      </c>
      <c r="L53" s="13">
        <f t="shared" si="8"/>
        <v>436.68000000000001</v>
      </c>
      <c r="M53" s="13">
        <f t="shared" si="4"/>
        <v>731.51999999999975</v>
      </c>
    </row>
    <row r="54" spans="1:13" ht="15.65">
      <c r="A54" s="5" t="s">
        <v>3</v>
      </c>
      <c r="B54" s="5" t="s">
        <v>103</v>
      </c>
      <c r="C54" s="5" t="s">
        <v>104</v>
      </c>
      <c r="D54" s="5" t="s">
        <v>105</v>
      </c>
      <c r="E54" s="5" t="s">
        <v>36</v>
      </c>
      <c r="F54" s="6" t="s">
        <v>78</v>
      </c>
      <c r="G54" s="8" t="s">
        <v>100</v>
      </c>
      <c r="H54" s="13">
        <v>11040.870000000001</v>
      </c>
      <c r="I54" s="13">
        <f t="shared" si="5"/>
        <v>2560.5799999999999</v>
      </c>
      <c r="J54" s="13">
        <f t="shared" si="6"/>
        <v>0</v>
      </c>
      <c r="K54" s="13">
        <f t="shared" si="7"/>
        <v>3347.7600000000002</v>
      </c>
      <c r="L54" s="13">
        <f t="shared" si="8"/>
        <v>1918.5899999999999</v>
      </c>
      <c r="M54" s="13">
        <f t="shared" si="4"/>
        <v>3213.9400000000005</v>
      </c>
    </row>
    <row r="55" spans="1:13" ht="15.65">
      <c r="A55" s="5" t="s">
        <v>3</v>
      </c>
      <c r="B55" s="5" t="s">
        <v>103</v>
      </c>
      <c r="C55" s="5" t="s">
        <v>104</v>
      </c>
      <c r="D55" s="5" t="s">
        <v>105</v>
      </c>
      <c r="E55" s="5" t="s">
        <v>36</v>
      </c>
      <c r="F55" s="6" t="s">
        <v>78</v>
      </c>
      <c r="G55" s="8" t="s">
        <v>100</v>
      </c>
      <c r="H55" s="13">
        <v>10459.59</v>
      </c>
      <c r="I55" s="13">
        <f t="shared" si="5"/>
        <v>2425.77</v>
      </c>
      <c r="J55" s="13">
        <f t="shared" si="6"/>
        <v>0</v>
      </c>
      <c r="K55" s="13">
        <f t="shared" si="7"/>
        <v>3171.5</v>
      </c>
      <c r="L55" s="13">
        <f t="shared" si="8"/>
        <v>1817.5799999999999</v>
      </c>
      <c r="M55" s="13">
        <f t="shared" si="4"/>
        <v>3044.7399999999998</v>
      </c>
    </row>
    <row r="56" spans="1:13" ht="15.65">
      <c r="A56" s="5" t="s">
        <v>3</v>
      </c>
      <c r="B56" s="5" t="s">
        <v>103</v>
      </c>
      <c r="C56" s="5" t="s">
        <v>104</v>
      </c>
      <c r="D56" s="5" t="s">
        <v>138</v>
      </c>
      <c r="E56" s="5" t="s">
        <v>36</v>
      </c>
      <c r="F56" s="6" t="s">
        <v>78</v>
      </c>
      <c r="G56" s="8" t="s">
        <v>100</v>
      </c>
      <c r="H56" s="13">
        <v>74379.919999999998</v>
      </c>
      <c r="I56" s="13">
        <f t="shared" si="5"/>
        <v>17250.060000000001</v>
      </c>
      <c r="J56" s="13">
        <f t="shared" si="6"/>
        <v>0</v>
      </c>
      <c r="K56" s="13">
        <f t="shared" si="7"/>
        <v>22553.110000000001</v>
      </c>
      <c r="L56" s="13">
        <f t="shared" si="8"/>
        <v>12925.139999999999</v>
      </c>
      <c r="M56" s="13">
        <f t="shared" si="4"/>
        <v>21651.610000000001</v>
      </c>
    </row>
    <row r="57" spans="1:13" ht="15.65">
      <c r="A57" s="5" t="s">
        <v>3</v>
      </c>
      <c r="B57" s="5" t="s">
        <v>103</v>
      </c>
      <c r="C57" s="5" t="s">
        <v>104</v>
      </c>
      <c r="D57" s="5" t="s">
        <v>108</v>
      </c>
      <c r="E57" s="5" t="s">
        <v>17</v>
      </c>
      <c r="F57" s="6" t="s">
        <v>52</v>
      </c>
      <c r="G57" s="8" t="s">
        <v>100</v>
      </c>
      <c r="H57" s="13">
        <v>5797.8699999999999</v>
      </c>
      <c r="I57" s="13">
        <f t="shared" si="5"/>
        <v>1344.6300000000001</v>
      </c>
      <c r="J57" s="13">
        <f t="shared" si="6"/>
        <v>0</v>
      </c>
      <c r="K57" s="13">
        <f t="shared" si="7"/>
        <v>1758</v>
      </c>
      <c r="L57" s="13">
        <f t="shared" si="8"/>
        <v>1007.51</v>
      </c>
      <c r="M57" s="13">
        <f t="shared" si="4"/>
        <v>1687.7299999999998</v>
      </c>
    </row>
    <row r="58" spans="1:13" ht="15.65">
      <c r="A58" s="5" t="s">
        <v>3</v>
      </c>
      <c r="B58" s="5" t="s">
        <v>103</v>
      </c>
      <c r="C58" s="5" t="s">
        <v>104</v>
      </c>
      <c r="D58" s="5" t="s">
        <v>111</v>
      </c>
      <c r="E58" s="5" t="s">
        <v>128</v>
      </c>
      <c r="F58" s="6" t="s">
        <v>129</v>
      </c>
      <c r="G58" s="8" t="s">
        <v>100</v>
      </c>
      <c r="H58" s="13">
        <v>6814.3400000000001</v>
      </c>
      <c r="I58" s="13">
        <f t="shared" si="5"/>
        <v>1580.3699999999999</v>
      </c>
      <c r="J58" s="13">
        <f t="shared" si="6"/>
        <v>0</v>
      </c>
      <c r="K58" s="13">
        <f t="shared" si="7"/>
        <v>2066.21</v>
      </c>
      <c r="L58" s="13">
        <f t="shared" si="8"/>
        <v>1184.1400000000001</v>
      </c>
      <c r="M58" s="13">
        <f t="shared" si="4"/>
        <v>1983.6200000000001</v>
      </c>
    </row>
    <row r="59" spans="1:13" ht="15.65">
      <c r="A59" s="5" t="s">
        <v>3</v>
      </c>
      <c r="B59" s="5" t="s">
        <v>103</v>
      </c>
      <c r="C59" s="5" t="s">
        <v>104</v>
      </c>
      <c r="D59" s="5" t="s">
        <v>107</v>
      </c>
      <c r="E59" s="5" t="s">
        <v>82</v>
      </c>
      <c r="F59" s="6" t="s">
        <v>89</v>
      </c>
      <c r="G59" s="8" t="s">
        <v>100</v>
      </c>
      <c r="H59" s="13">
        <v>178308.75</v>
      </c>
      <c r="I59" s="13">
        <f t="shared" si="5"/>
        <v>41353.040000000001</v>
      </c>
      <c r="J59" s="13">
        <f t="shared" si="6"/>
        <v>0</v>
      </c>
      <c r="K59" s="13">
        <f t="shared" si="7"/>
        <v>54065.879999999997</v>
      </c>
      <c r="L59" s="13">
        <f t="shared" si="8"/>
        <v>30985.049999999999</v>
      </c>
      <c r="M59" s="13">
        <f t="shared" si="4"/>
        <v>51904.779999999984</v>
      </c>
    </row>
    <row r="60" spans="1:13" ht="15.65">
      <c r="A60" s="5" t="s">
        <v>3</v>
      </c>
      <c r="B60" s="5" t="s">
        <v>103</v>
      </c>
      <c r="C60" s="5" t="s">
        <v>104</v>
      </c>
      <c r="D60" s="5" t="s">
        <v>108</v>
      </c>
      <c r="E60" s="5" t="s">
        <v>18</v>
      </c>
      <c r="F60" s="6" t="s">
        <v>53</v>
      </c>
      <c r="G60" s="8" t="s">
        <v>100</v>
      </c>
      <c r="H60" s="13">
        <v>16499.09</v>
      </c>
      <c r="I60" s="13">
        <f t="shared" si="5"/>
        <v>3826.4400000000001</v>
      </c>
      <c r="J60" s="13">
        <f t="shared" si="6"/>
        <v>0</v>
      </c>
      <c r="K60" s="13">
        <f t="shared" si="7"/>
        <v>5002.7700000000004</v>
      </c>
      <c r="L60" s="13">
        <f t="shared" si="8"/>
        <v>2867.0799999999999</v>
      </c>
      <c r="M60" s="13">
        <f t="shared" si="4"/>
        <v>4802.7999999999993</v>
      </c>
    </row>
    <row r="61" spans="1:13" ht="15.65">
      <c r="A61" s="5" t="s">
        <v>3</v>
      </c>
      <c r="B61" s="5" t="s">
        <v>103</v>
      </c>
      <c r="C61" s="5" t="s">
        <v>104</v>
      </c>
      <c r="D61" s="5" t="s">
        <v>108</v>
      </c>
      <c r="E61" s="5" t="s">
        <v>27</v>
      </c>
      <c r="F61" s="6" t="s">
        <v>63</v>
      </c>
      <c r="G61" s="8" t="s">
        <v>100</v>
      </c>
      <c r="H61" s="13">
        <v>5797.8699999999999</v>
      </c>
      <c r="I61" s="13">
        <f t="shared" si="5"/>
        <v>1344.6300000000001</v>
      </c>
      <c r="J61" s="13">
        <f t="shared" si="6"/>
        <v>0</v>
      </c>
      <c r="K61" s="13">
        <f t="shared" si="7"/>
        <v>1758</v>
      </c>
      <c r="L61" s="13">
        <f t="shared" si="8"/>
        <v>1007.51</v>
      </c>
      <c r="M61" s="13">
        <f t="shared" si="4"/>
        <v>1687.7299999999998</v>
      </c>
    </row>
    <row r="62" spans="1:13" ht="15.65">
      <c r="A62" s="5" t="s">
        <v>3</v>
      </c>
      <c r="B62" s="5" t="s">
        <v>103</v>
      </c>
      <c r="C62" s="5" t="s">
        <v>104</v>
      </c>
      <c r="D62" s="5" t="s">
        <v>115</v>
      </c>
      <c r="E62" s="5" t="s">
        <v>11</v>
      </c>
      <c r="F62" s="6" t="s">
        <v>45</v>
      </c>
      <c r="G62" s="8" t="s">
        <v>100</v>
      </c>
      <c r="H62" s="13">
        <v>1005.63</v>
      </c>
      <c r="I62" s="13">
        <f t="shared" si="5"/>
        <v>233.22</v>
      </c>
      <c r="J62" s="13">
        <f t="shared" si="6"/>
        <v>0</v>
      </c>
      <c r="K62" s="13">
        <f t="shared" si="7"/>
        <v>304.92000000000002</v>
      </c>
      <c r="L62" s="13">
        <f t="shared" si="8"/>
        <v>174.75</v>
      </c>
      <c r="M62" s="13">
        <f t="shared" si="4"/>
        <v>292.73999999999995</v>
      </c>
    </row>
    <row r="63" spans="1:13" ht="15.65">
      <c r="A63" s="5" t="s">
        <v>3</v>
      </c>
      <c r="B63" s="5" t="s">
        <v>103</v>
      </c>
      <c r="C63" s="5" t="s">
        <v>104</v>
      </c>
      <c r="D63" s="5" t="s">
        <v>108</v>
      </c>
      <c r="E63" s="5" t="s">
        <v>85</v>
      </c>
      <c r="F63" s="6" t="s">
        <v>98</v>
      </c>
      <c r="G63" s="8" t="s">
        <v>100</v>
      </c>
      <c r="H63" s="13">
        <v>16461.34</v>
      </c>
      <c r="I63" s="13">
        <f t="shared" si="5"/>
        <v>3817.6799999999998</v>
      </c>
      <c r="J63" s="13">
        <f t="shared" si="6"/>
        <v>0</v>
      </c>
      <c r="K63" s="13">
        <f t="shared" si="7"/>
        <v>4991.3199999999997</v>
      </c>
      <c r="L63" s="13">
        <f t="shared" si="8"/>
        <v>2860.52</v>
      </c>
      <c r="M63" s="13">
        <f t="shared" si="4"/>
        <v>4791.8199999999997</v>
      </c>
    </row>
    <row r="64" spans="1:13" ht="15.65">
      <c r="A64" s="5" t="s">
        <v>3</v>
      </c>
      <c r="B64" s="5" t="s">
        <v>103</v>
      </c>
      <c r="C64" s="5" t="s">
        <v>104</v>
      </c>
      <c r="D64" s="5" t="s">
        <v>112</v>
      </c>
      <c r="E64" s="5" t="s">
        <v>132</v>
      </c>
      <c r="F64" s="6" t="s">
        <v>133</v>
      </c>
      <c r="G64" s="8" t="s">
        <v>100</v>
      </c>
      <c r="H64" s="13">
        <v>7093.54</v>
      </c>
      <c r="I64" s="13">
        <f t="shared" si="5"/>
        <v>1645.1199999999999</v>
      </c>
      <c r="J64" s="13">
        <f t="shared" si="6"/>
        <v>0</v>
      </c>
      <c r="K64" s="13">
        <f t="shared" si="7"/>
        <v>2150.8699999999999</v>
      </c>
      <c r="L64" s="13">
        <f t="shared" si="8"/>
        <v>1232.6600000000001</v>
      </c>
      <c r="M64" s="13">
        <f t="shared" si="4"/>
        <v>2064.8900000000003</v>
      </c>
    </row>
    <row r="65" spans="1:13" ht="15.65">
      <c r="A65" s="5" t="s">
        <v>3</v>
      </c>
      <c r="B65" s="5" t="s">
        <v>103</v>
      </c>
      <c r="C65" s="5" t="s">
        <v>104</v>
      </c>
      <c r="D65" s="5" t="s">
        <v>166</v>
      </c>
      <c r="E65" s="5" t="s">
        <v>6</v>
      </c>
      <c r="F65" s="6" t="s">
        <v>40</v>
      </c>
      <c r="G65" s="8" t="s">
        <v>100</v>
      </c>
      <c r="H65" s="13">
        <v>2028.22</v>
      </c>
      <c r="I65" s="13">
        <f t="shared" si="5"/>
        <v>470.38</v>
      </c>
      <c r="J65" s="13">
        <f t="shared" si="6"/>
        <v>0</v>
      </c>
      <c r="K65" s="13">
        <f t="shared" si="7"/>
        <v>614.99000000000001</v>
      </c>
      <c r="L65" s="13">
        <f t="shared" si="8"/>
        <v>352.44999999999999</v>
      </c>
      <c r="M65" s="13">
        <f t="shared" si="4"/>
        <v>590.40000000000009</v>
      </c>
    </row>
    <row r="66" spans="1:13" ht="15.65">
      <c r="A66" s="5" t="s">
        <v>3</v>
      </c>
      <c r="B66" s="5" t="s">
        <v>103</v>
      </c>
      <c r="C66" s="5" t="s">
        <v>104</v>
      </c>
      <c r="D66" s="5" t="s">
        <v>106</v>
      </c>
      <c r="E66" s="5" t="s">
        <v>6</v>
      </c>
      <c r="F66" s="6" t="s">
        <v>40</v>
      </c>
      <c r="G66" s="8" t="s">
        <v>100</v>
      </c>
      <c r="H66" s="13">
        <v>3236.3099999999999</v>
      </c>
      <c r="I66" s="13">
        <f t="shared" si="9" ref="I66:I97">ROUND(H66*$I$192,2)</f>
        <v>750.55999999999995</v>
      </c>
      <c r="J66" s="13">
        <f t="shared" si="10" ref="J66:J97">ROUND(H66*J256,2)</f>
        <v>0</v>
      </c>
      <c r="K66" s="13">
        <f t="shared" si="11" ref="K66:K97">ROUND(H66*$K$192,2)</f>
        <v>981.29999999999995</v>
      </c>
      <c r="L66" s="13">
        <f t="shared" si="12" ref="L66:L97">ROUND(H66*$L$192,2)</f>
        <v>562.38</v>
      </c>
      <c r="M66" s="13">
        <f t="shared" si="4"/>
        <v>942.07000000000005</v>
      </c>
    </row>
    <row r="67" spans="1:13" ht="15.65">
      <c r="A67" s="5" t="s">
        <v>3</v>
      </c>
      <c r="B67" s="5" t="s">
        <v>103</v>
      </c>
      <c r="C67" s="5" t="s">
        <v>104</v>
      </c>
      <c r="D67" s="5" t="s">
        <v>107</v>
      </c>
      <c r="E67" s="5" t="s">
        <v>6</v>
      </c>
      <c r="F67" s="6" t="s">
        <v>40</v>
      </c>
      <c r="G67" s="8" t="s">
        <v>100</v>
      </c>
      <c r="H67" s="13">
        <v>8381.7999999999993</v>
      </c>
      <c r="I67" s="13">
        <f t="shared" si="9"/>
        <v>1943.8900000000001</v>
      </c>
      <c r="J67" s="13">
        <f t="shared" si="10"/>
        <v>0</v>
      </c>
      <c r="K67" s="13">
        <f t="shared" si="11"/>
        <v>2541.4899999999998</v>
      </c>
      <c r="L67" s="13">
        <f t="shared" si="12"/>
        <v>1456.52</v>
      </c>
      <c r="M67" s="13">
        <f t="shared" si="13" ref="M67:M133">H67-I67-J67-K67-L67</f>
        <v>2439.8999999999992</v>
      </c>
    </row>
    <row r="68" spans="1:13" ht="15.65">
      <c r="A68" s="5" t="s">
        <v>3</v>
      </c>
      <c r="B68" s="5" t="s">
        <v>103</v>
      </c>
      <c r="C68" s="5" t="s">
        <v>104</v>
      </c>
      <c r="D68" s="5" t="s">
        <v>108</v>
      </c>
      <c r="E68" s="5" t="s">
        <v>6</v>
      </c>
      <c r="F68" s="6" t="s">
        <v>40</v>
      </c>
      <c r="G68" s="8" t="s">
        <v>100</v>
      </c>
      <c r="H68" s="13">
        <v>26302.200000000001</v>
      </c>
      <c r="I68" s="13">
        <f t="shared" si="9"/>
        <v>6099.96</v>
      </c>
      <c r="J68" s="13">
        <f t="shared" si="10"/>
        <v>0</v>
      </c>
      <c r="K68" s="13">
        <f t="shared" si="11"/>
        <v>7975.2200000000003</v>
      </c>
      <c r="L68" s="13">
        <f t="shared" si="12"/>
        <v>4570.5799999999999</v>
      </c>
      <c r="M68" s="13">
        <f t="shared" si="13"/>
        <v>7656.4400000000005</v>
      </c>
    </row>
    <row r="69" spans="1:13" ht="15.65">
      <c r="A69" s="5" t="s">
        <v>3</v>
      </c>
      <c r="B69" s="5" t="s">
        <v>103</v>
      </c>
      <c r="C69" s="5" t="s">
        <v>104</v>
      </c>
      <c r="D69" s="5" t="s">
        <v>105</v>
      </c>
      <c r="E69" s="5" t="s">
        <v>6</v>
      </c>
      <c r="F69" s="6" t="s">
        <v>40</v>
      </c>
      <c r="G69" s="8" t="s">
        <v>100</v>
      </c>
      <c r="H69" s="13">
        <v>40563.5</v>
      </c>
      <c r="I69" s="13">
        <f t="shared" si="9"/>
        <v>9407.4099999999999</v>
      </c>
      <c r="J69" s="13">
        <f t="shared" si="10"/>
        <v>0</v>
      </c>
      <c r="K69" s="13">
        <f t="shared" si="11"/>
        <v>12299.459999999999</v>
      </c>
      <c r="L69" s="13">
        <f t="shared" si="12"/>
        <v>7048.8000000000002</v>
      </c>
      <c r="M69" s="13">
        <f t="shared" si="13"/>
        <v>11807.830000000002</v>
      </c>
    </row>
    <row r="70" spans="1:13" ht="15.65">
      <c r="A70" s="5" t="s">
        <v>3</v>
      </c>
      <c r="B70" s="5" t="s">
        <v>103</v>
      </c>
      <c r="C70" s="5" t="s">
        <v>104</v>
      </c>
      <c r="D70" s="5" t="s">
        <v>117</v>
      </c>
      <c r="E70" s="5" t="s">
        <v>19</v>
      </c>
      <c r="F70" s="6" t="s">
        <v>54</v>
      </c>
      <c r="G70" s="8" t="s">
        <v>100</v>
      </c>
      <c r="H70" s="13">
        <v>2540.5300000000002</v>
      </c>
      <c r="I70" s="13">
        <f t="shared" si="9"/>
        <v>589.20000000000005</v>
      </c>
      <c r="J70" s="13">
        <f t="shared" si="10"/>
        <v>0</v>
      </c>
      <c r="K70" s="13">
        <f t="shared" si="11"/>
        <v>770.33000000000004</v>
      </c>
      <c r="L70" s="13">
        <f t="shared" si="12"/>
        <v>441.47000000000003</v>
      </c>
      <c r="M70" s="13">
        <f t="shared" si="13"/>
        <v>739.52999999999997</v>
      </c>
    </row>
    <row r="71" spans="1:13" ht="15.65">
      <c r="A71" s="5" t="s">
        <v>3</v>
      </c>
      <c r="B71" s="5" t="s">
        <v>103</v>
      </c>
      <c r="C71" s="5" t="s">
        <v>104</v>
      </c>
      <c r="D71" s="5" t="s">
        <v>108</v>
      </c>
      <c r="E71" s="5" t="s">
        <v>19</v>
      </c>
      <c r="F71" s="6" t="s">
        <v>54</v>
      </c>
      <c r="G71" s="8" t="s">
        <v>100</v>
      </c>
      <c r="H71" s="13">
        <v>9045.3700000000008</v>
      </c>
      <c r="I71" s="13">
        <f t="shared" si="9"/>
        <v>2097.79</v>
      </c>
      <c r="J71" s="13">
        <f t="shared" si="10"/>
        <v>0</v>
      </c>
      <c r="K71" s="13">
        <f t="shared" si="11"/>
        <v>2742.6900000000001</v>
      </c>
      <c r="L71" s="13">
        <f t="shared" si="12"/>
        <v>1571.8299999999999</v>
      </c>
      <c r="M71" s="13">
        <f t="shared" si="13"/>
        <v>2633.0600000000013</v>
      </c>
    </row>
    <row r="72" spans="1:13" ht="15.65">
      <c r="A72" s="5" t="s">
        <v>3</v>
      </c>
      <c r="B72" s="5" t="s">
        <v>103</v>
      </c>
      <c r="C72" s="5" t="s">
        <v>104</v>
      </c>
      <c r="D72" s="5" t="s">
        <v>117</v>
      </c>
      <c r="E72" s="5" t="s">
        <v>134</v>
      </c>
      <c r="F72" s="6" t="s">
        <v>135</v>
      </c>
      <c r="G72" s="8" t="s">
        <v>100</v>
      </c>
      <c r="H72" s="13">
        <v>7740.9499999999998</v>
      </c>
      <c r="I72" s="13">
        <f t="shared" si="9"/>
        <v>1795.27</v>
      </c>
      <c r="J72" s="13">
        <f t="shared" si="10"/>
        <v>0</v>
      </c>
      <c r="K72" s="13">
        <f t="shared" si="11"/>
        <v>2347.1700000000001</v>
      </c>
      <c r="L72" s="13">
        <f t="shared" si="12"/>
        <v>1345.1600000000001</v>
      </c>
      <c r="M72" s="13">
        <f t="shared" si="13"/>
        <v>2253.3500000000004</v>
      </c>
    </row>
    <row r="73" spans="1:13" ht="15.65">
      <c r="A73" s="5" t="s">
        <v>3</v>
      </c>
      <c r="B73" s="5" t="s">
        <v>103</v>
      </c>
      <c r="C73" s="5" t="s">
        <v>104</v>
      </c>
      <c r="D73" s="5" t="s">
        <v>106</v>
      </c>
      <c r="E73" s="5" t="s">
        <v>120</v>
      </c>
      <c r="F73" s="6" t="s">
        <v>121</v>
      </c>
      <c r="G73" s="8" t="s">
        <v>100</v>
      </c>
      <c r="H73" s="13">
        <v>7606.0500000000002</v>
      </c>
      <c r="I73" s="13">
        <f t="shared" si="9"/>
        <v>1763.98</v>
      </c>
      <c r="J73" s="13">
        <f t="shared" si="10"/>
        <v>0</v>
      </c>
      <c r="K73" s="13">
        <f t="shared" si="11"/>
        <v>2306.27</v>
      </c>
      <c r="L73" s="13">
        <f t="shared" si="12"/>
        <v>1321.72</v>
      </c>
      <c r="M73" s="13">
        <f t="shared" si="13"/>
        <v>2214.0799999999999</v>
      </c>
    </row>
    <row r="74" spans="1:13" ht="15.65">
      <c r="A74" s="5" t="s">
        <v>3</v>
      </c>
      <c r="B74" s="5" t="s">
        <v>103</v>
      </c>
      <c r="C74" s="5" t="s">
        <v>104</v>
      </c>
      <c r="D74" s="5" t="s">
        <v>111</v>
      </c>
      <c r="E74" s="5" t="s">
        <v>120</v>
      </c>
      <c r="F74" s="6" t="s">
        <v>121</v>
      </c>
      <c r="G74" s="8" t="s">
        <v>100</v>
      </c>
      <c r="H74" s="13">
        <v>12249</v>
      </c>
      <c r="I74" s="13">
        <f t="shared" si="9"/>
        <v>2840.77</v>
      </c>
      <c r="J74" s="13">
        <f t="shared" si="10"/>
        <v>0</v>
      </c>
      <c r="K74" s="13">
        <f t="shared" si="11"/>
        <v>3714.0799999999999</v>
      </c>
      <c r="L74" s="13">
        <f t="shared" si="12"/>
        <v>2128.5300000000002</v>
      </c>
      <c r="M74" s="13">
        <f t="shared" si="13"/>
        <v>3565.6199999999994</v>
      </c>
    </row>
    <row r="75" spans="1:13" ht="15.65">
      <c r="A75" s="5" t="s">
        <v>3</v>
      </c>
      <c r="B75" s="5" t="s">
        <v>103</v>
      </c>
      <c r="C75" s="5" t="s">
        <v>104</v>
      </c>
      <c r="D75" s="5" t="s">
        <v>113</v>
      </c>
      <c r="E75" s="5" t="s">
        <v>120</v>
      </c>
      <c r="F75" s="6" t="s">
        <v>121</v>
      </c>
      <c r="G75" s="8" t="s">
        <v>100</v>
      </c>
      <c r="H75" s="13">
        <v>214918</v>
      </c>
      <c r="I75" s="13">
        <f t="shared" si="9"/>
        <v>49843.389999999999</v>
      </c>
      <c r="J75" s="13">
        <f t="shared" si="10"/>
        <v>0</v>
      </c>
      <c r="K75" s="13">
        <f t="shared" si="11"/>
        <v>65166.360000000001</v>
      </c>
      <c r="L75" s="13">
        <f t="shared" si="12"/>
        <v>37346.709999999999</v>
      </c>
      <c r="M75" s="13">
        <f t="shared" si="13"/>
        <v>62561.539999999986</v>
      </c>
    </row>
    <row r="76" spans="1:13" ht="15.65">
      <c r="A76" s="5" t="s">
        <v>3</v>
      </c>
      <c r="B76" s="5" t="s">
        <v>103</v>
      </c>
      <c r="C76" s="5" t="s">
        <v>104</v>
      </c>
      <c r="D76" s="5" t="s">
        <v>107</v>
      </c>
      <c r="E76" s="5" t="s">
        <v>20</v>
      </c>
      <c r="F76" s="6" t="s">
        <v>55</v>
      </c>
      <c r="G76" s="8" t="s">
        <v>100</v>
      </c>
      <c r="H76" s="13">
        <v>38.990000000000002</v>
      </c>
      <c r="I76" s="13">
        <f t="shared" si="9"/>
        <v>9.0399999999999991</v>
      </c>
      <c r="J76" s="13">
        <f t="shared" si="10"/>
        <v>0</v>
      </c>
      <c r="K76" s="13">
        <f t="shared" si="11"/>
        <v>11.82</v>
      </c>
      <c r="L76" s="13">
        <f t="shared" si="12"/>
        <v>6.7800000000000002</v>
      </c>
      <c r="M76" s="13">
        <f t="shared" si="13"/>
        <v>11.350000000000001</v>
      </c>
    </row>
    <row r="77" spans="1:13" ht="15.65">
      <c r="A77" s="5" t="s">
        <v>3</v>
      </c>
      <c r="B77" s="5" t="s">
        <v>103</v>
      </c>
      <c r="C77" s="5" t="s">
        <v>104</v>
      </c>
      <c r="D77" s="5" t="s">
        <v>112</v>
      </c>
      <c r="E77" s="5" t="s">
        <v>20</v>
      </c>
      <c r="F77" s="6" t="s">
        <v>55</v>
      </c>
      <c r="G77" s="8" t="s">
        <v>100</v>
      </c>
      <c r="H77" s="13">
        <v>1515.29</v>
      </c>
      <c r="I77" s="13">
        <f t="shared" si="9"/>
        <v>351.42000000000002</v>
      </c>
      <c r="J77" s="13">
        <f t="shared" si="10"/>
        <v>0</v>
      </c>
      <c r="K77" s="13">
        <f t="shared" si="11"/>
        <v>459.45999999999998</v>
      </c>
      <c r="L77" s="13">
        <f t="shared" si="12"/>
        <v>263.31</v>
      </c>
      <c r="M77" s="13">
        <f t="shared" si="13"/>
        <v>441.09999999999985</v>
      </c>
    </row>
    <row r="78" spans="1:13" ht="15.65">
      <c r="A78" s="5" t="s">
        <v>3</v>
      </c>
      <c r="B78" s="5" t="s">
        <v>103</v>
      </c>
      <c r="C78" s="5" t="s">
        <v>104</v>
      </c>
      <c r="D78" s="5" t="s">
        <v>111</v>
      </c>
      <c r="E78" s="5" t="s">
        <v>20</v>
      </c>
      <c r="F78" s="6" t="s">
        <v>55</v>
      </c>
      <c r="G78" s="8" t="s">
        <v>100</v>
      </c>
      <c r="H78" s="13">
        <v>5369.3900000000003</v>
      </c>
      <c r="I78" s="13">
        <f t="shared" si="9"/>
        <v>1245.26</v>
      </c>
      <c r="J78" s="13">
        <f t="shared" si="10"/>
        <v>0</v>
      </c>
      <c r="K78" s="13">
        <f t="shared" si="11"/>
        <v>1628.0799999999999</v>
      </c>
      <c r="L78" s="13">
        <f t="shared" si="12"/>
        <v>933.04999999999995</v>
      </c>
      <c r="M78" s="13">
        <f t="shared" si="13"/>
        <v>1563.0000000000002</v>
      </c>
    </row>
    <row r="79" spans="1:13" ht="15.65">
      <c r="A79" s="5" t="s">
        <v>3</v>
      </c>
      <c r="B79" s="5" t="s">
        <v>103</v>
      </c>
      <c r="C79" s="5" t="s">
        <v>104</v>
      </c>
      <c r="D79" s="5" t="s">
        <v>113</v>
      </c>
      <c r="E79" s="5" t="s">
        <v>20</v>
      </c>
      <c r="F79" s="6" t="s">
        <v>55</v>
      </c>
      <c r="G79" s="8" t="s">
        <v>100</v>
      </c>
      <c r="H79" s="13">
        <v>7038.4899999999998</v>
      </c>
      <c r="I79" s="13">
        <f t="shared" si="9"/>
        <v>1632.3499999999999</v>
      </c>
      <c r="J79" s="13">
        <f t="shared" si="10"/>
        <v>0</v>
      </c>
      <c r="K79" s="13">
        <f t="shared" si="11"/>
        <v>2134.1799999999998</v>
      </c>
      <c r="L79" s="13">
        <f t="shared" si="12"/>
        <v>1223.0899999999999</v>
      </c>
      <c r="M79" s="13">
        <f t="shared" si="13"/>
        <v>2048.8699999999999</v>
      </c>
    </row>
    <row r="80" spans="1:13" ht="15.65">
      <c r="A80" s="5" t="s">
        <v>3</v>
      </c>
      <c r="B80" s="5" t="s">
        <v>103</v>
      </c>
      <c r="C80" s="5" t="s">
        <v>104</v>
      </c>
      <c r="D80" s="5" t="s">
        <v>106</v>
      </c>
      <c r="E80" s="5" t="s">
        <v>20</v>
      </c>
      <c r="F80" s="6" t="s">
        <v>55</v>
      </c>
      <c r="G80" s="8" t="s">
        <v>100</v>
      </c>
      <c r="H80" s="13">
        <v>14865.41</v>
      </c>
      <c r="I80" s="13">
        <f t="shared" si="9"/>
        <v>3447.5599999999999</v>
      </c>
      <c r="J80" s="13">
        <f t="shared" si="10"/>
        <v>0</v>
      </c>
      <c r="K80" s="13">
        <f t="shared" si="11"/>
        <v>4507.4099999999999</v>
      </c>
      <c r="L80" s="13">
        <f t="shared" si="12"/>
        <v>2583.1900000000001</v>
      </c>
      <c r="M80" s="13">
        <f t="shared" si="13"/>
        <v>4327.25</v>
      </c>
    </row>
    <row r="81" spans="1:13" ht="15.65">
      <c r="A81" s="5" t="s">
        <v>3</v>
      </c>
      <c r="B81" s="5" t="s">
        <v>103</v>
      </c>
      <c r="C81" s="5" t="s">
        <v>104</v>
      </c>
      <c r="D81" s="5" t="s">
        <v>117</v>
      </c>
      <c r="E81" s="5" t="s">
        <v>20</v>
      </c>
      <c r="F81" s="6" t="s">
        <v>55</v>
      </c>
      <c r="G81" s="8" t="s">
        <v>100</v>
      </c>
      <c r="H81" s="13">
        <v>19310.720000000001</v>
      </c>
      <c r="I81" s="13">
        <f t="shared" si="9"/>
        <v>4478.5100000000002</v>
      </c>
      <c r="J81" s="13">
        <f t="shared" si="10"/>
        <v>0</v>
      </c>
      <c r="K81" s="13">
        <f t="shared" si="11"/>
        <v>5855.3000000000002</v>
      </c>
      <c r="L81" s="13">
        <f t="shared" si="12"/>
        <v>3355.6599999999999</v>
      </c>
      <c r="M81" s="13">
        <f t="shared" si="13"/>
        <v>5621.25</v>
      </c>
    </row>
    <row r="82" spans="1:13" ht="15.65">
      <c r="A82" s="5" t="s">
        <v>3</v>
      </c>
      <c r="B82" s="5" t="s">
        <v>103</v>
      </c>
      <c r="C82" s="5" t="s">
        <v>104</v>
      </c>
      <c r="D82" s="5" t="s">
        <v>108</v>
      </c>
      <c r="E82" s="5" t="s">
        <v>20</v>
      </c>
      <c r="F82" s="6" t="s">
        <v>55</v>
      </c>
      <c r="G82" s="8" t="s">
        <v>100</v>
      </c>
      <c r="H82" s="13">
        <v>25390.029999999999</v>
      </c>
      <c r="I82" s="13">
        <f t="shared" si="9"/>
        <v>5888.4099999999999</v>
      </c>
      <c r="J82" s="13">
        <f t="shared" si="10"/>
        <v>0</v>
      </c>
      <c r="K82" s="13">
        <f t="shared" si="11"/>
        <v>7698.6400000000003</v>
      </c>
      <c r="L82" s="13">
        <f t="shared" si="12"/>
        <v>4412.0699999999997</v>
      </c>
      <c r="M82" s="13">
        <f t="shared" si="13"/>
        <v>7390.9099999999999</v>
      </c>
    </row>
    <row r="83" spans="1:13" ht="15.65">
      <c r="A83" s="5" t="s">
        <v>3</v>
      </c>
      <c r="B83" s="5" t="s">
        <v>103</v>
      </c>
      <c r="C83" s="5" t="s">
        <v>104</v>
      </c>
      <c r="D83" s="5" t="s">
        <v>166</v>
      </c>
      <c r="E83" s="5" t="s">
        <v>20</v>
      </c>
      <c r="F83" s="6" t="s">
        <v>55</v>
      </c>
      <c r="G83" s="8" t="s">
        <v>100</v>
      </c>
      <c r="H83" s="13">
        <v>45261.589999999997</v>
      </c>
      <c r="I83" s="13">
        <f t="shared" si="9"/>
        <v>10496.99</v>
      </c>
      <c r="J83" s="13">
        <f t="shared" si="10"/>
        <v>0</v>
      </c>
      <c r="K83" s="13">
        <f t="shared" si="11"/>
        <v>13723.99</v>
      </c>
      <c r="L83" s="13">
        <f t="shared" si="12"/>
        <v>7865.1899999999996</v>
      </c>
      <c r="M83" s="13">
        <f t="shared" si="13"/>
        <v>13175.420000000002</v>
      </c>
    </row>
    <row r="84" spans="1:13" ht="15.65">
      <c r="A84" s="5" t="s">
        <v>3</v>
      </c>
      <c r="B84" s="5" t="s">
        <v>103</v>
      </c>
      <c r="C84" s="5" t="s">
        <v>104</v>
      </c>
      <c r="D84" s="5" t="s">
        <v>117</v>
      </c>
      <c r="E84" s="5" t="s">
        <v>136</v>
      </c>
      <c r="F84" s="6" t="s">
        <v>57</v>
      </c>
      <c r="G84" s="8" t="s">
        <v>100</v>
      </c>
      <c r="H84" s="13">
        <v>7151</v>
      </c>
      <c r="I84" s="13">
        <f t="shared" si="9"/>
        <v>1658.4500000000001</v>
      </c>
      <c r="J84" s="13">
        <f t="shared" si="10"/>
        <v>0</v>
      </c>
      <c r="K84" s="13">
        <f t="shared" si="11"/>
        <v>2168.29</v>
      </c>
      <c r="L84" s="13">
        <f t="shared" si="12"/>
        <v>1242.6400000000001</v>
      </c>
      <c r="M84" s="13">
        <f t="shared" si="13"/>
        <v>2081.6199999999999</v>
      </c>
    </row>
    <row r="85" spans="1:13" ht="15.65">
      <c r="A85" s="5" t="s">
        <v>3</v>
      </c>
      <c r="B85" s="5" t="s">
        <v>103</v>
      </c>
      <c r="C85" s="5" t="s">
        <v>104</v>
      </c>
      <c r="D85" s="5" t="s">
        <v>108</v>
      </c>
      <c r="E85" s="5" t="s">
        <v>77</v>
      </c>
      <c r="F85" s="6" t="s">
        <v>57</v>
      </c>
      <c r="G85" s="8" t="s">
        <v>100</v>
      </c>
      <c r="H85" s="13">
        <v>6276.1899999999996</v>
      </c>
      <c r="I85" s="13">
        <f t="shared" si="9"/>
        <v>1455.56</v>
      </c>
      <c r="J85" s="13">
        <f t="shared" si="10"/>
        <v>0</v>
      </c>
      <c r="K85" s="13">
        <f t="shared" si="11"/>
        <v>1903.03</v>
      </c>
      <c r="L85" s="13">
        <f t="shared" si="12"/>
        <v>1090.6300000000001</v>
      </c>
      <c r="M85" s="13">
        <f t="shared" si="13"/>
        <v>1826.9699999999994</v>
      </c>
    </row>
    <row r="86" spans="1:13" ht="15.65">
      <c r="A86" s="5" t="s">
        <v>3</v>
      </c>
      <c r="B86" s="5" t="s">
        <v>103</v>
      </c>
      <c r="C86" s="5" t="s">
        <v>104</v>
      </c>
      <c r="D86" s="5" t="s">
        <v>107</v>
      </c>
      <c r="E86" s="5" t="s">
        <v>21</v>
      </c>
      <c r="F86" s="6" t="s">
        <v>56</v>
      </c>
      <c r="G86" s="8" t="s">
        <v>100</v>
      </c>
      <c r="H86" s="13">
        <v>8381.7999999999993</v>
      </c>
      <c r="I86" s="13">
        <f t="shared" si="9"/>
        <v>1943.8900000000001</v>
      </c>
      <c r="J86" s="13">
        <f t="shared" si="10"/>
        <v>0</v>
      </c>
      <c r="K86" s="13">
        <f t="shared" si="11"/>
        <v>2541.4899999999998</v>
      </c>
      <c r="L86" s="13">
        <f t="shared" si="12"/>
        <v>1456.52</v>
      </c>
      <c r="M86" s="13">
        <f t="shared" si="13"/>
        <v>2439.8999999999992</v>
      </c>
    </row>
    <row r="87" spans="1:13" ht="15.65">
      <c r="A87" s="5" t="s">
        <v>3</v>
      </c>
      <c r="B87" s="5" t="s">
        <v>103</v>
      </c>
      <c r="C87" s="5" t="s">
        <v>104</v>
      </c>
      <c r="D87" s="5" t="s">
        <v>108</v>
      </c>
      <c r="E87" s="5" t="s">
        <v>22</v>
      </c>
      <c r="F87" s="6" t="s">
        <v>58</v>
      </c>
      <c r="G87" s="8" t="s">
        <v>100</v>
      </c>
      <c r="H87" s="13">
        <v>7027.1999999999998</v>
      </c>
      <c r="I87" s="13">
        <f t="shared" si="9"/>
        <v>1629.74</v>
      </c>
      <c r="J87" s="13">
        <f t="shared" si="10"/>
        <v>0</v>
      </c>
      <c r="K87" s="13">
        <f t="shared" si="11"/>
        <v>2130.75</v>
      </c>
      <c r="L87" s="13">
        <f t="shared" si="12"/>
        <v>1221.1300000000001</v>
      </c>
      <c r="M87" s="13">
        <f t="shared" si="13"/>
        <v>2045.5799999999999</v>
      </c>
    </row>
    <row r="88" spans="1:13" ht="15.65">
      <c r="A88" s="5" t="s">
        <v>3</v>
      </c>
      <c r="B88" s="5" t="s">
        <v>103</v>
      </c>
      <c r="C88" s="5" t="s">
        <v>104</v>
      </c>
      <c r="D88" s="5" t="s">
        <v>115</v>
      </c>
      <c r="E88" s="5" t="s">
        <v>23</v>
      </c>
      <c r="F88" s="6" t="s">
        <v>59</v>
      </c>
      <c r="G88" s="8" t="s">
        <v>100</v>
      </c>
      <c r="H88" s="13">
        <v>6271.9399999999996</v>
      </c>
      <c r="I88" s="13">
        <f t="shared" si="9"/>
        <v>1454.5799999999999</v>
      </c>
      <c r="J88" s="13">
        <f t="shared" si="10"/>
        <v>0</v>
      </c>
      <c r="K88" s="13">
        <f t="shared" si="11"/>
        <v>1901.75</v>
      </c>
      <c r="L88" s="13">
        <f t="shared" si="12"/>
        <v>1089.8900000000001</v>
      </c>
      <c r="M88" s="13">
        <f t="shared" si="13"/>
        <v>1825.7199999999996</v>
      </c>
    </row>
    <row r="89" spans="1:13" ht="15.65">
      <c r="A89" s="5" t="s">
        <v>3</v>
      </c>
      <c r="B89" s="5" t="s">
        <v>103</v>
      </c>
      <c r="C89" s="5" t="s">
        <v>104</v>
      </c>
      <c r="D89" s="5" t="s">
        <v>117</v>
      </c>
      <c r="E89" s="5" t="s">
        <v>73</v>
      </c>
      <c r="F89" s="6" t="s">
        <v>90</v>
      </c>
      <c r="G89" s="8" t="s">
        <v>100</v>
      </c>
      <c r="H89" s="13">
        <v>1869.1800000000001</v>
      </c>
      <c r="I89" s="13">
        <f t="shared" si="9"/>
        <v>433.5</v>
      </c>
      <c r="J89" s="13">
        <f t="shared" si="10"/>
        <v>0</v>
      </c>
      <c r="K89" s="13">
        <f t="shared" si="11"/>
        <v>566.75999999999999</v>
      </c>
      <c r="L89" s="13">
        <f t="shared" si="12"/>
        <v>324.81</v>
      </c>
      <c r="M89" s="13">
        <f t="shared" si="13"/>
        <v>544.11000000000013</v>
      </c>
    </row>
    <row r="90" spans="1:13" ht="15.65">
      <c r="A90" s="5" t="s">
        <v>3</v>
      </c>
      <c r="B90" s="5" t="s">
        <v>103</v>
      </c>
      <c r="C90" s="5" t="s">
        <v>104</v>
      </c>
      <c r="D90" s="5" t="s">
        <v>106</v>
      </c>
      <c r="E90" s="5" t="s">
        <v>73</v>
      </c>
      <c r="F90" s="6" t="s">
        <v>90</v>
      </c>
      <c r="G90" s="8" t="s">
        <v>100</v>
      </c>
      <c r="H90" s="13">
        <v>51285.389999999999</v>
      </c>
      <c r="I90" s="13">
        <f t="shared" si="9"/>
        <v>11894.01</v>
      </c>
      <c r="J90" s="13">
        <f t="shared" si="10"/>
        <v>0</v>
      </c>
      <c r="K90" s="13">
        <f t="shared" si="11"/>
        <v>15550.5</v>
      </c>
      <c r="L90" s="13">
        <f t="shared" si="12"/>
        <v>8911.9599999999991</v>
      </c>
      <c r="M90" s="13">
        <f t="shared" si="13"/>
        <v>14928.919999999998</v>
      </c>
    </row>
    <row r="91" spans="1:13" ht="15.65">
      <c r="A91" s="5" t="s">
        <v>3</v>
      </c>
      <c r="B91" s="5" t="s">
        <v>103</v>
      </c>
      <c r="C91" s="5" t="s">
        <v>104</v>
      </c>
      <c r="D91" s="5" t="s">
        <v>108</v>
      </c>
      <c r="E91" s="5" t="s">
        <v>73</v>
      </c>
      <c r="F91" s="6" t="s">
        <v>90</v>
      </c>
      <c r="G91" s="8" t="s">
        <v>100</v>
      </c>
      <c r="H91" s="13">
        <v>55766.709999999999</v>
      </c>
      <c r="I91" s="13">
        <f t="shared" si="9"/>
        <v>12933.31</v>
      </c>
      <c r="J91" s="13">
        <f t="shared" si="10"/>
        <v>0</v>
      </c>
      <c r="K91" s="13">
        <f t="shared" si="11"/>
        <v>16909.299999999999</v>
      </c>
      <c r="L91" s="13">
        <f t="shared" si="12"/>
        <v>9690.6900000000005</v>
      </c>
      <c r="M91" s="13">
        <f t="shared" si="13"/>
        <v>16233.410000000002</v>
      </c>
    </row>
    <row r="92" spans="1:13" ht="15.65">
      <c r="A92" s="5" t="s">
        <v>3</v>
      </c>
      <c r="B92" s="5" t="s">
        <v>103</v>
      </c>
      <c r="C92" s="5" t="s">
        <v>104</v>
      </c>
      <c r="D92" s="5" t="s">
        <v>106</v>
      </c>
      <c r="E92" s="5" t="s">
        <v>24</v>
      </c>
      <c r="F92" s="6" t="s">
        <v>60</v>
      </c>
      <c r="G92" s="8" t="s">
        <v>100</v>
      </c>
      <c r="H92" s="13">
        <v>3236.3099999999999</v>
      </c>
      <c r="I92" s="13">
        <f t="shared" si="9"/>
        <v>750.55999999999995</v>
      </c>
      <c r="J92" s="13">
        <f t="shared" si="10"/>
        <v>0</v>
      </c>
      <c r="K92" s="13">
        <f t="shared" si="11"/>
        <v>981.29999999999995</v>
      </c>
      <c r="L92" s="13">
        <f t="shared" si="12"/>
        <v>562.38</v>
      </c>
      <c r="M92" s="13">
        <f t="shared" si="13"/>
        <v>942.07000000000005</v>
      </c>
    </row>
    <row r="93" spans="1:13" ht="15.65">
      <c r="A93" s="5" t="s">
        <v>3</v>
      </c>
      <c r="B93" s="5" t="s">
        <v>103</v>
      </c>
      <c r="C93" s="5" t="s">
        <v>104</v>
      </c>
      <c r="D93" s="5" t="s">
        <v>108</v>
      </c>
      <c r="E93" s="5" t="s">
        <v>24</v>
      </c>
      <c r="F93" s="6" t="s">
        <v>60</v>
      </c>
      <c r="G93" s="8" t="s">
        <v>100</v>
      </c>
      <c r="H93" s="13">
        <v>3397.7399999999998</v>
      </c>
      <c r="I93" s="13">
        <f t="shared" si="9"/>
        <v>788</v>
      </c>
      <c r="J93" s="13">
        <f t="shared" si="10"/>
        <v>0</v>
      </c>
      <c r="K93" s="13">
        <f t="shared" si="11"/>
        <v>1030.25</v>
      </c>
      <c r="L93" s="13">
        <f t="shared" si="12"/>
        <v>590.42999999999995</v>
      </c>
      <c r="M93" s="13">
        <f t="shared" si="13"/>
        <v>989.05999999999983</v>
      </c>
    </row>
    <row r="94" spans="1:13" ht="15.65">
      <c r="A94" s="5" t="s">
        <v>3</v>
      </c>
      <c r="B94" s="5" t="s">
        <v>103</v>
      </c>
      <c r="C94" s="5" t="s">
        <v>104</v>
      </c>
      <c r="D94" s="5" t="s">
        <v>108</v>
      </c>
      <c r="E94" s="5" t="s">
        <v>34</v>
      </c>
      <c r="F94" s="6" t="s">
        <v>92</v>
      </c>
      <c r="G94" s="8" t="s">
        <v>100</v>
      </c>
      <c r="H94" s="13">
        <v>5797.8699999999999</v>
      </c>
      <c r="I94" s="13">
        <f t="shared" si="9"/>
        <v>1344.6300000000001</v>
      </c>
      <c r="J94" s="13">
        <f t="shared" si="10"/>
        <v>0</v>
      </c>
      <c r="K94" s="13">
        <f t="shared" si="11"/>
        <v>1758</v>
      </c>
      <c r="L94" s="13">
        <f t="shared" si="12"/>
        <v>1007.51</v>
      </c>
      <c r="M94" s="13">
        <f t="shared" si="13"/>
        <v>1687.7299999999998</v>
      </c>
    </row>
    <row r="95" spans="1:13" ht="15.65">
      <c r="A95" s="5" t="s">
        <v>3</v>
      </c>
      <c r="B95" s="5" t="s">
        <v>103</v>
      </c>
      <c r="C95" s="5" t="s">
        <v>104</v>
      </c>
      <c r="D95" s="5" t="s">
        <v>105</v>
      </c>
      <c r="E95" s="5" t="s">
        <v>25</v>
      </c>
      <c r="F95" s="6" t="s">
        <v>61</v>
      </c>
      <c r="G95" s="8" t="s">
        <v>100</v>
      </c>
      <c r="H95" s="13">
        <v>700.11000000000001</v>
      </c>
      <c r="I95" s="13">
        <f t="shared" si="9"/>
        <v>162.37000000000001</v>
      </c>
      <c r="J95" s="13">
        <f t="shared" si="10"/>
        <v>0</v>
      </c>
      <c r="K95" s="13">
        <f t="shared" si="11"/>
        <v>212.28</v>
      </c>
      <c r="L95" s="13">
        <f t="shared" si="12"/>
        <v>121.66</v>
      </c>
      <c r="M95" s="13">
        <f t="shared" si="14" ref="M95:M97">H95-I95-J95-K95-L95</f>
        <v>203.80000000000004</v>
      </c>
    </row>
    <row r="96" spans="1:13" ht="15.65">
      <c r="A96" s="5" t="s">
        <v>3</v>
      </c>
      <c r="B96" s="5" t="s">
        <v>103</v>
      </c>
      <c r="C96" s="5" t="s">
        <v>104</v>
      </c>
      <c r="D96" s="5" t="s">
        <v>166</v>
      </c>
      <c r="E96" s="5" t="s">
        <v>25</v>
      </c>
      <c r="F96" s="6" t="s">
        <v>61</v>
      </c>
      <c r="G96" s="8" t="s">
        <v>100</v>
      </c>
      <c r="H96" s="13">
        <v>10868.34</v>
      </c>
      <c r="I96" s="13">
        <f t="shared" si="9"/>
        <v>2520.5700000000002</v>
      </c>
      <c r="J96" s="13">
        <f t="shared" si="10"/>
        <v>0</v>
      </c>
      <c r="K96" s="13">
        <f t="shared" si="11"/>
        <v>3295.4400000000001</v>
      </c>
      <c r="L96" s="13">
        <f t="shared" si="12"/>
        <v>1888.6099999999999</v>
      </c>
      <c r="M96" s="13">
        <f t="shared" si="14"/>
        <v>3163.7200000000003</v>
      </c>
    </row>
    <row r="97" spans="1:13" ht="15.65">
      <c r="A97" s="5" t="s">
        <v>3</v>
      </c>
      <c r="B97" s="5" t="s">
        <v>103</v>
      </c>
      <c r="C97" s="5" t="s">
        <v>104</v>
      </c>
      <c r="D97" s="5" t="s">
        <v>107</v>
      </c>
      <c r="E97" s="5" t="s">
        <v>74</v>
      </c>
      <c r="F97" s="6" t="s">
        <v>95</v>
      </c>
      <c r="G97" s="8" t="s">
        <v>100</v>
      </c>
      <c r="H97" s="13">
        <v>178310.5</v>
      </c>
      <c r="I97" s="13">
        <f t="shared" si="9"/>
        <v>41353.449999999997</v>
      </c>
      <c r="J97" s="13">
        <f t="shared" si="10"/>
        <v>0</v>
      </c>
      <c r="K97" s="13">
        <f t="shared" si="11"/>
        <v>54066.410000000003</v>
      </c>
      <c r="L97" s="13">
        <f t="shared" si="12"/>
        <v>30985.349999999999</v>
      </c>
      <c r="M97" s="13">
        <f t="shared" si="14"/>
        <v>51905.289999999986</v>
      </c>
    </row>
    <row r="98" spans="1:13" ht="15.65">
      <c r="A98" s="5" t="s">
        <v>70</v>
      </c>
      <c r="B98" s="5" t="s">
        <v>103</v>
      </c>
      <c r="C98" s="5" t="s">
        <v>104</v>
      </c>
      <c r="D98" s="5" t="s">
        <v>113</v>
      </c>
      <c r="E98" s="5" t="s">
        <v>71</v>
      </c>
      <c r="F98" s="6" t="s">
        <v>87</v>
      </c>
      <c r="G98" s="8" t="s">
        <v>100</v>
      </c>
      <c r="H98" s="13">
        <v>104752.06</v>
      </c>
      <c r="I98" s="13">
        <f t="shared" si="15" ref="I98:I129">ROUND(H98*$I$192,2)</f>
        <v>24293.91</v>
      </c>
      <c r="J98" s="13">
        <f t="shared" si="16" ref="J98:J129">ROUND(H98*J285,2)</f>
        <v>0</v>
      </c>
      <c r="K98" s="13">
        <f t="shared" si="17" ref="K98:K129">ROUND(H98*$K$192,2)</f>
        <v>31762.389999999999</v>
      </c>
      <c r="L98" s="13">
        <f t="shared" si="18" ref="L98:L129">ROUND(H98*$L$192,2)</f>
        <v>18202.959999999999</v>
      </c>
      <c r="M98" s="13">
        <f t="shared" si="13"/>
        <v>30492.799999999996</v>
      </c>
    </row>
    <row r="99" spans="1:13" ht="15.65">
      <c r="A99" s="5" t="s">
        <v>70</v>
      </c>
      <c r="B99" s="5" t="s">
        <v>103</v>
      </c>
      <c r="C99" s="5" t="s">
        <v>104</v>
      </c>
      <c r="D99" s="5" t="s">
        <v>166</v>
      </c>
      <c r="E99" s="5" t="s">
        <v>71</v>
      </c>
      <c r="F99" s="6" t="s">
        <v>87</v>
      </c>
      <c r="G99" s="8" t="s">
        <v>100</v>
      </c>
      <c r="H99" s="13">
        <v>369761.71000000002</v>
      </c>
      <c r="I99" s="13">
        <f t="shared" si="15"/>
        <v>85754.460000000006</v>
      </c>
      <c r="J99" s="13">
        <f t="shared" si="16"/>
        <v>0</v>
      </c>
      <c r="K99" s="13">
        <f t="shared" si="17"/>
        <v>112117.28999999999</v>
      </c>
      <c r="L99" s="13">
        <f t="shared" si="18"/>
        <v>64254.190000000002</v>
      </c>
      <c r="M99" s="13">
        <f t="shared" si="13"/>
        <v>107635.77000000002</v>
      </c>
    </row>
    <row r="100" spans="1:13" ht="15.65">
      <c r="A100" s="5" t="s">
        <v>70</v>
      </c>
      <c r="B100" s="5" t="s">
        <v>103</v>
      </c>
      <c r="C100" s="5" t="s">
        <v>104</v>
      </c>
      <c r="D100" s="5" t="s">
        <v>117</v>
      </c>
      <c r="E100" s="5" t="s">
        <v>71</v>
      </c>
      <c r="F100" s="6" t="s">
        <v>87</v>
      </c>
      <c r="G100" s="8" t="s">
        <v>100</v>
      </c>
      <c r="H100" s="13">
        <v>460949.09000000003</v>
      </c>
      <c r="I100" s="13">
        <f t="shared" si="15"/>
        <v>106902.48</v>
      </c>
      <c r="J100" s="13">
        <f t="shared" si="16"/>
        <v>0</v>
      </c>
      <c r="K100" s="13">
        <f t="shared" si="17"/>
        <v>139766.67000000001</v>
      </c>
      <c r="L100" s="13">
        <f t="shared" si="18"/>
        <v>80100</v>
      </c>
      <c r="M100" s="13">
        <f t="shared" si="13"/>
        <v>134179.94000000003</v>
      </c>
    </row>
    <row r="101" spans="1:13" ht="15.65">
      <c r="A101" s="5" t="s">
        <v>70</v>
      </c>
      <c r="B101" s="5" t="s">
        <v>103</v>
      </c>
      <c r="C101" s="5" t="s">
        <v>104</v>
      </c>
      <c r="D101" s="5" t="s">
        <v>112</v>
      </c>
      <c r="E101" s="5" t="s">
        <v>71</v>
      </c>
      <c r="F101" s="6" t="s">
        <v>87</v>
      </c>
      <c r="G101" s="8" t="s">
        <v>100</v>
      </c>
      <c r="H101" s="13">
        <v>10269199.49</v>
      </c>
      <c r="I101" s="13">
        <f t="shared" si="15"/>
        <v>2381614.1000000001</v>
      </c>
      <c r="J101" s="13">
        <f t="shared" si="16"/>
        <v>0</v>
      </c>
      <c r="K101" s="13">
        <f t="shared" si="17"/>
        <v>3113775.0600000001</v>
      </c>
      <c r="L101" s="13">
        <f t="shared" si="18"/>
        <v>1784498.29</v>
      </c>
      <c r="M101" s="13">
        <f t="shared" si="13"/>
        <v>2989312.04</v>
      </c>
    </row>
    <row r="102" spans="1:13" ht="15.65">
      <c r="A102" s="5" t="s">
        <v>70</v>
      </c>
      <c r="B102" s="5" t="s">
        <v>103</v>
      </c>
      <c r="C102" s="5" t="s">
        <v>104</v>
      </c>
      <c r="D102" s="5" t="s">
        <v>106</v>
      </c>
      <c r="E102" s="5" t="s">
        <v>71</v>
      </c>
      <c r="F102" s="6" t="s">
        <v>87</v>
      </c>
      <c r="G102" s="8" t="s">
        <v>100</v>
      </c>
      <c r="H102" s="13">
        <v>29671533.489999998</v>
      </c>
      <c r="I102" s="13">
        <f t="shared" si="15"/>
        <v>6881368.1600000001</v>
      </c>
      <c r="J102" s="13">
        <f t="shared" si="16"/>
        <v>0</v>
      </c>
      <c r="K102" s="13">
        <f t="shared" si="17"/>
        <v>8996853.2599999998</v>
      </c>
      <c r="L102" s="13">
        <f t="shared" si="18"/>
        <v>5156078.71</v>
      </c>
      <c r="M102" s="13">
        <f t="shared" si="13"/>
        <v>8637233.3599999994</v>
      </c>
    </row>
    <row r="103" spans="1:13" ht="15.65">
      <c r="A103" s="5" t="s">
        <v>70</v>
      </c>
      <c r="B103" s="5" t="s">
        <v>103</v>
      </c>
      <c r="C103" s="5" t="s">
        <v>104</v>
      </c>
      <c r="D103" s="5" t="s">
        <v>112</v>
      </c>
      <c r="E103" s="5" t="s">
        <v>144</v>
      </c>
      <c r="F103" s="6" t="s">
        <v>145</v>
      </c>
      <c r="G103" s="8" t="s">
        <v>100</v>
      </c>
      <c r="H103" s="13">
        <v>13094.43</v>
      </c>
      <c r="I103" s="13">
        <f t="shared" si="15"/>
        <v>3036.8400000000001</v>
      </c>
      <c r="J103" s="13">
        <f t="shared" si="16"/>
        <v>0</v>
      </c>
      <c r="K103" s="13">
        <f t="shared" si="17"/>
        <v>3970.4299999999998</v>
      </c>
      <c r="L103" s="13">
        <f t="shared" si="18"/>
        <v>2275.4400000000001</v>
      </c>
      <c r="M103" s="13">
        <f t="shared" si="13"/>
        <v>3811.7199999999998</v>
      </c>
    </row>
    <row r="104" spans="1:13" ht="15.65">
      <c r="A104" s="5" t="s">
        <v>70</v>
      </c>
      <c r="B104" s="5" t="s">
        <v>103</v>
      </c>
      <c r="C104" s="5" t="s">
        <v>104</v>
      </c>
      <c r="D104" s="5" t="s">
        <v>166</v>
      </c>
      <c r="E104" s="5" t="s">
        <v>187</v>
      </c>
      <c r="F104" s="6" t="s">
        <v>167</v>
      </c>
      <c r="G104" s="8" t="s">
        <v>100</v>
      </c>
      <c r="H104" s="13">
        <v>17710.43</v>
      </c>
      <c r="I104" s="13">
        <f t="shared" si="15"/>
        <v>4107.3699999999999</v>
      </c>
      <c r="J104" s="13">
        <f t="shared" si="16"/>
        <v>0</v>
      </c>
      <c r="K104" s="13">
        <f t="shared" si="17"/>
        <v>5370.0699999999997</v>
      </c>
      <c r="L104" s="13">
        <f t="shared" si="18"/>
        <v>3077.5799999999999</v>
      </c>
      <c r="M104" s="13">
        <f t="shared" si="13"/>
        <v>5155.4100000000017</v>
      </c>
    </row>
    <row r="105" spans="1:13" ht="15.65">
      <c r="A105" s="5" t="s">
        <v>70</v>
      </c>
      <c r="B105" s="5" t="s">
        <v>103</v>
      </c>
      <c r="C105" s="5" t="s">
        <v>104</v>
      </c>
      <c r="D105" s="5" t="s">
        <v>166</v>
      </c>
      <c r="E105" s="5" t="s">
        <v>188</v>
      </c>
      <c r="F105" s="6" t="s">
        <v>168</v>
      </c>
      <c r="G105" s="8" t="s">
        <v>100</v>
      </c>
      <c r="H105" s="13">
        <v>17710.43</v>
      </c>
      <c r="I105" s="13">
        <f t="shared" si="15"/>
        <v>4107.3699999999999</v>
      </c>
      <c r="J105" s="13">
        <f t="shared" si="16"/>
        <v>0</v>
      </c>
      <c r="K105" s="13">
        <f t="shared" si="17"/>
        <v>5370.0699999999997</v>
      </c>
      <c r="L105" s="13">
        <f t="shared" si="18"/>
        <v>3077.5799999999999</v>
      </c>
      <c r="M105" s="13">
        <f t="shared" si="13"/>
        <v>5155.4100000000017</v>
      </c>
    </row>
    <row r="106" spans="1:13" ht="15.65">
      <c r="A106" s="5" t="s">
        <v>70</v>
      </c>
      <c r="B106" s="5" t="s">
        <v>103</v>
      </c>
      <c r="C106" s="5" t="s">
        <v>104</v>
      </c>
      <c r="D106" s="5" t="s">
        <v>107</v>
      </c>
      <c r="E106" s="5" t="s">
        <v>28</v>
      </c>
      <c r="F106" s="6" t="s">
        <v>41</v>
      </c>
      <c r="G106" s="8" t="s">
        <v>100</v>
      </c>
      <c r="H106" s="13">
        <v>503.25</v>
      </c>
      <c r="I106" s="13">
        <f t="shared" si="15"/>
        <v>116.70999999999999</v>
      </c>
      <c r="J106" s="13">
        <f t="shared" si="16"/>
        <v>0</v>
      </c>
      <c r="K106" s="13">
        <f t="shared" si="17"/>
        <v>152.59</v>
      </c>
      <c r="L106" s="13">
        <f t="shared" si="18"/>
        <v>87.450000000000003</v>
      </c>
      <c r="M106" s="13">
        <f t="shared" si="13"/>
        <v>146.5</v>
      </c>
    </row>
    <row r="107" spans="1:13" ht="15.65">
      <c r="A107" s="5" t="s">
        <v>70</v>
      </c>
      <c r="B107" s="5" t="s">
        <v>103</v>
      </c>
      <c r="C107" s="5" t="s">
        <v>104</v>
      </c>
      <c r="D107" s="5" t="s">
        <v>108</v>
      </c>
      <c r="E107" s="5" t="s">
        <v>28</v>
      </c>
      <c r="F107" s="6" t="s">
        <v>41</v>
      </c>
      <c r="G107" s="8" t="s">
        <v>100</v>
      </c>
      <c r="H107" s="13">
        <v>4938.3599999999997</v>
      </c>
      <c r="I107" s="13">
        <f t="shared" si="15"/>
        <v>1145.3</v>
      </c>
      <c r="J107" s="13">
        <f t="shared" si="16"/>
        <v>0</v>
      </c>
      <c r="K107" s="13">
        <f t="shared" si="17"/>
        <v>1497.3800000000001</v>
      </c>
      <c r="L107" s="13">
        <f t="shared" si="18"/>
        <v>858.14999999999998</v>
      </c>
      <c r="M107" s="13">
        <f t="shared" si="13"/>
        <v>1437.5299999999993</v>
      </c>
    </row>
    <row r="108" spans="1:13" ht="15.65">
      <c r="A108" s="5" t="s">
        <v>70</v>
      </c>
      <c r="B108" s="5" t="s">
        <v>103</v>
      </c>
      <c r="C108" s="5" t="s">
        <v>104</v>
      </c>
      <c r="D108" s="5" t="s">
        <v>111</v>
      </c>
      <c r="E108" s="5" t="s">
        <v>28</v>
      </c>
      <c r="F108" s="6" t="s">
        <v>41</v>
      </c>
      <c r="G108" s="8" t="s">
        <v>100</v>
      </c>
      <c r="H108" s="13">
        <v>10800.780000000001</v>
      </c>
      <c r="I108" s="13">
        <f t="shared" si="15"/>
        <v>2504.9000000000001</v>
      </c>
      <c r="J108" s="13">
        <f t="shared" si="16"/>
        <v>0</v>
      </c>
      <c r="K108" s="13">
        <f t="shared" si="17"/>
        <v>3274.96</v>
      </c>
      <c r="L108" s="13">
        <f t="shared" si="18"/>
        <v>1876.8699999999999</v>
      </c>
      <c r="M108" s="13">
        <f t="shared" si="13"/>
        <v>3144.0500000000011</v>
      </c>
    </row>
    <row r="109" spans="1:13" ht="15.65">
      <c r="A109" s="5" t="s">
        <v>70</v>
      </c>
      <c r="B109" s="5" t="s">
        <v>103</v>
      </c>
      <c r="C109" s="5" t="s">
        <v>104</v>
      </c>
      <c r="D109" s="5" t="s">
        <v>113</v>
      </c>
      <c r="E109" s="5" t="s">
        <v>28</v>
      </c>
      <c r="F109" s="6" t="s">
        <v>41</v>
      </c>
      <c r="G109" s="8" t="s">
        <v>100</v>
      </c>
      <c r="H109" s="13">
        <v>22416.419999999998</v>
      </c>
      <c r="I109" s="13">
        <f t="shared" si="15"/>
        <v>5198.7799999999997</v>
      </c>
      <c r="J109" s="13">
        <f t="shared" si="16"/>
        <v>0</v>
      </c>
      <c r="K109" s="13">
        <f t="shared" si="17"/>
        <v>6796.9899999999998</v>
      </c>
      <c r="L109" s="13">
        <f t="shared" si="18"/>
        <v>3895.3400000000001</v>
      </c>
      <c r="M109" s="13">
        <f t="shared" si="13"/>
        <v>6525.3099999999995</v>
      </c>
    </row>
    <row r="110" spans="1:13" ht="15.65">
      <c r="A110" s="5" t="s">
        <v>70</v>
      </c>
      <c r="B110" s="5" t="s">
        <v>103</v>
      </c>
      <c r="C110" s="5" t="s">
        <v>104</v>
      </c>
      <c r="D110" s="5" t="s">
        <v>115</v>
      </c>
      <c r="E110" s="5" t="s">
        <v>28</v>
      </c>
      <c r="F110" s="6" t="s">
        <v>41</v>
      </c>
      <c r="G110" s="8" t="s">
        <v>100</v>
      </c>
      <c r="H110" s="13">
        <v>34447.209999999999</v>
      </c>
      <c r="I110" s="13">
        <f t="shared" si="15"/>
        <v>7988.9300000000003</v>
      </c>
      <c r="J110" s="13">
        <f t="shared" si="16"/>
        <v>0</v>
      </c>
      <c r="K110" s="13">
        <f t="shared" si="17"/>
        <v>10444.91</v>
      </c>
      <c r="L110" s="13">
        <f t="shared" si="18"/>
        <v>5985.96</v>
      </c>
      <c r="M110" s="13">
        <f t="shared" si="13"/>
        <v>10027.41</v>
      </c>
    </row>
    <row r="111" spans="1:13" ht="15.65">
      <c r="A111" s="5" t="s">
        <v>70</v>
      </c>
      <c r="B111" s="5" t="s">
        <v>103</v>
      </c>
      <c r="C111" s="5" t="s">
        <v>104</v>
      </c>
      <c r="D111" s="5" t="s">
        <v>117</v>
      </c>
      <c r="E111" s="5" t="s">
        <v>28</v>
      </c>
      <c r="F111" s="6" t="s">
        <v>41</v>
      </c>
      <c r="G111" s="8" t="s">
        <v>100</v>
      </c>
      <c r="H111" s="13">
        <v>123836.22</v>
      </c>
      <c r="I111" s="13">
        <f t="shared" si="15"/>
        <v>28719.869999999999</v>
      </c>
      <c r="J111" s="13">
        <f t="shared" si="16"/>
        <v>0</v>
      </c>
      <c r="K111" s="13">
        <f t="shared" si="17"/>
        <v>37549</v>
      </c>
      <c r="L111" s="13">
        <f t="shared" si="18"/>
        <v>21519.259999999998</v>
      </c>
      <c r="M111" s="13">
        <f t="shared" si="13"/>
        <v>36048.090000000011</v>
      </c>
    </row>
    <row r="112" spans="1:13" ht="15.65">
      <c r="A112" s="5" t="s">
        <v>70</v>
      </c>
      <c r="B112" s="5" t="s">
        <v>103</v>
      </c>
      <c r="C112" s="5" t="s">
        <v>104</v>
      </c>
      <c r="D112" s="5" t="s">
        <v>112</v>
      </c>
      <c r="E112" s="5" t="s">
        <v>28</v>
      </c>
      <c r="F112" s="6" t="s">
        <v>41</v>
      </c>
      <c r="G112" s="8" t="s">
        <v>100</v>
      </c>
      <c r="H112" s="13">
        <v>622359.90000000002</v>
      </c>
      <c r="I112" s="13">
        <f t="shared" si="15"/>
        <v>144336.57999999999</v>
      </c>
      <c r="J112" s="13">
        <f t="shared" si="16"/>
        <v>0</v>
      </c>
      <c r="K112" s="13">
        <f t="shared" si="17"/>
        <v>188708.84</v>
      </c>
      <c r="L112" s="13">
        <f t="shared" si="18"/>
        <v>108148.66</v>
      </c>
      <c r="M112" s="13">
        <f t="shared" si="13"/>
        <v>181165.82000000009</v>
      </c>
    </row>
    <row r="113" spans="1:13" ht="15.65">
      <c r="A113" s="5" t="s">
        <v>70</v>
      </c>
      <c r="B113" s="5" t="s">
        <v>103</v>
      </c>
      <c r="C113" s="5" t="s">
        <v>104</v>
      </c>
      <c r="D113" s="5" t="s">
        <v>115</v>
      </c>
      <c r="E113" s="5" t="s">
        <v>9</v>
      </c>
      <c r="F113" s="6" t="s">
        <v>65</v>
      </c>
      <c r="G113" s="8" t="s">
        <v>100</v>
      </c>
      <c r="H113" s="13">
        <v>4959.6899999999996</v>
      </c>
      <c r="I113" s="13">
        <f t="shared" si="15"/>
        <v>1150.24</v>
      </c>
      <c r="J113" s="13">
        <f t="shared" si="16"/>
        <v>0</v>
      </c>
      <c r="K113" s="13">
        <f t="shared" si="17"/>
        <v>1503.8499999999999</v>
      </c>
      <c r="L113" s="13">
        <f t="shared" si="18"/>
        <v>861.85000000000002</v>
      </c>
      <c r="M113" s="13">
        <f t="shared" si="13"/>
        <v>1443.75</v>
      </c>
    </row>
    <row r="114" spans="1:13" ht="15.65">
      <c r="A114" s="5" t="s">
        <v>70</v>
      </c>
      <c r="B114" s="5" t="s">
        <v>103</v>
      </c>
      <c r="C114" s="5" t="s">
        <v>104</v>
      </c>
      <c r="D114" s="5" t="s">
        <v>108</v>
      </c>
      <c r="E114" s="5" t="s">
        <v>9</v>
      </c>
      <c r="F114" s="6" t="s">
        <v>65</v>
      </c>
      <c r="G114" s="8" t="s">
        <v>100</v>
      </c>
      <c r="H114" s="13">
        <v>40874.330000000002</v>
      </c>
      <c r="I114" s="13">
        <f t="shared" si="15"/>
        <v>9479.5</v>
      </c>
      <c r="J114" s="13">
        <f t="shared" si="16"/>
        <v>0</v>
      </c>
      <c r="K114" s="13">
        <f t="shared" si="17"/>
        <v>12393.709999999999</v>
      </c>
      <c r="L114" s="13">
        <f t="shared" si="18"/>
        <v>7102.8100000000004</v>
      </c>
      <c r="M114" s="13">
        <f t="shared" si="13"/>
        <v>11898.310000000001</v>
      </c>
    </row>
    <row r="115" spans="1:13" ht="15.65">
      <c r="A115" s="5" t="s">
        <v>70</v>
      </c>
      <c r="B115" s="5" t="s">
        <v>103</v>
      </c>
      <c r="C115" s="5" t="s">
        <v>104</v>
      </c>
      <c r="D115" s="5" t="s">
        <v>117</v>
      </c>
      <c r="E115" s="5" t="s">
        <v>7</v>
      </c>
      <c r="F115" s="6" t="s">
        <v>141</v>
      </c>
      <c r="G115" s="8" t="s">
        <v>100</v>
      </c>
      <c r="H115" s="13">
        <v>-253.83000000000001</v>
      </c>
      <c r="I115" s="13">
        <f t="shared" si="15"/>
        <v>-58.869999999999997</v>
      </c>
      <c r="J115" s="13">
        <f t="shared" si="16"/>
        <v>0</v>
      </c>
      <c r="K115" s="13">
        <f t="shared" si="17"/>
        <v>-76.969999999999999</v>
      </c>
      <c r="L115" s="13">
        <f t="shared" si="18"/>
        <v>-44.109999999999999</v>
      </c>
      <c r="M115" s="13">
        <f t="shared" si="13"/>
        <v>-73.88000000000001</v>
      </c>
    </row>
    <row r="116" spans="1:13" ht="15.65">
      <c r="A116" s="5" t="s">
        <v>70</v>
      </c>
      <c r="B116" s="5" t="s">
        <v>103</v>
      </c>
      <c r="C116" s="5" t="s">
        <v>104</v>
      </c>
      <c r="D116" s="5" t="s">
        <v>166</v>
      </c>
      <c r="E116" s="5" t="s">
        <v>7</v>
      </c>
      <c r="F116" s="6" t="s">
        <v>141</v>
      </c>
      <c r="G116" s="8" t="s">
        <v>100</v>
      </c>
      <c r="H116" s="13">
        <v>32334.630000000001</v>
      </c>
      <c r="I116" s="13">
        <f t="shared" si="15"/>
        <v>7498.9899999999998</v>
      </c>
      <c r="J116" s="13">
        <f t="shared" si="16"/>
        <v>0</v>
      </c>
      <c r="K116" s="13">
        <f t="shared" si="17"/>
        <v>9804.3400000000001</v>
      </c>
      <c r="L116" s="13">
        <f t="shared" si="18"/>
        <v>5618.8500000000004</v>
      </c>
      <c r="M116" s="13">
        <f t="shared" si="13"/>
        <v>9412.4499999999989</v>
      </c>
    </row>
    <row r="117" spans="1:13" ht="15.65">
      <c r="A117" s="5" t="s">
        <v>70</v>
      </c>
      <c r="B117" s="5" t="s">
        <v>103</v>
      </c>
      <c r="C117" s="5" t="s">
        <v>104</v>
      </c>
      <c r="D117" s="5" t="s">
        <v>112</v>
      </c>
      <c r="E117" s="5" t="s">
        <v>7</v>
      </c>
      <c r="F117" s="6" t="s">
        <v>141</v>
      </c>
      <c r="G117" s="8" t="s">
        <v>100</v>
      </c>
      <c r="H117" s="13">
        <v>598689.73999999999</v>
      </c>
      <c r="I117" s="13">
        <f t="shared" si="15"/>
        <v>138847.04000000001</v>
      </c>
      <c r="J117" s="13">
        <f t="shared" si="16"/>
        <v>0</v>
      </c>
      <c r="K117" s="13">
        <f t="shared" si="17"/>
        <v>181531.69</v>
      </c>
      <c r="L117" s="13">
        <f t="shared" si="18"/>
        <v>104035.45</v>
      </c>
      <c r="M117" s="13">
        <f t="shared" si="13"/>
        <v>174275.55999999994</v>
      </c>
    </row>
    <row r="118" spans="1:13" ht="15.65">
      <c r="A118" s="5" t="s">
        <v>70</v>
      </c>
      <c r="B118" s="5" t="s">
        <v>103</v>
      </c>
      <c r="C118" s="5" t="s">
        <v>104</v>
      </c>
      <c r="D118" s="5" t="s">
        <v>114</v>
      </c>
      <c r="E118" s="5" t="s">
        <v>38</v>
      </c>
      <c r="F118" s="6" t="s">
        <v>64</v>
      </c>
      <c r="G118" s="8" t="s">
        <v>100</v>
      </c>
      <c r="H118" s="13">
        <v>39169</v>
      </c>
      <c r="I118" s="13">
        <f t="shared" si="15"/>
        <v>9084</v>
      </c>
      <c r="J118" s="13">
        <f t="shared" si="16"/>
        <v>0</v>
      </c>
      <c r="K118" s="13">
        <f t="shared" si="17"/>
        <v>11876.629999999999</v>
      </c>
      <c r="L118" s="13">
        <f t="shared" si="18"/>
        <v>6806.4700000000003</v>
      </c>
      <c r="M118" s="13">
        <f t="shared" si="13"/>
        <v>11401.900000000002</v>
      </c>
    </row>
    <row r="119" spans="1:13" ht="15.65">
      <c r="A119" s="5" t="s">
        <v>70</v>
      </c>
      <c r="B119" s="5" t="s">
        <v>103</v>
      </c>
      <c r="C119" s="5" t="s">
        <v>104</v>
      </c>
      <c r="D119" s="5" t="s">
        <v>115</v>
      </c>
      <c r="E119" s="5" t="s">
        <v>189</v>
      </c>
      <c r="F119" s="6" t="s">
        <v>169</v>
      </c>
      <c r="G119" s="8" t="s">
        <v>100</v>
      </c>
      <c r="H119" s="13">
        <v>1742.79</v>
      </c>
      <c r="I119" s="13">
        <f t="shared" si="15"/>
        <v>404.18000000000001</v>
      </c>
      <c r="J119" s="13">
        <f t="shared" si="16"/>
        <v>0</v>
      </c>
      <c r="K119" s="13">
        <f t="shared" si="17"/>
        <v>528.44000000000005</v>
      </c>
      <c r="L119" s="13">
        <f t="shared" si="18"/>
        <v>302.85000000000002</v>
      </c>
      <c r="M119" s="13">
        <f t="shared" si="13"/>
        <v>507.31999999999982</v>
      </c>
    </row>
    <row r="120" spans="1:13" ht="15.65">
      <c r="A120" s="5" t="s">
        <v>70</v>
      </c>
      <c r="B120" s="5" t="s">
        <v>103</v>
      </c>
      <c r="C120" s="5" t="s">
        <v>104</v>
      </c>
      <c r="D120" s="5" t="s">
        <v>112</v>
      </c>
      <c r="E120" s="5" t="s">
        <v>148</v>
      </c>
      <c r="F120" s="6" t="s">
        <v>149</v>
      </c>
      <c r="G120" s="8" t="s">
        <v>100</v>
      </c>
      <c r="H120" s="13">
        <v>6973.9899999999998</v>
      </c>
      <c r="I120" s="13">
        <f t="shared" si="15"/>
        <v>1617.4000000000001</v>
      </c>
      <c r="J120" s="13">
        <f t="shared" si="16"/>
        <v>0</v>
      </c>
      <c r="K120" s="13">
        <f t="shared" si="17"/>
        <v>2114.6199999999999</v>
      </c>
      <c r="L120" s="13">
        <f t="shared" si="18"/>
        <v>1211.8800000000001</v>
      </c>
      <c r="M120" s="13">
        <f t="shared" si="13"/>
        <v>2030.0900000000002</v>
      </c>
    </row>
    <row r="121" spans="1:13" ht="15.65">
      <c r="A121" s="5" t="s">
        <v>70</v>
      </c>
      <c r="B121" s="5" t="s">
        <v>103</v>
      </c>
      <c r="C121" s="5" t="s">
        <v>104</v>
      </c>
      <c r="D121" s="5" t="s">
        <v>166</v>
      </c>
      <c r="E121" s="5" t="s">
        <v>190</v>
      </c>
      <c r="F121" s="6" t="s">
        <v>170</v>
      </c>
      <c r="G121" s="8" t="s">
        <v>100</v>
      </c>
      <c r="H121" s="13">
        <v>17710.43</v>
      </c>
      <c r="I121" s="13">
        <f t="shared" si="15"/>
        <v>4107.3699999999999</v>
      </c>
      <c r="J121" s="13">
        <f t="shared" si="16"/>
        <v>0</v>
      </c>
      <c r="K121" s="13">
        <f t="shared" si="17"/>
        <v>5370.0699999999997</v>
      </c>
      <c r="L121" s="13">
        <f t="shared" si="18"/>
        <v>3077.5799999999999</v>
      </c>
      <c r="M121" s="13">
        <f t="shared" si="13"/>
        <v>5155.4100000000017</v>
      </c>
    </row>
    <row r="122" spans="1:13" ht="15.65">
      <c r="A122" s="5" t="s">
        <v>70</v>
      </c>
      <c r="B122" s="5" t="s">
        <v>103</v>
      </c>
      <c r="C122" s="5" t="s">
        <v>104</v>
      </c>
      <c r="D122" s="5" t="s">
        <v>166</v>
      </c>
      <c r="E122" s="5" t="s">
        <v>191</v>
      </c>
      <c r="F122" s="6" t="s">
        <v>171</v>
      </c>
      <c r="G122" s="8" t="s">
        <v>100</v>
      </c>
      <c r="H122" s="13">
        <v>17710.43</v>
      </c>
      <c r="I122" s="13">
        <f t="shared" si="15"/>
        <v>4107.3699999999999</v>
      </c>
      <c r="J122" s="13">
        <f t="shared" si="16"/>
        <v>0</v>
      </c>
      <c r="K122" s="13">
        <f t="shared" si="17"/>
        <v>5370.0699999999997</v>
      </c>
      <c r="L122" s="13">
        <f t="shared" si="18"/>
        <v>3077.5799999999999</v>
      </c>
      <c r="M122" s="13">
        <f t="shared" si="13"/>
        <v>5155.4100000000017</v>
      </c>
    </row>
    <row r="123" spans="1:13" ht="15.65">
      <c r="A123" s="5" t="s">
        <v>70</v>
      </c>
      <c r="B123" s="5" t="s">
        <v>103</v>
      </c>
      <c r="C123" s="5" t="s">
        <v>104</v>
      </c>
      <c r="D123" s="5" t="s">
        <v>117</v>
      </c>
      <c r="E123" s="5" t="s">
        <v>14</v>
      </c>
      <c r="F123" s="6" t="s">
        <v>150</v>
      </c>
      <c r="G123" s="8" t="s">
        <v>100</v>
      </c>
      <c r="H123" s="13">
        <v>-253.78999999999999</v>
      </c>
      <c r="I123" s="13">
        <f t="shared" si="15"/>
        <v>-58.859999999999999</v>
      </c>
      <c r="J123" s="13">
        <f t="shared" si="16"/>
        <v>0</v>
      </c>
      <c r="K123" s="13">
        <f t="shared" si="17"/>
        <v>-76.950000000000003</v>
      </c>
      <c r="L123" s="13">
        <f t="shared" si="18"/>
        <v>-44.100000000000001</v>
      </c>
      <c r="M123" s="13">
        <f t="shared" si="13"/>
        <v>-73.879999999999995</v>
      </c>
    </row>
    <row r="124" spans="1:13" ht="15.65">
      <c r="A124" s="5" t="s">
        <v>70</v>
      </c>
      <c r="B124" s="5" t="s">
        <v>103</v>
      </c>
      <c r="C124" s="5" t="s">
        <v>104</v>
      </c>
      <c r="D124" s="5" t="s">
        <v>166</v>
      </c>
      <c r="E124" s="5" t="s">
        <v>14</v>
      </c>
      <c r="F124" s="6" t="s">
        <v>150</v>
      </c>
      <c r="G124" s="8" t="s">
        <v>100</v>
      </c>
      <c r="H124" s="13">
        <v>32334.630000000001</v>
      </c>
      <c r="I124" s="13">
        <f t="shared" si="15"/>
        <v>7498.9899999999998</v>
      </c>
      <c r="J124" s="13">
        <f t="shared" si="16"/>
        <v>0</v>
      </c>
      <c r="K124" s="13">
        <f t="shared" si="17"/>
        <v>9804.3400000000001</v>
      </c>
      <c r="L124" s="13">
        <f t="shared" si="18"/>
        <v>5618.8500000000004</v>
      </c>
      <c r="M124" s="13">
        <f t="shared" si="13"/>
        <v>9412.4499999999989</v>
      </c>
    </row>
    <row r="125" spans="1:13" ht="15.65">
      <c r="A125" s="5" t="s">
        <v>70</v>
      </c>
      <c r="B125" s="5" t="s">
        <v>103</v>
      </c>
      <c r="C125" s="5" t="s">
        <v>104</v>
      </c>
      <c r="D125" s="5" t="s">
        <v>112</v>
      </c>
      <c r="E125" s="5" t="s">
        <v>14</v>
      </c>
      <c r="F125" s="6" t="s">
        <v>150</v>
      </c>
      <c r="G125" s="8" t="s">
        <v>100</v>
      </c>
      <c r="H125" s="13">
        <v>598689.76000000001</v>
      </c>
      <c r="I125" s="13">
        <f t="shared" si="15"/>
        <v>138847.04000000001</v>
      </c>
      <c r="J125" s="13">
        <f t="shared" si="16"/>
        <v>0</v>
      </c>
      <c r="K125" s="13">
        <f t="shared" si="17"/>
        <v>181531.70000000001</v>
      </c>
      <c r="L125" s="13">
        <f t="shared" si="18"/>
        <v>104035.46000000001</v>
      </c>
      <c r="M125" s="13">
        <f t="shared" si="13"/>
        <v>174275.55999999994</v>
      </c>
    </row>
    <row r="126" spans="1:13" ht="15.65">
      <c r="A126" s="5" t="s">
        <v>70</v>
      </c>
      <c r="B126" s="5" t="s">
        <v>103</v>
      </c>
      <c r="C126" s="5" t="s">
        <v>104</v>
      </c>
      <c r="D126" s="5" t="s">
        <v>166</v>
      </c>
      <c r="E126" s="5" t="s">
        <v>192</v>
      </c>
      <c r="F126" s="6" t="s">
        <v>51</v>
      </c>
      <c r="G126" s="8" t="s">
        <v>100</v>
      </c>
      <c r="H126" s="13">
        <v>17710.43</v>
      </c>
      <c r="I126" s="13">
        <f t="shared" si="15"/>
        <v>4107.3699999999999</v>
      </c>
      <c r="J126" s="13">
        <f t="shared" si="16"/>
        <v>0</v>
      </c>
      <c r="K126" s="13">
        <f t="shared" si="17"/>
        <v>5370.0699999999997</v>
      </c>
      <c r="L126" s="13">
        <f t="shared" si="18"/>
        <v>3077.5799999999999</v>
      </c>
      <c r="M126" s="13">
        <f t="shared" si="13"/>
        <v>5155.4100000000017</v>
      </c>
    </row>
    <row r="127" spans="1:13" ht="15.65">
      <c r="A127" s="5" t="s">
        <v>70</v>
      </c>
      <c r="B127" s="5" t="s">
        <v>103</v>
      </c>
      <c r="C127" s="5" t="s">
        <v>104</v>
      </c>
      <c r="D127" s="5" t="s">
        <v>117</v>
      </c>
      <c r="E127" s="5" t="s">
        <v>154</v>
      </c>
      <c r="F127" s="6" t="s">
        <v>155</v>
      </c>
      <c r="G127" s="8" t="s">
        <v>100</v>
      </c>
      <c r="H127" s="13">
        <v>-253.83000000000001</v>
      </c>
      <c r="I127" s="13">
        <f t="shared" si="15"/>
        <v>-58.869999999999997</v>
      </c>
      <c r="J127" s="13">
        <f t="shared" si="16"/>
        <v>0</v>
      </c>
      <c r="K127" s="13">
        <f t="shared" si="17"/>
        <v>-76.969999999999999</v>
      </c>
      <c r="L127" s="13">
        <f t="shared" si="18"/>
        <v>-44.109999999999999</v>
      </c>
      <c r="M127" s="13">
        <f t="shared" si="13"/>
        <v>-73.88000000000001</v>
      </c>
    </row>
    <row r="128" spans="1:13" ht="15.65">
      <c r="A128" s="5" t="s">
        <v>70</v>
      </c>
      <c r="B128" s="5" t="s">
        <v>103</v>
      </c>
      <c r="C128" s="5" t="s">
        <v>104</v>
      </c>
      <c r="D128" s="5" t="s">
        <v>166</v>
      </c>
      <c r="E128" s="5" t="s">
        <v>154</v>
      </c>
      <c r="F128" s="6" t="s">
        <v>155</v>
      </c>
      <c r="G128" s="8" t="s">
        <v>100</v>
      </c>
      <c r="H128" s="13">
        <v>50045.059999999998</v>
      </c>
      <c r="I128" s="13">
        <f t="shared" si="15"/>
        <v>11606.360000000001</v>
      </c>
      <c r="J128" s="13">
        <f t="shared" si="16"/>
        <v>0</v>
      </c>
      <c r="K128" s="13">
        <f t="shared" si="17"/>
        <v>15174.41</v>
      </c>
      <c r="L128" s="13">
        <f t="shared" si="18"/>
        <v>8696.4300000000003</v>
      </c>
      <c r="M128" s="13">
        <f t="shared" si="13"/>
        <v>14567.859999999997</v>
      </c>
    </row>
    <row r="129" spans="1:13" ht="15.65">
      <c r="A129" s="5" t="s">
        <v>70</v>
      </c>
      <c r="B129" s="5" t="s">
        <v>103</v>
      </c>
      <c r="C129" s="5" t="s">
        <v>104</v>
      </c>
      <c r="D129" s="5" t="s">
        <v>112</v>
      </c>
      <c r="E129" s="5" t="s">
        <v>154</v>
      </c>
      <c r="F129" s="6" t="s">
        <v>155</v>
      </c>
      <c r="G129" s="8" t="s">
        <v>100</v>
      </c>
      <c r="H129" s="13">
        <v>598689.73999999999</v>
      </c>
      <c r="I129" s="13">
        <f t="shared" si="15"/>
        <v>138847.04000000001</v>
      </c>
      <c r="J129" s="13">
        <f t="shared" si="16"/>
        <v>0</v>
      </c>
      <c r="K129" s="13">
        <f t="shared" si="17"/>
        <v>181531.69</v>
      </c>
      <c r="L129" s="13">
        <f t="shared" si="18"/>
        <v>104035.45</v>
      </c>
      <c r="M129" s="13">
        <f t="shared" si="13"/>
        <v>174275.55999999994</v>
      </c>
    </row>
    <row r="130" spans="1:13" ht="15.65">
      <c r="A130" s="5" t="s">
        <v>70</v>
      </c>
      <c r="B130" s="5" t="s">
        <v>103</v>
      </c>
      <c r="C130" s="5" t="s">
        <v>104</v>
      </c>
      <c r="D130" s="5" t="s">
        <v>106</v>
      </c>
      <c r="E130" s="5" t="s">
        <v>162</v>
      </c>
      <c r="F130" s="6" t="s">
        <v>163</v>
      </c>
      <c r="G130" s="8" t="s">
        <v>100</v>
      </c>
      <c r="H130" s="13">
        <v>30153.810000000001</v>
      </c>
      <c r="I130" s="13">
        <f t="shared" si="19" ref="I130:I161">ROUND(H130*$I$192,2)</f>
        <v>6993.2200000000003</v>
      </c>
      <c r="J130" s="13">
        <f t="shared" si="20" ref="J130:J161">ROUND(H130*J317,2)</f>
        <v>0</v>
      </c>
      <c r="K130" s="13">
        <f t="shared" si="21" ref="K130:K161">ROUND(H130*$K$192,2)</f>
        <v>9143.0900000000001</v>
      </c>
      <c r="L130" s="13">
        <f t="shared" si="22" ref="L130:L161">ROUND(H130*$L$192,2)</f>
        <v>5239.8800000000001</v>
      </c>
      <c r="M130" s="13">
        <f t="shared" si="13"/>
        <v>8777.619999999999</v>
      </c>
    </row>
    <row r="131" spans="1:13" ht="15.65">
      <c r="A131" s="5" t="s">
        <v>70</v>
      </c>
      <c r="B131" s="5" t="s">
        <v>103</v>
      </c>
      <c r="C131" s="5" t="s">
        <v>104</v>
      </c>
      <c r="D131" s="5" t="s">
        <v>166</v>
      </c>
      <c r="E131" s="5" t="s">
        <v>162</v>
      </c>
      <c r="F131" s="6" t="s">
        <v>163</v>
      </c>
      <c r="G131" s="8" t="s">
        <v>100</v>
      </c>
      <c r="H131" s="13">
        <v>115548.05</v>
      </c>
      <c r="I131" s="13">
        <f t="shared" si="19"/>
        <v>26797.689999999999</v>
      </c>
      <c r="J131" s="13">
        <f t="shared" si="20"/>
        <v>0</v>
      </c>
      <c r="K131" s="13">
        <f t="shared" si="21"/>
        <v>35035.900000000001</v>
      </c>
      <c r="L131" s="13">
        <f t="shared" si="22"/>
        <v>20079</v>
      </c>
      <c r="M131" s="13">
        <f t="shared" si="13"/>
        <v>33635.459999999999</v>
      </c>
    </row>
    <row r="132" spans="1:13" ht="15.65">
      <c r="A132" s="5" t="s">
        <v>70</v>
      </c>
      <c r="B132" s="5" t="s">
        <v>103</v>
      </c>
      <c r="C132" s="5" t="s">
        <v>104</v>
      </c>
      <c r="D132" s="5" t="s">
        <v>166</v>
      </c>
      <c r="E132" s="5" t="s">
        <v>193</v>
      </c>
      <c r="F132" s="6" t="s">
        <v>172</v>
      </c>
      <c r="G132" s="8" t="s">
        <v>100</v>
      </c>
      <c r="H132" s="13">
        <v>16776.110000000001</v>
      </c>
      <c r="I132" s="13">
        <f t="shared" si="19"/>
        <v>3890.6799999999998</v>
      </c>
      <c r="J132" s="13">
        <f t="shared" si="20"/>
        <v>0</v>
      </c>
      <c r="K132" s="13">
        <f t="shared" si="21"/>
        <v>5086.7700000000004</v>
      </c>
      <c r="L132" s="13">
        <f t="shared" si="22"/>
        <v>2915.2199999999998</v>
      </c>
      <c r="M132" s="13">
        <f t="shared" si="13"/>
        <v>4883.4400000000005</v>
      </c>
    </row>
    <row r="133" spans="1:13" ht="15.65">
      <c r="A133" s="5" t="s">
        <v>70</v>
      </c>
      <c r="B133" s="5" t="s">
        <v>103</v>
      </c>
      <c r="C133" s="5" t="s">
        <v>104</v>
      </c>
      <c r="D133" s="5" t="s">
        <v>117</v>
      </c>
      <c r="E133" s="5" t="s">
        <v>160</v>
      </c>
      <c r="F133" s="6" t="s">
        <v>161</v>
      </c>
      <c r="G133" s="8" t="s">
        <v>100</v>
      </c>
      <c r="H133" s="13">
        <v>3323.3400000000001</v>
      </c>
      <c r="I133" s="13">
        <f t="shared" si="19"/>
        <v>770.74000000000001</v>
      </c>
      <c r="J133" s="13">
        <f t="shared" si="20"/>
        <v>0</v>
      </c>
      <c r="K133" s="13">
        <f t="shared" si="21"/>
        <v>1007.6900000000001</v>
      </c>
      <c r="L133" s="13">
        <f t="shared" si="22"/>
        <v>577.5</v>
      </c>
      <c r="M133" s="13">
        <f t="shared" si="13"/>
        <v>967.41000000000031</v>
      </c>
    </row>
    <row r="134" spans="1:13" ht="15.65">
      <c r="A134" s="5" t="s">
        <v>70</v>
      </c>
      <c r="B134" s="5" t="s">
        <v>103</v>
      </c>
      <c r="C134" s="5" t="s">
        <v>104</v>
      </c>
      <c r="D134" s="5" t="s">
        <v>112</v>
      </c>
      <c r="E134" s="5" t="s">
        <v>84</v>
      </c>
      <c r="F134" s="6" t="s">
        <v>88</v>
      </c>
      <c r="G134" s="8" t="s">
        <v>100</v>
      </c>
      <c r="H134" s="13">
        <v>5948.3400000000001</v>
      </c>
      <c r="I134" s="13">
        <f t="shared" si="19"/>
        <v>1379.53</v>
      </c>
      <c r="J134" s="13">
        <f t="shared" si="20"/>
        <v>0</v>
      </c>
      <c r="K134" s="13">
        <f t="shared" si="21"/>
        <v>1803.6300000000001</v>
      </c>
      <c r="L134" s="13">
        <f t="shared" si="22"/>
        <v>1033.6500000000001</v>
      </c>
      <c r="M134" s="13">
        <f t="shared" si="23" ref="M134:M153">H134-I134-J134-K134-L134</f>
        <v>1731.5300000000002</v>
      </c>
    </row>
    <row r="135" spans="1:13" ht="15.65">
      <c r="A135" s="5" t="s">
        <v>70</v>
      </c>
      <c r="B135" s="5" t="s">
        <v>103</v>
      </c>
      <c r="C135" s="5" t="s">
        <v>104</v>
      </c>
      <c r="D135" s="5" t="s">
        <v>108</v>
      </c>
      <c r="E135" s="5" t="s">
        <v>84</v>
      </c>
      <c r="F135" s="6" t="s">
        <v>88</v>
      </c>
      <c r="G135" s="8" t="s">
        <v>100</v>
      </c>
      <c r="H135" s="13">
        <v>10015.139999999999</v>
      </c>
      <c r="I135" s="13">
        <f t="shared" si="19"/>
        <v>2322.6900000000001</v>
      </c>
      <c r="J135" s="13">
        <f t="shared" si="20"/>
        <v>0</v>
      </c>
      <c r="K135" s="13">
        <f t="shared" si="21"/>
        <v>3036.7399999999998</v>
      </c>
      <c r="L135" s="13">
        <f t="shared" si="22"/>
        <v>1740.3499999999999</v>
      </c>
      <c r="M135" s="13">
        <f t="shared" si="23"/>
        <v>2915.3599999999992</v>
      </c>
    </row>
    <row r="136" spans="1:13" ht="15.65">
      <c r="A136" s="5" t="s">
        <v>70</v>
      </c>
      <c r="B136" s="5" t="s">
        <v>103</v>
      </c>
      <c r="C136" s="5" t="s">
        <v>104</v>
      </c>
      <c r="D136" s="5" t="s">
        <v>115</v>
      </c>
      <c r="E136" s="5" t="s">
        <v>83</v>
      </c>
      <c r="F136" s="6" t="s">
        <v>97</v>
      </c>
      <c r="G136" s="8" t="s">
        <v>100</v>
      </c>
      <c r="H136" s="13">
        <v>5050.04</v>
      </c>
      <c r="I136" s="13">
        <f t="shared" si="19"/>
        <v>1171.2000000000001</v>
      </c>
      <c r="J136" s="13">
        <f t="shared" si="20"/>
        <v>0</v>
      </c>
      <c r="K136" s="13">
        <f t="shared" si="21"/>
        <v>1531.25</v>
      </c>
      <c r="L136" s="13">
        <f t="shared" si="22"/>
        <v>877.55999999999995</v>
      </c>
      <c r="M136" s="13">
        <f t="shared" si="23"/>
        <v>1470.0300000000002</v>
      </c>
    </row>
    <row r="137" spans="1:13" ht="15.65">
      <c r="A137" s="5" t="s">
        <v>70</v>
      </c>
      <c r="B137" s="5" t="s">
        <v>103</v>
      </c>
      <c r="C137" s="5" t="s">
        <v>104</v>
      </c>
      <c r="D137" s="5" t="s">
        <v>108</v>
      </c>
      <c r="E137" s="5" t="s">
        <v>83</v>
      </c>
      <c r="F137" s="6" t="s">
        <v>97</v>
      </c>
      <c r="G137" s="8" t="s">
        <v>100</v>
      </c>
      <c r="H137" s="13">
        <v>5050.0900000000001</v>
      </c>
      <c r="I137" s="13">
        <f t="shared" si="19"/>
        <v>1171.21</v>
      </c>
      <c r="J137" s="13">
        <f t="shared" si="20"/>
        <v>0</v>
      </c>
      <c r="K137" s="13">
        <f t="shared" si="21"/>
        <v>1531.26</v>
      </c>
      <c r="L137" s="13">
        <f t="shared" si="22"/>
        <v>877.55999999999995</v>
      </c>
      <c r="M137" s="13">
        <f t="shared" si="23"/>
        <v>1470.06</v>
      </c>
    </row>
    <row r="138" spans="1:13" ht="15.65">
      <c r="A138" s="5" t="s">
        <v>70</v>
      </c>
      <c r="B138" s="5" t="s">
        <v>103</v>
      </c>
      <c r="C138" s="5" t="s">
        <v>104</v>
      </c>
      <c r="D138" s="5" t="s">
        <v>115</v>
      </c>
      <c r="E138" s="5" t="s">
        <v>86</v>
      </c>
      <c r="F138" s="6" t="s">
        <v>96</v>
      </c>
      <c r="G138" s="8" t="s">
        <v>100</v>
      </c>
      <c r="H138" s="13">
        <v>2824.8600000000001</v>
      </c>
      <c r="I138" s="13">
        <f t="shared" si="19"/>
        <v>655.13999999999999</v>
      </c>
      <c r="J138" s="13">
        <f t="shared" si="20"/>
        <v>0</v>
      </c>
      <c r="K138" s="13">
        <f t="shared" si="21"/>
        <v>856.53999999999996</v>
      </c>
      <c r="L138" s="13">
        <f t="shared" si="22"/>
        <v>490.88</v>
      </c>
      <c r="M138" s="13">
        <f t="shared" si="23"/>
        <v>822.3000000000003</v>
      </c>
    </row>
    <row r="139" spans="1:13" ht="15.65">
      <c r="A139" s="5" t="s">
        <v>70</v>
      </c>
      <c r="B139" s="5" t="s">
        <v>103</v>
      </c>
      <c r="C139" s="5" t="s">
        <v>104</v>
      </c>
      <c r="D139" s="5" t="s">
        <v>166</v>
      </c>
      <c r="E139" s="5" t="s">
        <v>194</v>
      </c>
      <c r="F139" s="6" t="s">
        <v>173</v>
      </c>
      <c r="G139" s="8" t="s">
        <v>100</v>
      </c>
      <c r="H139" s="13">
        <v>17710.43</v>
      </c>
      <c r="I139" s="13">
        <f t="shared" si="19"/>
        <v>4107.3699999999999</v>
      </c>
      <c r="J139" s="13">
        <f t="shared" si="20"/>
        <v>0</v>
      </c>
      <c r="K139" s="13">
        <f t="shared" si="21"/>
        <v>5370.0699999999997</v>
      </c>
      <c r="L139" s="13">
        <f t="shared" si="22"/>
        <v>3077.5799999999999</v>
      </c>
      <c r="M139" s="13">
        <f t="shared" si="23"/>
        <v>5155.4100000000017</v>
      </c>
    </row>
    <row r="140" spans="1:13" ht="15.65">
      <c r="A140" s="5" t="s">
        <v>70</v>
      </c>
      <c r="B140" s="5" t="s">
        <v>103</v>
      </c>
      <c r="C140" s="5" t="s">
        <v>104</v>
      </c>
      <c r="D140" s="5" t="s">
        <v>166</v>
      </c>
      <c r="E140" s="5" t="s">
        <v>195</v>
      </c>
      <c r="F140" s="6" t="s">
        <v>174</v>
      </c>
      <c r="G140" s="8" t="s">
        <v>100</v>
      </c>
      <c r="H140" s="13">
        <v>17710.43</v>
      </c>
      <c r="I140" s="13">
        <f t="shared" si="19"/>
        <v>4107.3699999999999</v>
      </c>
      <c r="J140" s="13">
        <f t="shared" si="20"/>
        <v>0</v>
      </c>
      <c r="K140" s="13">
        <f t="shared" si="21"/>
        <v>5370.0699999999997</v>
      </c>
      <c r="L140" s="13">
        <f t="shared" si="22"/>
        <v>3077.5799999999999</v>
      </c>
      <c r="M140" s="13">
        <f t="shared" si="23"/>
        <v>5155.4100000000017</v>
      </c>
    </row>
    <row r="141" spans="1:13" ht="15.65">
      <c r="A141" s="5" t="s">
        <v>70</v>
      </c>
      <c r="B141" s="5" t="s">
        <v>103</v>
      </c>
      <c r="C141" s="5" t="s">
        <v>104</v>
      </c>
      <c r="D141" s="5" t="s">
        <v>106</v>
      </c>
      <c r="E141" s="5" t="s">
        <v>156</v>
      </c>
      <c r="F141" s="6" t="s">
        <v>157</v>
      </c>
      <c r="G141" s="8" t="s">
        <v>100</v>
      </c>
      <c r="H141" s="13">
        <v>-32.689999999999998</v>
      </c>
      <c r="I141" s="13">
        <f t="shared" si="19"/>
        <v>-7.5800000000000001</v>
      </c>
      <c r="J141" s="13">
        <f t="shared" si="20"/>
        <v>0</v>
      </c>
      <c r="K141" s="13">
        <f t="shared" si="21"/>
        <v>-9.9100000000000001</v>
      </c>
      <c r="L141" s="13">
        <f t="shared" si="22"/>
        <v>-5.6799999999999997</v>
      </c>
      <c r="M141" s="13">
        <f t="shared" si="23"/>
        <v>-9.5199999999999996</v>
      </c>
    </row>
    <row r="142" spans="1:13" ht="15.65">
      <c r="A142" s="5" t="s">
        <v>70</v>
      </c>
      <c r="B142" s="5" t="s">
        <v>103</v>
      </c>
      <c r="C142" s="5" t="s">
        <v>104</v>
      </c>
      <c r="D142" s="5" t="s">
        <v>117</v>
      </c>
      <c r="E142" s="5" t="s">
        <v>156</v>
      </c>
      <c r="F142" s="6" t="s">
        <v>157</v>
      </c>
      <c r="G142" s="8" t="s">
        <v>100</v>
      </c>
      <c r="H142" s="13">
        <v>144288.25</v>
      </c>
      <c r="I142" s="13">
        <f t="shared" si="19"/>
        <v>33463.07</v>
      </c>
      <c r="J142" s="13">
        <f t="shared" si="20"/>
        <v>0</v>
      </c>
      <c r="K142" s="13">
        <f t="shared" si="21"/>
        <v>43750.360000000001</v>
      </c>
      <c r="L142" s="13">
        <f t="shared" si="22"/>
        <v>25073.240000000002</v>
      </c>
      <c r="M142" s="13">
        <f t="shared" si="23"/>
        <v>42001.579999999987</v>
      </c>
    </row>
    <row r="143" spans="1:13" ht="15.65">
      <c r="A143" s="5" t="s">
        <v>70</v>
      </c>
      <c r="B143" s="5" t="s">
        <v>103</v>
      </c>
      <c r="C143" s="5" t="s">
        <v>104</v>
      </c>
      <c r="D143" s="5" t="s">
        <v>166</v>
      </c>
      <c r="E143" s="5" t="s">
        <v>196</v>
      </c>
      <c r="F143" s="6" t="s">
        <v>175</v>
      </c>
      <c r="G143" s="8" t="s">
        <v>100</v>
      </c>
      <c r="H143" s="13">
        <v>17710.43</v>
      </c>
      <c r="I143" s="13">
        <f t="shared" si="19"/>
        <v>4107.3699999999999</v>
      </c>
      <c r="J143" s="13">
        <f t="shared" si="20"/>
        <v>0</v>
      </c>
      <c r="K143" s="13">
        <f t="shared" si="21"/>
        <v>5370.0699999999997</v>
      </c>
      <c r="L143" s="13">
        <f t="shared" si="22"/>
        <v>3077.5799999999999</v>
      </c>
      <c r="M143" s="13">
        <f t="shared" si="23"/>
        <v>5155.4100000000017</v>
      </c>
    </row>
    <row r="144" spans="1:13" ht="15.65">
      <c r="A144" s="5" t="s">
        <v>70</v>
      </c>
      <c r="B144" s="5" t="s">
        <v>103</v>
      </c>
      <c r="C144" s="5" t="s">
        <v>104</v>
      </c>
      <c r="D144" s="5" t="s">
        <v>166</v>
      </c>
      <c r="E144" s="5" t="s">
        <v>197</v>
      </c>
      <c r="F144" s="6" t="s">
        <v>176</v>
      </c>
      <c r="G144" s="8" t="s">
        <v>100</v>
      </c>
      <c r="H144" s="13">
        <v>17710.43</v>
      </c>
      <c r="I144" s="13">
        <f t="shared" si="19"/>
        <v>4107.3699999999999</v>
      </c>
      <c r="J144" s="13">
        <f t="shared" si="20"/>
        <v>0</v>
      </c>
      <c r="K144" s="13">
        <f t="shared" si="21"/>
        <v>5370.0699999999997</v>
      </c>
      <c r="L144" s="13">
        <f t="shared" si="22"/>
        <v>3077.5799999999999</v>
      </c>
      <c r="M144" s="13">
        <f t="shared" si="23"/>
        <v>5155.4100000000017</v>
      </c>
    </row>
    <row r="145" spans="1:13" ht="15.65">
      <c r="A145" s="5" t="s">
        <v>70</v>
      </c>
      <c r="B145" s="5" t="s">
        <v>103</v>
      </c>
      <c r="C145" s="5" t="s">
        <v>104</v>
      </c>
      <c r="D145" s="5" t="s">
        <v>166</v>
      </c>
      <c r="E145" s="5" t="s">
        <v>198</v>
      </c>
      <c r="F145" s="6" t="s">
        <v>177</v>
      </c>
      <c r="G145" s="8" t="s">
        <v>100</v>
      </c>
      <c r="H145" s="13">
        <v>17710.43</v>
      </c>
      <c r="I145" s="13">
        <f t="shared" si="19"/>
        <v>4107.3699999999999</v>
      </c>
      <c r="J145" s="13">
        <f t="shared" si="20"/>
        <v>0</v>
      </c>
      <c r="K145" s="13">
        <f t="shared" si="21"/>
        <v>5370.0699999999997</v>
      </c>
      <c r="L145" s="13">
        <f t="shared" si="22"/>
        <v>3077.5799999999999</v>
      </c>
      <c r="M145" s="13">
        <f t="shared" si="23"/>
        <v>5155.4100000000017</v>
      </c>
    </row>
    <row r="146" spans="1:13" ht="15.65">
      <c r="A146" s="5" t="s">
        <v>70</v>
      </c>
      <c r="B146" s="5" t="s">
        <v>103</v>
      </c>
      <c r="C146" s="5" t="s">
        <v>104</v>
      </c>
      <c r="D146" s="5" t="s">
        <v>115</v>
      </c>
      <c r="E146" s="5" t="s">
        <v>10</v>
      </c>
      <c r="F146" s="6" t="s">
        <v>66</v>
      </c>
      <c r="G146" s="8" t="s">
        <v>100</v>
      </c>
      <c r="H146" s="13">
        <v>6923.7299999999996</v>
      </c>
      <c r="I146" s="13">
        <f t="shared" si="19"/>
        <v>1605.74</v>
      </c>
      <c r="J146" s="13">
        <f t="shared" si="20"/>
        <v>0</v>
      </c>
      <c r="K146" s="13">
        <f t="shared" si="21"/>
        <v>2099.3800000000001</v>
      </c>
      <c r="L146" s="13">
        <f t="shared" si="22"/>
        <v>1203.1500000000001</v>
      </c>
      <c r="M146" s="13">
        <f t="shared" si="23"/>
        <v>2015.4599999999996</v>
      </c>
    </row>
    <row r="147" spans="1:13" ht="15.65">
      <c r="A147" s="5" t="s">
        <v>70</v>
      </c>
      <c r="B147" s="5" t="s">
        <v>103</v>
      </c>
      <c r="C147" s="5" t="s">
        <v>104</v>
      </c>
      <c r="D147" s="5" t="s">
        <v>108</v>
      </c>
      <c r="E147" s="5" t="s">
        <v>10</v>
      </c>
      <c r="F147" s="6" t="s">
        <v>66</v>
      </c>
      <c r="G147" s="8" t="s">
        <v>100</v>
      </c>
      <c r="H147" s="13">
        <v>27979.810000000001</v>
      </c>
      <c r="I147" s="13">
        <f t="shared" si="19"/>
        <v>6489.0299999999997</v>
      </c>
      <c r="J147" s="13">
        <f t="shared" si="20"/>
        <v>0</v>
      </c>
      <c r="K147" s="13">
        <f t="shared" si="21"/>
        <v>8483.8999999999996</v>
      </c>
      <c r="L147" s="13">
        <f t="shared" si="22"/>
        <v>4862.1000000000004</v>
      </c>
      <c r="M147" s="13">
        <f t="shared" si="23"/>
        <v>8144.7800000000025</v>
      </c>
    </row>
    <row r="148" spans="1:13" ht="15.65">
      <c r="A148" s="5" t="s">
        <v>70</v>
      </c>
      <c r="B148" s="5" t="s">
        <v>103</v>
      </c>
      <c r="C148" s="5" t="s">
        <v>104</v>
      </c>
      <c r="D148" s="5" t="s">
        <v>166</v>
      </c>
      <c r="E148" s="5" t="s">
        <v>199</v>
      </c>
      <c r="F148" s="6" t="s">
        <v>178</v>
      </c>
      <c r="G148" s="8" t="s">
        <v>100</v>
      </c>
      <c r="H148" s="13">
        <v>17710.43</v>
      </c>
      <c r="I148" s="13">
        <f t="shared" si="19"/>
        <v>4107.3699999999999</v>
      </c>
      <c r="J148" s="13">
        <f t="shared" si="20"/>
        <v>0</v>
      </c>
      <c r="K148" s="13">
        <f t="shared" si="21"/>
        <v>5370.0699999999997</v>
      </c>
      <c r="L148" s="13">
        <f t="shared" si="22"/>
        <v>3077.5799999999999</v>
      </c>
      <c r="M148" s="13">
        <f t="shared" si="23"/>
        <v>5155.4100000000017</v>
      </c>
    </row>
    <row r="149" spans="1:13" ht="15.65">
      <c r="A149" s="5" t="s">
        <v>70</v>
      </c>
      <c r="B149" s="5" t="s">
        <v>103</v>
      </c>
      <c r="C149" s="5" t="s">
        <v>104</v>
      </c>
      <c r="D149" s="5" t="s">
        <v>166</v>
      </c>
      <c r="E149" s="5" t="s">
        <v>200</v>
      </c>
      <c r="F149" s="6" t="s">
        <v>179</v>
      </c>
      <c r="G149" s="8" t="s">
        <v>100</v>
      </c>
      <c r="H149" s="13">
        <v>17710.5</v>
      </c>
      <c r="I149" s="13">
        <f t="shared" si="19"/>
        <v>4107.3900000000003</v>
      </c>
      <c r="J149" s="13">
        <f t="shared" si="20"/>
        <v>0</v>
      </c>
      <c r="K149" s="13">
        <f t="shared" si="21"/>
        <v>5370.0900000000001</v>
      </c>
      <c r="L149" s="13">
        <f t="shared" si="22"/>
        <v>3077.5900000000001</v>
      </c>
      <c r="M149" s="13">
        <f t="shared" si="23"/>
        <v>5155.4300000000003</v>
      </c>
    </row>
    <row r="150" spans="1:13" ht="15.65">
      <c r="A150" s="5" t="s">
        <v>70</v>
      </c>
      <c r="B150" s="5" t="s">
        <v>103</v>
      </c>
      <c r="C150" s="5" t="s">
        <v>104</v>
      </c>
      <c r="D150" s="5" t="s">
        <v>166</v>
      </c>
      <c r="E150" s="5" t="s">
        <v>201</v>
      </c>
      <c r="F150" s="6" t="s">
        <v>180</v>
      </c>
      <c r="G150" s="8" t="s">
        <v>100</v>
      </c>
      <c r="H150" s="13">
        <v>17710.43</v>
      </c>
      <c r="I150" s="13">
        <f t="shared" si="19"/>
        <v>4107.3699999999999</v>
      </c>
      <c r="J150" s="13">
        <f t="shared" si="20"/>
        <v>0</v>
      </c>
      <c r="K150" s="13">
        <f t="shared" si="21"/>
        <v>5370.0699999999997</v>
      </c>
      <c r="L150" s="13">
        <f t="shared" si="22"/>
        <v>3077.5799999999999</v>
      </c>
      <c r="M150" s="13">
        <f t="shared" si="23"/>
        <v>5155.4100000000017</v>
      </c>
    </row>
    <row r="151" spans="1:13" ht="15.65">
      <c r="A151" s="5" t="s">
        <v>70</v>
      </c>
      <c r="B151" s="5" t="s">
        <v>103</v>
      </c>
      <c r="C151" s="5" t="s">
        <v>104</v>
      </c>
      <c r="D151" s="5" t="s">
        <v>166</v>
      </c>
      <c r="E151" s="5" t="s">
        <v>202</v>
      </c>
      <c r="F151" s="6" t="s">
        <v>181</v>
      </c>
      <c r="G151" s="8" t="s">
        <v>100</v>
      </c>
      <c r="H151" s="13">
        <v>17710.43</v>
      </c>
      <c r="I151" s="13">
        <f t="shared" si="19"/>
        <v>4107.3699999999999</v>
      </c>
      <c r="J151" s="13">
        <f t="shared" si="20"/>
        <v>0</v>
      </c>
      <c r="K151" s="13">
        <f t="shared" si="21"/>
        <v>5370.0699999999997</v>
      </c>
      <c r="L151" s="13">
        <f t="shared" si="22"/>
        <v>3077.5799999999999</v>
      </c>
      <c r="M151" s="13">
        <f t="shared" si="23"/>
        <v>5155.4100000000017</v>
      </c>
    </row>
    <row r="152" spans="1:13" ht="15.65">
      <c r="A152" s="5" t="s">
        <v>70</v>
      </c>
      <c r="B152" s="5" t="s">
        <v>103</v>
      </c>
      <c r="C152" s="5" t="s">
        <v>104</v>
      </c>
      <c r="D152" s="5" t="s">
        <v>166</v>
      </c>
      <c r="E152" s="5" t="s">
        <v>203</v>
      </c>
      <c r="F152" s="6" t="s">
        <v>182</v>
      </c>
      <c r="G152" s="8" t="s">
        <v>100</v>
      </c>
      <c r="H152" s="13">
        <v>17710.43</v>
      </c>
      <c r="I152" s="13">
        <f t="shared" si="19"/>
        <v>4107.3699999999999</v>
      </c>
      <c r="J152" s="13">
        <f t="shared" si="20"/>
        <v>0</v>
      </c>
      <c r="K152" s="13">
        <f t="shared" si="21"/>
        <v>5370.0699999999997</v>
      </c>
      <c r="L152" s="13">
        <f t="shared" si="22"/>
        <v>3077.5799999999999</v>
      </c>
      <c r="M152" s="13">
        <f t="shared" si="23"/>
        <v>5155.4100000000017</v>
      </c>
    </row>
    <row r="153" spans="1:13" ht="15.65">
      <c r="A153" s="5" t="s">
        <v>70</v>
      </c>
      <c r="B153" s="5" t="s">
        <v>103</v>
      </c>
      <c r="C153" s="5" t="s">
        <v>104</v>
      </c>
      <c r="D153" s="5" t="s">
        <v>112</v>
      </c>
      <c r="E153" s="5" t="s">
        <v>151</v>
      </c>
      <c r="F153" s="6" t="s">
        <v>152</v>
      </c>
      <c r="G153" s="8" t="s">
        <v>100</v>
      </c>
      <c r="H153" s="13">
        <v>24.079999999999998</v>
      </c>
      <c r="I153" s="13">
        <f t="shared" si="19"/>
        <v>5.5800000000000001</v>
      </c>
      <c r="J153" s="13">
        <f t="shared" si="20"/>
        <v>0</v>
      </c>
      <c r="K153" s="13">
        <f t="shared" si="21"/>
        <v>7.2999999999999998</v>
      </c>
      <c r="L153" s="13">
        <f t="shared" si="22"/>
        <v>4.1799999999999997</v>
      </c>
      <c r="M153" s="13">
        <f t="shared" si="23"/>
        <v>7.0199999999999996</v>
      </c>
    </row>
    <row r="154" spans="1:13" ht="15.65">
      <c r="A154" s="5" t="s">
        <v>70</v>
      </c>
      <c r="B154" s="5" t="s">
        <v>103</v>
      </c>
      <c r="C154" s="5" t="s">
        <v>104</v>
      </c>
      <c r="D154" s="5" t="s">
        <v>111</v>
      </c>
      <c r="E154" s="5" t="s">
        <v>151</v>
      </c>
      <c r="F154" s="6" t="s">
        <v>152</v>
      </c>
      <c r="G154" s="8" t="s">
        <v>100</v>
      </c>
      <c r="H154" s="13">
        <v>13675.219999999999</v>
      </c>
      <c r="I154" s="13">
        <f t="shared" si="19"/>
        <v>3171.5300000000002</v>
      </c>
      <c r="J154" s="13">
        <f t="shared" si="20"/>
        <v>0</v>
      </c>
      <c r="K154" s="13">
        <f t="shared" si="21"/>
        <v>4146.5299999999997</v>
      </c>
      <c r="L154" s="13">
        <f t="shared" si="22"/>
        <v>2376.3699999999999</v>
      </c>
      <c r="M154" s="13">
        <f t="shared" si="24" ref="M154:M180">H154-I154-J154-K154-L154</f>
        <v>3980.7899999999991</v>
      </c>
    </row>
    <row r="155" spans="1:13" ht="15.65">
      <c r="A155" s="5" t="s">
        <v>70</v>
      </c>
      <c r="B155" s="5" t="s">
        <v>103</v>
      </c>
      <c r="C155" s="5" t="s">
        <v>104</v>
      </c>
      <c r="D155" s="5" t="s">
        <v>112</v>
      </c>
      <c r="E155" s="5" t="s">
        <v>146</v>
      </c>
      <c r="F155" s="6" t="s">
        <v>147</v>
      </c>
      <c r="G155" s="8" t="s">
        <v>100</v>
      </c>
      <c r="H155" s="13">
        <v>8637.2700000000004</v>
      </c>
      <c r="I155" s="13">
        <f t="shared" si="19"/>
        <v>2003.1400000000001</v>
      </c>
      <c r="J155" s="13">
        <f t="shared" si="20"/>
        <v>0</v>
      </c>
      <c r="K155" s="13">
        <f t="shared" si="21"/>
        <v>2618.9499999999998</v>
      </c>
      <c r="L155" s="13">
        <f t="shared" si="22"/>
        <v>1500.9100000000001</v>
      </c>
      <c r="M155" s="13">
        <f t="shared" si="24"/>
        <v>2514.2700000000004</v>
      </c>
    </row>
    <row r="156" spans="1:13" ht="15.65">
      <c r="A156" s="5" t="s">
        <v>70</v>
      </c>
      <c r="B156" s="5" t="s">
        <v>103</v>
      </c>
      <c r="C156" s="5" t="s">
        <v>104</v>
      </c>
      <c r="D156" s="5" t="s">
        <v>117</v>
      </c>
      <c r="E156" s="5" t="s">
        <v>81</v>
      </c>
      <c r="F156" s="6" t="s">
        <v>153</v>
      </c>
      <c r="G156" s="8" t="s">
        <v>100</v>
      </c>
      <c r="H156" s="13">
        <v>1869.1800000000001</v>
      </c>
      <c r="I156" s="13">
        <f t="shared" si="19"/>
        <v>433.5</v>
      </c>
      <c r="J156" s="13">
        <f t="shared" si="20"/>
        <v>0</v>
      </c>
      <c r="K156" s="13">
        <f t="shared" si="21"/>
        <v>566.75999999999999</v>
      </c>
      <c r="L156" s="13">
        <f t="shared" si="22"/>
        <v>324.81</v>
      </c>
      <c r="M156" s="13">
        <f t="shared" si="24"/>
        <v>544.11000000000013</v>
      </c>
    </row>
    <row r="157" spans="1:13" ht="15.65">
      <c r="A157" s="5" t="s">
        <v>70</v>
      </c>
      <c r="B157" s="5" t="s">
        <v>103</v>
      </c>
      <c r="C157" s="5" t="s">
        <v>104</v>
      </c>
      <c r="D157" s="5" t="s">
        <v>108</v>
      </c>
      <c r="E157" s="5" t="s">
        <v>81</v>
      </c>
      <c r="F157" s="6" t="s">
        <v>153</v>
      </c>
      <c r="G157" s="8" t="s">
        <v>100</v>
      </c>
      <c r="H157" s="13">
        <v>17132.259999999998</v>
      </c>
      <c r="I157" s="13">
        <f t="shared" si="19"/>
        <v>3973.2800000000002</v>
      </c>
      <c r="J157" s="13">
        <f t="shared" si="20"/>
        <v>0</v>
      </c>
      <c r="K157" s="13">
        <f t="shared" si="21"/>
        <v>5194.7600000000002</v>
      </c>
      <c r="L157" s="13">
        <f t="shared" si="22"/>
        <v>2977.1100000000001</v>
      </c>
      <c r="M157" s="13">
        <f t="shared" si="24"/>
        <v>4987.1099999999969</v>
      </c>
    </row>
    <row r="158" spans="1:13" ht="15.65">
      <c r="A158" s="5" t="s">
        <v>70</v>
      </c>
      <c r="B158" s="5" t="s">
        <v>103</v>
      </c>
      <c r="C158" s="5" t="s">
        <v>104</v>
      </c>
      <c r="D158" s="5" t="s">
        <v>138</v>
      </c>
      <c r="E158" s="5" t="s">
        <v>81</v>
      </c>
      <c r="F158" s="6" t="s">
        <v>153</v>
      </c>
      <c r="G158" s="8" t="s">
        <v>100</v>
      </c>
      <c r="H158" s="13">
        <v>28760.900000000001</v>
      </c>
      <c r="I158" s="13">
        <f t="shared" si="19"/>
        <v>6670.1800000000003</v>
      </c>
      <c r="J158" s="13">
        <f t="shared" si="20"/>
        <v>0</v>
      </c>
      <c r="K158" s="13">
        <f t="shared" si="21"/>
        <v>8720.7399999999998</v>
      </c>
      <c r="L158" s="13">
        <f t="shared" si="22"/>
        <v>4997.8400000000001</v>
      </c>
      <c r="M158" s="13">
        <f t="shared" si="24"/>
        <v>8372.1400000000012</v>
      </c>
    </row>
    <row r="159" spans="1:13" ht="15.65">
      <c r="A159" s="5" t="s">
        <v>70</v>
      </c>
      <c r="B159" s="5" t="s">
        <v>103</v>
      </c>
      <c r="C159" s="5" t="s">
        <v>104</v>
      </c>
      <c r="D159" s="5" t="s">
        <v>137</v>
      </c>
      <c r="E159" s="5" t="s">
        <v>30</v>
      </c>
      <c r="F159" s="6" t="s">
        <v>47</v>
      </c>
      <c r="G159" s="8" t="s">
        <v>100</v>
      </c>
      <c r="H159" s="13">
        <v>41.810000000000002</v>
      </c>
      <c r="I159" s="13">
        <f t="shared" si="19"/>
        <v>9.6999999999999993</v>
      </c>
      <c r="J159" s="13">
        <f t="shared" si="20"/>
        <v>0</v>
      </c>
      <c r="K159" s="13">
        <f t="shared" si="21"/>
        <v>12.68</v>
      </c>
      <c r="L159" s="13">
        <f t="shared" si="22"/>
        <v>7.2699999999999996</v>
      </c>
      <c r="M159" s="13">
        <f t="shared" si="24"/>
        <v>12.16</v>
      </c>
    </row>
    <row r="160" spans="1:13" ht="15.65">
      <c r="A160" s="5" t="s">
        <v>70</v>
      </c>
      <c r="B160" s="5" t="s">
        <v>103</v>
      </c>
      <c r="C160" s="5" t="s">
        <v>104</v>
      </c>
      <c r="D160" s="5" t="s">
        <v>105</v>
      </c>
      <c r="E160" s="5" t="s">
        <v>30</v>
      </c>
      <c r="F160" s="6" t="s">
        <v>47</v>
      </c>
      <c r="G160" s="8" t="s">
        <v>100</v>
      </c>
      <c r="H160" s="13">
        <v>2615.5</v>
      </c>
      <c r="I160" s="13">
        <f t="shared" si="19"/>
        <v>606.58000000000004</v>
      </c>
      <c r="J160" s="13">
        <f t="shared" si="20"/>
        <v>0</v>
      </c>
      <c r="K160" s="13">
        <f t="shared" si="21"/>
        <v>793.05999999999995</v>
      </c>
      <c r="L160" s="13">
        <f t="shared" si="22"/>
        <v>454.5</v>
      </c>
      <c r="M160" s="13">
        <f t="shared" si="24"/>
        <v>761.36000000000013</v>
      </c>
    </row>
    <row r="161" spans="1:13" ht="15.65">
      <c r="A161" s="5" t="s">
        <v>70</v>
      </c>
      <c r="B161" s="5" t="s">
        <v>103</v>
      </c>
      <c r="C161" s="5" t="s">
        <v>104</v>
      </c>
      <c r="D161" s="5" t="s">
        <v>108</v>
      </c>
      <c r="E161" s="5" t="s">
        <v>30</v>
      </c>
      <c r="F161" s="6" t="s">
        <v>47</v>
      </c>
      <c r="G161" s="8" t="s">
        <v>100</v>
      </c>
      <c r="H161" s="13">
        <v>14497.08</v>
      </c>
      <c r="I161" s="13">
        <f t="shared" si="19"/>
        <v>3362.1399999999999</v>
      </c>
      <c r="J161" s="13">
        <f t="shared" si="20"/>
        <v>0</v>
      </c>
      <c r="K161" s="13">
        <f t="shared" si="21"/>
        <v>4395.7299999999996</v>
      </c>
      <c r="L161" s="13">
        <f t="shared" si="22"/>
        <v>2519.1900000000001</v>
      </c>
      <c r="M161" s="13">
        <f t="shared" si="24"/>
        <v>4220.0200000000004</v>
      </c>
    </row>
    <row r="162" spans="1:13" ht="15.65">
      <c r="A162" s="5" t="s">
        <v>70</v>
      </c>
      <c r="B162" s="5" t="s">
        <v>103</v>
      </c>
      <c r="C162" s="5" t="s">
        <v>104</v>
      </c>
      <c r="D162" s="5" t="s">
        <v>112</v>
      </c>
      <c r="E162" s="5" t="s">
        <v>30</v>
      </c>
      <c r="F162" s="6" t="s">
        <v>47</v>
      </c>
      <c r="G162" s="8" t="s">
        <v>100</v>
      </c>
      <c r="H162" s="13">
        <v>20756.169999999998</v>
      </c>
      <c r="I162" s="13">
        <f t="shared" si="25" ref="I162:I180">ROUND(H162*$I$192,2)</f>
        <v>4813.7299999999996</v>
      </c>
      <c r="J162" s="13">
        <f t="shared" si="26" ref="J162:J180">ROUND(H162*J349,2)</f>
        <v>0</v>
      </c>
      <c r="K162" s="13">
        <f t="shared" si="27" ref="K162:K180">ROUND(H162*$K$192,2)</f>
        <v>6293.5799999999999</v>
      </c>
      <c r="L162" s="13">
        <f t="shared" si="28" ref="L162:L180">ROUND(H162*$L$192,2)</f>
        <v>3606.8400000000001</v>
      </c>
      <c r="M162" s="13">
        <f t="shared" si="24"/>
        <v>6042.0199999999986</v>
      </c>
    </row>
    <row r="163" spans="1:13" ht="15.65">
      <c r="A163" s="5" t="s">
        <v>70</v>
      </c>
      <c r="B163" s="5" t="s">
        <v>103</v>
      </c>
      <c r="C163" s="5" t="s">
        <v>104</v>
      </c>
      <c r="D163" s="5" t="s">
        <v>138</v>
      </c>
      <c r="E163" s="5" t="s">
        <v>30</v>
      </c>
      <c r="F163" s="6" t="s">
        <v>47</v>
      </c>
      <c r="G163" s="8" t="s">
        <v>100</v>
      </c>
      <c r="H163" s="13">
        <v>1840.29</v>
      </c>
      <c r="I163" s="13">
        <f t="shared" si="25"/>
        <v>426.80000000000001</v>
      </c>
      <c r="J163" s="13">
        <f t="shared" si="26"/>
        <v>0</v>
      </c>
      <c r="K163" s="13">
        <f t="shared" si="27"/>
        <v>558</v>
      </c>
      <c r="L163" s="13">
        <f t="shared" si="28"/>
        <v>319.79000000000002</v>
      </c>
      <c r="M163" s="13">
        <f t="shared" si="24"/>
        <v>535.70000000000005</v>
      </c>
    </row>
    <row r="164" spans="1:13" ht="15.65">
      <c r="A164" s="5" t="s">
        <v>70</v>
      </c>
      <c r="B164" s="5" t="s">
        <v>103</v>
      </c>
      <c r="C164" s="5" t="s">
        <v>104</v>
      </c>
      <c r="D164" s="5" t="s">
        <v>112</v>
      </c>
      <c r="E164" s="5" t="s">
        <v>158</v>
      </c>
      <c r="F164" s="6" t="s">
        <v>159</v>
      </c>
      <c r="G164" s="8" t="s">
        <v>100</v>
      </c>
      <c r="H164" s="13">
        <v>7385.29</v>
      </c>
      <c r="I164" s="13">
        <f t="shared" si="25"/>
        <v>1712.78</v>
      </c>
      <c r="J164" s="13">
        <f t="shared" si="26"/>
        <v>0</v>
      </c>
      <c r="K164" s="13">
        <f t="shared" si="27"/>
        <v>2239.3299999999999</v>
      </c>
      <c r="L164" s="13">
        <f t="shared" si="28"/>
        <v>1283.3599999999999</v>
      </c>
      <c r="M164" s="13">
        <f t="shared" si="24"/>
        <v>2149.8200000000006</v>
      </c>
    </row>
    <row r="165" spans="1:13" ht="15.65">
      <c r="A165" s="5" t="s">
        <v>70</v>
      </c>
      <c r="B165" s="5" t="s">
        <v>103</v>
      </c>
      <c r="C165" s="5" t="s">
        <v>104</v>
      </c>
      <c r="D165" s="5" t="s">
        <v>114</v>
      </c>
      <c r="E165" s="5" t="s">
        <v>33</v>
      </c>
      <c r="F165" s="6" t="s">
        <v>67</v>
      </c>
      <c r="G165" s="8" t="s">
        <v>100</v>
      </c>
      <c r="H165" s="13">
        <v>7973.8500000000004</v>
      </c>
      <c r="I165" s="13">
        <f t="shared" si="25"/>
        <v>1849.28</v>
      </c>
      <c r="J165" s="13">
        <f t="shared" si="26"/>
        <v>0</v>
      </c>
      <c r="K165" s="13">
        <f t="shared" si="27"/>
        <v>2417.79</v>
      </c>
      <c r="L165" s="13">
        <f t="shared" si="28"/>
        <v>1385.6300000000001</v>
      </c>
      <c r="M165" s="13">
        <f t="shared" si="24"/>
        <v>2321.1500000000005</v>
      </c>
    </row>
    <row r="166" spans="1:13" ht="15.65">
      <c r="A166" s="5" t="s">
        <v>70</v>
      </c>
      <c r="B166" s="5" t="s">
        <v>103</v>
      </c>
      <c r="C166" s="5" t="s">
        <v>104</v>
      </c>
      <c r="D166" s="5" t="s">
        <v>166</v>
      </c>
      <c r="E166" s="5" t="s">
        <v>204</v>
      </c>
      <c r="F166" s="6" t="s">
        <v>183</v>
      </c>
      <c r="G166" s="8" t="s">
        <v>100</v>
      </c>
      <c r="H166" s="13">
        <v>17710.43</v>
      </c>
      <c r="I166" s="13">
        <f t="shared" si="25"/>
        <v>4107.3699999999999</v>
      </c>
      <c r="J166" s="13">
        <f t="shared" si="26"/>
        <v>0</v>
      </c>
      <c r="K166" s="13">
        <f t="shared" si="27"/>
        <v>5370.0699999999997</v>
      </c>
      <c r="L166" s="13">
        <f t="shared" si="28"/>
        <v>3077.5799999999999</v>
      </c>
      <c r="M166" s="13">
        <f t="shared" si="24"/>
        <v>5155.4100000000017</v>
      </c>
    </row>
    <row r="167" spans="1:13" ht="15.65">
      <c r="A167" s="5" t="s">
        <v>70</v>
      </c>
      <c r="B167" s="5" t="s">
        <v>103</v>
      </c>
      <c r="C167" s="5" t="s">
        <v>104</v>
      </c>
      <c r="D167" s="5" t="s">
        <v>108</v>
      </c>
      <c r="E167" s="5" t="s">
        <v>26</v>
      </c>
      <c r="F167" s="6" t="s">
        <v>68</v>
      </c>
      <c r="G167" s="8" t="s">
        <v>100</v>
      </c>
      <c r="H167" s="13">
        <v>34846.669999999998</v>
      </c>
      <c r="I167" s="13">
        <f t="shared" si="25"/>
        <v>8081.5799999999999</v>
      </c>
      <c r="J167" s="13">
        <f t="shared" si="26"/>
        <v>0</v>
      </c>
      <c r="K167" s="13">
        <f t="shared" si="27"/>
        <v>10566.030000000001</v>
      </c>
      <c r="L167" s="13">
        <f t="shared" si="28"/>
        <v>6055.3699999999999</v>
      </c>
      <c r="M167" s="13">
        <f t="shared" si="24"/>
        <v>10143.689999999995</v>
      </c>
    </row>
    <row r="168" spans="1:13" ht="15.65">
      <c r="A168" s="5" t="s">
        <v>70</v>
      </c>
      <c r="B168" s="5" t="s">
        <v>103</v>
      </c>
      <c r="C168" s="5" t="s">
        <v>104</v>
      </c>
      <c r="D168" s="5" t="s">
        <v>113</v>
      </c>
      <c r="E168" s="5" t="s">
        <v>26</v>
      </c>
      <c r="F168" s="6" t="s">
        <v>68</v>
      </c>
      <c r="G168" s="8" t="s">
        <v>100</v>
      </c>
      <c r="H168" s="13">
        <v>51476.970000000001</v>
      </c>
      <c r="I168" s="13">
        <f t="shared" si="25"/>
        <v>11938.450000000001</v>
      </c>
      <c r="J168" s="13">
        <f t="shared" si="26"/>
        <v>0</v>
      </c>
      <c r="K168" s="13">
        <f t="shared" si="27"/>
        <v>15608.59</v>
      </c>
      <c r="L168" s="13">
        <f t="shared" si="28"/>
        <v>8945.25</v>
      </c>
      <c r="M168" s="13">
        <f t="shared" si="24"/>
        <v>14984.680000000004</v>
      </c>
    </row>
    <row r="169" spans="1:13" ht="15.65">
      <c r="A169" s="5" t="s">
        <v>70</v>
      </c>
      <c r="B169" s="5" t="s">
        <v>103</v>
      </c>
      <c r="C169" s="5" t="s">
        <v>104</v>
      </c>
      <c r="D169" s="5" t="s">
        <v>111</v>
      </c>
      <c r="E169" s="5" t="s">
        <v>26</v>
      </c>
      <c r="F169" s="6" t="s">
        <v>68</v>
      </c>
      <c r="G169" s="8" t="s">
        <v>100</v>
      </c>
      <c r="H169" s="13">
        <v>60399.699999999997</v>
      </c>
      <c r="I169" s="13">
        <f t="shared" si="25"/>
        <v>14007.790000000001</v>
      </c>
      <c r="J169" s="13">
        <f t="shared" si="26"/>
        <v>0</v>
      </c>
      <c r="K169" s="13">
        <f t="shared" si="27"/>
        <v>18314.09</v>
      </c>
      <c r="L169" s="13">
        <f t="shared" si="28"/>
        <v>10495.77</v>
      </c>
      <c r="M169" s="13">
        <f t="shared" si="24"/>
        <v>17582.049999999996</v>
      </c>
    </row>
    <row r="170" spans="1:13" ht="15.65">
      <c r="A170" s="5" t="s">
        <v>70</v>
      </c>
      <c r="B170" s="5" t="s">
        <v>103</v>
      </c>
      <c r="C170" s="5" t="s">
        <v>104</v>
      </c>
      <c r="D170" s="5" t="s">
        <v>117</v>
      </c>
      <c r="E170" s="5" t="s">
        <v>26</v>
      </c>
      <c r="F170" s="6" t="s">
        <v>68</v>
      </c>
      <c r="G170" s="8" t="s">
        <v>100</v>
      </c>
      <c r="H170" s="13">
        <v>88818.630000000005</v>
      </c>
      <c r="I170" s="13">
        <f t="shared" si="25"/>
        <v>20598.66</v>
      </c>
      <c r="J170" s="13">
        <f t="shared" si="26"/>
        <v>0</v>
      </c>
      <c r="K170" s="13">
        <f t="shared" si="27"/>
        <v>26931.139999999999</v>
      </c>
      <c r="L170" s="13">
        <f t="shared" si="28"/>
        <v>15434.18</v>
      </c>
      <c r="M170" s="13">
        <f t="shared" si="24"/>
        <v>25854.650000000001</v>
      </c>
    </row>
    <row r="171" spans="1:13" ht="15.65">
      <c r="A171" s="5" t="s">
        <v>70</v>
      </c>
      <c r="B171" s="5" t="s">
        <v>103</v>
      </c>
      <c r="C171" s="5" t="s">
        <v>104</v>
      </c>
      <c r="D171" s="5" t="s">
        <v>166</v>
      </c>
      <c r="E171" s="5" t="s">
        <v>26</v>
      </c>
      <c r="F171" s="6" t="s">
        <v>68</v>
      </c>
      <c r="G171" s="8" t="s">
        <v>100</v>
      </c>
      <c r="H171" s="13">
        <v>113171.27</v>
      </c>
      <c r="I171" s="13">
        <f t="shared" si="25"/>
        <v>26246.48</v>
      </c>
      <c r="J171" s="13">
        <f t="shared" si="26"/>
        <v>0</v>
      </c>
      <c r="K171" s="13">
        <f t="shared" si="27"/>
        <v>34315.220000000001</v>
      </c>
      <c r="L171" s="13">
        <f t="shared" si="28"/>
        <v>19665.990000000002</v>
      </c>
      <c r="M171" s="13">
        <f t="shared" si="24"/>
        <v>32943.580000000002</v>
      </c>
    </row>
    <row r="172" spans="1:13" ht="15.65">
      <c r="A172" s="5" t="s">
        <v>70</v>
      </c>
      <c r="B172" s="5" t="s">
        <v>103</v>
      </c>
      <c r="C172" s="5" t="s">
        <v>104</v>
      </c>
      <c r="D172" s="5" t="s">
        <v>115</v>
      </c>
      <c r="E172" s="5" t="s">
        <v>26</v>
      </c>
      <c r="F172" s="6" t="s">
        <v>68</v>
      </c>
      <c r="G172" s="8" t="s">
        <v>100</v>
      </c>
      <c r="H172" s="13">
        <v>776510.44999999995</v>
      </c>
      <c r="I172" s="13">
        <f t="shared" si="25"/>
        <v>180086.89000000001</v>
      </c>
      <c r="J172" s="13">
        <f t="shared" si="26"/>
        <v>0</v>
      </c>
      <c r="K172" s="13">
        <f t="shared" si="27"/>
        <v>235449.60000000001</v>
      </c>
      <c r="L172" s="13">
        <f t="shared" si="28"/>
        <v>134935.70000000001</v>
      </c>
      <c r="M172" s="13">
        <f t="shared" si="24"/>
        <v>226038.25999999995</v>
      </c>
    </row>
    <row r="173" spans="1:13" ht="15.65">
      <c r="A173" s="5" t="s">
        <v>70</v>
      </c>
      <c r="B173" s="5" t="s">
        <v>103</v>
      </c>
      <c r="C173" s="5" t="s">
        <v>104</v>
      </c>
      <c r="D173" s="5" t="s">
        <v>112</v>
      </c>
      <c r="E173" s="5" t="s">
        <v>26</v>
      </c>
      <c r="F173" s="6" t="s">
        <v>68</v>
      </c>
      <c r="G173" s="8" t="s">
        <v>100</v>
      </c>
      <c r="H173" s="13">
        <v>777069.90000000002</v>
      </c>
      <c r="I173" s="13">
        <f t="shared" si="25"/>
        <v>180216.64000000001</v>
      </c>
      <c r="J173" s="13">
        <f t="shared" si="26"/>
        <v>0</v>
      </c>
      <c r="K173" s="13">
        <f t="shared" si="27"/>
        <v>235619.23000000001</v>
      </c>
      <c r="L173" s="13">
        <f t="shared" si="28"/>
        <v>135032.91</v>
      </c>
      <c r="M173" s="13">
        <f t="shared" si="24"/>
        <v>226201.12000000002</v>
      </c>
    </row>
    <row r="174" spans="1:13" ht="15.65">
      <c r="A174" s="5" t="s">
        <v>70</v>
      </c>
      <c r="B174" s="5" t="s">
        <v>103</v>
      </c>
      <c r="C174" s="5" t="s">
        <v>104</v>
      </c>
      <c r="D174" s="5" t="s">
        <v>137</v>
      </c>
      <c r="E174" s="5" t="s">
        <v>26</v>
      </c>
      <c r="F174" s="6" t="s">
        <v>68</v>
      </c>
      <c r="G174" s="8" t="s">
        <v>100</v>
      </c>
      <c r="H174" s="13">
        <v>811060.75</v>
      </c>
      <c r="I174" s="13">
        <f t="shared" si="25"/>
        <v>188099.73999999999</v>
      </c>
      <c r="J174" s="13">
        <f t="shared" si="26"/>
        <v>0</v>
      </c>
      <c r="K174" s="13">
        <f t="shared" si="27"/>
        <v>245925.76000000001</v>
      </c>
      <c r="L174" s="13">
        <f t="shared" si="28"/>
        <v>140939.57000000001</v>
      </c>
      <c r="M174" s="13">
        <f t="shared" si="24"/>
        <v>236095.67999999999</v>
      </c>
    </row>
    <row r="175" spans="1:13" ht="15.65">
      <c r="A175" s="5" t="s">
        <v>70</v>
      </c>
      <c r="B175" s="5" t="s">
        <v>103</v>
      </c>
      <c r="C175" s="5" t="s">
        <v>104</v>
      </c>
      <c r="D175" s="5" t="s">
        <v>116</v>
      </c>
      <c r="E175" s="5" t="s">
        <v>32</v>
      </c>
      <c r="F175" s="6" t="s">
        <v>91</v>
      </c>
      <c r="G175" s="8" t="s">
        <v>100</v>
      </c>
      <c r="H175" s="13">
        <v>-1682</v>
      </c>
      <c r="I175" s="13">
        <f t="shared" si="25"/>
        <v>-390.08999999999998</v>
      </c>
      <c r="J175" s="13">
        <f t="shared" si="26"/>
        <v>0</v>
      </c>
      <c r="K175" s="13">
        <f t="shared" si="27"/>
        <v>-510.00999999999999</v>
      </c>
      <c r="L175" s="13">
        <f t="shared" si="28"/>
        <v>-292.27999999999997</v>
      </c>
      <c r="M175" s="13">
        <f t="shared" si="24"/>
        <v>-489.62000000000012</v>
      </c>
    </row>
    <row r="176" spans="1:13" ht="15.65">
      <c r="A176" s="5" t="s">
        <v>70</v>
      </c>
      <c r="B176" s="5" t="s">
        <v>103</v>
      </c>
      <c r="C176" s="5" t="s">
        <v>104</v>
      </c>
      <c r="D176" s="5" t="s">
        <v>105</v>
      </c>
      <c r="E176" s="5" t="s">
        <v>32</v>
      </c>
      <c r="F176" s="6" t="s">
        <v>91</v>
      </c>
      <c r="G176" s="8" t="s">
        <v>100</v>
      </c>
      <c r="H176" s="13">
        <v>3802.3400000000001</v>
      </c>
      <c r="I176" s="13">
        <f t="shared" si="25"/>
        <v>881.83000000000004</v>
      </c>
      <c r="J176" s="13">
        <f t="shared" si="26"/>
        <v>0</v>
      </c>
      <c r="K176" s="13">
        <f t="shared" si="27"/>
        <v>1152.9300000000001</v>
      </c>
      <c r="L176" s="13">
        <f t="shared" si="28"/>
        <v>660.74000000000001</v>
      </c>
      <c r="M176" s="13">
        <f t="shared" si="24"/>
        <v>1106.8400000000002</v>
      </c>
    </row>
    <row r="177" spans="1:13" ht="15.65">
      <c r="A177" s="5" t="s">
        <v>70</v>
      </c>
      <c r="B177" s="5" t="s">
        <v>103</v>
      </c>
      <c r="C177" s="5" t="s">
        <v>104</v>
      </c>
      <c r="D177" s="5" t="s">
        <v>166</v>
      </c>
      <c r="E177" s="5" t="s">
        <v>205</v>
      </c>
      <c r="F177" s="6" t="s">
        <v>184</v>
      </c>
      <c r="G177" s="8" t="s">
        <v>100</v>
      </c>
      <c r="H177" s="13">
        <v>17710.43</v>
      </c>
      <c r="I177" s="13">
        <f t="shared" si="25"/>
        <v>4107.3699999999999</v>
      </c>
      <c r="J177" s="13">
        <f t="shared" si="26"/>
        <v>0</v>
      </c>
      <c r="K177" s="13">
        <f t="shared" si="27"/>
        <v>5370.0699999999997</v>
      </c>
      <c r="L177" s="13">
        <f t="shared" si="28"/>
        <v>3077.5799999999999</v>
      </c>
      <c r="M177" s="13">
        <f t="shared" si="24"/>
        <v>5155.4100000000017</v>
      </c>
    </row>
    <row r="178" spans="1:13" ht="15.65">
      <c r="A178" s="5" t="s">
        <v>70</v>
      </c>
      <c r="B178" s="5" t="s">
        <v>103</v>
      </c>
      <c r="C178" s="5" t="s">
        <v>104</v>
      </c>
      <c r="D178" s="5" t="s">
        <v>166</v>
      </c>
      <c r="E178" s="5" t="s">
        <v>206</v>
      </c>
      <c r="F178" s="6" t="s">
        <v>185</v>
      </c>
      <c r="G178" s="8" t="s">
        <v>100</v>
      </c>
      <c r="H178" s="13">
        <v>17710.43</v>
      </c>
      <c r="I178" s="13">
        <f t="shared" si="25"/>
        <v>4107.3699999999999</v>
      </c>
      <c r="J178" s="13">
        <f t="shared" si="26"/>
        <v>0</v>
      </c>
      <c r="K178" s="13">
        <f t="shared" si="27"/>
        <v>5370.0699999999997</v>
      </c>
      <c r="L178" s="13">
        <f t="shared" si="28"/>
        <v>3077.5799999999999</v>
      </c>
      <c r="M178" s="13">
        <f t="shared" si="24"/>
        <v>5155.4100000000017</v>
      </c>
    </row>
    <row r="179" spans="1:13" ht="15.65">
      <c r="A179" s="5" t="s">
        <v>70</v>
      </c>
      <c r="B179" s="5" t="s">
        <v>103</v>
      </c>
      <c r="C179" s="5" t="s">
        <v>104</v>
      </c>
      <c r="D179" s="5" t="s">
        <v>112</v>
      </c>
      <c r="E179" s="5" t="s">
        <v>142</v>
      </c>
      <c r="F179" s="6" t="s">
        <v>143</v>
      </c>
      <c r="G179" s="8" t="s">
        <v>100</v>
      </c>
      <c r="H179" s="13">
        <v>6968.0299999999997</v>
      </c>
      <c r="I179" s="13">
        <f t="shared" si="25"/>
        <v>1616.01</v>
      </c>
      <c r="J179" s="13">
        <f t="shared" si="26"/>
        <v>0</v>
      </c>
      <c r="K179" s="13">
        <f t="shared" si="27"/>
        <v>2112.8099999999999</v>
      </c>
      <c r="L179" s="13">
        <f t="shared" si="28"/>
        <v>1210.8499999999999</v>
      </c>
      <c r="M179" s="13">
        <f t="shared" si="24"/>
        <v>2028.3599999999997</v>
      </c>
    </row>
    <row r="180" spans="1:13" ht="15.65">
      <c r="A180" s="5" t="s">
        <v>70</v>
      </c>
      <c r="B180" s="5" t="s">
        <v>103</v>
      </c>
      <c r="C180" s="5" t="s">
        <v>104</v>
      </c>
      <c r="D180" s="5" t="s">
        <v>166</v>
      </c>
      <c r="E180" s="5" t="s">
        <v>207</v>
      </c>
      <c r="F180" s="6" t="s">
        <v>186</v>
      </c>
      <c r="G180" s="8" t="s">
        <v>100</v>
      </c>
      <c r="H180" s="13">
        <v>17710.43</v>
      </c>
      <c r="I180" s="13">
        <f t="shared" si="25"/>
        <v>4107.3699999999999</v>
      </c>
      <c r="J180" s="13">
        <f t="shared" si="26"/>
        <v>0</v>
      </c>
      <c r="K180" s="13">
        <f t="shared" si="27"/>
        <v>5370.0699999999997</v>
      </c>
      <c r="L180" s="13">
        <f t="shared" si="28"/>
        <v>3077.5799999999999</v>
      </c>
      <c r="M180" s="13">
        <f t="shared" si="24"/>
        <v>5155.4100000000017</v>
      </c>
    </row>
    <row r="181" spans="8:13" ht="15.65">
      <c r="H181" s="13"/>
      <c r="I181" s="13"/>
      <c r="J181" s="13"/>
      <c r="K181" s="13"/>
      <c r="L181" s="13"/>
      <c r="M181" s="13"/>
    </row>
    <row r="182" spans="7:13" ht="15.65">
      <c r="G182" s="12" t="s">
        <v>101</v>
      </c>
      <c r="H182" s="14">
        <f t="shared" si="29" ref="H182:M182">SUM(H2:H180)</f>
        <v>285151594.33000022</v>
      </c>
      <c r="I182" s="14">
        <f t="shared" si="29"/>
        <v>66131839.869999982</v>
      </c>
      <c r="J182" s="14">
        <f t="shared" si="29"/>
        <v>0</v>
      </c>
      <c r="K182" s="14">
        <f t="shared" si="29"/>
        <v>86462233.299999818</v>
      </c>
      <c r="L182" s="14">
        <f t="shared" si="29"/>
        <v>49551334.029999986</v>
      </c>
      <c r="M182" s="14">
        <f t="shared" si="29"/>
        <v>83006187.129999965</v>
      </c>
    </row>
    <row r="183" spans="8:13" ht="15.65">
      <c r="H183" s="13"/>
      <c r="I183" s="13"/>
      <c r="J183" s="13"/>
      <c r="K183" s="13"/>
      <c r="L183" s="13"/>
      <c r="M183" s="13"/>
    </row>
    <row r="184" spans="1:13" ht="15.65">
      <c r="A184" s="5" t="s">
        <v>3</v>
      </c>
      <c r="B184" s="5" t="s">
        <v>103</v>
      </c>
      <c r="C184" s="5" t="s">
        <v>164</v>
      </c>
      <c r="D184" s="5" t="s">
        <v>111</v>
      </c>
      <c r="E184" s="5" t="s">
        <v>71</v>
      </c>
      <c r="F184" s="6" t="s">
        <v>87</v>
      </c>
      <c r="G184" s="8" t="s">
        <v>76</v>
      </c>
      <c r="H184" s="13">
        <v>580038.81999999995</v>
      </c>
      <c r="I184" s="13">
        <v>0</v>
      </c>
      <c r="J184" s="13">
        <v>0</v>
      </c>
      <c r="K184" s="13">
        <v>0</v>
      </c>
      <c r="L184" s="13">
        <v>580038.81999999995</v>
      </c>
      <c r="M184" s="13">
        <v>0</v>
      </c>
    </row>
    <row r="185" spans="1:13" ht="15.65">
      <c r="A185" s="5" t="s">
        <v>3</v>
      </c>
      <c r="B185" s="5" t="s">
        <v>103</v>
      </c>
      <c r="C185" s="5" t="s">
        <v>164</v>
      </c>
      <c r="D185" s="5" t="s">
        <v>113</v>
      </c>
      <c r="E185" s="5" t="s">
        <v>71</v>
      </c>
      <c r="F185" s="6" t="s">
        <v>87</v>
      </c>
      <c r="G185" s="8" t="s">
        <v>76</v>
      </c>
      <c r="H185" s="13">
        <v>15590047.43</v>
      </c>
      <c r="I185" s="13">
        <v>0</v>
      </c>
      <c r="J185" s="13">
        <v>0</v>
      </c>
      <c r="K185" s="13">
        <v>0</v>
      </c>
      <c r="L185" s="13">
        <v>15590047.43</v>
      </c>
      <c r="M185" s="13">
        <v>0</v>
      </c>
    </row>
    <row r="186" spans="1:13" ht="15.65">
      <c r="A186" s="5" t="s">
        <v>102</v>
      </c>
      <c r="B186" s="5" t="s">
        <v>103</v>
      </c>
      <c r="C186" s="5" t="s">
        <v>104</v>
      </c>
      <c r="D186" s="5" t="s">
        <v>112</v>
      </c>
      <c r="E186" s="5" t="s">
        <v>139</v>
      </c>
      <c r="F186" s="6" t="s">
        <v>140</v>
      </c>
      <c r="G186" s="8" t="s">
        <v>76</v>
      </c>
      <c r="H186" s="13">
        <v>14047.690000000001</v>
      </c>
      <c r="I186" s="13">
        <v>0</v>
      </c>
      <c r="J186" s="13">
        <v>14047.690000000001</v>
      </c>
      <c r="K186" s="13">
        <v>0</v>
      </c>
      <c r="L186" s="13">
        <v>0</v>
      </c>
      <c r="M186" s="13">
        <v>0</v>
      </c>
    </row>
    <row r="187" spans="8:13" ht="15.65">
      <c r="H187" s="13"/>
      <c r="I187" s="13"/>
      <c r="J187" s="13"/>
      <c r="K187" s="13"/>
      <c r="L187" s="13"/>
      <c r="M187" s="13"/>
    </row>
    <row r="188" spans="8:13" ht="15.65">
      <c r="H188" s="14">
        <f>SUM(H184:H186)</f>
        <v>16184133.94</v>
      </c>
      <c r="I188" s="14">
        <f t="shared" si="30" ref="I188:M188">SUM(I184:I186)</f>
        <v>0</v>
      </c>
      <c r="J188" s="14">
        <f t="shared" si="30"/>
        <v>14047.690000000001</v>
      </c>
      <c r="K188" s="14">
        <f t="shared" si="30"/>
        <v>0</v>
      </c>
      <c r="L188" s="14">
        <f t="shared" si="30"/>
        <v>16170086.25</v>
      </c>
      <c r="M188" s="14">
        <f t="shared" si="30"/>
        <v>0</v>
      </c>
    </row>
    <row r="189" spans="8:13" ht="15.65">
      <c r="H189" s="13"/>
      <c r="I189" s="13"/>
      <c r="J189" s="13"/>
      <c r="K189" s="13"/>
      <c r="L189" s="13"/>
      <c r="M189" s="13"/>
    </row>
    <row r="190" spans="8:13" ht="16.3" thickBot="1">
      <c r="H190" s="15">
        <f>H182+H188</f>
        <v>301335728.27000022</v>
      </c>
      <c r="I190" s="15">
        <f t="shared" si="31" ref="I190:M190">I182+I188</f>
        <v>66131839.869999982</v>
      </c>
      <c r="J190" s="15">
        <f t="shared" si="31"/>
        <v>14047.690000000001</v>
      </c>
      <c r="K190" s="15">
        <f t="shared" si="31"/>
        <v>86462233.299999818</v>
      </c>
      <c r="L190" s="15">
        <f t="shared" si="31"/>
        <v>65721420.279999986</v>
      </c>
      <c r="M190" s="15">
        <f t="shared" si="31"/>
        <v>83006187.129999965</v>
      </c>
    </row>
    <row r="191" ht="16.3" thickTop="1"/>
    <row r="192" spans="7:14" ht="15.65">
      <c r="G192" s="10" t="s">
        <v>165</v>
      </c>
      <c r="I192" s="11">
        <v>0.23191818386221189</v>
      </c>
      <c r="J192" s="11">
        <v>0</v>
      </c>
      <c r="K192" s="11">
        <v>0.30321497406404219</v>
      </c>
      <c r="L192" s="11">
        <v>0.17377189863874157</v>
      </c>
      <c r="M192" s="11">
        <v>0.29109494342562664</v>
      </c>
      <c r="N192" s="16">
        <f>SUM(I192:M192)</f>
        <v>0.99999999999062217</v>
      </c>
    </row>
  </sheetData>
  <sortState ref="A1:M96">
    <sortCondition sortBy="value" ref="G1:G96"/>
    <sortCondition sortBy="value" ref="A1:A96"/>
    <sortCondition sortBy="value" ref="F1:F96"/>
    <sortCondition sortBy="value" ref="D1:D96"/>
  </sortState>
  <printOptions horizontalCentered="1"/>
  <pageMargins left="0.7" right="0.7" top="2.5" bottom="0.75" header="1.5" footer="0.3"/>
  <pageSetup fitToHeight="0" orientation="landscape" scale="48" r:id="rId1"/>
  <headerFooter alignWithMargins="0">
    <oddHeader>&amp;C
&amp;"Arial,Bold"&amp;12 2022 RATE CASE
ONCOR ELECTRIC DELIVERY COMPANY LLC
COMPUTER EQUIPMENT 
FOR THE TEST YEAR ENDING DECEMBER 31, 2021
SPONSOR: W. A. LEDBETTER
&amp;R&amp;"Arial,Bold"&amp;12WP/II-B-2/02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FHHXVRPN3UPD-1807981734-31552</_dlc_DocId>
    <_dlc_DocIdUrl xmlns="4f7156c1-be87-4d1f-9274-ce189f982c1a">
      <Url>http://intranet.corp.oncor.com/sites/Finance/_layouts/15/DocIdRedir.aspx?ID=FHHXVRPN3UPD-1807981734-31552</Url>
      <Description>FHHXVRPN3UPD-1807981734-31552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AFA601-F0BA-4D8F-90AB-AA2C91259F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B81E5DC-B6B7-46AF-B40D-0BD42D5FC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D723E0-22CD-4D83-84B7-2927388264DD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FD9E821-1759-425E-8F8E-800CD5DF66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II-B-2_02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1f597332-986c-46dd-a23f-5f2d903cb82c</vt:lpwstr>
  </property>
</Properties>
</file>