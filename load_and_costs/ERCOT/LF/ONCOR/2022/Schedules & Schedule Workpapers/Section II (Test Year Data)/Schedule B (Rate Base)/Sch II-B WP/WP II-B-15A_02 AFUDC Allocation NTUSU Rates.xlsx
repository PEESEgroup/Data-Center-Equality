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8800" windowHeight="12050" activeTab="0"/>
  </bookViews>
  <sheets>
    <sheet name="WP II-B-15A_02 AFUDC NTUSU Rate" sheetId="9" r:id="rId2"/>
    <sheet name="WP II-B-15A_02-1" sheetId="1" r:id="rId3"/>
    <sheet name="WP II-B-15A_02-2" sheetId="2" r:id="rId4"/>
    <sheet name="WP II-B-15A_02-3" sheetId="3" r:id="rId5"/>
    <sheet name="WP II-B-15A_02-4" sheetId="4" r:id="rId6"/>
    <sheet name="WP II-B-15A_02-5" sheetId="5" r:id="rId7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a1" hidden="1">{#N/A,#N/A,FALSE,"Valuation";#N/A,#N/A,FALSE,"MLP Impact"}</definedName>
    <definedName name="_________a2" hidden="1">{"Income Statement",#N/A,FALSE,"CFMODEL";"Balance Sheet",#N/A,FALSE,"CFMODEL"}</definedName>
    <definedName name="_________tst2" hidden="1">{"SourcesUses",#N/A,TRUE,"CFMODEL";"TransOverview",#N/A,TRUE,"CFMODEL"}</definedName>
    <definedName name="_________tst3" hidden="1">{"SourcesUses",#N/A,TRUE,#N/A;"TransOverview",#N/A,TRUE,"CFMODEL"}</definedName>
    <definedName name="_________tst4" hidden="1">{"SourcesUses",#N/A,TRUE,"FundsFlow";"TransOverview",#N/A,TRUE,"FundsFlow"}</definedName>
    <definedName name="________a1" hidden="1">{#N/A,#N/A,FALSE,"Valuation";#N/A,#N/A,FALSE,"MLP Impact"}</definedName>
    <definedName name="________a2" hidden="1">{"Income Statement",#N/A,FALSE,"CFMODEL";"Balance Sheet",#N/A,FALSE,"CFMODEL"}</definedName>
    <definedName name="________tst2" hidden="1">{"SourcesUses",#N/A,TRUE,"CFMODEL";"TransOverview",#N/A,TRUE,"CFMODEL"}</definedName>
    <definedName name="________tst3" hidden="1">{"SourcesUses",#N/A,TRUE,#N/A;"TransOverview",#N/A,TRUE,"CFMODEL"}</definedName>
    <definedName name="________tst4" hidden="1">{"SourcesUses",#N/A,TRUE,"FundsFlow";"TransOverview",#N/A,TRUE,"FundsFlow"}</definedName>
    <definedName name="____as1" hidden="1">{"FCB_ALL",#N/A,FALSE,"FCB"}</definedName>
    <definedName name="____AS2" hidden="1">{"FCB_ALL",#N/A,FALSE,"FCB"}</definedName>
    <definedName name="____as3" hidden="1">{"FCB_ALL",#N/A,FALSE,"FCB"}</definedName>
    <definedName name="____AS4" hidden="1">{"FCB_ALL",#N/A,FALSE,"FCB"}</definedName>
    <definedName name="____as6" hidden="1">{"FCB_ALL",#N/A,FALSE,"FCB"}</definedName>
    <definedName name="____AS7" hidden="1">{"FCB_ALL",#N/A,FALSE,"FCB"}</definedName>
    <definedName name="____dlj2" hidden="1">{"cap_structure",#N/A,FALSE,"Graph-Mkt Cap";"price",#N/A,FALSE,"Graph-Price";"ebit",#N/A,FALSE,"Graph-EBITDA";"ebitda",#N/A,FALSE,"Graph-EBITDA"}</definedName>
    <definedName name="____g2" hidden="1">{#N/A,"DR",FALSE,"increm pf";#N/A,"MAMSI",FALSE,"increm pf";#N/A,"MAXI",FALSE,"increm pf";#N/A,"PCAM",FALSE,"increm pf";#N/A,"PHSV",FALSE,"increm pf";#N/A,"SIE",FALSE,"increm pf"}</definedName>
    <definedName name="_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h5" hidden="1">{#N/A,"DR",FALSE,"increm pf";#N/A,"MAMSI",FALSE,"increm pf";#N/A,"MAXI",FALSE,"increm pf";#N/A,"PCAM",FALSE,"increm pf";#N/A,"PHSV",FALSE,"increm pf";#N/A,"SIE",FALSE,"increm pf"}</definedName>
    <definedName name="_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_jjj2" hidden="1">{"summary1",#N/A,TRUE,"Comps";"summary2",#N/A,TRUE,"Comps";"summary3",#N/A,TRUE,"Comps"}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sdf2" hidden="1">{#N/A,#N/A,FALSE,"Calc";#N/A,#N/A,FALSE,"Sensitivity";#N/A,#N/A,FALSE,"LT Earn.Dil.";#N/A,#N/A,FALSE,"Dil. AVP"}</definedName>
    <definedName name="____wrn2" hidden="1">{#N/A,#N/A,FALSE,"Calc";#N/A,#N/A,FALSE,"Sensitivity";#N/A,#N/A,FALSE,"LT Earn.Dil.";#N/A,#N/A,FALSE,"Dil. AVP"}</definedName>
    <definedName name="____xlfn.RTD" hidden="1">#NAME?</definedName>
    <definedName name="___a1" hidden="1">{#N/A,#N/A,FALSE,"Valuation";#N/A,#N/A,FALSE,"MLP Impact"}</definedName>
    <definedName name="___a2" hidden="1">{"Income Statement",#N/A,FALSE,"CFMODEL";"Balance Sheet",#N/A,FALSE,"CFMODEL"}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lj2" hidden="1">{"cap_structure",#N/A,FALSE,"Graph-Mkt Cap";"price",#N/A,FALSE,"Graph-Price";"ebit",#N/A,FALSE,"Graph-EBITDA";"ebitda",#N/A,FALSE,"Graph-EBITDA"}</definedName>
    <definedName name="___g2" hidden="1">{#N/A,"DR",FALSE,"increm pf";#N/A,"MAMSI",FALSE,"increm pf";#N/A,"MAXI",FALSE,"increm pf";#N/A,"PCAM",FALSE,"increm pf";#N/A,"PHSV",FALSE,"increm pf";#N/A,"SIE",FALSE,"increm pf"}</definedName>
    <definedName name="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h5" hidden="1">{#N/A,"DR",FALSE,"increm pf";#N/A,"MAMSI",FALSE,"increm pf";#N/A,"MAXI",FALSE,"increm pf";#N/A,"PCAM",FALSE,"increm pf";#N/A,"PHSV",FALSE,"increm pf";#N/A,"SIE",FALSE,"increm pf"}</definedName>
    <definedName name="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jjj2" hidden="1">{"summary1",#N/A,TRUE,"Comps";"summary2",#N/A,TRUE,"Comps";"summary3",#N/A,TRUE,"Comps"}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sdf2" hidden="1">{#N/A,#N/A,FALSE,"Calc";#N/A,#N/A,FALSE,"Sensitivity";#N/A,#N/A,FALSE,"LT Earn.Dil.";#N/A,#N/A,FALSE,"Dil. AVP"}</definedName>
    <definedName name="___tst2" hidden="1">{"SourcesUses",#N/A,TRUE,"CFMODEL";"TransOverview",#N/A,TRUE,"CFMODEL"}</definedName>
    <definedName name="___tst3" hidden="1">{"SourcesUses",#N/A,TRUE,#N/A;"TransOverview",#N/A,TRUE,"CFMODEL"}</definedName>
    <definedName name="___tst4" hidden="1">{"SourcesUses",#N/A,TRUE,"FundsFlow";"TransOverview",#N/A,TRUE,"FundsFlow"}</definedName>
    <definedName name="___wrn2" hidden="1">{#N/A,#N/A,FALSE,"Calc";#N/A,#N/A,FALSE,"Sensitivity";#N/A,#N/A,FALSE,"LT Earn.Dil.";#N/A,#N/A,FALSE,"Dil. AVP"}</definedName>
    <definedName name="___xlfn.RTD" hidden="1">#NAME?</definedName>
    <definedName name="__1__123Graph_ACHART_1" hidden="1">'[1]HIOS 93 thru 96'!$H$76:$K$76</definedName>
    <definedName name="__123Graph_A" hidden="1">[2]TW!#REF!</definedName>
    <definedName name="__123Graph_B" hidden="1">[2]TW!#REF!</definedName>
    <definedName name="__123Graph_C" hidden="1">[2]TW!#REF!</definedName>
    <definedName name="__123Graph_D" hidden="1">[2]TW!#REF!</definedName>
    <definedName name="__123Graph_X" hidden="1">[3]A!$H$4:$J$4</definedName>
    <definedName name="__2__123Graph_BCHART_1" hidden="1">'[1]HIOS 93 thru 96'!$H$87:$K$87</definedName>
    <definedName name="__3__123Graph_CCHART_1" hidden="1">'[1]HIOS 93 thru 96'!$H$112:$K$112</definedName>
    <definedName name="__4__123Graph_XCHART_1" hidden="1">'[1]HIOS 93 thru 96'!$H$3:$K$3</definedName>
    <definedName name="__a1" hidden="1">{#N/A,#N/A,FALSE,"Valuation";#N/A,#N/A,FALSE,"MLP Impact"}</definedName>
    <definedName name="__a2" hidden="1">{"Income Statement",#N/A,FALSE,"CFMODEL";"Balance Sheet",#N/A,FALSE,"CFMODEL"}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dlj2" hidden="1">{"cap_structure",#N/A,FALSE,"Graph-Mkt Cap";"price",#N/A,FALSE,"Graph-Price";"ebit",#N/A,FALSE,"Graph-EBITDA";"ebitda",#N/A,FALSE,"Graph-EBITDA"}</definedName>
    <definedName name="__FDS_HYPERLINK_TOGGLE_STATE__" hidden="1">"ON"</definedName>
    <definedName name="__g2" hidden="1">{#N/A,"DR",FALSE,"increm pf";#N/A,"MAMSI",FALSE,"increm pf";#N/A,"MAXI",FALSE,"increm pf";#N/A,"PCAM",FALSE,"increm pf";#N/A,"PHSV",FALSE,"increm pf";#N/A,"SIE",FALSE,"increm pf"}</definedName>
    <definedName name="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h5" hidden="1">{#N/A,"DR",FALSE,"increm pf";#N/A,"MAMSI",FALSE,"increm pf";#N/A,"MAXI",FALSE,"increm pf";#N/A,"PCAM",FALSE,"increm pf";#N/A,"PHSV",FALSE,"increm pf";#N/A,"SIE",FALSE,"increm pf"}</definedName>
    <definedName name="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jjj2" hidden="1">{"summary1",#N/A,TRUE,"Comps";"summary2",#N/A,TRUE,"Comps";"summary3",#N/A,TRUE,"Comps"}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sdf2" hidden="1">{#N/A,#N/A,FALSE,"Calc";#N/A,#N/A,FALSE,"Sensitivity";#N/A,#N/A,FALSE,"LT Earn.Dil.";#N/A,#N/A,FALSE,"Dil. AVP"}</definedName>
    <definedName name="__tst2" hidden="1">{"SourcesUses",#N/A,TRUE,"CFMODEL";"TransOverview",#N/A,TRUE,"CFMODEL"}</definedName>
    <definedName name="__tst3" hidden="1">{"SourcesUses",#N/A,TRUE,#N/A;"TransOverview",#N/A,TRUE,"CFMODEL"}</definedName>
    <definedName name="__tst4" hidden="1">{"SourcesUses",#N/A,TRUE,"FundsFlow";"TransOverview",#N/A,TRUE,"FundsFlow"}</definedName>
    <definedName name="__wrn2" hidden="1">{#N/A,#N/A,FALSE,"Calc";#N/A,#N/A,FALSE,"Sensitivity";#N/A,#N/A,FALSE,"LT Earn.Dil.";#N/A,#N/A,FALSE,"Dil. AVP"}</definedName>
    <definedName name="__xlfn.BAHTTEXT" hidden="1">#NAME?</definedName>
    <definedName name="__xlfn.RTD" hidden="1">#NAME?</definedName>
    <definedName name="_1___123Graph_ACHART_1" hidden="1">'[1]HIOS 93 thru 96'!$H$76:$K$76</definedName>
    <definedName name="_1__123Graph_ACHART_1" hidden="1">'[1]HIOS 93 thru 96'!$H$76:$K$76</definedName>
    <definedName name="_10___123Graph_XCHART_1" hidden="1">'[4]HIOS 93 thru 96'!$H$3:$K$3</definedName>
    <definedName name="_15__123Graph_CCHART_1" hidden="1">'[5]HIOS 93 thru 96'!$H$112:$K$112</definedName>
    <definedName name="_2___123Graph_BCHART_1" hidden="1">'[1]HIOS 93 thru 96'!$H$87:$K$87</definedName>
    <definedName name="_2__123Graph_BCHART_1" hidden="1">'[1]HIOS 93 thru 96'!$H$87:$K$87</definedName>
    <definedName name="_20__123Graph_XCHART_1" hidden="1">'[5]HIOS 93 thru 96'!$H$3:$K$3</definedName>
    <definedName name="_3___123Graph_CCHART_1" hidden="1">'[1]HIOS 93 thru 96'!$H$112:$K$112</definedName>
    <definedName name="_3__123Graph_CCHART_1" hidden="1">'[1]HIOS 93 thru 96'!$H$112:$K$112</definedName>
    <definedName name="_4___123Graph_XCHART_1" hidden="1">'[1]HIOS 93 thru 96'!$H$3:$K$3</definedName>
    <definedName name="_4__123Graph_XCHART_1" hidden="1">'[1]HIOS 93 thru 96'!$H$3:$K$3</definedName>
    <definedName name="_5___123Graph_CCHART_1" hidden="1">'[4]HIOS 93 thru 96'!$H$112:$K$112</definedName>
    <definedName name="_5__123Graph_ACHART_1" hidden="1">'[1]HIOS 93 thru 96'!$H$76:$K$76</definedName>
    <definedName name="_6__123Graph_BCHART_1" hidden="1">'[1]HIOS 93 thru 96'!$H$87:$K$87</definedName>
    <definedName name="_7__123Graph_CCHART_1" hidden="1">'[1]HIOS 93 thru 96'!$H$112:$K$112</definedName>
    <definedName name="_8__123Graph_XCHART_1" hidden="1">'[1]HIOS 93 thru 96'!$H$3:$K$3</definedName>
    <definedName name="_a1" hidden="1">{#N/A,#N/A,FALSE,"Valuation";#N/A,#N/A,FALSE,"MLP Impact"}</definedName>
    <definedName name="_a2" hidden="1">{"Income Statement",#N/A,FALSE,"CFMODEL";"Balance Sheet",#N/A,FALSE,"CFMODEL"}</definedName>
    <definedName name="_a3" hidden="1">{"Income Statement",#N/A,FALSE,"CFMODEL";"Balance Sheet",#N/A,FALSE,"CFMODEL"}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dm.00DEEDFC3564403D80922B14F4737163.edm" hidden="1">#REF!</definedName>
    <definedName name="_bdm.0957A0A4D596491695EBD3812FF66374.edm" hidden="1">#REF!</definedName>
    <definedName name="_bdm.14A04C171032402A813B97A4F94B6F88.edm" hidden="1">#REF!</definedName>
    <definedName name="_bdm.1738A05514F24466A948AE0BC73AA295.edm" hidden="1">#REF!</definedName>
    <definedName name="_bdm.324C300DAB6949F5988562FE9FB503E5.edm" hidden="1">#REF!</definedName>
    <definedName name="_bdm.4A507D740C844A27953109AC1DBF77F4.edm" hidden="1">#REF!</definedName>
    <definedName name="_bdm.4AAB560D3EEB4317BEE2940256925AB6.edm" hidden="1">#REF!</definedName>
    <definedName name="_bdm.4FF634763F234EC3B8DB9036467EE8EC.edm" hidden="1">#REF!</definedName>
    <definedName name="_bdm.535EEA857B5946988C4E8DE77A0F6D53.edm" hidden="1">#REF!</definedName>
    <definedName name="_bdm.5FC4649AEBCD4861A38F1C46A32ADAD1.edm" hidden="1">#REF!</definedName>
    <definedName name="_bdm.67FBB965A9694704955A0918F7F743BC.edm" hidden="1">#REF!</definedName>
    <definedName name="_bdm.8228F3960F2B406B81A65BCC52443B0F.edm" hidden="1">#REF!</definedName>
    <definedName name="_bdm.8CA241C80E984D9C87E366612B88CDCE.edm" hidden="1">#REF!</definedName>
    <definedName name="_bdm.91C29ECE64BF4767868F3382D205FCEA.edm" hidden="1">#REF!</definedName>
    <definedName name="_bdm.B70214C4315E434BBCC09A49F6C257CA.edm" hidden="1">#REF!</definedName>
    <definedName name="_bdm.C3EC9FB5D0DD42F5AE08E05DCA46110A.edm" hidden="1">#REF!</definedName>
    <definedName name="_bdm.D992BEB086C14ECCA99DD12435B30728.edm" hidden="1">#REF!</definedName>
    <definedName name="_bdm.DF2AF417539E422392453810DF68D281.edm" hidden="1">#REF!</definedName>
    <definedName name="_bdm.E7E4402CC43C4C03854BC0A387B55DC5.edm" hidden="1">#REF!</definedName>
    <definedName name="_bdm.EFDD838773514ED092EF225CB1F8BE37.edm" hidden="1">#REF!</definedName>
    <definedName name="_bdm.FCB202C69120438F8A404145D107B500.edm" hidden="1">#REF!</definedName>
    <definedName name="_dlj2" hidden="1">{"cap_structure",#N/A,FALSE,"Graph-Mkt Cap";"price",#N/A,FALSE,"Graph-Price";"ebit",#N/A,FALSE,"Graph-EBITDA";"ebitda",#N/A,FALSE,"Graph-EBITDA"}</definedName>
    <definedName name="_Fill" hidden="1">#REF!</definedName>
    <definedName name="_xlnm._FilterDatabase" localSheetId="0" hidden="1">'WP II-B-15A_02 AFUDC NTUSU Rate'!$A$3:$C$3</definedName>
    <definedName name="_xlnm._FilterDatabase" hidden="1">'[6]Summary of Cash GL''s - 2002'!#REF!</definedName>
    <definedName name="_g2" hidden="1">{#N/A,"DR",FALSE,"increm pf";#N/A,"MAMSI",FALSE,"increm pf";#N/A,"MAXI",FALSE,"increm pf";#N/A,"PCAM",FALSE,"increm pf";#N/A,"PHSV",FALSE,"increm pf";#N/A,"SIE",FALSE,"increm pf"}</definedName>
    <definedName name="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h5" hidden="1">{#N/A,"DR",FALSE,"increm pf";#N/A,"MAMSI",FALSE,"increm pf";#N/A,"MAXI",FALSE,"increm pf";#N/A,"PCAM",FALSE,"increm pf";#N/A,"PHSV",FALSE,"increm pf";#N/A,"SIE",FALSE,"increm pf"}</definedName>
    <definedName name="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jj2" hidden="1">{"summary1",#N/A,TRUE,"Comps";"summary2",#N/A,TRUE,"Comps";"summary3",#N/A,TRUE,"Comps"}</definedName>
    <definedName name="_Key1" hidden="1">'[7]Apr 03'!#REF!</definedName>
    <definedName name="_Key2" hidden="1">[8]DATA!#REF!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0</definedName>
    <definedName name="_Regression_Out" hidden="1">'[9]Top 5 by TC'!#REF!</definedName>
    <definedName name="_Regression_X" hidden="1">#REF!</definedName>
    <definedName name="_Regression_Y" hidden="1">'[9]Top 5 by TC'!#REF!</definedName>
    <definedName name="_sdf2" hidden="1">{#N/A,#N/A,FALSE,"Calc";#N/A,#N/A,FALSE,"Sensitivity";#N/A,#N/A,FALSE,"LT Earn.Dil.";#N/A,#N/A,FALSE,"Dil. AVP"}</definedName>
    <definedName name="_Sort" hidden="1">'[7]Apr 03'!#REF!</definedName>
    <definedName name="_tst2" hidden="1">{"SourcesUses",#N/A,TRUE,"CFMODEL";"TransOverview",#N/A,TRUE,"CFMODEL"}</definedName>
    <definedName name="_tst3" hidden="1">{"SourcesUses",#N/A,TRUE,#N/A;"TransOverview",#N/A,TRUE,"CFMODEL"}</definedName>
    <definedName name="_tst4" hidden="1">{"SourcesUses",#N/A,TRUE,"FundsFlow";"TransOverview",#N/A,TRUE,"FundsFlow"}</definedName>
    <definedName name="_wrn2" hidden="1">{#N/A,#N/A,FALSE,"Calc";#N/A,#N/A,FALSE,"Sensitivity";#N/A,#N/A,FALSE,"LT Earn.Dil.";#N/A,#N/A,FALSE,"Dil. AVP"}</definedName>
    <definedName name="AAA_DOCTOPS" hidden="1">"AAA_SET"</definedName>
    <definedName name="AAA_duser" hidden="1">"OFF"</definedName>
    <definedName name="aaaa" hidden="1">{#N/A,#N/A,TRUE,"financial";#N/A,#N/A,TRUE,"plants"}</definedName>
    <definedName name="aaaaaaaaaaaaaaaaaa" hidden="1">{#N/A,#N/A,FALSE,"Calc";#N/A,#N/A,FALSE,"Sensitivity";#N/A,#N/A,FALSE,"LT Earn.Dil.";#N/A,#N/A,FALSE,"Dil. AVP"}</definedName>
    <definedName name="AAB_Addin5" hidden="1">"AAB_Description for addin 5,Description for addin 5,Description for addin 5,Description for addin 5,Description for addin 5,Description for addin 5"</definedName>
    <definedName name="ab" hidden="1">{#N/A,#N/A,TRUE,"Pro Forma";#N/A,#N/A,TRUE,"PF_Bal";#N/A,#N/A,TRUE,"PF_INC";#N/A,#N/A,TRUE,"CBE";#N/A,#N/A,TRUE,"SWK"}</definedName>
    <definedName name="Access_Button" hidden="1">"MKTTERM_DATA_List"</definedName>
    <definedName name="AccessDatabase" hidden="1">"S:\LO\EASTERN\Mktterm23.mdb"</definedName>
    <definedName name="Account">#REF!</definedName>
    <definedName name="Account2">#REF!</definedName>
    <definedName name="AccountDescr">#REF!</definedName>
    <definedName name="AccountDescr2">#REF!</definedName>
    <definedName name="Activity">#REF!</definedName>
    <definedName name="Activity2">#REF!</definedName>
    <definedName name="ActivityDescr">#REF!</definedName>
    <definedName name="ActivityDescr2">#REF!</definedName>
    <definedName name="addg" hidden="1">{#N/A,#N/A,FALSE,"CBE";#N/A,#N/A,FALSE,"SWK"}</definedName>
    <definedName name="ADLJK" hidden="1">{"inputs raw data",#N/A,TRUE,"INPUT"}</definedName>
    <definedName name="adljk2" hidden="1">{"inputs raw data",#N/A,TRUE,"INPUT"}</definedName>
    <definedName name="Affiliate">#REF!</definedName>
    <definedName name="Affiliate2">#REF!</definedName>
    <definedName name="AffiliateDescr">#REF!</definedName>
    <definedName name="andy" hidden="1">{#N/A,#N/A,TRUE,"financial";#N/A,#N/A,TRUE,"plants"}</definedName>
    <definedName name="anscount" hidden="1">1</definedName>
    <definedName name="as" hidden="1">{#N/A,#N/A,FALSE,"opt 12_95";#N/A,#N/A,FALSE,"opt 9_95";#N/A,#N/A,FALSE,"opt 6_95";#N/A,#N/A,FALSE,"opt 3_95";#N/A,#N/A,FALSE,"3mos-EPS";#N/A,#N/A,FALSE,"6mos-EPS";#N/A,#N/A,FALSE,"12mos-EPS";#N/A,#N/A,FALSE,"avg price"}</definedName>
    <definedName name="AS2DocOpenMode" hidden="1">"AS2DocumentBrowse"</definedName>
    <definedName name="AS2ReportLS" hidden="1">1</definedName>
    <definedName name="AS2SyncStepLS" hidden="1">0</definedName>
    <definedName name="asad" hidden="1">{"away stand alones",#N/A,FALSE,"Target"}</definedName>
    <definedName name="ASD">#REF!</definedName>
    <definedName name="asdas" hidden="1">{"summary1",#N/A,TRUE,"Comps";"summary2",#N/A,TRUE,"Comps";"summary3",#N/A,TRUE,"Comps"}</definedName>
    <definedName name="asdaw" hidden="1">{"FCB_ALL",#N/A,FALSE,"FCB"}</definedName>
    <definedName name="asdgsad" hidden="1">{#N/A,#N/A,FALSE,"GAF98"}</definedName>
    <definedName name="asl" hidden="1">{"Assets",#N/A,FALSE,"Balance sheet";"Liabilities",#N/A,FALSE,"Balance sheet"}</definedName>
    <definedName name="ATA" hidden="1">{#N/A,#N/A,FALSE,"Aging Summary";#N/A,#N/A,FALSE,"Ratio Analysis";#N/A,#N/A,FALSE,"Test 120 Day Accts";#N/A,#N/A,FALSE,"Tickmarks"}</definedName>
    <definedName name="avdd" hidden="1">{#N/A,#N/A,FALSE,"Calc";#N/A,#N/A,FALSE,"Sensitivity";#N/A,#N/A,FALSE,"LT Earn.Dil.";#N/A,#N/A,FALSE,"Dil. AVP"}</definedName>
    <definedName name="BG_Del" hidden="1">15</definedName>
    <definedName name="BG_Ins" hidden="1">4</definedName>
    <definedName name="BG_Mod" hidden="1">6</definedName>
    <definedName name="BLPH3" hidden="1">'[10]swaption vol'!$B$6</definedName>
    <definedName name="BLPH5" hidden="1">'[10]swaption vol'!$B$5</definedName>
    <definedName name="BLPH8" hidden="1">'[10]swaption vol'!$C$8</definedName>
    <definedName name="BLPH9" hidden="1">'[10]swaption vol'!$B$7</definedName>
    <definedName name="bnkj" hidden="1">{#N/A,#N/A,FALSE,"output";#N/A,#N/A,FALSE,"contrib";#N/A,#N/A,FALSE,"profile";#N/A,#N/A,FALSE,"comps"}</definedName>
    <definedName name="Bscrptold" hidden="1">{#N/A,#N/A,FALSE,"Valuation";#N/A,#N/A,FALSE,"Inputs";#N/A,#N/A,FALSE,"Financial Statements";#N/A,#N/A,FALSE,"MLP Impact";#N/A,#N/A,FALSE,"Revenues"}</definedName>
    <definedName name="bss" hidden="1">{"Assets",#N/A,FALSE,"Balance sheet";"Liabilities",#N/A,FALSE,"Balance sheet"}</definedName>
    <definedName name="Cable" hidden="1">{#N/A,#N/A,FALSE,"Operations";#N/A,#N/A,FALSE,"Financials"}</definedName>
    <definedName name="Cable2" hidden="1">{#N/A,#N/A,FALSE,"Operations";#N/A,#N/A,FALSE,"Financials"}</definedName>
    <definedName name="CBWorkbookPriority" hidden="1">-31260691</definedName>
    <definedName name="cc" hidden="1">{#N/A,#N/A,FALSE,"CBE";#N/A,#N/A,FALSE,"SWK"}</definedName>
    <definedName name="CIQWBGuid" hidden="1">"44eabf79-e702-434f-ae6f-34c88bc620b1"</definedName>
    <definedName name="compltold" hidden="1">{#N/A,#N/A,FALSE,"VOLUMES";#N/A,#N/A,FALSE,"REVENUES";#N/A,#N/A,FALSE,"VALUATION"}</definedName>
    <definedName name="confused" hidden="1">{"BS",#N/A,FALSE,"NGC";"PL",#N/A,FALSE,"NGC";"CF",#N/A,FALSE,"NGC"}</definedName>
    <definedName name="cooper2" hidden="1">{#N/A,#N/A,TRUE,"Pro Forma";#N/A,#N/A,TRUE,"PF_Bal";#N/A,#N/A,TRUE,"PF_INC";#N/A,#N/A,TRUE,"CBE";#N/A,#N/A,TRUE,"SWK"}</definedName>
    <definedName name="copy.xls" hidden="1">{#N/A,#N/A,FALSE,"opt 12_95";#N/A,#N/A,FALSE,"opt 9_95";#N/A,#N/A,FALSE,"opt 6_95";#N/A,#N/A,FALSE,"opt 3_95";#N/A,#N/A,FALSE,"3mos-EPS";#N/A,#N/A,FALSE,"6mos-EPS";#N/A,#N/A,FALSE,"12mos-EPS";#N/A,#N/A,FALSE,"avg price"}</definedName>
    <definedName name="CURRENTMONTH">[11]Month!$H$5</definedName>
    <definedName name="dasda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ATA_01" hidden="1">#REF!</definedName>
    <definedName name="DateRangePriceMain" hidden="1">#REF!</definedName>
    <definedName name="dddddd" hidden="1">{"FCB_ALL",#N/A,FALSE,"FCB";"GREY_ALL",#N/A,FALSE,"GREY"}</definedName>
    <definedName name="DeptDescr">#REF!</definedName>
    <definedName name="DeptDescr2">#REF!</definedName>
    <definedName name="DeptID">#REF!</definedName>
    <definedName name="DeptID2">#REF!</definedName>
    <definedName name="df" hidden="1">{"comps",#N/A,FALSE,"comps";"notes",#N/A,FALSE,"comps"}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saadsfa" hidden="1">{#N/A,#N/A,FALSE,"Calc";#N/A,#N/A,FALSE,"Sensitivity";#N/A,#N/A,FALSE,"LT Earn.Dil.";#N/A,#N/A,FALSE,"Dil. AVP"}</definedName>
    <definedName name="Duplicate" hidden="1">{#N/A,#N/A,FALSE,"Valuation";#N/A,#N/A,FALSE,"MLP Impact"}</definedName>
    <definedName name="Duplicate2" hidden="1">{"Income Statement",#N/A,FALSE,"CFMODEL";"Balance Sheet",#N/A,FALSE,"CFMODEL"}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C">#REF!</definedName>
    <definedName name="ECDescr">#REF!</definedName>
    <definedName name="ECDescr2">#REF!</definedName>
    <definedName name="ECID">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e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PMWorkbookOptions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PMWorkbookOptions_3" hidden="1">"lHyFsjaWCEULyPdexHDo1O70K2HiVv8RV9|UW|mOT1V8viF61zhvq945OTL2ns3x9/7|Xxq9MXb769S79S57//6ze/P/3||G7vlR7Qbxd5ndXT|bVrlBJjPVoW5WcftfWa|OZu/62nxSJfgm1v/9bju9/guL96evbmzavjs|fh0N98|eb3P376nf//Dvzk|M3p51|||n3CYb98fvxivLeze///xwP/8ouXxy86437x5Yvf/|TLF6///zzs129Oa"</definedName>
    <definedName name="EPMWorkbookOptions_4" hidden="1">"Linr8KRPyBt/en9nZ3//478DIM||TIc9vHz57|/|eL/tyN/9fLNyVevaMwnYHf631evn/7/d7Rvzr44DSeZPJFPx6TJj5///3fU333yus/Z|PD/tyP|4vT49VevTl8LS788fXX25dOzk/|vjHfDN94X3y5ms3xpO246HfhNnWvZdJF4Pa|uLIyTqqzqI6D7|G7ki02vMjEjb0aIzC|SN9/m79pn2WVVFy3hxf6zvNz77hbvPyvqpvUQiH/fAWSx"</definedName>
    <definedName name="EPMWorkbookOptions_5" hidden="1">"HCbQbVvFeeBIfebHd2NfboIhFN|G3d29d7DrAYjNBb/7ZT3L66Odx3fllyj0ZlVm1y/rapXX7fXR7v1P75/nk/Pt|5/O9rf3984fbh/cz/PtnSzf259NHuw/mNxDz|FbEcDPs6Z9nZcUnuUzEbEYhW6QY23ysxF4KOivJdv67teQcH1zg16T729DPY8BfvaY1QY6X59fd3b2D3Z2bs|uu/8/ZNcPjxcV9o/4td/Oo5qJT782t967d//|/v7|7bl"</definedName>
    <definedName name="EPMWorkbookOptions_6" hidden="1">"17/9/3PoNBPkK|/|V3PrNkuX45M1Xt4sUFPD/K2ny/yIJlkTL1xbgTx/s7hwcPLi9AN/7/6EAx5JVn|/vkdf4/3VG/UZJ8j75O4X8/0qi/L9Jek2|8GsLMPmLn3567957OIz7/3|U4MG86979vdvlXRX4/ys59meDLrv3fkSXLl2g9k7fnL35ydMfUSakzBcnlPI8ffHzmSwxsrz|9qvnL55SGuVWKX|l|v8rGeb/PUZRV4y|vkV874zf/f//Wc"</definedName>
    <definedName name="EPMWorkbookOptions_7" hidden="1">"RvYj1Ogf|IXfvtPKp5638/RJb99P9/LPt1F1IV4P8r2fQbo8XpV6/|v06L//eILBaxf4iy|uD/f7IKCoa2haKsT8eUoP9Rci9sdqtWA3z63Sevf4hsevD/PzYlAvY9IHz4Ixb1mt2q1QCLfnF6/PqrV6c/TD59|P8/PjVUFFv/8vTV2ZdPz05|xKXv0yjAJt7o8d3j1aospllLcOznwaemOUGrlktCnD57mrUZf|x/|KbqDv7xq/y8zpv5l8svV"</definedName>
    <definedName name="EPMWorkbookOptions_8" hidden="1">"/ny6Dwrm/zx3fBDbndS5lkNoF8uX2eXuWnZ/Zjbfreq306q6i3xZstkNK37X4Ttr2Y8a67hlysZ3/8DwbF4JscwAAA="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40611.6739467593</definedName>
    <definedName name="EV__LOCKEDCVW__FINANCE" hidden="1">"Balance_Sheet,ACTUAL,All_Sources,All_Cost_Centers,All_InterCo,USD,2008.TOTAL,PERIODIC,"</definedName>
    <definedName name="EV__LOCKEDCVW__FINANCE_DEV" hidden="1">"ACTUAL,C01,BalanceSheet,All_Divisions,All_LOB,2010.FEB,PERIODIC,"</definedName>
    <definedName name="EV__LOCKEDCVW__FINANCE_ETC" hidden="1">"Net_Income,ACTUAL,283,All_DS,All_InterCo,USD,2011.Sep,PERIODIC,"</definedName>
    <definedName name="EV__LOCKEDCVW__FINANCE_ETP" hidden="1">"Balance_Sheet,ACTUAL,All_Companies,All_DS,2008.TOTAL,Periodic,"</definedName>
    <definedName name="EV__LOCKEDCVW__FINANCE_HP" hidden="1">"Total_AP_Affiliates,ACTUAL,C_PROP_CONS,External,2010.Q3,YTD,"</definedName>
    <definedName name="EV__LOCKEDCVW__FINANCE_REG" hidden="1">"Balance_Sheet,ACTUAL,ALL_COMPANIES,All_DS,All_InterCo,2008.TOTAL,Periodic,"</definedName>
    <definedName name="EV__LOCKEDCVW__FINANCE_RGNC" hidden="1">"RGNC_Balance_Sheet,ACTUAL,RGNCGPLP_CONSOL,All_DS,All_InterCo,All_Orders,2010.TOTAL,PERIODIC,"</definedName>
    <definedName name="EV__LOCKEDCVW__FINANCIALREPORTING" hidden="1">"Total_Partner_Equity,ACTUAL,c0060,All_Sources,All_Cost_Centers,2008.SEP,YTD,"</definedName>
    <definedName name="EV__LOCKEDCVW__HCM_ETC" hidden="1">"MeritIncreasePct,BUDGET,CC_410152,NoEmployee,2011.DEC,PERIODIC,"</definedName>
    <definedName name="EV__LOCKEDCVW__HCM_REG" hidden="1">"TotalLabor_NoDet,BUDGETINPUT,OPSENG_DEPTS,AllEmployees,2010.TOTAL,PERIODIC,"</definedName>
    <definedName name="EV__LOCKEDCVW__LEGALAPP" hidden="1">"BalanceSheet,F_ERR,ACTUAL,C_CGGROUP,All_InterCo,CGGROUP,2005.TOTAL,All_Sources,PERIODIC,"</definedName>
    <definedName name="EV__LOCKEDCVW__LRATE" hidden="1">"ACTUAL,DZD,Avg,Global,2005.TOTAL,PERIODIC,"</definedName>
    <definedName name="EV__LOCKEDCVW__MARGINPLANNING_ETC" hidden="1">"11100,FCST_INPUT,MR_HPL,ALL_CUST,MP_Amount,All_InterCo,ALL_SRVC,2011.ANN,PERIODIC,"</definedName>
    <definedName name="EV__LOCKEDCVW__OWNERSHIP" hidden="1">"ACTUAL,C_CGGROUP,All_InterCo,CGGROUP,PCON,2005.TOTAL,PERIODIC,"</definedName>
    <definedName name="EV__LOCKEDCVW__PROJECT_ETC" hidden="1">"AllProjExp,AllProjects,All_Subtype,2011.TOTAL,AllTypes,BUDGETINPUT,410,YTD,"</definedName>
    <definedName name="EV__LOCKEDCVW__PROJECT_REG" hidden="1">"ProjectTotal,BUDGETINPUT,EAST,AllProjects,PIPELINE_INTEGRITY,2011.TOTAL,AllTypes,PERIODIC,"</definedName>
    <definedName name="EV__LOCKEDCVW__RATE" hidden="1">"ACTUAL,DZD,Avg,RateInput,2005.TOTAL,PERIODIC,"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"osoft"</definedName>
    <definedName name="EX" hidden="1">29</definedName>
    <definedName name="eyr" hidden="1">{"hiden",#N/A,FALSE,"14";"hidden",#N/A,FALSE,"16";"hidden",#N/A,FALSE,"18";"hidden",#N/A,FALSE,"20"}</definedName>
    <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f" hidden="1">{"Application Management",#N/A,FALSE,"Total Costs"}</definedName>
    <definedName name="fds" hidden="1">{"comps",#N/A,FALSE,"comps";"notes",#N/A,FALSE,"comps"}</definedName>
    <definedName name="fdsf" hidden="1">{"general",#N/A,FALSE,"Assumptions"}</definedName>
    <definedName name="fins1" hidden="1">{#N/A,#N/A,FALSE,"Calc";#N/A,#N/A,FALSE,"Sensitivity";#N/A,#N/A,FALSE,"LT Earn.Dil.";#N/A,#N/A,FALSE,"Dil. AVP"}</definedName>
    <definedName name="garbage" hidden="1">{#N/A,#N/A,FALSE,"GAF98"}</definedName>
    <definedName name="gds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g" hidden="1">{#N/A,"DR",FALSE,"increm pf";#N/A,"MAMSI",FALSE,"increm pf";#N/A,"MAXI",FALSE,"increm pf";#N/A,"PCAM",FALSE,"increm pf";#N/A,"PHSV",FALSE,"increm pf";#N/A,"SIE",FALSE,"increm pf"}</definedName>
    <definedName name="ggf" hidden="1">{"comps",#N/A,FALSE,"comps";"notes",#N/A,FALSE,"comps"}</definedName>
    <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tj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h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hhsdf" hidden="1">{"up stand alones",#N/A,FALSE,"Acquiror"}</definedName>
    <definedName name="ht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TML_CodePage" hidden="1">1252</definedName>
    <definedName name="HTML_Control" hidden="1">{"'Sheet1'!$A$1:$I$28"}</definedName>
    <definedName name="HTML_Control2" hidden="1">{"'Sheet1'!$A$1:$I$28"}</definedName>
    <definedName name="HTML_Description" hidden="1">""</definedName>
    <definedName name="HTML_Email" hidden="1">""</definedName>
    <definedName name="HTML_Header" hidden="1">"Sheet1"</definedName>
    <definedName name="HTML_LastUpdate" hidden="1">"03/24/2000"</definedName>
    <definedName name="HTML_LineAfter" hidden="1">FALSE</definedName>
    <definedName name="HTML_LineBefore" hidden="1">FALSE</definedName>
    <definedName name="HTML_Name" hidden="1">"M.F.McCarthy"</definedName>
    <definedName name="HTML_OBDlg2" hidden="1">TRUE</definedName>
    <definedName name="HTML_OBDlg4" hidden="1">TRUE</definedName>
    <definedName name="HTML_OS" hidden="1">0</definedName>
    <definedName name="HTML_PathFile" hidden="1">"G:\Opsvcs\TXBUDGET\01BUDGET\MGE\GASREV\MyHTML.htm"</definedName>
    <definedName name="HTML_Title" hidden="1">"Check Sum for Rev Models"</definedName>
    <definedName name="huh?" hidden="1">{#N/A,#N/A,FALSE,"EXP97"}</definedName>
    <definedName name="huo" hidden="1">{"Assets",#N/A,FALSE,"Balance sheet";"Liabilities",#N/A,FALSE,"Balance sheet"}</definedName>
    <definedName name="ik" hidden="1">{"casespecific",#N/A,FALSE,"Assumptions"}</definedName>
    <definedName name="IntroPrintArea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43020.7684143518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"IQ_REVENUE_EST"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39146.6970023148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u" hidden="1">{"Assets",#N/A,FALSE,"Balance sheet";"Liabilities",#N/A,FALSE,"Balance sheet"}</definedName>
    <definedName name="K2_WBEVMODE" hidden="1">0</definedName>
    <definedName name="KIT" hidden="1">{"equity comps",#N/A,FALSE,"CS Comps";"equity comps",#N/A,FALSE,"PS Comps";"equity comps",#N/A,FALSE,"GIC_Comps";"equity comps",#N/A,FALSE,"GIC2_Comps"}</definedName>
    <definedName name="kol" hidden="1">{"away stand alones",#N/A,FALSE,"Target"}</definedName>
    <definedName name="kop" hidden="1">{"Assets",#N/A,FALSE,"Balance sheet";"Liabilities",#N/A,FALSE,"Balance sheet"}</definedName>
    <definedName name="limcount" hidden="1">1</definedName>
    <definedName name="ListOffset" hidden="1">1</definedName>
    <definedName name="lkj" hidden="1">{#N/A,#N/A,FALSE,"opt 12_95";#N/A,#N/A,FALSE,"opt 9_95";#N/A,#N/A,FALSE,"opt 6_95";#N/A,#N/A,FALSE,"opt 3_95";#N/A,#N/A,FALSE,"3mos-EPS";#N/A,#N/A,FALSE,"6mos-EPS";#N/A,#N/A,FALSE,"12mos-EPS";#N/A,#N/A,FALSE,"avg price"}</definedName>
    <definedName name="ll" hidden="1">{"Assets",#N/A,FALSE,"Balance sheet";"Liabilities",#N/A,FALSE,"Balance sheet"}</definedName>
    <definedName name="lo" hidden="1">{"Assets",#N/A,FALSE,"Balance sheet";"Liabilities",#N/A,FALSE,"Balance sheet"}</definedName>
    <definedName name="Location">#REF!</definedName>
    <definedName name="Location2">#REF!</definedName>
    <definedName name="LocationDescr">#REF!</definedName>
    <definedName name="LocationDescr2">#REF!</definedName>
    <definedName name="lop" hidden="1">{#N/A,#N/A,FALSE,"opt 12_95";#N/A,#N/A,FALSE,"opt 9_95";#N/A,#N/A,FALSE,"opt 6_95";#N/A,#N/A,FALSE,"opt 3_95";#N/A,#N/A,FALSE,"3mos-EPS";#N/A,#N/A,FALSE,"6mos-EPS";#N/A,#N/A,FALSE,"12mos-EPS";#N/A,#N/A,FALSE,"avg price"}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EWarning" hidden="1">0</definedName>
    <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New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vsASD">"V2019-12-31"</definedName>
    <definedName name="NvsAutoDrillOk">"VN"</definedName>
    <definedName name="NvsElapsedTime">0.000312499993015081</definedName>
    <definedName name="NvsEndTime">43852.4466666667</definedName>
    <definedName name="NvsInstLang">"VENG"</definedName>
    <definedName name="NvsInstSpec">"%,LTU_SUM01,SBAL,FACCOUNT,V1070000"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"V1997-01-01"</definedName>
    <definedName name="NvsPanelSetid">"VSHARE"</definedName>
    <definedName name="NvsParentRef">"'[NTUSU Trial Balance Dec 2019.xls]Sheet1'!$O$19"</definedName>
    <definedName name="NvsReqBU">"VNTUSU"</definedName>
    <definedName name="NvsReqBUOnly">"VY"</definedName>
    <definedName name="NvsTransLed">"VY"</definedName>
    <definedName name="NvsTreeASD">"V2019-12-31"</definedName>
    <definedName name="NvsValTbl.ACCOUNT">"GL_ACCOUNT_TBL"</definedName>
    <definedName name="NvsValTbl.AFFILIATE">"BUS_UNIT_TBL_FS"</definedName>
    <definedName name="NvsValTbl.CURRENCY_CD">"CURRENCY_CD_TBL"</definedName>
    <definedName name="NvsValTbl.DEPTID">"DEPARTMENT_TBL"</definedName>
    <definedName name="NvsValTbl.PROJECT_ID">"PROJECT"</definedName>
    <definedName name="NvsValTbl.TU_EC">"TU_EC_TBL"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P" hidden="1">{#N/A,#N/A,FALSE,"Operations";#N/A,#N/A,FALSE,"Financials"}</definedName>
    <definedName name="Pal_Workbook_GUID" hidden="1">"7NG8TFHMQKSG2LPGKEACEGAS"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REV_RCE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_xlnm.Print_Area" localSheetId="1">'WP II-B-15A_02-1'!$A$1:$F$37</definedName>
    <definedName name="_xlnm.Print_Area" localSheetId="2">'WP II-B-15A_02-2'!$A$1:$F$37</definedName>
    <definedName name="_xlnm.Print_Area" localSheetId="3">'WP II-B-15A_02-3'!$A$1:$F$37</definedName>
    <definedName name="_xlnm.Print_Area" localSheetId="4">'WP II-B-15A_02-4'!$A$1:$F$37</definedName>
    <definedName name="_xlnm.Print_Area" localSheetId="5">'WP II-B-15A_02-5'!$A$1:$K$38</definedName>
    <definedName name="_xlnm.Print_Titles" localSheetId="0">'WP II-B-15A_02 AFUDC NTUSU Rate'!$3:$3</definedName>
    <definedName name="prout" hidden="1">{"comp1",#N/A,FALSE,"COMPS";"footnotes",#N/A,FALSE,"COMPS"}</definedName>
    <definedName name="prtallold1" hidden="1">{#N/A,#N/A,FALSE,"Valuation";#N/A,#N/A,FALSE,"Financial Statements";#N/A,#N/A,FALSE,"MLP Impact";#N/A,#N/A,FALSE,"Inputs";#N/A,#N/A,FALSE,"Contracts";#N/A,#N/A,FALSE,"Financing";#N/A,#N/A,FALSE,"Depreciation";#N/A,#N/A,FALSE,"Income Taxes";#N/A,#N/A,FALSE,"Revenues"}</definedName>
    <definedName name="Prtnold" hidden="1">{#N/A,#N/A,FALSE,"Valuation";#N/A,#N/A,FALSE,"Financial Statements";#N/A,#N/A,FALSE,"MLP Impact";#N/A,#N/A,FALSE,"Inputs";#N/A,#N/A,FALSE,"Contracts";#N/A,#N/A,FALSE,"Financing";#N/A,#N/A,FALSE,"Depreciation";#N/A,#N/A,FALSE,"Income Taxes";#N/A,#N/A,FALSE,"Revenues"}</definedName>
    <definedName name="qewreqrqwer" hidden="1">{"comp1",#N/A,FALSE,"COMPS";"footnotes",#N/A,FALSE,"COMPS"}</definedName>
    <definedName name="qq" hidden="1">{"equity comps",#N/A,FALSE,"CS Comps";"equity comps",#N/A,FALSE,"PS Comps";"equity comps",#N/A,FALSE,"GIC_Comps";"equity comps",#N/A,FALSE,"GIC2_Comps"}</definedName>
    <definedName name="qqqqqq" hidden="1">{"FCB_ALL",#N/A,FALSE,"FCB"}</definedName>
    <definedName name="qwe" hidden="1">{"assumption cash",#N/A,TRUE,"Merger";"has gets cash",#N/A,TRUE,"Merger";"accretion dilution",#N/A,TRUE,"Merger";"comparison credit stats",#N/A,TRUE,"Merger";"pf credit stats",#N/A,TRUE,"Merger";"pf sheets",#N/A,TRUE,"Merger"}</definedName>
    <definedName name="qwer" hidden="1">{"hiden",#N/A,FALSE,"14";"hidden",#N/A,FALSE,"16";"hidden",#N/A,FALSE,"18";"hidden",#N/A,FALSE,"20"}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rrr" hidden="1">{"comp1",#N/A,FALSE,"COMPS";"footnotes",#N/A,FALSE,"COMPS"}</definedName>
    <definedName name="rty" hidden="1">{#N/A,#N/A,TRUE,"Pro Forma";#N/A,#N/A,TRUE,"PF_Bal";#N/A,#N/A,TRUE,"PF_INC";#N/A,#N/A,TRUE,"CBE";#N/A,#N/A,TRUE,"SWK"}</definedName>
    <definedName name="s" hidden="1">{"Assets",#N/A,FALSE,"Balance sheet";"Liabilities",#N/A,FALSE,"Balance sheet"}</definedName>
    <definedName name="saaaaaaaaaaaaaaa" hidden="1">{"up stand alones",#N/A,FALSE,"Acquiror"}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PBEXdnldView" hidden="1">"D3F6J5CPI9NGORO9TICK7IUYB"</definedName>
    <definedName name="SAPBEXhrIndnt" hidden="1">"Wide"</definedName>
    <definedName name="SAPBEXrevision" hidden="1">22</definedName>
    <definedName name="SAPBEXsysID" hidden="1">"WP1"</definedName>
    <definedName name="SAPBEXwbID" hidden="1">"4Q8J5H8GT878SBY7HKZD4WEHX"</definedName>
    <definedName name="SAPsysID" hidden="1">"708C5W7SBKP804JT78WJ0JNKI"</definedName>
    <definedName name="SAPwbID" hidden="1">"ARS"</definedName>
    <definedName name="Scenarios" hidden="1">{#N/A,"ICF Downside",FALSE,"Inputs";#N/A,"High Inflation",FALSE,"Inputs"}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f" hidden="1">{#N/A,#N/A,FALSE,"Calc";#N/A,#N/A,FALSE,"Sensitivity";#N/A,#N/A,FALSE,"LT Earn.Dil.";#N/A,#N/A,FALSE,"Dil. AVP"}</definedName>
    <definedName name="sdfsdfsdfsafsdf" hidden="1">{"FCB_ALL",#N/A,FALSE,"FCB"}</definedName>
    <definedName name="sdgdfghfhgfjhgfjhjjjg" hidden="1">{"general",#N/A,FALSE,"Assumptions"}</definedName>
    <definedName name="se" hidden="1">{"consolidated",#N/A,FALSE,"Sheet1";"cms",#N/A,FALSE,"Sheet1";"fse",#N/A,FALSE,"Sheet1"}</definedName>
    <definedName name="sencount" hidden="1">1</definedName>
    <definedName name="sept" hidden="1">{"Assets",#N/A,FALSE,"Balance sheet";"Liabilities",#N/A,FALSE,"Balance sheet"}</definedName>
    <definedName name="Septmonth" hidden="1">{"Assets",#N/A,FALSE,"Balance sheet";"Liabilities",#N/A,FALSE,"Balance sheet"}</definedName>
    <definedName name="sfs" hidden="1">{"comps",#N/A,FALSE,"HANDPACK";"footnotes",#N/A,FALSE,"HANDPACK"}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PS" hidden="1">{#N/A,#N/A,TRUE,"financial";#N/A,#N/A,TRUE,"plants"}</definedName>
    <definedName name="ss" hidden="1">{#N/A,#N/A,TRUE,"Pro Forma";#N/A,#N/A,TRUE,"PF_Bal";#N/A,#N/A,TRUE,"PF_INC";#N/A,#N/A,TRUE,"CBE";#N/A,#N/A,TRUE,"SWK"}</definedName>
    <definedName name="svfs" hidden="1">{"comps2",#N/A,FALSE,"AERO";"footnotes",#N/A,FALSE,"AERO"}</definedName>
    <definedName name="Task">#REF!</definedName>
    <definedName name="Task2">#REF!</definedName>
    <definedName name="TaskDescr">#REF!</definedName>
    <definedName name="test" hidden="1">{"'Sheet1'!$A$1:$I$28"}</definedName>
    <definedName name="test2" hidden="1">{"Income Statement",#N/A,FALSE,"CFMODEL";"Balance Sheet",#N/A,FALSE,"CFMODEL"}</definedName>
    <definedName name="test3" hidden="1">{"Income Statement",#N/A,FALSE,"CFMODEL";"Balance Sheet",#N/A,FALSE,"CFMODEL"}</definedName>
    <definedName name="ththt" hidden="1">{#N/A,"DR",FALSE,"increm pf";#N/A,"MAMSI",FALSE,"increm pf";#N/A,"MAXI",FALSE,"increm pf";#N/A,"PCAM",FALSE,"increm pf";#N/A,"PHSV",FALSE,"increm pf";#N/A,"SIE",FALSE,"increm pf"}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TRUE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st" hidden="1">{"Income Statement",#N/A,FALSE,"CFMODEL";"Balance Sheet",#N/A,FALSE,"CFMODEL"}</definedName>
    <definedName name="tt" hidden="1">{"away stand alones",#N/A,FALSE,"Target"}</definedName>
    <definedName name="tyu" hidden="1">{"consolidated",#N/A,FALSE,"Sheet1";"cms",#N/A,FALSE,"Sheet1";"fse",#N/A,FALSE,"Sheet1"}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u" hidden="1">{"away stand alones",#N/A,FALSE,"Target"}</definedName>
    <definedName name="vertex42_copyright" hidden="1">"© 2015-2016 Vertex42 LLC"</definedName>
    <definedName name="vertex42_id" hidden="1">"retirement-calculator.xlsx"</definedName>
    <definedName name="vertex42_title" hidden="1">"Retirement Calculator"</definedName>
    <definedName name="vsv" hidden="1">{"comp",#N/A,FALSE,"SPEC";"footnotes",#N/A,FALSE,"SPEC"}</definedName>
    <definedName name="wah" hidden="1">{#N/A,#N/A,FALSE,"EXP97"}</definedName>
    <definedName name="wah_1" hidden="1">{#N/A,#N/A,FALSE,"EXP97"}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e" hidden="1">{#N/A,#N/A,FALSE,"EXP97"}</definedName>
    <definedName name="were_1" hidden="1">{#N/A,#N/A,FALSE,"EXP97"}</definedName>
    <definedName name="where" hidden="1">{"inputs raw data",#N/A,TRUE,"INPUT"}</definedName>
    <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0._.year._.indices." hidden="1">{#N/A,#N/A,FALSE,"20 yrindrefema";#N/A,#N/A,FALSE,"20yrindloema";#N/A,#N/A,FALSE,"20yrindhiema"}</definedName>
    <definedName name="wrn.3cases." hidden="1">{#N/A,"Base",FALSE,"Dividend";#N/A,"Conservative",FALSE,"Dividend";#N/A,"Downside",FALSE,"Dividend"}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stsl1" hidden="1">{"Help Desk",#N/A,FALSE,"Total Costs";"Server Management",#N/A,FALSE,"Total Costs";"Application Management",#N/A,FALSE,"Total Costs"}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Reports." hidden="1">{"BS",#N/A,FALSE,"NGC";"PL",#N/A,FALSE,"NGC";"CF",#N/A,FALSE,"NGC"}</definedName>
    <definedName name="wrn.All._.Total._.Costsl." hidden="1">{"Help Desk",#N/A,FALSE,"Total Costs";"Server Management",#N/A,FALSE,"Total Costs";"Application Management",#N/A,FALSE,"Total Costs"}</definedName>
    <definedName name="wrn.all._.Total._Costsl2." hidden="1">{"Help Desk",#N/A,FALSE,"Total Costs";"Server Management",#N/A,FALSE,"Total Costs";"Application Management",#N/A,FALSE,"Total Costs"}</definedName>
    <definedName name="wrn.All._.Up." hidden="1">{"All Up",#N/A,FALSE,"Feedstock"}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pplication._.Management._.Total._.Costs." hidden="1">{"Application Management",#N/A,FALSE,"Total Costs"}</definedName>
    <definedName name="wrn.Assumptions." hidden="1">{"Assumptions",#N/A,FALSE,"Assum"}</definedName>
    <definedName name="wrn.away." hidden="1">{"away stand alones",#N/A,FALSE,"Target"}</definedName>
    <definedName name="wrn.Balance._.Sheet." hidden="1">{"Assets",#N/A,FALSE,"Balance sheet";"Liabilities",#N/A,FALSE,"Balance sheet"}</definedName>
    <definedName name="wrn.Basic._.Print._.Value._.MLP." hidden="1">{#N/A,#N/A,FALSE,"Valuation";#N/A,#N/A,FALSE,"MLP Impact"}</definedName>
    <definedName name="wrn.Basic._.Report." hidden="1">{#N/A,#N/A,FALSE,"Valuation";#N/A,#N/A,FALSE,"Inputs";#N/A,#N/A,FALSE,"Financial Statements";#N/A,#N/A,FALSE,"MLP Impact";#N/A,#N/A,FALSE,"Revenues"}</definedName>
    <definedName name="wrn.BidCo." hidden="1">{#N/A,#N/A,FALSE,"BidCo Assumptions";#N/A,#N/A,FALSE,"Credit Stats";#N/A,#N/A,FALSE,"Bidco Summary";#N/A,#N/A,FALSE,"BIDCO Consolidated"}</definedName>
    <definedName name="wrn.brian." hidden="1">{#N/A,#N/A,FALSE,"output";#N/A,#N/A,FALSE,"contrib";#N/A,#N/A,FALSE,"profile";#N/A,#N/A,FALSE,"comps"}</definedName>
    <definedName name="wrn.Budget." hidden="1">{"Budget",#N/A,FALSE,"Summary"}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G." hidden="1">{#N/A,#N/A,FALSE,"CAG"}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co._.Only." hidden="1">{"vi1",#N/A,FALSE,"6_30_96";"vi2",#N/A,FALSE,"6_30_96";"vi3",#N/A,FALSE,"6_30_96"}</definedName>
    <definedName name="wrn.COMPLETE." hidden="1">{#N/A,#N/A,FALSE,"VOLUMES";#N/A,#N/A,FALSE,"REVENUES";#N/A,#N/A,FALSE,"VALUATION"}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CPB." hidden="1">{#N/A,#N/A,FALSE,"CPB"}</definedName>
    <definedName name="wrn.Credit._.Summary." hidden="1">{#N/A,#N/A,FALSE,"Credit Summary"}</definedName>
    <definedName name="wrn.DCF._.Valuation." hidden="1">{"value box",#N/A,TRUE,"DPL Inc. Fin Statements";"unlevered free cash flows",#N/A,TRUE,"DPL Inc. Fin Statements"}</definedName>
    <definedName name="wrn.Detailed._.Report." hidden="1">{"fullreport",#N/A,FALSE,"DetailRpt"}</definedName>
    <definedName name="wrn.DevRptMatz." hidden="1">{"DevSumm-Matz",#N/A,FALSE,"DevSumm-Matz";"DevSumm-Matz,2",#N/A,FALSE,"DevSumm-Matz";"DevSumm-Matz,3",#N/A,FALSE,"DevSumm-Matz"}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PS." hidden="1">{#N/A,#N/A,FALSE,"opt 12_95";#N/A,#N/A,FALSE,"opt 9_95";#N/A,#N/A,FALSE,"opt 6_95";#N/A,#N/A,FALSE,"opt 3_95";#N/A,#N/A,FALSE,"3mos-EPS";#N/A,#N/A,FALSE,"6mos-EPS";#N/A,#N/A,FALSE,"12mos-EPS";#N/A,#N/A,FALSE,"avg price"}</definedName>
    <definedName name="wrn.equity._.comps." hidden="1">{"equity comps",#N/A,FALSE,"CS Comps";"equity comps",#N/A,FALSE,"PS Comps";"equity comps",#N/A,FALSE,"GIC_Comps";"equity comps",#N/A,FALSE,"GIC2_Comps"}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eedstock." hidden="1">{"Feedstock",#N/A,FALSE,"Feedstock"}</definedName>
    <definedName name="wrn.Financials.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REELANCER.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Friendly." hidden="1">{#N/A,#N/A,TRUE,"Julio";#N/A,#N/A,TRUE,"Agosto";#N/A,#N/A,TRUE,"BHCo";#N/A,#N/A,TRUE,"Abril";#N/A,#N/A,TRUE,"Pro Forma"}</definedName>
    <definedName name="wrn.full." hidden="1">{"vi1",#N/A,FALSE,"Pagcc";"vi2",#N/A,FALSE,"Pagcc";"vi3",#N/A,FALSE,"Pagcc";"vi4",#N/A,FALSE,"Pagcc";"vi5",#N/A,FALSE,"Pagcc";#N/A,#N/A,FALSE,"Contribution"}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GIS." hidden="1">{#N/A,#N/A,FALSE,"GIS"}</definedName>
    <definedName name="wrn.Help._.Desk._.Total._.Costs." hidden="1">{"Help Desk",#N/A,FALSE,"Total Costs"}</definedName>
    <definedName name="wrn.HNZ." hidden="1">{#N/A,#N/A,FALSE,"HNZ"}</definedName>
    <definedName name="wrn.INDEPS." hidden="1">{"page1",#N/A,FALSE,"TIND_CC1";"page2",#N/A,FALSE,"TIND_CC1";"page3",#N/A,FALSE,"TIND_CC1";"page4",#N/A,FALSE,"TIND_CC1";"page5",#N/A,FALSE,"TIND_CC1"}</definedName>
    <definedName name="wrn.K." hidden="1">{#N/A,#N/A,FALSE,"K"}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CCRK." hidden="1">{#N/A,#N/A,FALSE,"MCCRK"}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nthly._.no._.Notes." hidden="1">{"Without Notes",#N/A,FALSE,"23 Mo Forecast"}</definedName>
    <definedName name="wrn.Monthly._.with._.Notes." hidden="1">{"With Notes",#N/A,FALSE,"23 Mo Forecast"}</definedName>
    <definedName name="wrn.NA." hidden="1">{#N/A,#N/A,FALSE,"NA"}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Paging._.Compco." hidden="1">{"financials",#N/A,TRUE,"6_30_96";"footnotes",#N/A,TRUE,"6_30_96";"valuation",#N/A,TRUE,"6_30_96"}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L._.and._.99._.forecast." hidden="1">{#N/A,#N/A,FALSE,"1999 forecast";#N/A,#N/A,FALSE,"Output"}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int." hidden="1">{"ass",#N/A,FALSE,"Assumptions";#N/A,#N/A,FALSE,"Merg";"sens",#N/A,FALSE,"Assumptions";#N/A,#N/A,FALSE,"Bach";#N/A,#N/A,FALSE,"Kent";#N/A,#N/A,FALSE,"Bell"}</definedName>
    <definedName name="wrn.Print._.All." hidden="1">{#N/A,#N/A,FALSE,"Valuation";#N/A,#N/A,FALSE,"MLP Impact";#N/A,#N/A,FALSE,"Input Sheet";#N/A,#N/A,FALSE,"Financials";#N/A,#N/A,FALSE,"Taxes";#N/A,#N/A,FALSE,"Debt";#N/A,#N/A,FALSE,"DDA";#N/A,#N/A,FALSE,"Revenue-Mazeppa";#N/A,#N/A,FALSE,"Revenue- Gregg Lake";#N/A,#N/A,FALSE,"Op Ex- Mazeppa";#N/A,#N/A,FALSE,"Op Ex - Gregg Lake";#N/A,#N/A,FALSE,"Financials Gregg Lake"}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{"PA1",#N/A,TRUE,"BORDMW";"pa2",#N/A,TRUE,"BORDMW";"PA3",#N/A,TRUE,"BORDMW";"PA4",#N/A,TRUE,"BORDMW"}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Report1." hidden="1">{#N/A,#N/A,FALSE,"Operations";#N/A,#N/A,FALSE,"Financials"}</definedName>
    <definedName name="wrn.sales." hidden="1">{"sales",#N/A,FALSE,"Sales";"sales existing",#N/A,FALSE,"Sales";"sales rd1",#N/A,FALSE,"Sales";"sales rd2",#N/A,FALSE,"Sales"}</definedName>
    <definedName name="wrn.Scenarios." hidden="1">{#N/A,"ICF Downside",FALSE,"Inputs";#N/A,"High Inflation",FALSE,"Inputs"}</definedName>
    <definedName name="wrn.Schedule1." hidden="1">{#N/A,#N/A,FALSE,"GAF98"}</definedName>
    <definedName name="wrn.Schedule2." hidden="1">{#N/A,#N/A,FALSE,"GAF98"}</definedName>
    <definedName name="wrn.Schedule3." hidden="1">{#N/A,#N/A,FALSE,"GAF98"}</definedName>
    <definedName name="wrn.Schedule4." hidden="1">{#N/A,#N/A,FALSE,"GAF98"}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erver._.Management._.Total._.Costs." hidden="1">{"Server Management",#N/A,FALSE,"Total Costs"}</definedName>
    <definedName name="wrn.SHORT." hidden="1">{"CREDIT STATISTICS",#N/A,FALSE,"STATS";"CF_AND_IS",#N/A,FALSE,"PLAN";"BALSHEET",#N/A,FALSE,"BALANCE SHEET"}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ummary." hidden="1">{#N/A,#N/A,FALSE,"Summary3";#N/A,#N/A,FALSE,"Summary1";#N/A,#N/A,FALSE,"Summary2";#N/A,#N/A,FALSE,"Sensitivities1";#N/A,#N/A,FALSE,"Sensitivities2"}</definedName>
    <definedName name="wrn.Summary._.Report." hidden="1">{"summaryall",#N/A,FALSE,"SumryRpt"}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definedName>
    <definedName name="wrn.totalcomp." hidden="1">{"comp1",#N/A,FALSE,"COMPS";"footnotes",#N/A,FALSE,"COMPS"}</definedName>
    <definedName name="wrn.Trading._.Summary." hidden="1">{#N/A,#N/A,FALSE,"Trading Summary"}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Wacc." hidden="1">{"Area1",#N/A,FALSE,"OREWACC";"Area2",#N/A,FALSE,"OREWACC"}</definedName>
    <definedName name="wrn.Western._.District._.1997._.Capital._.Budget." hidden="1">{#N/A,#N/A,FALSE,"EXP97"}</definedName>
    <definedName name="wrn.Western._.District._.1997._.Capital._.Budget._1" hidden="1">{#N/A,#N/A,FALSE,"EXP97"}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2.Document" hidden="1">{"consolidated",#N/A,FALSE,"Sheet1";"cms",#N/A,FALSE,"Sheet1";"fse",#N/A,FALSE,"Sheet1"}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x" hidden="1">{"Assets",#N/A,FALSE,"Balance sheet";"Liabilities",#N/A,FALSE,"Balance sheet"}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9" l="1"/>
</calcChain>
</file>

<file path=xl/sharedStrings.xml><?xml version="1.0" encoding="utf-8"?>
<sst xmlns="http://schemas.openxmlformats.org/spreadsheetml/2006/main" count="264" uniqueCount="72">
  <si>
    <t>WP/II-B-15a/1</t>
  </si>
  <si>
    <t>Assumptions used in determining AFUDC rates</t>
  </si>
  <si>
    <t>Sponsor: Bell</t>
  </si>
  <si>
    <t>1) Debt rate is based on all outstanding debt for the utility</t>
  </si>
  <si>
    <t>3) Average short-term debt balance is based on each month's actual balance for prior months and the most recent forecast numbers for remaining months</t>
  </si>
  <si>
    <t>4) Short-term debt interest rates is equal to weighted average revolver borrowing rate at 06/30/2019</t>
  </si>
  <si>
    <t>5) Long-term debt balance is equal to outstanding debt at 06/30/2019</t>
  </si>
  <si>
    <t xml:space="preserve">6) Common equity balance is based on 06/30/2019 </t>
  </si>
  <si>
    <t>7) Common equity cost rate is based on approved ROE in latest rate case</t>
  </si>
  <si>
    <t>8) Average CWIP balance is an average based on each month's actual balance for prior months and the most recent forecast numbers for remaining months</t>
  </si>
  <si>
    <t>AFUDC Formula</t>
  </si>
  <si>
    <t>Blended rate</t>
  </si>
  <si>
    <t>Ai</t>
  </si>
  <si>
    <t>s(S/W)+d(D/D+P+C)(1-S/W)</t>
  </si>
  <si>
    <t>Ae</t>
  </si>
  <si>
    <t>[1-S/W][p(P/D+P+C)+c(C/D+P+C)]</t>
  </si>
  <si>
    <t>Allowance for Borrowed Funds</t>
  </si>
  <si>
    <t>(As Calculated Above)</t>
  </si>
  <si>
    <t>Allowance for other funds (equity)</t>
  </si>
  <si>
    <t>S</t>
  </si>
  <si>
    <t>Average short-term debt</t>
  </si>
  <si>
    <t>(See Assumptions)</t>
  </si>
  <si>
    <t>s</t>
  </si>
  <si>
    <t>short-term debt interest rate</t>
  </si>
  <si>
    <t>D</t>
  </si>
  <si>
    <t>Long-term debt</t>
  </si>
  <si>
    <t>d</t>
  </si>
  <si>
    <t>Long-term debt interest rate</t>
  </si>
  <si>
    <t>P</t>
  </si>
  <si>
    <t>Preferred Stock</t>
  </si>
  <si>
    <t>p</t>
  </si>
  <si>
    <t>Preferred Stock cost rate</t>
  </si>
  <si>
    <t>C</t>
  </si>
  <si>
    <t>Common equity</t>
  </si>
  <si>
    <t>c</t>
  </si>
  <si>
    <t>common equity cost rate</t>
  </si>
  <si>
    <t>W</t>
  </si>
  <si>
    <t>Average balance in CWIP</t>
  </si>
  <si>
    <t>Monthly Rates</t>
  </si>
  <si>
    <t>WP/II-B-15a/2</t>
  </si>
  <si>
    <t>Assumptions used in determining AFUDC rates - 12/31/17</t>
  </si>
  <si>
    <t xml:space="preserve">1) Debt rate is based on all outstanding debt for the utility, including CV and GS Project Entities. TDC and InfraREIT, LP debt is not included in the calculation.  </t>
  </si>
  <si>
    <t>2) Will have a single rate for debt component and a single rate for other funds component for all CWIP (Permian, McAllen, CREZ, etc)</t>
  </si>
  <si>
    <t>4) Short-term debt interest rates is equal to weighted average revolver borrowing rate at 12/31/17.</t>
  </si>
  <si>
    <t>5) Long-term debt balance is equal to outstanding debt at 12/31/17</t>
  </si>
  <si>
    <t>6) Common equity balance is based on 12/31/17 SDTS consolidated balance plus CV and GS Project Entities</t>
  </si>
  <si>
    <t>WP/II-B-15a/3</t>
  </si>
  <si>
    <t>Assumptions used in determining AFUDC rates - 12/31/16</t>
  </si>
  <si>
    <t>2) Will have a single rate for debt component and a single rate for other funds component for all CWIP (Midland, McAllen, CREZ, etc)</t>
  </si>
  <si>
    <t>4) Short-term debt interest rates is equal to weighted average revolver borrowing rate at 12/31/16.</t>
  </si>
  <si>
    <t>5) Long-term debt balance is equal to outstanding debt at 12/31/16</t>
  </si>
  <si>
    <t>6) Common equity balance is based on 12/31/16 SDTS consolidated balance plus CV and GS Project Entities</t>
  </si>
  <si>
    <t>WP/II-B-15a/4</t>
  </si>
  <si>
    <t>Assumptions used in determining AFUDC rates - 12/31/15</t>
  </si>
  <si>
    <t xml:space="preserve">1) Debt rate is based on all outstanding debt for the utility, excluding parent debt at TDC and InfraREIT LP.  </t>
  </si>
  <si>
    <t>4) Short-term debt interest rates is equal to weighted average revolver borrowing rate at 12/31/15.</t>
  </si>
  <si>
    <t>5) Long-term debt balance is equal to outstanding debt at 12/31/15</t>
  </si>
  <si>
    <t>6) Common equity balance is based on 12/31/15 SDTS consolidated balance</t>
  </si>
  <si>
    <t>WP/II-B-15a/5</t>
  </si>
  <si>
    <t>Assumptions used in determining AFUDC rates - 12/31/14</t>
  </si>
  <si>
    <t xml:space="preserve">1) Debt rate is based on all outstanding debt for the utility, excluding parent debt at TDC and InfraREIT LP. </t>
  </si>
  <si>
    <t xml:space="preserve">3) Average short-term debt balance is assumed to be $0 because SDTS revolver balance will be repaid on Feb 6, 2014 with IPO proceeds </t>
  </si>
  <si>
    <t>4) Short-term debt interest rates is equal to revolver borrowing rate at 12/31/14; however, no impact to calculation since short term borrowings are assumed to be $0. See Note 3 above</t>
  </si>
  <si>
    <t>5) Long-term debt balance is equal to outstanding debt at 12/31/14</t>
  </si>
  <si>
    <t>6) Common equity balance is based on 12/31/14 SDTS consolidated balance</t>
  </si>
  <si>
    <t>8) Average CWIP balance is an estimate based on the 12/31/14 WIP balance; however because short-term borrowings are assumed to be $0 (see note 3 above), this assumption does not impact our AFUDC rates</t>
  </si>
  <si>
    <t>[1-S/W][p(P/D+P+C)+c(C/D+P+C)</t>
  </si>
  <si>
    <t>From Sharyland Utilities LLC Docket No. 51611</t>
  </si>
  <si>
    <t>Unit</t>
  </si>
  <si>
    <t>Year</t>
  </si>
  <si>
    <t>NTUSU</t>
  </si>
  <si>
    <t>AFUDC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</si>
</sst>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.000000%"/>
    <numFmt numFmtId="165" formatCode="0.00000%"/>
    <numFmt numFmtId="166" formatCode="0.000%"/>
    <numFmt numFmtId="167" formatCode="_(* #,##0_);_(* \(#,##0\);_(* &quot;-&quot;??_);_(@_)"/>
    <numFmt numFmtId="168" formatCode="_(* #,##0.0000_);_(* \(#,##0.0000\);_(* &quot;-&quot;??_);_(@_)"/>
    <numFmt numFmtId="169" formatCode="0.0000000%"/>
    <numFmt numFmtId="170" formatCode="0_);[Red]\(0\)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9" fontId="2" fillId="0" borderId="0" applyFont="0" applyFill="0" applyBorder="0" applyAlignment="0" applyProtection="0"/>
    <xf numFmtId="0" fontId="2" fillId="0" borderId="0">
      <alignment/>
      <protection/>
    </xf>
  </cellStyleXfs>
  <cellXfs count="28">
    <xf numFmtId="0" fontId="0" fillId="0" borderId="0" xfId="0"/>
    <xf numFmtId="0" fontId="2" fillId="0" borderId="0" xfId="20" applyNumberFormat="1" applyFont="1" applyAlignment="1">
      <alignment horizontal="left"/>
      <protection/>
    </xf>
    <xf numFmtId="0" fontId="3" fillId="0" borderId="0" xfId="20" applyFont="1">
      <alignment/>
      <protection/>
    </xf>
    <xf numFmtId="165" fontId="4" fillId="0" borderId="0" xfId="21" applyNumberFormat="1" applyFont="1" quotePrefix="1"/>
    <xf numFmtId="165" fontId="4" fillId="0" borderId="0" xfId="21" applyNumberFormat="1" applyFont="1"/>
    <xf numFmtId="14" fontId="3" fillId="0" borderId="0" xfId="20" applyNumberFormat="1" applyFont="1">
      <alignment/>
      <protection/>
    </xf>
    <xf numFmtId="0" fontId="2" fillId="0" borderId="0" xfId="20" applyFont="1">
      <alignment/>
      <protection/>
    </xf>
    <xf numFmtId="164" fontId="2" fillId="0" borderId="0" xfId="20" applyNumberFormat="1" applyFont="1">
      <alignment/>
      <protection/>
    </xf>
    <xf numFmtId="167" fontId="2" fillId="0" borderId="0" xfId="20" applyNumberFormat="1" applyFont="1">
      <alignment/>
      <protection/>
    </xf>
    <xf numFmtId="10" fontId="2" fillId="0" borderId="0" xfId="20" applyNumberFormat="1" applyFont="1">
      <alignment/>
      <protection/>
    </xf>
    <xf numFmtId="43" fontId="2" fillId="0" borderId="0" xfId="20" applyNumberFormat="1" applyFont="1">
      <alignment/>
      <protection/>
    </xf>
    <xf numFmtId="168" fontId="2" fillId="0" borderId="0" xfId="20" applyNumberFormat="1" applyFont="1">
      <alignment/>
      <protection/>
    </xf>
    <xf numFmtId="14" fontId="2" fillId="0" borderId="0" xfId="20" applyNumberFormat="1" applyFont="1">
      <alignment/>
      <protection/>
    </xf>
    <xf numFmtId="169" fontId="2" fillId="0" borderId="0" xfId="20" applyNumberFormat="1" applyFont="1">
      <alignment/>
      <protection/>
    </xf>
    <xf numFmtId="164" fontId="1" fillId="0" borderId="0" xfId="21" applyNumberFormat="1" applyFont="1" applyFill="1"/>
    <xf numFmtId="166" fontId="1" fillId="0" borderId="0" xfId="21" applyNumberFormat="1" applyFont="1"/>
    <xf numFmtId="10" fontId="1" fillId="0" borderId="0" xfId="18" applyNumberFormat="1" applyFont="1"/>
    <xf numFmtId="167" fontId="1" fillId="0" borderId="0" xfId="18" applyNumberFormat="1" applyFont="1" applyFill="1"/>
    <xf numFmtId="10" fontId="1" fillId="0" borderId="0" xfId="21" applyNumberFormat="1" applyFont="1" applyFill="1"/>
    <xf numFmtId="43" fontId="1" fillId="0" borderId="0" xfId="18" applyFont="1"/>
    <xf numFmtId="0" fontId="5" fillId="0" borderId="0" xfId="20" applyFont="1">
      <alignment/>
      <protection/>
    </xf>
    <xf numFmtId="40" fontId="6" fillId="0" borderId="1" xfId="22" applyNumberFormat="1" applyFont="1" applyFill="1" applyBorder="1" applyAlignment="1">
      <alignment horizontal="center" vertical="top" wrapText="1"/>
      <protection/>
    </xf>
    <xf numFmtId="170" fontId="6" fillId="0" borderId="1" xfId="22" applyNumberFormat="1" applyFont="1" applyFill="1" applyBorder="1" applyAlignment="1">
      <alignment horizontal="center" vertical="top" wrapText="1"/>
      <protection/>
    </xf>
    <xf numFmtId="0" fontId="7" fillId="0" borderId="0" xfId="22" applyFont="1" applyFill="1" applyAlignment="1">
      <alignment vertical="top"/>
      <protection/>
    </xf>
    <xf numFmtId="40" fontId="7" fillId="0" borderId="0" xfId="22" applyNumberFormat="1" applyFont="1" applyFill="1" applyAlignment="1">
      <alignment vertical="top"/>
      <protection/>
    </xf>
    <xf numFmtId="170" fontId="7" fillId="0" borderId="0" xfId="22" applyNumberFormat="1" applyFont="1" applyFill="1" applyAlignment="1">
      <alignment vertical="top"/>
      <protection/>
    </xf>
    <xf numFmtId="0" fontId="2" fillId="0" borderId="0" xfId="20" applyFont="1" applyFill="1">
      <alignment/>
      <protection/>
    </xf>
    <xf numFmtId="165" fontId="7" fillId="0" borderId="0" xfId="15" applyNumberFormat="1" applyFont="1" applyFill="1" applyAlignment="1">
      <alignment vertical="top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7" xfId="20"/>
    <cellStyle name="Percent 4" xfId="21"/>
    <cellStyle name="Normal 2 3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22" Type="http://schemas.openxmlformats.org/officeDocument/2006/relationships/externalLink" Target="externalLinks/externalLink9.xml" /><Relationship Id="rId23" Type="http://schemas.openxmlformats.org/officeDocument/2006/relationships/externalLink" Target="externalLinks/externalLink10.xml" /><Relationship Id="rId5" Type="http://schemas.openxmlformats.org/officeDocument/2006/relationships/worksheet" Target="worksheets/sheet4.xml" /><Relationship Id="rId7" Type="http://schemas.openxmlformats.org/officeDocument/2006/relationships/worksheet" Target="worksheets/sheet6.xml" /><Relationship Id="rId9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8" Type="http://schemas.openxmlformats.org/officeDocument/2006/relationships/externalLink" Target="externalLinks/externalLink5.xml" /><Relationship Id="rId14" Type="http://schemas.openxmlformats.org/officeDocument/2006/relationships/externalLink" Target="externalLinks/externalLink1.xml" /><Relationship Id="rId15" Type="http://schemas.openxmlformats.org/officeDocument/2006/relationships/externalLink" Target="externalLinks/externalLink2.xml" /><Relationship Id="rId16" Type="http://schemas.openxmlformats.org/officeDocument/2006/relationships/externalLink" Target="externalLinks/externalLink3.xml" /><Relationship Id="rId17" Type="http://schemas.openxmlformats.org/officeDocument/2006/relationships/externalLink" Target="externalLinks/externalLink4.xml" /><Relationship Id="rId10" Type="http://schemas.openxmlformats.org/officeDocument/2006/relationships/customXml" Target="../customXml/item1.xml" /><Relationship Id="rId11" Type="http://schemas.openxmlformats.org/officeDocument/2006/relationships/customXml" Target="../customXml/item2.xml" /><Relationship Id="rId12" Type="http://schemas.openxmlformats.org/officeDocument/2006/relationships/customXml" Target="../customXml/item3.xml" /><Relationship Id="rId1" Type="http://schemas.openxmlformats.org/officeDocument/2006/relationships/theme" Target="theme/theme1.xml" /><Relationship Id="rId4" Type="http://schemas.openxmlformats.org/officeDocument/2006/relationships/worksheet" Target="worksheets/sheet3.xml" /><Relationship Id="rId6" Type="http://schemas.openxmlformats.org/officeDocument/2006/relationships/worksheet" Target="worksheets/sheet5.xml" /><Relationship Id="rId8" Type="http://schemas.openxmlformats.org/officeDocument/2006/relationships/styles" Target="styles.xml" /><Relationship Id="rId19" Type="http://schemas.openxmlformats.org/officeDocument/2006/relationships/externalLink" Target="externalLinks/externalLink6.xml" /><Relationship Id="rId13" Type="http://schemas.openxmlformats.org/officeDocument/2006/relationships/customXml" Target="../customXml/item4.xml" /><Relationship Id="rId21" Type="http://schemas.openxmlformats.org/officeDocument/2006/relationships/externalLink" Target="externalLinks/externalLink8.xml" /><Relationship Id="rId24" Type="http://schemas.openxmlformats.org/officeDocument/2006/relationships/externalLink" Target="externalLinks/externalLink11.xml" /><Relationship Id="rId25" Type="http://schemas.openxmlformats.org/officeDocument/2006/relationships/calcChain" Target="calcChain.xml" /><Relationship Id="rId20" Type="http://schemas.openxmlformats.org/officeDocument/2006/relationships/externalLink" Target="externalLinks/externalLink7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1973\SHARE\RECEIPT\OFFSHORE\HIOS\FINANCE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CAPITAL\98\1stCE\TWCAPEX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1973\SHARE\RECEIPT\OFFSHORE\WCDC\FINWCDC2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Mdcnasshares\S_TXFED\1973\SHARE\RECEIPT\OFFSHORE\HIOS\FINANCE.XLS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Y:\1973\SHARE\RECEIPT\OFFSHORE\HIOS\FINANCE.XLS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ddcshrnasp03\U_ERATEFP\Retail\Bank%20Reconciliations\2002\Dec\Reconciliation%20Scrubv2.xls" TargetMode="External" /></Relationships>
</file>

<file path=xl/externalLinks/_rels/externalLink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F:\Tipton%20Control%20Book\Finger-COST%20ACCOUNTING\COST%20ACCOUNTING\2003\R%20E%20C%20O%20N%20C%20I%20L%20I%20A%20T%20I%20O%20N%20S\Acct.%201321%20-%20Mis%20Inventory.xls" TargetMode="External" /></Relationships>
</file>

<file path=xl/externalLinks/_rels/externalLink8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ComOps\Data\Lo\Eastern\MA%20Spot%20June%202000.xls" TargetMode="External" /></Relationships>
</file>

<file path=xl/externalLinks/_rels/externalLink9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P:\COMP\1996\WS\STB\0916TOP5.XLS" TargetMode="External" /></Relationships>
</file>

<file path=xl/externalLinks/_rels/externalLink10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Y:\SSG%20Corp\Data\cap%20volatility.xls" TargetMode="External" /></Relationships>
</file>

<file path=xl/externalLinks/_rels/externalLink11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intranet.corp.oncor.com/Users/kevin.hunsicker/Documents/Troy/2016-07-19%20--%202016%20CapEx%20July%20Reforecast%206+6%20--%20Plan%20v3%20-TLV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IOS 93 thru 96"/>
      <sheetName val="WP II-A-2-3"/>
    </sheetNames>
    <sheetDataSet>
      <sheetData sheetId="0" refreshError="1">
        <row r="3">
          <cell r="H3">
            <v>1993</v>
          </cell>
          <cell r="I3">
            <v>1994</v>
          </cell>
          <cell r="J3">
            <v>1995</v>
          </cell>
          <cell r="K3">
            <v>1996</v>
          </cell>
        </row>
        <row r="76">
          <cell r="H76">
            <v>39195680</v>
          </cell>
          <cell r="I76">
            <v>44160419</v>
          </cell>
          <cell r="J76">
            <v>53428393</v>
          </cell>
          <cell r="K76">
            <v>46875232</v>
          </cell>
        </row>
        <row r="87">
          <cell r="H87">
            <v>35142842</v>
          </cell>
          <cell r="I87">
            <v>34348851</v>
          </cell>
          <cell r="J87">
            <v>34326348</v>
          </cell>
          <cell r="K87">
            <v>29649504</v>
          </cell>
        </row>
        <row r="112">
          <cell r="H112">
            <v>0.702059767811147</v>
          </cell>
          <cell r="I112">
            <v>0.56142782522059</v>
          </cell>
          <cell r="J112">
            <v>0.359465911692309</v>
          </cell>
          <cell r="K112">
            <v>0.331706603606783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W"/>
      <sheetName val="CF_QTR"/>
      <sheetName val="C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 refreshError="1">
        <row r="4">
          <cell r="H4">
            <v>1995</v>
          </cell>
          <cell r="I4">
            <v>1996</v>
          </cell>
          <cell r="J4">
            <v>1997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IOS 93 thru 96"/>
    </sheetNames>
    <sheetDataSet>
      <sheetData sheetId="0" refreshError="1">
        <row r="3">
          <cell r="H3">
            <v>1993</v>
          </cell>
          <cell r="I3">
            <v>1994</v>
          </cell>
          <cell r="J3">
            <v>1995</v>
          </cell>
          <cell r="K3">
            <v>1996</v>
          </cell>
        </row>
        <row r="112">
          <cell r="H112">
            <v>0.702059767811147</v>
          </cell>
          <cell r="I112">
            <v>0.56142782522059</v>
          </cell>
          <cell r="J112">
            <v>0.359465911692309</v>
          </cell>
          <cell r="K112">
            <v>0.331706603606783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IOS 93 thru 96"/>
    </sheetNames>
    <sheetDataSet>
      <sheetData sheetId="0" refreshError="1">
        <row r="3">
          <cell r="H3">
            <v>1993</v>
          </cell>
          <cell r="I3">
            <v>1994</v>
          </cell>
          <cell r="J3">
            <v>1995</v>
          </cell>
          <cell r="K3">
            <v>1996</v>
          </cell>
        </row>
        <row r="112">
          <cell r="H112">
            <v>0.702059767811147</v>
          </cell>
          <cell r="I112">
            <v>0.56142782522059</v>
          </cell>
          <cell r="J112">
            <v>0.359465911692309</v>
          </cell>
          <cell r="K112">
            <v>0.331706603606783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arrative"/>
      <sheetName val="Pivot Summary"/>
      <sheetName val="Reconciliation Scrub"/>
      <sheetName val="Summary of Cash GL's - 2002"/>
      <sheetName val="393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ug 03"/>
      <sheetName val="July 03"/>
      <sheetName val="June 03"/>
      <sheetName val="May 03"/>
      <sheetName val="Apr 0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PARKSPREAD"/>
      <sheetName val="MARKET"/>
      <sheetName val="POSITION SUMMARY"/>
      <sheetName val="MTM"/>
      <sheetName val="PROFIT"/>
      <sheetName val="BASISOPTION"/>
      <sheetName val="BASISOPTGRID"/>
      <sheetName val="NYMEXOPTGRID"/>
      <sheetName val="COMPOSITE"/>
      <sheetName val="STORAGEDEMAND"/>
      <sheetName val="GAS"/>
      <sheetName val="IBS"/>
      <sheetName val="SPREAD_OPTIONS"/>
      <sheetName val="NYMEX_OPTIONS"/>
      <sheetName val="INDEX_TPORT"/>
      <sheetName val="TPORT"/>
      <sheetName val="DATA"/>
      <sheetName val="POSITION"/>
      <sheetName val="C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p 5 by Title Summary"/>
      <sheetName val="Top 5 by Position"/>
      <sheetName val="Top 5 by TC"/>
      <sheetName val="Exec. Ben. and Perq."/>
      <sheetName val="Proxy Summary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ap vol"/>
      <sheetName val="swaption vol"/>
      <sheetName val="swaption vol1"/>
    </sheetNames>
    <sheetDataSet>
      <sheetData sheetId="0" refreshError="1"/>
      <sheetData sheetId="1" refreshError="1">
        <row r="5">
          <cell r="B5">
            <v>0.157</v>
          </cell>
        </row>
        <row r="6">
          <cell r="B6">
            <v>0.16</v>
          </cell>
        </row>
        <row r="7">
          <cell r="B7">
            <v>0.16</v>
          </cell>
        </row>
        <row r="8">
          <cell r="C8">
            <v>0.163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ummary with Time Lag"/>
      <sheetName val="Summary by lease -- 5 year plan"/>
      <sheetName val="TRUE UP TO 5 YEAR PLAN"/>
      <sheetName val="ISD Summary by WBS"/>
      <sheetName val="Cross Valley Recon"/>
      <sheetName val="ISD Data"/>
      <sheetName val="Projects by Lease SDTS"/>
      <sheetName val="12-31-14 TCOS SDTS DETAIL"/>
      <sheetName val="7-31-14 TCOS FILING SDTS DETAI2"/>
      <sheetName val="INTERFACE"/>
      <sheetName val="PRIOR YR DATA"/>
      <sheetName val="Ref Line Lookup"/>
      <sheetName val="MasterData"/>
      <sheetName val="2015 PIS"/>
      <sheetName val="Transmission ONLY Tab"/>
      <sheetName val="Prior Update Comparison"/>
      <sheetName val="Trans INPUT tab (2)"/>
      <sheetName val="Transmission Summary"/>
      <sheetName val="Plan Check"/>
      <sheetName val="Transmission Plan 2017"/>
      <sheetName val="Transmission Tier 2"/>
      <sheetName val="Transmission Tier 3"/>
      <sheetName val="NonPlan Transmission"/>
      <sheetName val="Julian Hoover"/>
      <sheetName val="Jason Avent"/>
      <sheetName val="Chris Reynolds"/>
      <sheetName val="Q2 Fcst"/>
      <sheetName val="Q1 Fcst"/>
      <sheetName val="2016 Project Budget-Troy"/>
      <sheetName val="New&amp;RR - Brady"/>
      <sheetName val="Footprint"/>
      <sheetName val="MPSUs"/>
      <sheetName val="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5">
          <cell r="H5" t="str">
            <v>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C8"/>
  <sheetViews>
    <sheetView tabSelected="1" workbookViewId="0" topLeftCell="A1">
      <selection pane="topLeft" activeCell="C11" sqref="C11"/>
    </sheetView>
  </sheetViews>
  <sheetFormatPr defaultColWidth="9.12428571428571" defaultRowHeight="15.75"/>
  <cols>
    <col min="1" max="1" width="15" style="24" bestFit="1" customWidth="1"/>
    <col min="2" max="2" width="17.4285714285714" style="25" bestFit="1" customWidth="1"/>
    <col min="3" max="3" width="19.7142857142857" style="24" bestFit="1" customWidth="1"/>
    <col min="4" max="16384" width="9.14285714285714" style="23"/>
  </cols>
  <sheetData>
    <row r="1" spans="1:1" ht="15.65">
      <c r="A1" s="20" t="s">
        <v>67</v>
      </c>
    </row>
    <row r="3" spans="1:3" ht="15.65">
      <c r="A3" s="21" t="s">
        <v>68</v>
      </c>
      <c r="B3" s="22" t="s">
        <v>69</v>
      </c>
      <c r="C3" s="21" t="s">
        <v>71</v>
      </c>
    </row>
    <row r="4" spans="1:3" ht="15.65">
      <c r="A4" s="24" t="s">
        <v>70</v>
      </c>
      <c r="B4" s="25">
        <v>2014</v>
      </c>
      <c r="C4" s="27">
        <f>'WP II-B-15A_02-5'!C17</f>
        <v>0.070357021414972104</v>
      </c>
    </row>
    <row r="5" spans="1:3" ht="15.65">
      <c r="A5" s="24" t="s">
        <v>70</v>
      </c>
      <c r="B5" s="25">
        <v>2015</v>
      </c>
      <c r="C5" s="27">
        <f>'WP II-B-15A_02-4'!C17</f>
        <v>0.067900320327995062</v>
      </c>
    </row>
    <row r="6" spans="1:3" ht="15.65">
      <c r="A6" s="24" t="s">
        <v>70</v>
      </c>
      <c r="B6" s="25">
        <v>2016</v>
      </c>
      <c r="C6" s="27">
        <f>'WP II-B-15A_02-3'!C17</f>
        <v>0.044797864348616698</v>
      </c>
    </row>
    <row r="7" spans="1:3" ht="15.65">
      <c r="A7" s="24" t="s">
        <v>70</v>
      </c>
      <c r="B7" s="25">
        <v>2017</v>
      </c>
      <c r="C7" s="27">
        <f>'WP II-B-15A_02-2'!C17</f>
        <v>0.05627767227473441</v>
      </c>
    </row>
    <row r="8" spans="1:3" ht="15.65">
      <c r="A8" s="24" t="s">
        <v>70</v>
      </c>
      <c r="B8" s="25">
        <v>2019</v>
      </c>
      <c r="C8" s="27">
        <f>'WP II-B-15A_02-1'!C16</f>
        <v>0.061799873964090916</v>
      </c>
    </row>
  </sheetData>
  <autoFilter ref="A3:C3"/>
  <pageMargins left="0.7" right="0.7" top="4.03125" bottom="0.75" header="1.5" footer="0.3"/>
  <pageSetup fitToHeight="0" orientation="landscape" r:id="rId1"/>
  <headerFooter>
    <oddHeader>&amp;C
&amp;"Arial,Bold"&amp;12 2022 RATE CASE
ONCOR ELECTRIC DELIVERY COMPANY LLC
AFUDC NTUSU RATES
FOR THE TEST YEAR ENDING DECEMBER 31, 2021
SPONSOR: W. A. LEDBETTER&amp;R&amp;"Arial,Bold"&amp;12WP/II-B-15A/02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36"/>
  <sheetViews>
    <sheetView workbookViewId="0" topLeftCell="A1">
      <selection pane="topLeft" activeCell="C11" sqref="C11"/>
    </sheetView>
  </sheetViews>
  <sheetFormatPr defaultColWidth="9.12428571428571" defaultRowHeight="13.5"/>
  <cols>
    <col min="1" max="1" width="10.1428571428571" style="6" bestFit="1" customWidth="1"/>
    <col min="2" max="2" width="30.1428571428571" style="6" bestFit="1" customWidth="1"/>
    <col min="3" max="3" width="30" style="6" bestFit="1" customWidth="1"/>
    <col min="4" max="4" width="23.5714285714286" style="6" bestFit="1" customWidth="1"/>
    <col min="5" max="5" width="23.7142857142857" style="6" bestFit="1" customWidth="1"/>
    <col min="6" max="6" width="16.1428571428571" style="6" bestFit="1" customWidth="1"/>
    <col min="7" max="7" width="14.8571428571429" style="6" bestFit="1" customWidth="1"/>
    <col min="8" max="16384" width="9.14285714285714" style="6"/>
  </cols>
  <sheetData>
    <row r="1" spans="1:5" ht="14.3">
      <c r="A1" s="20" t="s">
        <v>67</v>
      </c>
      <c r="B1" s="20"/>
      <c r="C1" s="20"/>
      <c r="D1" s="20"/>
      <c r="E1" s="20"/>
    </row>
    <row r="3" spans="1:1" ht="12.9">
      <c r="A3" s="1" t="s">
        <v>0</v>
      </c>
    </row>
    <row r="4" spans="1:1" ht="12.9">
      <c r="A4" s="1" t="s">
        <v>1</v>
      </c>
    </row>
    <row r="5" spans="1:1" ht="12.9">
      <c r="A5" s="1" t="s">
        <v>2</v>
      </c>
    </row>
    <row r="7" spans="1:1" ht="12.9">
      <c r="A7" s="6" t="s">
        <v>3</v>
      </c>
    </row>
    <row r="8" spans="1:1" ht="12.9">
      <c r="A8" s="6" t="s">
        <v>4</v>
      </c>
    </row>
    <row r="9" spans="1:1" ht="12.9">
      <c r="A9" s="6" t="s">
        <v>5</v>
      </c>
    </row>
    <row r="10" spans="1:1" ht="12.9">
      <c r="A10" s="6" t="s">
        <v>6</v>
      </c>
    </row>
    <row r="11" spans="1:1" ht="12.9">
      <c r="A11" s="6" t="s">
        <v>7</v>
      </c>
    </row>
    <row r="12" spans="1:1" ht="12.9">
      <c r="A12" s="6" t="s">
        <v>8</v>
      </c>
    </row>
    <row r="13" spans="1:1" ht="12.9">
      <c r="A13" s="6" t="s">
        <v>9</v>
      </c>
    </row>
    <row r="16" spans="1:5" ht="13.6">
      <c r="A16" s="2" t="s">
        <v>10</v>
      </c>
      <c r="C16" s="7">
        <f>SUM(C17:C18)</f>
        <v>0.061799873964090916</v>
      </c>
      <c r="D16" s="6" t="s">
        <v>11</v>
      </c>
      <c r="E16" s="2"/>
    </row>
    <row r="17" spans="1:5" ht="12.9">
      <c r="A17" s="6" t="s">
        <v>12</v>
      </c>
      <c r="B17" s="26" t="s">
        <v>13</v>
      </c>
      <c r="C17" s="14">
        <f>C23*(C22/C30)+C25*(C24/(C24+C26+C28))*(1-C22/C30)</f>
        <v>0.028706030053044215</v>
      </c>
      <c r="D17" s="3"/>
      <c r="E17" s="15"/>
    </row>
    <row r="18" spans="1:7" ht="12.9">
      <c r="A18" s="6" t="s">
        <v>14</v>
      </c>
      <c r="B18" s="26" t="s">
        <v>15</v>
      </c>
      <c r="C18" s="14">
        <f>(1-C22/C30)*(C27*(C26/(C24+C26+C28))+(C29*(C28/(C24+C26+C28))))</f>
        <v>0.033093843911046701</v>
      </c>
      <c r="D18" s="3"/>
      <c r="E18" s="8"/>
      <c r="F18" s="16"/>
      <c r="G18" s="9"/>
    </row>
    <row r="19" spans="4:7" ht="12.9">
      <c r="D19" s="4"/>
      <c r="E19" s="8"/>
      <c r="F19" s="9"/>
      <c r="G19" s="11"/>
    </row>
    <row r="20" spans="1:4" ht="12.9">
      <c r="A20" s="6" t="s">
        <v>12</v>
      </c>
      <c r="B20" s="6" t="s">
        <v>16</v>
      </c>
      <c r="C20" s="9">
        <f>C17</f>
        <v>0.028706030053044215</v>
      </c>
      <c r="D20" s="6" t="s">
        <v>17</v>
      </c>
    </row>
    <row r="21" spans="1:4" ht="12.9">
      <c r="A21" s="6" t="s">
        <v>14</v>
      </c>
      <c r="B21" s="6" t="s">
        <v>18</v>
      </c>
      <c r="C21" s="9">
        <f>C18</f>
        <v>0.033093843911046701</v>
      </c>
      <c r="D21" s="6" t="s">
        <v>17</v>
      </c>
    </row>
    <row r="22" spans="1:4" ht="12.9">
      <c r="A22" s="6" t="s">
        <v>19</v>
      </c>
      <c r="B22" s="6" t="s">
        <v>20</v>
      </c>
      <c r="C22" s="17">
        <v>4000000</v>
      </c>
      <c r="D22" s="6" t="s">
        <v>21</v>
      </c>
    </row>
    <row r="23" spans="1:3" ht="12.9">
      <c r="A23" s="6" t="s">
        <v>22</v>
      </c>
      <c r="B23" s="6" t="s">
        <v>23</v>
      </c>
      <c r="C23" s="18">
        <v>0.06275</v>
      </c>
    </row>
    <row r="24" spans="1:4" ht="12.9">
      <c r="A24" s="6" t="s">
        <v>24</v>
      </c>
      <c r="B24" s="6" t="s">
        <v>25</v>
      </c>
      <c r="C24" s="17">
        <v>141500000</v>
      </c>
      <c r="D24" s="6" t="s">
        <v>21</v>
      </c>
    </row>
    <row r="25" spans="1:5" ht="12.9">
      <c r="A25" s="6" t="s">
        <v>26</v>
      </c>
      <c r="B25" s="6" t="s">
        <v>27</v>
      </c>
      <c r="C25" s="18">
        <v>0.03381</v>
      </c>
      <c r="E25" s="8"/>
    </row>
    <row r="26" spans="1:3" ht="12.9">
      <c r="A26" s="6" t="s">
        <v>28</v>
      </c>
      <c r="B26" s="6" t="s">
        <v>29</v>
      </c>
      <c r="C26" s="17">
        <v>0</v>
      </c>
    </row>
    <row r="27" spans="1:3" ht="12.9">
      <c r="A27" s="6" t="s">
        <v>30</v>
      </c>
      <c r="B27" s="6" t="s">
        <v>31</v>
      </c>
      <c r="C27" s="17">
        <v>0</v>
      </c>
    </row>
    <row r="28" spans="1:4" ht="12.9">
      <c r="A28" s="6" t="s">
        <v>32</v>
      </c>
      <c r="B28" s="6" t="s">
        <v>33</v>
      </c>
      <c r="C28" s="17">
        <v>110571724</v>
      </c>
      <c r="D28" s="6" t="s">
        <v>21</v>
      </c>
    </row>
    <row r="29" spans="1:4" ht="12.9">
      <c r="A29" s="6" t="s">
        <v>34</v>
      </c>
      <c r="B29" s="6" t="s">
        <v>35</v>
      </c>
      <c r="C29" s="18">
        <v>0.097000000000000003</v>
      </c>
      <c r="D29" s="6" t="s">
        <v>21</v>
      </c>
    </row>
    <row r="30" spans="1:4" ht="12.9">
      <c r="A30" s="6" t="s">
        <v>36</v>
      </c>
      <c r="B30" s="6" t="s">
        <v>37</v>
      </c>
      <c r="C30" s="17">
        <v>18000000</v>
      </c>
      <c r="D30" s="6" t="s">
        <v>21</v>
      </c>
    </row>
    <row r="32" spans="1:1" ht="12.9">
      <c r="A32" s="12"/>
    </row>
    <row r="33" spans="1:1" ht="13.6">
      <c r="A33" s="5" t="s">
        <v>38</v>
      </c>
    </row>
    <row r="34" spans="1:7" ht="12.9">
      <c r="A34" s="6" t="s">
        <v>12</v>
      </c>
      <c r="B34" s="6" t="s">
        <v>16</v>
      </c>
      <c r="C34" s="13">
        <f>C17/12</f>
        <v>0.0023921691710870178</v>
      </c>
      <c r="D34" s="19"/>
      <c r="E34" s="13"/>
      <c r="F34" s="10"/>
      <c r="G34" s="10"/>
    </row>
    <row r="35" spans="1:7" ht="12.9">
      <c r="A35" s="6" t="s">
        <v>14</v>
      </c>
      <c r="B35" s="6" t="s">
        <v>18</v>
      </c>
      <c r="C35" s="13">
        <f>C18/12</f>
        <v>0.0027578203259205586</v>
      </c>
      <c r="D35" s="19"/>
      <c r="E35" s="13"/>
      <c r="F35" s="10"/>
      <c r="G35" s="10"/>
    </row>
    <row r="36" spans="3:3" ht="12.9">
      <c r="C36" s="13"/>
    </row>
  </sheetData>
  <pageMargins left="1.2" right="0.7" top="2.5" bottom="0.75" header="1" footer="0.3"/>
  <pageSetup orientation="portrait" scale="62" r:id="rId1"/>
  <headerFooter>
    <oddHeader>&amp;C
&amp;"Arial,Bold"
 2022 RATE CASE
ONCOR ELECTRIC DELIVERY COMPANY LLC
AFUDC NTUSU RATES
FOR THE TEST YEAR ENDING DECEMBER 31, 2021
SPONSOR: W. A. LEDBETTER&amp;R&amp;"Arial,Bold"WP/II-B-15A/02/1
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36"/>
  <sheetViews>
    <sheetView workbookViewId="0" topLeftCell="A1">
      <selection pane="topLeft" activeCell="C11" sqref="C11"/>
    </sheetView>
  </sheetViews>
  <sheetFormatPr defaultColWidth="9.12428571428571" defaultRowHeight="13.5"/>
  <cols>
    <col min="1" max="1" width="10.1428571428571" style="6" bestFit="1" customWidth="1"/>
    <col min="2" max="2" width="30.1428571428571" style="6" bestFit="1" customWidth="1"/>
    <col min="3" max="3" width="30" style="6" bestFit="1" customWidth="1"/>
    <col min="4" max="4" width="23.5714285714286" style="6" bestFit="1" customWidth="1"/>
    <col min="5" max="5" width="23.7142857142857" style="6" bestFit="1" customWidth="1"/>
    <col min="6" max="6" width="16.1428571428571" style="6" bestFit="1" customWidth="1"/>
    <col min="7" max="16384" width="9.14285714285714" style="6"/>
  </cols>
  <sheetData>
    <row r="1" spans="1:5" ht="14.3">
      <c r="A1" s="20" t="s">
        <v>67</v>
      </c>
      <c r="B1" s="20"/>
      <c r="C1" s="20"/>
      <c r="D1" s="20"/>
      <c r="E1" s="20"/>
    </row>
    <row r="3" spans="1:1" ht="12.9">
      <c r="A3" s="1" t="s">
        <v>39</v>
      </c>
    </row>
    <row r="4" spans="1:1" ht="12.9">
      <c r="A4" s="1" t="s">
        <v>40</v>
      </c>
    </row>
    <row r="5" spans="1:1" ht="12.9">
      <c r="A5" s="1" t="s">
        <v>2</v>
      </c>
    </row>
    <row r="7" spans="1:1" ht="12.9">
      <c r="A7" s="6" t="s">
        <v>41</v>
      </c>
    </row>
    <row r="8" spans="1:1" ht="12.9">
      <c r="A8" s="6" t="s">
        <v>42</v>
      </c>
    </row>
    <row r="9" spans="1:1" ht="12.9">
      <c r="A9" s="6" t="s">
        <v>4</v>
      </c>
    </row>
    <row r="10" spans="1:1" ht="12.9">
      <c r="A10" s="6" t="s">
        <v>43</v>
      </c>
    </row>
    <row r="11" spans="1:1" ht="12.9">
      <c r="A11" s="6" t="s">
        <v>44</v>
      </c>
    </row>
    <row r="12" spans="1:1" ht="12.9">
      <c r="A12" s="6" t="s">
        <v>45</v>
      </c>
    </row>
    <row r="13" spans="1:1" ht="12.9">
      <c r="A13" s="6" t="s">
        <v>8</v>
      </c>
    </row>
    <row r="14" spans="1:1" ht="12.9">
      <c r="A14" s="6" t="s">
        <v>9</v>
      </c>
    </row>
    <row r="16" spans="1:5" ht="13.6">
      <c r="A16" s="2"/>
      <c r="C16" s="7"/>
      <c r="E16" s="2"/>
    </row>
    <row r="17" spans="1:5" ht="12.9">
      <c r="A17" s="6" t="s">
        <v>10</v>
      </c>
      <c r="B17" s="26"/>
      <c r="C17" s="14">
        <f>C18+C19</f>
        <v>0.05627767227473441</v>
      </c>
      <c r="D17" s="3"/>
      <c r="E17" s="15"/>
    </row>
    <row r="18" spans="1:6" ht="12.9">
      <c r="A18" s="6" t="s">
        <v>12</v>
      </c>
      <c r="B18" s="26" t="s">
        <v>13</v>
      </c>
      <c r="C18" s="14">
        <f>C24*(C23/C31)+C26*(C25/(C25+C27+C29))*(1-C23/C31)</f>
        <v>0.074594520125284836</v>
      </c>
      <c r="D18" s="3"/>
      <c r="E18" s="8"/>
      <c r="F18" s="16"/>
    </row>
    <row r="19" spans="1:6" ht="12.9">
      <c r="A19" s="6" t="s">
        <v>14</v>
      </c>
      <c r="B19" s="6" t="s">
        <v>15</v>
      </c>
      <c r="C19" s="6">
        <f>(1-C23/C31)*(C28*(C27/(C25+C27+C29))+(C30*(C29/(C25+C27+C29))))</f>
        <v>-0.018316847850550426</v>
      </c>
      <c r="D19" s="4"/>
      <c r="E19" s="8"/>
      <c r="F19" s="9"/>
    </row>
    <row r="20" spans="3:3" ht="12.9">
      <c r="C20" s="9"/>
    </row>
    <row r="21" spans="1:4" ht="12.9">
      <c r="A21" s="6" t="s">
        <v>12</v>
      </c>
      <c r="B21" s="6" t="s">
        <v>16</v>
      </c>
      <c r="C21" s="9">
        <f>C18</f>
        <v>0.074594520125284836</v>
      </c>
      <c r="D21" s="6" t="s">
        <v>17</v>
      </c>
    </row>
    <row r="22" spans="1:4" ht="12.9">
      <c r="A22" s="6" t="s">
        <v>14</v>
      </c>
      <c r="B22" s="6" t="s">
        <v>18</v>
      </c>
      <c r="C22" s="17">
        <f>C19</f>
        <v>-0.018316847850550426</v>
      </c>
      <c r="D22" s="6" t="s">
        <v>17</v>
      </c>
    </row>
    <row r="23" spans="1:4" ht="12.9">
      <c r="A23" s="6" t="s">
        <v>19</v>
      </c>
      <c r="B23" s="6" t="s">
        <v>20</v>
      </c>
      <c r="C23" s="18">
        <v>76500000</v>
      </c>
      <c r="D23" s="6" t="s">
        <v>21</v>
      </c>
    </row>
    <row r="24" spans="1:3" ht="12.9">
      <c r="A24" s="6" t="s">
        <v>22</v>
      </c>
      <c r="B24" s="6" t="s">
        <v>23</v>
      </c>
      <c r="C24" s="17">
        <v>0.060102300000000004</v>
      </c>
    </row>
    <row r="25" spans="1:5" ht="12.9">
      <c r="A25" s="6" t="s">
        <v>24</v>
      </c>
      <c r="B25" s="6" t="s">
        <v>25</v>
      </c>
      <c r="C25" s="18">
        <v>1052201155.39</v>
      </c>
      <c r="D25" s="6" t="s">
        <v>21</v>
      </c>
      <c r="E25" s="8"/>
    </row>
    <row r="26" spans="1:3" ht="12.9">
      <c r="A26" s="6" t="s">
        <v>26</v>
      </c>
      <c r="B26" s="6" t="s">
        <v>27</v>
      </c>
      <c r="C26" s="17">
        <v>0.044579383849036966</v>
      </c>
    </row>
    <row r="27" spans="1:3" ht="12.9">
      <c r="A27" s="6" t="s">
        <v>28</v>
      </c>
      <c r="B27" s="6" t="s">
        <v>29</v>
      </c>
      <c r="C27" s="17">
        <v>0</v>
      </c>
    </row>
    <row r="28" spans="1:3" ht="12.9">
      <c r="A28" s="6" t="s">
        <v>30</v>
      </c>
      <c r="B28" s="6" t="s">
        <v>31</v>
      </c>
      <c r="C28" s="17">
        <v>0</v>
      </c>
    </row>
    <row r="29" spans="1:4" ht="12.9">
      <c r="A29" s="6" t="s">
        <v>32</v>
      </c>
      <c r="B29" s="6" t="s">
        <v>33</v>
      </c>
      <c r="C29" s="18">
        <v>981344352.64999998</v>
      </c>
      <c r="D29" s="6" t="s">
        <v>21</v>
      </c>
    </row>
    <row r="30" spans="1:4" ht="12.9">
      <c r="A30" s="6" t="s">
        <v>34</v>
      </c>
      <c r="B30" s="6" t="s">
        <v>35</v>
      </c>
      <c r="C30" s="17">
        <v>0.097000000000000003</v>
      </c>
      <c r="D30" s="6" t="s">
        <v>21</v>
      </c>
    </row>
    <row r="31" spans="1:4" ht="12.9">
      <c r="A31" s="6" t="s">
        <v>36</v>
      </c>
      <c r="B31" s="6" t="s">
        <v>37</v>
      </c>
      <c r="C31" s="6">
        <v>54984489</v>
      </c>
      <c r="D31" s="6" t="s">
        <v>21</v>
      </c>
    </row>
    <row r="32" spans="1:1" ht="12.9">
      <c r="A32" s="12"/>
    </row>
    <row r="33" spans="1:1" ht="13.6">
      <c r="A33" s="5"/>
    </row>
    <row r="34" spans="1:6" ht="12.9">
      <c r="A34" s="6" t="s">
        <v>38</v>
      </c>
      <c r="C34" s="13"/>
      <c r="D34" s="19"/>
      <c r="E34" s="13"/>
      <c r="F34" s="10"/>
    </row>
    <row r="35" spans="1:6" ht="12.9">
      <c r="A35" s="6" t="s">
        <v>12</v>
      </c>
      <c r="B35" s="6" t="s">
        <v>16</v>
      </c>
      <c r="C35" s="13">
        <f>C18/12</f>
        <v>0.0062162100104404027</v>
      </c>
      <c r="D35" s="19"/>
      <c r="E35" s="13"/>
      <c r="F35" s="10"/>
    </row>
    <row r="36" spans="1:3" ht="12.9">
      <c r="A36" s="6" t="s">
        <v>14</v>
      </c>
      <c r="B36" s="6" t="s">
        <v>18</v>
      </c>
      <c r="C36" s="13">
        <f>C19/12</f>
        <v>-0.0015264039875458688</v>
      </c>
    </row>
  </sheetData>
  <pageMargins left="1.2" right="0.7" top="2.5" bottom="0.75" header="1" footer="0.3"/>
  <pageSetup orientation="portrait" scale="62" r:id="rId1"/>
  <headerFooter>
    <oddHeader>&amp;C
&amp;"Arial,Bold"
 2022 RATE CASE
ONCOR ELECTRIC DELIVERY COMPANY LLC
AFUDC NTUSU RATES
FOR THE TEST YEAR ENDING DECEMBER 31, 2021
SPONSOR: W. A. LEDBETTER&amp;R&amp;"Arial,Bold"WP/II-B-15A/02/2
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36"/>
  <sheetViews>
    <sheetView workbookViewId="0" topLeftCell="A1">
      <selection pane="topLeft" activeCell="E31" sqref="E31"/>
    </sheetView>
  </sheetViews>
  <sheetFormatPr defaultColWidth="9.12428571428571" defaultRowHeight="13.5"/>
  <cols>
    <col min="1" max="1" width="10.1428571428571" style="6" bestFit="1" customWidth="1"/>
    <col min="2" max="2" width="30.1428571428571" style="6" bestFit="1" customWidth="1"/>
    <col min="3" max="3" width="30" style="6" bestFit="1" customWidth="1"/>
    <col min="4" max="4" width="23.5714285714286" style="6" bestFit="1" customWidth="1"/>
    <col min="5" max="5" width="23.7142857142857" style="6" bestFit="1" customWidth="1"/>
    <col min="6" max="6" width="16.1428571428571" style="6" bestFit="1" customWidth="1"/>
    <col min="7" max="7" width="14.8571428571429" style="6" bestFit="1" customWidth="1"/>
    <col min="8" max="16384" width="9.14285714285714" style="6"/>
  </cols>
  <sheetData>
    <row r="1" spans="1:5" ht="14.3">
      <c r="A1" s="20" t="s">
        <v>67</v>
      </c>
      <c r="B1" s="20"/>
      <c r="C1" s="20"/>
      <c r="D1" s="20"/>
      <c r="E1" s="20"/>
    </row>
    <row r="3" spans="1:1" ht="12.9">
      <c r="A3" s="1" t="s">
        <v>46</v>
      </c>
    </row>
    <row r="4" spans="1:1" ht="12.9">
      <c r="A4" s="1" t="s">
        <v>47</v>
      </c>
    </row>
    <row r="5" spans="1:1" ht="12.9">
      <c r="A5" s="1" t="s">
        <v>2</v>
      </c>
    </row>
    <row r="7" spans="1:1" ht="12.9">
      <c r="A7" s="6" t="s">
        <v>41</v>
      </c>
    </row>
    <row r="8" spans="1:1" ht="12.9">
      <c r="A8" s="6" t="s">
        <v>48</v>
      </c>
    </row>
    <row r="9" spans="1:1" ht="12.9">
      <c r="A9" s="6" t="s">
        <v>4</v>
      </c>
    </row>
    <row r="10" spans="1:1" ht="12.9">
      <c r="A10" s="6" t="s">
        <v>49</v>
      </c>
    </row>
    <row r="11" spans="1:1" ht="12.9">
      <c r="A11" s="6" t="s">
        <v>50</v>
      </c>
    </row>
    <row r="12" spans="1:1" ht="12.9">
      <c r="A12" s="6" t="s">
        <v>51</v>
      </c>
    </row>
    <row r="13" spans="1:1" ht="12.9">
      <c r="A13" s="6" t="s">
        <v>8</v>
      </c>
    </row>
    <row r="14" spans="1:1" ht="12.9">
      <c r="A14" s="6" t="s">
        <v>9</v>
      </c>
    </row>
    <row r="16" spans="1:5" ht="13.6">
      <c r="A16" s="2"/>
      <c r="C16" s="7"/>
      <c r="E16" s="2"/>
    </row>
    <row r="17" spans="1:5" ht="12.9">
      <c r="A17" s="6" t="s">
        <v>10</v>
      </c>
      <c r="B17" s="26"/>
      <c r="C17" s="14">
        <f>C18+C19</f>
        <v>0.044797864348616698</v>
      </c>
      <c r="D17" s="3"/>
      <c r="E17" s="15"/>
    </row>
    <row r="18" spans="1:6" ht="12.9">
      <c r="A18" s="6" t="s">
        <v>12</v>
      </c>
      <c r="B18" s="26" t="s">
        <v>13</v>
      </c>
      <c r="C18" s="14">
        <f>C24*(C23/C31)+C26*(C25/(C25+C27+C29))*(1-C23/C31)</f>
        <v>0.030839715867162571</v>
      </c>
      <c r="D18" s="3"/>
      <c r="E18" s="8"/>
      <c r="F18" s="16"/>
    </row>
    <row r="19" spans="1:7" ht="12.9">
      <c r="A19" s="6" t="s">
        <v>14</v>
      </c>
      <c r="B19" s="6" t="s">
        <v>15</v>
      </c>
      <c r="C19" s="6">
        <f>(1-C23/C31)*(C28*(C27/(C25+C27+C29))+(C30*(C29/(C25+C27+C29))))</f>
        <v>0.013958148481454128</v>
      </c>
      <c r="D19" s="4"/>
      <c r="E19" s="8"/>
      <c r="F19" s="9"/>
      <c r="G19" s="9"/>
    </row>
    <row r="20" spans="3:7" ht="12.9">
      <c r="C20" s="9"/>
      <c r="G20" s="11"/>
    </row>
    <row r="21" spans="1:4" ht="12.9">
      <c r="A21" s="6" t="s">
        <v>12</v>
      </c>
      <c r="B21" s="6" t="s">
        <v>16</v>
      </c>
      <c r="C21" s="9">
        <f>C18</f>
        <v>0.030839715867162571</v>
      </c>
      <c r="D21" s="6" t="s">
        <v>17</v>
      </c>
    </row>
    <row r="22" spans="1:4" ht="12.9">
      <c r="A22" s="6" t="s">
        <v>14</v>
      </c>
      <c r="B22" s="6" t="s">
        <v>18</v>
      </c>
      <c r="C22" s="17">
        <f>C19</f>
        <v>0.013958148481454128</v>
      </c>
      <c r="D22" s="6" t="s">
        <v>17</v>
      </c>
    </row>
    <row r="23" spans="1:4" ht="12.9">
      <c r="A23" s="6" t="s">
        <v>19</v>
      </c>
      <c r="B23" s="6" t="s">
        <v>20</v>
      </c>
      <c r="C23" s="18">
        <v>84271000</v>
      </c>
      <c r="D23" s="6" t="s">
        <v>21</v>
      </c>
    </row>
    <row r="24" spans="1:3" ht="12.9">
      <c r="A24" s="6" t="s">
        <v>22</v>
      </c>
      <c r="B24" s="6" t="s">
        <v>23</v>
      </c>
      <c r="C24" s="17">
        <v>0.034969697454545451</v>
      </c>
    </row>
    <row r="25" spans="1:5" ht="12.9">
      <c r="A25" s="6" t="s">
        <v>24</v>
      </c>
      <c r="B25" s="6" t="s">
        <v>25</v>
      </c>
      <c r="C25" s="18">
        <v>862292941</v>
      </c>
      <c r="D25" s="6" t="s">
        <v>21</v>
      </c>
      <c r="E25" s="8"/>
    </row>
    <row r="26" spans="1:3" ht="12.9">
      <c r="A26" s="6" t="s">
        <v>26</v>
      </c>
      <c r="B26" s="6" t="s">
        <v>27</v>
      </c>
      <c r="C26" s="17">
        <v>0.042472693442123399</v>
      </c>
    </row>
    <row r="27" spans="1:3" ht="12.9">
      <c r="A27" s="6" t="s">
        <v>28</v>
      </c>
      <c r="B27" s="6" t="s">
        <v>29</v>
      </c>
      <c r="C27" s="17">
        <v>0</v>
      </c>
    </row>
    <row r="28" spans="1:3" ht="12.9">
      <c r="A28" s="6" t="s">
        <v>30</v>
      </c>
      <c r="B28" s="6" t="s">
        <v>31</v>
      </c>
      <c r="C28" s="17">
        <v>0</v>
      </c>
    </row>
    <row r="29" spans="1:4" ht="12.9">
      <c r="A29" s="6" t="s">
        <v>32</v>
      </c>
      <c r="B29" s="6" t="s">
        <v>33</v>
      </c>
      <c r="C29" s="18">
        <f>918204000+74521000+39298000</f>
        <v>1032023000</v>
      </c>
      <c r="D29" s="6" t="s">
        <v>21</v>
      </c>
    </row>
    <row r="30" spans="1:4" ht="12.9">
      <c r="A30" s="6" t="s">
        <v>34</v>
      </c>
      <c r="B30" s="6" t="s">
        <v>35</v>
      </c>
      <c r="C30" s="17">
        <v>0.097000000000000003</v>
      </c>
      <c r="D30" s="6" t="s">
        <v>21</v>
      </c>
    </row>
    <row r="31" spans="1:4" ht="12.9">
      <c r="A31" s="6" t="s">
        <v>36</v>
      </c>
      <c r="B31" s="6" t="s">
        <v>37</v>
      </c>
      <c r="C31" s="6">
        <v>114519000</v>
      </c>
      <c r="D31" s="6" t="s">
        <v>21</v>
      </c>
    </row>
    <row r="32" spans="1:1" ht="12.9">
      <c r="A32" s="12"/>
    </row>
    <row r="33" spans="1:1" ht="13.6">
      <c r="A33" s="5"/>
    </row>
    <row r="34" spans="1:6" ht="12.9">
      <c r="A34" s="6" t="s">
        <v>38</v>
      </c>
      <c r="C34" s="13"/>
      <c r="D34" s="19"/>
      <c r="E34" s="13"/>
      <c r="F34" s="10"/>
    </row>
    <row r="35" spans="1:6" ht="12.9">
      <c r="A35" s="6" t="s">
        <v>12</v>
      </c>
      <c r="B35" s="6" t="s">
        <v>16</v>
      </c>
      <c r="C35" s="13">
        <f>C18/12</f>
        <v>0.0025699763222635477</v>
      </c>
      <c r="D35" s="19"/>
      <c r="E35" s="13"/>
      <c r="F35" s="10"/>
    </row>
    <row r="36" spans="1:3" ht="12.9">
      <c r="A36" s="6" t="s">
        <v>14</v>
      </c>
      <c r="B36" s="6" t="s">
        <v>18</v>
      </c>
      <c r="C36" s="13">
        <f>C19/12</f>
        <v>0.0011631790401211773</v>
      </c>
    </row>
  </sheetData>
  <pageMargins left="1.2" right="0.7" top="2.5" bottom="0.75" header="1" footer="0.3"/>
  <pageSetup orientation="portrait" scale="62" r:id="rId1"/>
  <headerFooter>
    <oddHeader>&amp;C
&amp;"Arial,Bold" 2022 RATE CASE
ONCOR ELECTRIC DELIVERY COMPANY LLC
AFUDC NTUSU RATES
FOR THE TEST YEAR ENDING DECEMBER 31, 2021
SPONSOR: W. A. LEDBETTER&amp;R&amp;"Arial,Bold"WP/II-B-15A/02/3
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36"/>
  <sheetViews>
    <sheetView workbookViewId="0" topLeftCell="A1">
      <selection pane="topLeft" activeCell="C11" sqref="C11"/>
    </sheetView>
  </sheetViews>
  <sheetFormatPr defaultColWidth="9.12428571428571" defaultRowHeight="13.5"/>
  <cols>
    <col min="1" max="1" width="10.1428571428571" style="6" bestFit="1" customWidth="1"/>
    <col min="2" max="2" width="30.1428571428571" style="6" bestFit="1" customWidth="1"/>
    <col min="3" max="3" width="30" style="6" bestFit="1" customWidth="1"/>
    <col min="4" max="4" width="23.5714285714286" style="6" bestFit="1" customWidth="1"/>
    <col min="5" max="5" width="23.7142857142857" style="6" bestFit="1" customWidth="1"/>
    <col min="6" max="6" width="16.1428571428571" style="6" bestFit="1" customWidth="1"/>
    <col min="7" max="16384" width="9.14285714285714" style="6"/>
  </cols>
  <sheetData>
    <row r="1" spans="1:5" ht="14.3">
      <c r="A1" s="20" t="s">
        <v>67</v>
      </c>
      <c r="B1" s="20"/>
      <c r="C1" s="20"/>
      <c r="D1" s="20"/>
      <c r="E1" s="20"/>
    </row>
    <row r="3" spans="1:1" ht="12.9">
      <c r="A3" s="1" t="s">
        <v>52</v>
      </c>
    </row>
    <row r="4" spans="1:1" ht="12.9">
      <c r="A4" s="1" t="s">
        <v>53</v>
      </c>
    </row>
    <row r="5" spans="1:1" ht="12.9">
      <c r="A5" s="1" t="s">
        <v>2</v>
      </c>
    </row>
    <row r="7" spans="1:1" ht="12.9">
      <c r="A7" s="6" t="s">
        <v>54</v>
      </c>
    </row>
    <row r="8" spans="1:1" ht="12.9">
      <c r="A8" s="6" t="s">
        <v>48</v>
      </c>
    </row>
    <row r="9" spans="1:1" ht="12.9">
      <c r="A9" s="6" t="s">
        <v>4</v>
      </c>
    </row>
    <row r="10" spans="1:1" ht="12.9">
      <c r="A10" s="6" t="s">
        <v>55</v>
      </c>
    </row>
    <row r="11" spans="1:1" ht="12.9">
      <c r="A11" s="6" t="s">
        <v>56</v>
      </c>
    </row>
    <row r="12" spans="1:1" ht="12.9">
      <c r="A12" s="6" t="s">
        <v>57</v>
      </c>
    </row>
    <row r="13" spans="1:1" ht="12.9">
      <c r="A13" s="6" t="s">
        <v>8</v>
      </c>
    </row>
    <row r="14" spans="1:1" ht="12.9">
      <c r="A14" s="6" t="s">
        <v>9</v>
      </c>
    </row>
    <row r="16" spans="1:5" ht="13.6">
      <c r="A16" s="2"/>
      <c r="C16" s="7"/>
      <c r="E16" s="2"/>
    </row>
    <row r="17" spans="1:5" ht="12.9">
      <c r="A17" s="6" t="s">
        <v>10</v>
      </c>
      <c r="B17" s="26"/>
      <c r="C17" s="14">
        <f>C18+C19</f>
        <v>0.067900320327995062</v>
      </c>
      <c r="D17" s="3"/>
      <c r="E17" s="15"/>
    </row>
    <row r="18" spans="1:6" ht="12.9">
      <c r="A18" s="6" t="s">
        <v>12</v>
      </c>
      <c r="B18" s="26" t="s">
        <v>13</v>
      </c>
      <c r="C18" s="14">
        <f>C24*(C23/C31)+C26*(C25/(C25+C27+C29))*(1-C23/C31)</f>
        <v>0.029256946757862862</v>
      </c>
      <c r="D18" s="3"/>
      <c r="E18" s="8"/>
      <c r="F18" s="16"/>
    </row>
    <row r="19" spans="1:6" ht="12.9">
      <c r="A19" s="6" t="s">
        <v>14</v>
      </c>
      <c r="B19" s="6" t="s">
        <v>15</v>
      </c>
      <c r="C19" s="6">
        <f>(1-C23/C31)*(C28*(C27/(C25+C27+C29))+(C30*(C29/(C25+C27+C29))))</f>
        <v>0.0386433735701322</v>
      </c>
      <c r="D19" s="4"/>
      <c r="E19" s="8"/>
      <c r="F19" s="9"/>
    </row>
    <row r="20" spans="3:3" ht="12.9">
      <c r="C20" s="9"/>
    </row>
    <row r="21" spans="1:4" ht="12.9">
      <c r="A21" s="6" t="s">
        <v>12</v>
      </c>
      <c r="B21" s="6" t="s">
        <v>16</v>
      </c>
      <c r="C21" s="9">
        <f>C18</f>
        <v>0.029256946757862862</v>
      </c>
      <c r="D21" s="6" t="s">
        <v>17</v>
      </c>
    </row>
    <row r="22" spans="1:4" ht="12.9">
      <c r="A22" s="6" t="s">
        <v>14</v>
      </c>
      <c r="B22" s="6" t="s">
        <v>18</v>
      </c>
      <c r="C22" s="17">
        <f>C19</f>
        <v>0.0386433735701322</v>
      </c>
      <c r="D22" s="6" t="s">
        <v>17</v>
      </c>
    </row>
    <row r="23" spans="1:4" ht="12.9">
      <c r="A23" s="6" t="s">
        <v>19</v>
      </c>
      <c r="B23" s="6" t="s">
        <v>20</v>
      </c>
      <c r="C23" s="18">
        <v>57952000</v>
      </c>
      <c r="D23" s="6" t="s">
        <v>21</v>
      </c>
    </row>
    <row r="24" spans="1:3" ht="12.9">
      <c r="A24" s="6" t="s">
        <v>22</v>
      </c>
      <c r="B24" s="6" t="s">
        <v>23</v>
      </c>
      <c r="C24" s="17">
        <v>0.050056277777777783</v>
      </c>
    </row>
    <row r="25" spans="1:5" ht="12.9">
      <c r="A25" s="6" t="s">
        <v>24</v>
      </c>
      <c r="B25" s="6" t="s">
        <v>25</v>
      </c>
      <c r="C25" s="18">
        <v>772839124.03999996</v>
      </c>
      <c r="D25" s="6" t="s">
        <v>21</v>
      </c>
      <c r="E25" s="8"/>
    </row>
    <row r="26" spans="1:3" ht="12.9">
      <c r="A26" s="6" t="s">
        <v>26</v>
      </c>
      <c r="B26" s="6" t="s">
        <v>27</v>
      </c>
      <c r="C26" s="17">
        <v>0.04731946241276111</v>
      </c>
    </row>
    <row r="27" spans="1:3" ht="12.9">
      <c r="A27" s="6" t="s">
        <v>28</v>
      </c>
      <c r="B27" s="6" t="s">
        <v>29</v>
      </c>
      <c r="C27" s="17">
        <v>0</v>
      </c>
    </row>
    <row r="28" spans="1:3" ht="12.9">
      <c r="A28" s="6" t="s">
        <v>30</v>
      </c>
      <c r="B28" s="6" t="s">
        <v>31</v>
      </c>
      <c r="C28" s="17">
        <v>0</v>
      </c>
    </row>
    <row r="29" spans="1:4" ht="12.9">
      <c r="A29" s="6" t="s">
        <v>32</v>
      </c>
      <c r="B29" s="6" t="s">
        <v>33</v>
      </c>
      <c r="C29" s="18">
        <v>982493768</v>
      </c>
      <c r="D29" s="6" t="s">
        <v>21</v>
      </c>
    </row>
    <row r="30" spans="1:4" ht="12.9">
      <c r="A30" s="6" t="s">
        <v>34</v>
      </c>
      <c r="B30" s="6" t="s">
        <v>35</v>
      </c>
      <c r="C30" s="17">
        <v>0.097000000000000003</v>
      </c>
      <c r="D30" s="6" t="s">
        <v>21</v>
      </c>
    </row>
    <row r="31" spans="1:4" ht="12.9">
      <c r="A31" s="6" t="s">
        <v>36</v>
      </c>
      <c r="B31" s="6" t="s">
        <v>37</v>
      </c>
      <c r="C31" s="6">
        <v>201054000</v>
      </c>
      <c r="D31" s="6" t="s">
        <v>21</v>
      </c>
    </row>
    <row r="32" spans="1:1" ht="12.9">
      <c r="A32" s="12"/>
    </row>
    <row r="33" spans="1:1" ht="13.6">
      <c r="A33" s="5"/>
    </row>
    <row r="34" spans="1:6" ht="12.9">
      <c r="A34" s="6" t="s">
        <v>38</v>
      </c>
      <c r="C34" s="13"/>
      <c r="D34" s="19"/>
      <c r="E34" s="13"/>
      <c r="F34" s="10"/>
    </row>
    <row r="35" spans="1:6" ht="12.9">
      <c r="A35" s="6" t="s">
        <v>12</v>
      </c>
      <c r="B35" s="6" t="s">
        <v>16</v>
      </c>
      <c r="C35" s="13">
        <f>C18/12</f>
        <v>0.002438078896488572</v>
      </c>
      <c r="D35" s="19"/>
      <c r="E35" s="13"/>
      <c r="F35" s="10"/>
    </row>
    <row r="36" spans="1:3" ht="12.9">
      <c r="A36" s="6" t="s">
        <v>14</v>
      </c>
      <c r="B36" s="6" t="s">
        <v>18</v>
      </c>
      <c r="C36" s="13">
        <f>C19/12</f>
        <v>0.0032202811308443499</v>
      </c>
    </row>
  </sheetData>
  <pageMargins left="1.2" right="0.7" top="2.5" bottom="0.75" header="1" footer="0.3"/>
  <pageSetup orientation="portrait" scale="62" r:id="rId1"/>
  <headerFooter>
    <oddHeader>&amp;C
&amp;"Arial,Bold"
 2022 RATE CASE
ONCOR ELECTRIC DELIVERY COMPANY LLC
AFUDC NTUSU RATES
FOR THE TEST YEAR ENDING DECEMBER 31, 2021
SPONSOR: W. A. LEDBETTER&amp;R&amp;"Arial,Bold"WP/II-B-15A/02/4
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37"/>
  <sheetViews>
    <sheetView workbookViewId="0" topLeftCell="A1">
      <selection pane="topLeft" activeCell="C11" sqref="C11"/>
    </sheetView>
  </sheetViews>
  <sheetFormatPr defaultColWidth="9.12428571428571" defaultRowHeight="13.5"/>
  <cols>
    <col min="1" max="1" width="10.1428571428571" style="6" bestFit="1" customWidth="1"/>
    <col min="2" max="2" width="30.1428571428571" style="6" bestFit="1" customWidth="1"/>
    <col min="3" max="3" width="30" style="6" bestFit="1" customWidth="1"/>
    <col min="4" max="4" width="23.5714285714286" style="6" bestFit="1" customWidth="1"/>
    <col min="5" max="5" width="23.7142857142857" style="6" bestFit="1" customWidth="1"/>
    <col min="6" max="6" width="16.1428571428571" style="6" bestFit="1" customWidth="1"/>
    <col min="7" max="16384" width="9.14285714285714" style="6"/>
  </cols>
  <sheetData>
    <row r="1" spans="1:5" ht="14.3">
      <c r="A1" s="20" t="s">
        <v>67</v>
      </c>
      <c r="B1" s="20"/>
      <c r="C1" s="20"/>
      <c r="D1" s="20"/>
      <c r="E1" s="20"/>
    </row>
    <row r="3" spans="1:1" ht="12.9">
      <c r="A3" s="1" t="s">
        <v>58</v>
      </c>
    </row>
    <row r="4" spans="1:1" ht="12.9">
      <c r="A4" s="1" t="s">
        <v>59</v>
      </c>
    </row>
    <row r="5" spans="1:1" ht="12.9">
      <c r="A5" s="1" t="s">
        <v>2</v>
      </c>
    </row>
    <row r="7" spans="1:1" ht="12.9">
      <c r="A7" s="6" t="s">
        <v>60</v>
      </c>
    </row>
    <row r="8" spans="1:1" ht="12.9">
      <c r="A8" s="6" t="s">
        <v>48</v>
      </c>
    </row>
    <row r="9" spans="1:1" ht="12.9">
      <c r="A9" s="6" t="s">
        <v>61</v>
      </c>
    </row>
    <row r="10" spans="1:1" ht="12.9">
      <c r="A10" s="6" t="s">
        <v>62</v>
      </c>
    </row>
    <row r="11" spans="1:1" ht="12.9">
      <c r="A11" s="6" t="s">
        <v>63</v>
      </c>
    </row>
    <row r="12" spans="1:1" ht="12.9">
      <c r="A12" s="6" t="s">
        <v>64</v>
      </c>
    </row>
    <row r="13" spans="1:1" ht="12.9">
      <c r="A13" s="6" t="s">
        <v>8</v>
      </c>
    </row>
    <row r="14" spans="1:1" ht="12.9">
      <c r="A14" s="6" t="s">
        <v>65</v>
      </c>
    </row>
    <row r="16" spans="1:5" ht="13.6">
      <c r="A16" s="2"/>
      <c r="C16" s="7"/>
      <c r="E16" s="2"/>
    </row>
    <row r="17" spans="1:5" ht="12.9">
      <c r="A17" s="6" t="s">
        <v>10</v>
      </c>
      <c r="B17" s="26"/>
      <c r="C17" s="14">
        <f>C18+C19</f>
        <v>0.070357021414972104</v>
      </c>
      <c r="D17" s="3"/>
      <c r="E17" s="15"/>
    </row>
    <row r="18" spans="1:6" ht="12.9">
      <c r="A18" s="6" t="s">
        <v>12</v>
      </c>
      <c r="B18" s="26" t="s">
        <v>13</v>
      </c>
      <c r="C18" s="14">
        <f>C25*(C24/C32)+C27*(C26/(C26+C28+C30))*(1-C24/C32)</f>
        <v>0.02059820079189089</v>
      </c>
      <c r="D18" s="3"/>
      <c r="E18" s="8">
        <f>D18/365</f>
        <v>0</v>
      </c>
      <c r="F18" s="16"/>
    </row>
    <row r="19" spans="1:6" ht="12.9">
      <c r="A19" s="6" t="s">
        <v>14</v>
      </c>
      <c r="B19" s="6" t="s">
        <v>66</v>
      </c>
      <c r="C19" s="6">
        <f>(1-C24/C32)*(C29*(C28/(C26+C28+C30))+(C31*(C30/(C26+C28+C30))))</f>
        <v>0.049758820623081221</v>
      </c>
      <c r="D19" s="4"/>
      <c r="E19" s="8">
        <f>D19/365</f>
        <v>0</v>
      </c>
      <c r="F19" s="9"/>
    </row>
    <row r="20" spans="3:5" ht="12.9">
      <c r="C20" s="9"/>
      <c r="E20" s="6">
        <f>SUM(E18:E19)</f>
        <v>0</v>
      </c>
    </row>
    <row r="21" spans="3:3" ht="12.9">
      <c r="C21" s="9"/>
    </row>
    <row r="22" spans="1:4" ht="12.9">
      <c r="A22" s="6" t="s">
        <v>12</v>
      </c>
      <c r="B22" s="6" t="s">
        <v>16</v>
      </c>
      <c r="C22" s="17">
        <f>C18</f>
        <v>0.02059820079189089</v>
      </c>
      <c r="D22" s="6" t="s">
        <v>17</v>
      </c>
    </row>
    <row r="23" spans="1:4" ht="12.9">
      <c r="A23" s="6" t="s">
        <v>14</v>
      </c>
      <c r="B23" s="6" t="s">
        <v>18</v>
      </c>
      <c r="C23" s="18">
        <f>C19</f>
        <v>0.049758820623081221</v>
      </c>
      <c r="D23" s="6" t="s">
        <v>17</v>
      </c>
    </row>
    <row r="24" spans="1:4" ht="12.9">
      <c r="A24" s="6" t="s">
        <v>19</v>
      </c>
      <c r="B24" s="6" t="s">
        <v>20</v>
      </c>
      <c r="C24" s="17">
        <v>0</v>
      </c>
      <c r="D24" s="6" t="s">
        <v>21</v>
      </c>
    </row>
    <row r="25" spans="1:5" ht="12.9">
      <c r="A25" s="6" t="s">
        <v>22</v>
      </c>
      <c r="B25" s="6" t="s">
        <v>23</v>
      </c>
      <c r="C25" s="18">
        <v>0.040178682839506173</v>
      </c>
      <c r="E25" s="8"/>
    </row>
    <row r="26" spans="1:4" ht="12.9">
      <c r="A26" s="6" t="s">
        <v>24</v>
      </c>
      <c r="B26" s="6" t="s">
        <v>25</v>
      </c>
      <c r="C26" s="17">
        <v>609756050.43000007</v>
      </c>
      <c r="D26" s="6" t="s">
        <v>21</v>
      </c>
    </row>
    <row r="27" spans="1:3" ht="12.9">
      <c r="A27" s="6" t="s">
        <v>26</v>
      </c>
      <c r="B27" s="6" t="s">
        <v>27</v>
      </c>
      <c r="C27" s="17">
        <v>0.042294148943064214</v>
      </c>
    </row>
    <row r="28" spans="1:3" ht="12.9">
      <c r="A28" s="6" t="s">
        <v>28</v>
      </c>
      <c r="B28" s="6" t="s">
        <v>29</v>
      </c>
      <c r="C28" s="17">
        <v>0</v>
      </c>
    </row>
    <row r="29" spans="1:3" ht="12.9">
      <c r="A29" s="6" t="s">
        <v>30</v>
      </c>
      <c r="B29" s="6" t="s">
        <v>31</v>
      </c>
      <c r="C29" s="18">
        <v>0</v>
      </c>
    </row>
    <row r="30" spans="1:4" ht="12.9">
      <c r="A30" s="6" t="s">
        <v>32</v>
      </c>
      <c r="B30" s="6" t="s">
        <v>33</v>
      </c>
      <c r="C30" s="17">
        <v>642252000</v>
      </c>
      <c r="D30" s="6" t="s">
        <v>21</v>
      </c>
    </row>
    <row r="31" spans="1:4" ht="12.9">
      <c r="A31" s="6" t="s">
        <v>34</v>
      </c>
      <c r="B31" s="6" t="s">
        <v>35</v>
      </c>
      <c r="C31" s="6">
        <v>0.097000000000000003</v>
      </c>
      <c r="D31" s="6" t="s">
        <v>21</v>
      </c>
    </row>
    <row r="32" spans="1:4" ht="12.9">
      <c r="A32" s="12" t="s">
        <v>36</v>
      </c>
      <c r="B32" s="6" t="s">
        <v>37</v>
      </c>
      <c r="C32" s="6">
        <v>82880000</v>
      </c>
      <c r="D32" s="6" t="s">
        <v>21</v>
      </c>
    </row>
    <row r="33" spans="1:1" ht="13.6">
      <c r="A33" s="5"/>
    </row>
    <row r="34" spans="3:6" ht="12.9">
      <c r="C34" s="13"/>
      <c r="D34" s="19"/>
      <c r="E34" s="13"/>
      <c r="F34" s="10"/>
    </row>
    <row r="35" spans="1:6" ht="12.9">
      <c r="A35" s="6" t="s">
        <v>38</v>
      </c>
      <c r="C35" s="13"/>
      <c r="D35" s="19"/>
      <c r="E35" s="13"/>
      <c r="F35" s="10"/>
    </row>
    <row r="36" spans="1:3" ht="12.9">
      <c r="A36" s="6" t="s">
        <v>12</v>
      </c>
      <c r="B36" s="6" t="s">
        <v>16</v>
      </c>
      <c r="C36" s="13">
        <f>C18/12</f>
        <v>0.0017165167326575741</v>
      </c>
    </row>
    <row r="37" spans="1:3" ht="12.9">
      <c r="A37" s="6" t="s">
        <v>14</v>
      </c>
      <c r="B37" s="6" t="s">
        <v>18</v>
      </c>
      <c r="C37" s="6">
        <f>C19/12</f>
        <v>0.0041465683852567681</v>
      </c>
    </row>
  </sheetData>
  <pageMargins left="1.2" right="0.7" top="2.25" bottom="0.75" header="1" footer="0.3"/>
  <pageSetup orientation="portrait" scale="46" r:id="rId1"/>
  <headerFooter>
    <oddHeader>&amp;C&amp;"Arial,Bold"
 2022 RATE CASE
ONCOR ELECTRIC DELIVERY COMPANY LLC
AFUDC NTUSU RATES
FOR THE TEST YEAR ENDING DECEMBER 31, 2021
SPONSOR: W. A. LEDBETTER&amp;R&amp;"Arial,Bold"WP/II-B-15A/02/5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FHHXVRPN3UPD-1807981734-31225</_dlc_DocId>
    <_dlc_DocIdUrl xmlns="4f7156c1-be87-4d1f-9274-ce189f982c1a">
      <Url>http://intranet.corp.oncor.com/sites/Finance/_layouts/15/DocIdRedir.aspx?ID=FHHXVRPN3UPD-1807981734-31225</Url>
      <Description>FHHXVRPN3UPD-1807981734-31225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5C309C3-2C9A-4A7B-B3B7-399B5C4566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FBC36C-02A7-4AAB-8187-D6F3A88FFFB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f7156c1-be87-4d1f-9274-ce189f982c1a"/>
  </ds:schemaRefs>
</ds:datastoreItem>
</file>

<file path=customXml/itemProps3.xml><?xml version="1.0" encoding="utf-8"?>
<ds:datastoreItem xmlns:ds="http://schemas.openxmlformats.org/officeDocument/2006/customXml" ds:itemID="{D62AFA36-D23F-4BF6-BD11-DBF356C3F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4899FD6-4631-49DA-9AF5-D1173637E8B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WP II-B-15A_02 AFUDC NTUSU Rate</vt:lpstr>
      <vt:lpstr>WP II-B-15A_02-1</vt:lpstr>
      <vt:lpstr>WP II-B-15A_02-2</vt:lpstr>
      <vt:lpstr>WP II-B-15A_02-3</vt:lpstr>
      <vt:lpstr>WP II-B-15A_02-4</vt:lpstr>
      <vt:lpstr>WP II-B-15A_02-5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b9e2c759-5d58-4874-9d62-06fc05282b36</vt:lpwstr>
  </property>
</Properties>
</file>