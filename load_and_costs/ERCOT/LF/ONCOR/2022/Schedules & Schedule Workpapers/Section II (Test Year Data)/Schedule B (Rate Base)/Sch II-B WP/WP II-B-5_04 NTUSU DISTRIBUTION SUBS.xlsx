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-122" yWindow="-122" windowWidth="29045" windowHeight="15840" activeTab="0"/>
  </bookViews>
  <sheets>
    <sheet name="WP II-B-5_04" sheetId="1" r:id="rId2"/>
  </sheets>
  <definedNames>
    <definedName name="_xlnm.Print_Area" localSheetId="0">'WP II-B-5_04'!$A$3:$M$45</definedName>
    <definedName name="_xlnm.Print_Titles" localSheetId="0">'WP II-B-5_04'!$2:$2</definedName>
  </definedNames>
  <calcPr calcId="191029" iterate="1" iterateCount="100" iterateDelta="0.00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" i="1" l="1"/>
</calcChain>
</file>

<file path=xl/sharedStrings.xml><?xml version="1.0" encoding="utf-8"?>
<sst xmlns="http://schemas.openxmlformats.org/spreadsheetml/2006/main" count="52" uniqueCount="36">
  <si>
    <t>NTU DIST</t>
  </si>
  <si>
    <t>NTU TRAN</t>
  </si>
  <si>
    <t>Grand Total</t>
  </si>
  <si>
    <t>1993</t>
  </si>
  <si>
    <t>2004</t>
  </si>
  <si>
    <t>2005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</si>
  <si>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</si>
  <si>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</si>
  <si>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</si>
  <si>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</si>
  <si>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</si>
  <si>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</si>
  <si>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</si>
  <si>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</si>
  <si>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</si>
  <si>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2016</t>
  </si>
  <si>
    <t>2017</t>
  </si>
  <si>
    <t>2018</t>
  </si>
  <si>
    <t>2011</t>
  </si>
  <si>
    <t>2019</t>
  </si>
  <si>
    <t>2020</t>
  </si>
  <si>
    <t>2021</t>
  </si>
  <si>
    <t>Account</t>
  </si>
  <si>
    <t>Vintage Year</t>
  </si>
  <si>
    <t>ASL</t>
  </si>
  <si>
    <t>RL</t>
  </si>
  <si>
    <t>Net Salvage</t>
  </si>
  <si>
    <t>Theo Reser</t>
  </si>
  <si>
    <t>Proration</t>
  </si>
  <si>
    <t>Allloc Res</t>
  </si>
  <si>
    <t xml:space="preserve">NTUSU DIST </t>
  </si>
  <si>
    <t>NTUSU TRAN</t>
  </si>
  <si>
    <t>361 Total</t>
  </si>
  <si>
    <t>362 Total</t>
  </si>
  <si>
    <t>Plant</t>
  </si>
  <si>
    <t>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</si>
</sst>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/>
    <xf numFmtId="43" fontId="2" fillId="0" borderId="0" xfId="18" applyFont="1"/>
    <xf numFmtId="0" fontId="3" fillId="0" borderId="0" xfId="0" applyFont="1"/>
    <xf numFmtId="43" fontId="3" fillId="0" borderId="0" xfId="18" applyFont="1"/>
    <xf numFmtId="0" fontId="2" fillId="0" borderId="0" xfId="0" applyFont="1"/>
    <xf numFmtId="0" fontId="2" fillId="0" borderId="0" xfId="0" applyNumberFormat="1" applyFont="1"/>
    <xf numFmtId="0" fontId="3" fillId="0" borderId="0" xfId="0" applyNumberFormat="1" applyFont="1"/>
    <xf numFmtId="10" fontId="3" fillId="0" borderId="0" xfId="0" applyNumberFormat="1" applyFont="1"/>
    <xf numFmtId="10" fontId="2" fillId="0" borderId="0" xfId="0" applyNumberFormat="1" applyFont="1"/>
    <xf numFmtId="43" fontId="3" fillId="0" borderId="1" xfId="18" applyFont="1" applyBorder="1" applyAlignment="1">
      <alignment horizontal="center"/>
    </xf>
    <xf numFmtId="43" fontId="3" fillId="0" borderId="2" xfId="18" applyFont="1" applyBorder="1" applyAlignment="1">
      <alignment horizontal="center"/>
    </xf>
    <xf numFmtId="43" fontId="3" fillId="0" borderId="3" xfId="18" applyFont="1" applyBorder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M45"/>
  <sheetViews>
    <sheetView tabSelected="1" workbookViewId="0" topLeftCell="A1">
      <pane ySplit="2" topLeftCell="A3" activePane="bottomLeft" state="frozen"/>
      <selection pane="topLeft" activeCell="A1" sqref="A1"/>
      <selection pane="bottomLeft" activeCell="A3" sqref="A3"/>
    </sheetView>
  </sheetViews>
  <sheetFormatPr defaultColWidth="9.12428571428571" defaultRowHeight="15.75" outlineLevelRow="2"/>
  <cols>
    <col min="1" max="1" width="14.1428571428571" style="4" bestFit="1" customWidth="1"/>
    <col min="2" max="2" width="15.1428571428571" style="4" bestFit="1" customWidth="1"/>
    <col min="3" max="3" width="18.8571428571429" style="1" bestFit="1" customWidth="1"/>
    <col min="4" max="5" width="17.5714285714286" style="1" bestFit="1" customWidth="1"/>
    <col min="6" max="7" width="8.42857142857143" style="1" bestFit="1" customWidth="1"/>
    <col min="8" max="8" width="14.4285714285714" style="8" bestFit="1" customWidth="1"/>
    <col min="9" max="9" width="17.5714285714286" style="1" bestFit="1" customWidth="1"/>
    <col min="10" max="10" width="12.8571428571429" style="1" bestFit="1" customWidth="1"/>
    <col min="11" max="11" width="18.2857142857143" style="1" bestFit="1" customWidth="1"/>
    <col min="12" max="12" width="17.5714285714286" style="1" bestFit="1" customWidth="1"/>
    <col min="13" max="13" width="18.1428571428571" style="1" bestFit="1" customWidth="1"/>
    <col min="14" max="16384" width="9.14285714285714" style="4"/>
  </cols>
  <sheetData>
    <row r="1" spans="3:13" ht="15.65">
      <c r="C1" s="9" t="s">
        <v>34</v>
      </c>
      <c r="D1" s="10"/>
      <c r="E1" s="11"/>
      <c r="K1" s="9" t="s">
        <v>35</v>
      </c>
      <c r="L1" s="10"/>
      <c r="M1" s="11"/>
    </row>
    <row r="2" spans="1:13" ht="15.65">
      <c r="A2" s="2" t="s">
        <v>22</v>
      </c>
      <c r="B2" s="2" t="s">
        <v>23</v>
      </c>
      <c r="C2" s="3" t="s">
        <v>2</v>
      </c>
      <c r="D2" s="3" t="s">
        <v>0</v>
      </c>
      <c r="E2" s="3" t="s">
        <v>1</v>
      </c>
      <c r="F2" s="3" t="s">
        <v>24</v>
      </c>
      <c r="G2" s="3" t="s">
        <v>25</v>
      </c>
      <c r="H2" s="7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</row>
    <row r="3" spans="1:13" ht="15.65" outlineLevel="2">
      <c r="A3" s="4">
        <v>361</v>
      </c>
      <c r="B3" s="4" t="s">
        <v>17</v>
      </c>
      <c r="C3" s="1">
        <v>548908.31999999995</v>
      </c>
      <c r="D3" s="1">
        <v>386111.21999999997</v>
      </c>
      <c r="E3" s="1">
        <v>162797.10000000001</v>
      </c>
      <c r="F3" s="1">
        <v>65</v>
      </c>
      <c r="G3" s="1">
        <v>61.503995000000003</v>
      </c>
      <c r="H3" s="8">
        <v>-0.40000000000000002</v>
      </c>
      <c r="I3" s="1">
        <f t="shared" si="0" ref="I3:I17">+(1-H3)*(1-G3/F3)*C3</f>
        <v>41332.011134865163</v>
      </c>
      <c r="J3" s="1">
        <f t="shared" si="1" ref="J3:J17">$J$42</f>
        <v>1.4410958066032633</v>
      </c>
      <c r="K3" s="1">
        <f t="shared" si="2" ref="K3:K17">IF((C3*(1-H3)-I3*J3)&lt;0,C3*(1-H3),I3*J3)</f>
        <v>59563.387924933573</v>
      </c>
      <c r="L3" s="1">
        <f t="shared" si="3" ref="L3:L17">+K3*D3/C3</f>
        <v>41897.875366562803</v>
      </c>
      <c r="M3" s="1">
        <f t="shared" si="4" ref="M3:M17">+K3*E3/C3</f>
        <v>17665.512558370778</v>
      </c>
    </row>
    <row r="4" spans="1:13" ht="15.65" outlineLevel="2">
      <c r="A4" s="4">
        <v>361</v>
      </c>
      <c r="B4" s="4" t="s">
        <v>16</v>
      </c>
      <c r="C4" s="1">
        <v>806888.29000000004</v>
      </c>
      <c r="D4" s="1">
        <v>531416.15000000002</v>
      </c>
      <c r="E4" s="1">
        <v>275472.14000000001</v>
      </c>
      <c r="F4" s="1">
        <v>65</v>
      </c>
      <c r="G4" s="1">
        <v>60.505746000000002</v>
      </c>
      <c r="H4" s="8">
        <v>-0.40000000000000002</v>
      </c>
      <c r="I4" s="1">
        <f t="shared" si="0"/>
        <v>78106.23530522958</v>
      </c>
      <c r="J4" s="1">
        <f t="shared" si="1"/>
        <v>1.4410958066032633</v>
      </c>
      <c r="K4" s="1">
        <f t="shared" si="2"/>
        <v>112558.56816793411</v>
      </c>
      <c r="L4" s="1">
        <f t="shared" si="3"/>
        <v>74131.006344528927</v>
      </c>
      <c r="M4" s="1">
        <f t="shared" si="4"/>
        <v>38427.56182340518</v>
      </c>
    </row>
    <row r="5" spans="1:13" ht="15.65" outlineLevel="2">
      <c r="A5" s="4">
        <v>361</v>
      </c>
      <c r="B5" s="4" t="s">
        <v>15</v>
      </c>
      <c r="C5" s="1">
        <v>6277065.8000000007</v>
      </c>
      <c r="D5" s="1">
        <v>4394158.0300000003</v>
      </c>
      <c r="E5" s="1">
        <v>1882907.77</v>
      </c>
      <c r="F5" s="1">
        <v>65</v>
      </c>
      <c r="G5" s="1">
        <v>59.507902999999999</v>
      </c>
      <c r="H5" s="8">
        <v>-0.40000000000000002</v>
      </c>
      <c r="I5" s="1">
        <f t="shared" si="0"/>
        <v>742522.39920885651</v>
      </c>
      <c r="J5" s="1">
        <f t="shared" si="1"/>
        <v>1.4410958066032633</v>
      </c>
      <c r="K5" s="1">
        <f t="shared" si="2"/>
        <v>1070045.9158088774</v>
      </c>
      <c r="L5" s="1">
        <f t="shared" si="3"/>
        <v>749068.27540668484</v>
      </c>
      <c r="M5" s="1">
        <f t="shared" si="4"/>
        <v>320977.64040219254</v>
      </c>
    </row>
    <row r="6" spans="1:13" ht="15.65" outlineLevel="2">
      <c r="A6" s="4">
        <v>361</v>
      </c>
      <c r="B6" s="4" t="s">
        <v>14</v>
      </c>
      <c r="C6" s="1">
        <v>9443836.870000001</v>
      </c>
      <c r="D6" s="1">
        <v>4694897.9199999999</v>
      </c>
      <c r="E6" s="1">
        <v>4748938.9500000002</v>
      </c>
      <c r="F6" s="1">
        <v>65</v>
      </c>
      <c r="G6" s="1">
        <v>58.510458</v>
      </c>
      <c r="H6" s="8">
        <v>-0.40000000000000002</v>
      </c>
      <c r="I6" s="1">
        <f t="shared" si="0"/>
        <v>1320009.9448095234</v>
      </c>
      <c r="J6" s="1">
        <f t="shared" si="1"/>
        <v>1.4410958066032633</v>
      </c>
      <c r="K6" s="1">
        <f t="shared" si="2"/>
        <v>1902260.7961396093</v>
      </c>
      <c r="L6" s="1">
        <f t="shared" si="3"/>
        <v>945687.68796335591</v>
      </c>
      <c r="M6" s="1">
        <f t="shared" si="4"/>
        <v>956573.10817625327</v>
      </c>
    </row>
    <row r="7" spans="1:13" ht="15.65" outlineLevel="2">
      <c r="A7" s="4">
        <v>361</v>
      </c>
      <c r="B7" s="4" t="s">
        <v>13</v>
      </c>
      <c r="C7" s="1">
        <v>12562688.17</v>
      </c>
      <c r="D7" s="1">
        <v>6940619.8700000001</v>
      </c>
      <c r="E7" s="1">
        <v>5622068.2999999998</v>
      </c>
      <c r="F7" s="1">
        <v>65</v>
      </c>
      <c r="G7" s="1">
        <v>57.513595000000002</v>
      </c>
      <c r="H7" s="8">
        <v>-0.40000000000000002</v>
      </c>
      <c r="I7" s="1">
        <f t="shared" si="0"/>
        <v>2025678.771400928</v>
      </c>
      <c r="J7" s="1">
        <f t="shared" si="1"/>
        <v>1.4410958066032633</v>
      </c>
      <c r="K7" s="1">
        <f t="shared" si="2"/>
        <v>2919197.1829911279</v>
      </c>
      <c r="L7" s="1">
        <f t="shared" si="3"/>
        <v>1612794.7855221061</v>
      </c>
      <c r="M7" s="1">
        <f t="shared" si="4"/>
        <v>1306402.3974690219</v>
      </c>
    </row>
    <row r="8" spans="1:13" ht="15.65" outlineLevel="2">
      <c r="A8" s="4">
        <v>361</v>
      </c>
      <c r="B8" s="4" t="s">
        <v>12</v>
      </c>
      <c r="C8" s="1">
        <v>6092269.3599999994</v>
      </c>
      <c r="D8" s="1">
        <v>3635036.8999999999</v>
      </c>
      <c r="E8" s="1">
        <v>2457232.46</v>
      </c>
      <c r="F8" s="1">
        <v>65</v>
      </c>
      <c r="G8" s="1">
        <v>56.517285000000001</v>
      </c>
      <c r="H8" s="8">
        <v>-0.40000000000000002</v>
      </c>
      <c r="I8" s="1">
        <f t="shared" si="0"/>
        <v>1113085.8239654973</v>
      </c>
      <c r="J8" s="1">
        <f t="shared" si="1"/>
        <v>1.4410958066032633</v>
      </c>
      <c r="K8" s="1">
        <f t="shared" si="2"/>
        <v>1604063.3133062164</v>
      </c>
      <c r="L8" s="1">
        <f t="shared" si="3"/>
        <v>957086.59437939851</v>
      </c>
      <c r="M8" s="1">
        <f t="shared" si="4"/>
        <v>646976.71892681788</v>
      </c>
    </row>
    <row r="9" spans="1:13" ht="15.65" outlineLevel="2">
      <c r="A9" s="4">
        <v>361</v>
      </c>
      <c r="B9" s="4" t="s">
        <v>11</v>
      </c>
      <c r="C9" s="1">
        <v>517826.46999999997</v>
      </c>
      <c r="D9" s="1">
        <v>217909.98999999999</v>
      </c>
      <c r="E9" s="1">
        <v>299916.47999999998</v>
      </c>
      <c r="F9" s="1">
        <v>65</v>
      </c>
      <c r="G9" s="1">
        <v>55.521743000000001</v>
      </c>
      <c r="H9" s="8">
        <v>-0.40000000000000002</v>
      </c>
      <c r="I9" s="1">
        <f t="shared" si="0"/>
        <v>105712.75861058319</v>
      </c>
      <c r="J9" s="1">
        <f t="shared" si="1"/>
        <v>1.4410958066032633</v>
      </c>
      <c r="K9" s="1">
        <f t="shared" si="2"/>
        <v>152342.21313817444</v>
      </c>
      <c r="L9" s="1">
        <f t="shared" si="3"/>
        <v>64108.136730664737</v>
      </c>
      <c r="M9" s="1">
        <f t="shared" si="4"/>
        <v>88234.076407509696</v>
      </c>
    </row>
    <row r="10" spans="1:13" ht="15.65" outlineLevel="2">
      <c r="A10" s="4">
        <v>361</v>
      </c>
      <c r="B10" s="4" t="s">
        <v>10</v>
      </c>
      <c r="C10" s="1">
        <v>834077.93999999994</v>
      </c>
      <c r="D10" s="1">
        <v>479042.82000000001</v>
      </c>
      <c r="E10" s="1">
        <v>355035.12</v>
      </c>
      <c r="F10" s="1">
        <v>65</v>
      </c>
      <c r="G10" s="1">
        <v>53.533188000000003</v>
      </c>
      <c r="H10" s="8">
        <v>-0.40000000000000002</v>
      </c>
      <c r="I10" s="1">
        <f t="shared" si="0"/>
        <v>205998.47544397216</v>
      </c>
      <c r="J10" s="1">
        <f t="shared" si="1"/>
        <v>1.4410958066032633</v>
      </c>
      <c r="K10" s="1">
        <f t="shared" si="2"/>
        <v>296863.53912897361</v>
      </c>
      <c r="L10" s="1">
        <f t="shared" si="3"/>
        <v>170500.06974111302</v>
      </c>
      <c r="M10" s="1">
        <f t="shared" si="4"/>
        <v>126363.46938786063</v>
      </c>
    </row>
    <row r="11" spans="1:13" ht="15.65" outlineLevel="2">
      <c r="A11" s="4">
        <v>361</v>
      </c>
      <c r="B11" s="4" t="s">
        <v>9</v>
      </c>
      <c r="C11" s="1">
        <v>82128.029999999999</v>
      </c>
      <c r="D11" s="1">
        <v>23117.669999999998</v>
      </c>
      <c r="E11" s="1">
        <v>59010.360000000001</v>
      </c>
      <c r="F11" s="1">
        <v>65</v>
      </c>
      <c r="G11" s="1">
        <v>52.540466000000002</v>
      </c>
      <c r="H11" s="8">
        <v>-0.40000000000000002</v>
      </c>
      <c r="I11" s="1">
        <f t="shared" si="0"/>
        <v>22039.811922972734</v>
      </c>
      <c r="J11" s="1">
        <f t="shared" si="1"/>
        <v>1.4410958066032633</v>
      </c>
      <c r="K11" s="1">
        <f t="shared" si="2"/>
        <v>31761.480540520613</v>
      </c>
      <c r="L11" s="1">
        <f t="shared" si="3"/>
        <v>8940.326778167906</v>
      </c>
      <c r="M11" s="1">
        <f t="shared" si="4"/>
        <v>22821.153762352707</v>
      </c>
    </row>
    <row r="12" spans="1:13" ht="15.65" outlineLevel="2">
      <c r="A12" s="4">
        <v>361</v>
      </c>
      <c r="B12" s="4" t="s">
        <v>8</v>
      </c>
      <c r="C12" s="1">
        <v>304351.72999999998</v>
      </c>
      <c r="D12" s="1">
        <v>232379.70000000001</v>
      </c>
      <c r="E12" s="1">
        <v>71972.029999999999</v>
      </c>
      <c r="F12" s="1">
        <v>65</v>
      </c>
      <c r="G12" s="1">
        <v>51.548991999999998</v>
      </c>
      <c r="H12" s="8">
        <v>-0.40000000000000002</v>
      </c>
      <c r="I12" s="1">
        <f t="shared" si="0"/>
        <v>88174.962724021156</v>
      </c>
      <c r="J12" s="1">
        <f t="shared" si="1"/>
        <v>1.4410958066032633</v>
      </c>
      <c r="K12" s="1">
        <f t="shared" si="2"/>
        <v>127068.56902898595</v>
      </c>
      <c r="L12" s="1">
        <f t="shared" si="3"/>
        <v>97019.83934964014</v>
      </c>
      <c r="M12" s="1">
        <f t="shared" si="4"/>
        <v>30048.729679345826</v>
      </c>
    </row>
    <row r="13" spans="1:13" ht="15.65" outlineLevel="2">
      <c r="A13" s="4">
        <v>361</v>
      </c>
      <c r="B13" s="4" t="s">
        <v>7</v>
      </c>
      <c r="C13" s="1">
        <v>1074.3299999999999</v>
      </c>
      <c r="D13" s="1">
        <v>641.66999999999996</v>
      </c>
      <c r="E13" s="1">
        <v>432.66000000000002</v>
      </c>
      <c r="F13" s="1">
        <v>65</v>
      </c>
      <c r="G13" s="1">
        <v>50.558951</v>
      </c>
      <c r="H13" s="8">
        <v>-0.40000000000000002</v>
      </c>
      <c r="I13" s="1">
        <f t="shared" si="0"/>
        <v>334.15743140058458</v>
      </c>
      <c r="J13" s="1">
        <f t="shared" si="1"/>
        <v>1.4410958066032633</v>
      </c>
      <c r="K13" s="1">
        <f t="shared" si="2"/>
        <v>481.55287313670004</v>
      </c>
      <c r="L13" s="1">
        <f t="shared" si="3"/>
        <v>287.61929026055896</v>
      </c>
      <c r="M13" s="1">
        <f t="shared" si="4"/>
        <v>193.93358287614109</v>
      </c>
    </row>
    <row r="14" spans="1:13" ht="15.65" outlineLevel="2">
      <c r="A14" s="4">
        <v>361</v>
      </c>
      <c r="B14" s="4" t="s">
        <v>6</v>
      </c>
      <c r="C14" s="1">
        <v>821.54999999999995</v>
      </c>
      <c r="D14" s="1">
        <v>165.16</v>
      </c>
      <c r="E14" s="1">
        <v>656.38999999999999</v>
      </c>
      <c r="F14" s="1">
        <v>65</v>
      </c>
      <c r="G14" s="1">
        <v>49.570459999999997</v>
      </c>
      <c r="H14" s="8">
        <v>-0.40000000000000002</v>
      </c>
      <c r="I14" s="1">
        <f t="shared" si="0"/>
        <v>273.0245234123077</v>
      </c>
      <c r="J14" s="1">
        <f t="shared" si="1"/>
        <v>1.4410958066032633</v>
      </c>
      <c r="K14" s="1">
        <f t="shared" si="2"/>
        <v>393.45449578933113</v>
      </c>
      <c r="L14" s="1">
        <f t="shared" si="3"/>
        <v>79.097978850424113</v>
      </c>
      <c r="M14" s="1">
        <f t="shared" si="4"/>
        <v>314.35651693890702</v>
      </c>
    </row>
    <row r="15" spans="1:13" ht="15.65" outlineLevel="2">
      <c r="A15" s="4">
        <v>361</v>
      </c>
      <c r="B15" s="4" t="s">
        <v>5</v>
      </c>
      <c r="C15" s="1">
        <v>725.53999999999996</v>
      </c>
      <c r="D15" s="1">
        <v>586.88999999999999</v>
      </c>
      <c r="E15" s="1">
        <v>138.65000000000001</v>
      </c>
      <c r="F15" s="1">
        <v>65</v>
      </c>
      <c r="G15" s="1">
        <v>48.583865000000003</v>
      </c>
      <c r="H15" s="8">
        <v>-0.40000000000000002</v>
      </c>
      <c r="I15" s="1">
        <f t="shared" si="0"/>
        <v>256.53519420092294</v>
      </c>
      <c r="J15" s="1">
        <f t="shared" si="1"/>
        <v>1.4410958066032633</v>
      </c>
      <c r="K15" s="1">
        <f t="shared" si="2"/>
        <v>369.69179260910386</v>
      </c>
      <c r="L15" s="1">
        <f t="shared" si="3"/>
        <v>299.04404466239902</v>
      </c>
      <c r="M15" s="1">
        <f t="shared" si="4"/>
        <v>70.647747946704868</v>
      </c>
    </row>
    <row r="16" spans="1:13" ht="15.65" outlineLevel="2">
      <c r="A16" s="4">
        <v>361</v>
      </c>
      <c r="B16" s="4" t="s">
        <v>4</v>
      </c>
      <c r="C16" s="1">
        <v>5802.3099999999995</v>
      </c>
      <c r="D16" s="1">
        <v>3713.8499999999999</v>
      </c>
      <c r="E16" s="1">
        <v>2088.46</v>
      </c>
      <c r="F16" s="1">
        <v>65</v>
      </c>
      <c r="G16" s="1">
        <v>47.599161000000002</v>
      </c>
      <c r="H16" s="8">
        <v>-0.40000000000000002</v>
      </c>
      <c r="I16" s="1">
        <f t="shared" si="0"/>
        <v>2174.6321075896303</v>
      </c>
      <c r="J16" s="1">
        <f t="shared" si="1"/>
        <v>1.4410958066032633</v>
      </c>
      <c r="K16" s="1">
        <f t="shared" si="2"/>
        <v>3133.8532111522327</v>
      </c>
      <c r="L16" s="1">
        <f t="shared" si="3"/>
        <v>2005.8667579356707</v>
      </c>
      <c r="M16" s="1">
        <f t="shared" si="4"/>
        <v>1127.9864532165625</v>
      </c>
    </row>
    <row r="17" spans="1:13" ht="15.65" outlineLevel="2">
      <c r="A17" s="4">
        <v>361</v>
      </c>
      <c r="B17" s="4" t="s">
        <v>3</v>
      </c>
      <c r="C17" s="1">
        <v>250640.92000000001</v>
      </c>
      <c r="D17" s="1">
        <v>147086.54000000001</v>
      </c>
      <c r="E17" s="1">
        <v>103554.38000000001</v>
      </c>
      <c r="F17" s="1">
        <v>65</v>
      </c>
      <c r="G17" s="1">
        <v>36.985152999999997</v>
      </c>
      <c r="H17" s="8">
        <v>-0.40000000000000002</v>
      </c>
      <c r="I17" s="1">
        <f t="shared" si="0"/>
        <v>151235.90516976826</v>
      </c>
      <c r="J17" s="1">
        <f t="shared" si="1"/>
        <v>1.4410958066032633</v>
      </c>
      <c r="K17" s="1">
        <f t="shared" si="2"/>
        <v>217945.42874800184</v>
      </c>
      <c r="L17" s="1">
        <f t="shared" si="3"/>
        <v>127899.46279865284</v>
      </c>
      <c r="M17" s="1">
        <f t="shared" si="4"/>
        <v>90045.965949349003</v>
      </c>
    </row>
    <row r="18" spans="1:13" ht="15.65" outlineLevel="1">
      <c r="A18" s="2" t="s">
        <v>32</v>
      </c>
      <c r="C18" s="1">
        <f>SUBTOTAL(9,C3:C17)</f>
        <v>37729105.629999995</v>
      </c>
      <c r="D18" s="1">
        <f>SUBTOTAL(9,D3:D17)</f>
        <v>21686884.380000003</v>
      </c>
      <c r="E18" s="1">
        <f>SUBTOTAL(9,E3:E17)</f>
        <v>16042221.25</v>
      </c>
      <c r="I18" s="1">
        <f>SUBTOTAL(9,I3:I17)</f>
        <v>5896935.4489528192</v>
      </c>
      <c r="K18" s="1">
        <f>SUBTOTAL(9,K3:K17)</f>
        <v>8498048.947296042</v>
      </c>
      <c r="L18" s="1">
        <f>SUBTOTAL(9,L3:L17)</f>
        <v>4851805.6884525856</v>
      </c>
      <c r="M18" s="1">
        <f>SUBTOTAL(9,M3:M17)</f>
        <v>3646243.2588434583</v>
      </c>
    </row>
    <row r="19" spans="1:13" ht="15.65" outlineLevel="2">
      <c r="A19" s="5">
        <v>362</v>
      </c>
      <c r="B19" s="4" t="s">
        <v>21</v>
      </c>
      <c r="C19" s="1">
        <v>318887.80000000005</v>
      </c>
      <c r="D19" s="1">
        <v>194463.98000000001</v>
      </c>
      <c r="E19" s="1">
        <v>124423.82000000001</v>
      </c>
      <c r="F19" s="1">
        <v>58</v>
      </c>
      <c r="G19" s="1">
        <v>57.587978</v>
      </c>
      <c r="H19" s="8">
        <v>-0.25</v>
      </c>
      <c r="I19" s="1">
        <f t="shared" si="5" ref="I19:I37">+(1-H19)*(1-G19/F19)*C19</f>
        <v>2831.6549381810232</v>
      </c>
      <c r="J19" s="1">
        <f t="shared" si="6" ref="J19:J37">$J$42</f>
        <v>1.4410958066032633</v>
      </c>
      <c r="K19" s="1">
        <f t="shared" si="7" ref="K19:K37">IF((C19*(1-H19)-I19*J19)&lt;0,C19*(1-H19),I19*J19)</f>
        <v>4080.6860571600955</v>
      </c>
      <c r="L19" s="1">
        <f t="shared" si="8" ref="L19:L37">+K19*D19/C19</f>
        <v>2488.4816910708391</v>
      </c>
      <c r="M19" s="1">
        <f t="shared" si="9" ref="M19:M37">+K19*E19/C19</f>
        <v>1592.2043660892557</v>
      </c>
    </row>
    <row r="20" spans="1:13" ht="15.65" outlineLevel="2">
      <c r="A20" s="5">
        <v>362</v>
      </c>
      <c r="B20" s="4" t="s">
        <v>20</v>
      </c>
      <c r="C20" s="1">
        <v>27029.049999999999</v>
      </c>
      <c r="D20" s="1">
        <v>12416.49</v>
      </c>
      <c r="E20" s="1">
        <v>14612.56</v>
      </c>
      <c r="F20" s="1">
        <v>58</v>
      </c>
      <c r="G20" s="1">
        <v>56.766787000000001</v>
      </c>
      <c r="H20" s="8">
        <v>-0.25</v>
      </c>
      <c r="I20" s="1">
        <f t="shared" si="5"/>
        <v>718.37447925969889</v>
      </c>
      <c r="J20" s="1">
        <f t="shared" si="6"/>
        <v>1.4410958066032633</v>
      </c>
      <c r="K20" s="1">
        <f t="shared" si="7"/>
        <v>1035.2464496319551</v>
      </c>
      <c r="L20" s="1">
        <f t="shared" si="8"/>
        <v>475.56710980928574</v>
      </c>
      <c r="M20" s="1">
        <f t="shared" si="9"/>
        <v>559.67933982266936</v>
      </c>
    </row>
    <row r="21" spans="1:13" ht="15.65" outlineLevel="2">
      <c r="A21" s="5">
        <v>362</v>
      </c>
      <c r="B21" s="4" t="s">
        <v>19</v>
      </c>
      <c r="C21" s="1">
        <v>664268.95000000007</v>
      </c>
      <c r="D21" s="1">
        <v>10081.799999999999</v>
      </c>
      <c r="E21" s="1">
        <v>654187.15000000002</v>
      </c>
      <c r="F21" s="1">
        <v>58</v>
      </c>
      <c r="G21" s="1">
        <v>55.949395000000003</v>
      </c>
      <c r="H21" s="8">
        <v>-0.25</v>
      </c>
      <c r="I21" s="1">
        <f t="shared" si="5"/>
        <v>29356.750651179878</v>
      </c>
      <c r="J21" s="1">
        <f t="shared" si="6"/>
        <v>1.4410958066032633</v>
      </c>
      <c r="K21" s="1">
        <f t="shared" si="7"/>
        <v>42305.890258912943</v>
      </c>
      <c r="L21" s="1">
        <f t="shared" si="8"/>
        <v>642.08860644819902</v>
      </c>
      <c r="M21" s="1">
        <f t="shared" si="9"/>
        <v>41663.801652464739</v>
      </c>
    </row>
    <row r="22" spans="1:13" ht="15.65" outlineLevel="2">
      <c r="A22" s="5">
        <v>362</v>
      </c>
      <c r="B22" s="4" t="s">
        <v>17</v>
      </c>
      <c r="C22" s="1">
        <v>5027460.9299999997</v>
      </c>
      <c r="D22" s="1">
        <v>3286051.5299999998</v>
      </c>
      <c r="E22" s="1">
        <v>1741409.3999999999</v>
      </c>
      <c r="F22" s="1">
        <v>58</v>
      </c>
      <c r="G22" s="1">
        <v>55.135801999999998</v>
      </c>
      <c r="H22" s="8">
        <v>-0.25</v>
      </c>
      <c r="I22" s="1">
        <f t="shared" si="5"/>
        <v>310337.14527552063</v>
      </c>
      <c r="J22" s="1">
        <f t="shared" si="6"/>
        <v>1.4410958066032633</v>
      </c>
      <c r="K22" s="1">
        <f t="shared" si="7"/>
        <v>447225.55868978048</v>
      </c>
      <c r="L22" s="1">
        <f t="shared" si="8"/>
        <v>292315.79356851568</v>
      </c>
      <c r="M22" s="1">
        <f t="shared" si="9"/>
        <v>154909.76512126479</v>
      </c>
    </row>
    <row r="23" spans="1:13" ht="15.65" outlineLevel="2">
      <c r="A23" s="5">
        <v>362</v>
      </c>
      <c r="B23" s="4" t="s">
        <v>16</v>
      </c>
      <c r="C23" s="1">
        <v>13006102.26</v>
      </c>
      <c r="D23" s="1">
        <v>9149734.9100000001</v>
      </c>
      <c r="E23" s="1">
        <v>3856367.3500000001</v>
      </c>
      <c r="F23" s="1">
        <v>58</v>
      </c>
      <c r="G23" s="1">
        <v>54.326518999999998</v>
      </c>
      <c r="H23" s="8">
        <v>-0.25</v>
      </c>
      <c r="I23" s="1">
        <f t="shared" si="5"/>
        <v>1029691.1537967051</v>
      </c>
      <c r="J23" s="1">
        <f t="shared" si="6"/>
        <v>1.4410958066032633</v>
      </c>
      <c r="K23" s="1">
        <f t="shared" si="7"/>
        <v>1483883.6038329075</v>
      </c>
      <c r="L23" s="1">
        <f t="shared" si="8"/>
        <v>1043905.4945863977</v>
      </c>
      <c r="M23" s="1">
        <f t="shared" si="9"/>
        <v>439978.10924650991</v>
      </c>
    </row>
    <row r="24" spans="1:13" ht="15.65" outlineLevel="2">
      <c r="A24" s="5">
        <v>362</v>
      </c>
      <c r="B24" s="4" t="s">
        <v>15</v>
      </c>
      <c r="C24" s="1">
        <v>18739151.550000001</v>
      </c>
      <c r="D24" s="1">
        <v>15119280.02</v>
      </c>
      <c r="E24" s="1">
        <v>3619871.5299999998</v>
      </c>
      <c r="F24" s="1">
        <v>58</v>
      </c>
      <c r="G24" s="1">
        <v>53.521143000000002</v>
      </c>
      <c r="H24" s="8">
        <v>-0.25</v>
      </c>
      <c r="I24" s="1">
        <f t="shared" si="5"/>
        <v>1808835.7778831534</v>
      </c>
      <c r="J24" s="1">
        <f t="shared" si="6"/>
        <v>1.4410958066032633</v>
      </c>
      <c r="K24" s="1">
        <f t="shared" si="7"/>
        <v>2606705.6543413643</v>
      </c>
      <c r="L24" s="1">
        <f t="shared" si="8"/>
        <v>2103164.2021009438</v>
      </c>
      <c r="M24" s="1">
        <f t="shared" si="9"/>
        <v>503541.45224042033</v>
      </c>
    </row>
    <row r="25" spans="1:13" ht="15.65" outlineLevel="2">
      <c r="A25" s="5">
        <v>362</v>
      </c>
      <c r="B25" s="4" t="s">
        <v>14</v>
      </c>
      <c r="C25" s="1">
        <v>18895328.899999999</v>
      </c>
      <c r="D25" s="1">
        <v>11388199.199999999</v>
      </c>
      <c r="E25" s="1">
        <v>7507129.7000000002</v>
      </c>
      <c r="F25" s="1">
        <v>58</v>
      </c>
      <c r="G25" s="1">
        <v>52.719607000000003</v>
      </c>
      <c r="H25" s="8">
        <v>-0.25</v>
      </c>
      <c r="I25" s="1">
        <f t="shared" si="5"/>
        <v>2150318.156384862</v>
      </c>
      <c r="J25" s="1">
        <f t="shared" si="6"/>
        <v>1.4410958066032633</v>
      </c>
      <c r="K25" s="1">
        <f t="shared" si="7"/>
        <v>3098814.4780290849</v>
      </c>
      <c r="L25" s="1">
        <f t="shared" si="8"/>
        <v>1867652.939327203</v>
      </c>
      <c r="M25" s="1">
        <f t="shared" si="9"/>
        <v>1231161.5387018821</v>
      </c>
    </row>
    <row r="26" spans="1:13" ht="15.65" outlineLevel="2">
      <c r="A26" s="5">
        <v>362</v>
      </c>
      <c r="B26" s="4" t="s">
        <v>13</v>
      </c>
      <c r="C26" s="1">
        <v>21300369.630000003</v>
      </c>
      <c r="D26" s="1">
        <v>9352867.8800000008</v>
      </c>
      <c r="E26" s="1">
        <v>11947501.75</v>
      </c>
      <c r="F26" s="1">
        <v>58</v>
      </c>
      <c r="G26" s="1">
        <v>51.922066999999998</v>
      </c>
      <c r="H26" s="8">
        <v>-0.25</v>
      </c>
      <c r="I26" s="1">
        <f t="shared" si="5"/>
        <v>2790134.0406546313</v>
      </c>
      <c r="J26" s="1">
        <f t="shared" si="6"/>
        <v>1.4410958066032633</v>
      </c>
      <c r="K26" s="1">
        <f t="shared" si="7"/>
        <v>4020850.4658484082</v>
      </c>
      <c r="L26" s="1">
        <f t="shared" si="8"/>
        <v>1765531.9520535762</v>
      </c>
      <c r="M26" s="1">
        <f t="shared" si="9"/>
        <v>2255318.5137948315</v>
      </c>
    </row>
    <row r="27" spans="1:13" ht="15.65" outlineLevel="2">
      <c r="A27" s="5">
        <v>362</v>
      </c>
      <c r="B27" s="4" t="s">
        <v>12</v>
      </c>
      <c r="C27" s="1">
        <v>14735287.9</v>
      </c>
      <c r="D27" s="1">
        <v>9514796.0700000003</v>
      </c>
      <c r="E27" s="1">
        <v>5220491.8300000001</v>
      </c>
      <c r="F27" s="1">
        <v>58</v>
      </c>
      <c r="G27" s="1">
        <v>51.128830999999998</v>
      </c>
      <c r="H27" s="8">
        <v>-0.25</v>
      </c>
      <c r="I27" s="1">
        <f t="shared" si="5"/>
        <v>2182083.0479429984</v>
      </c>
      <c r="J27" s="1">
        <f t="shared" si="6"/>
        <v>1.4410958066032633</v>
      </c>
      <c r="K27" s="1">
        <f t="shared" si="7"/>
        <v>3144590.7300507226</v>
      </c>
      <c r="L27" s="1">
        <f t="shared" si="8"/>
        <v>2030509.3272079907</v>
      </c>
      <c r="M27" s="1">
        <f t="shared" si="9"/>
        <v>1114081.4028427319</v>
      </c>
    </row>
    <row r="28" spans="1:13" ht="15.65" outlineLevel="2">
      <c r="A28" s="5">
        <v>362</v>
      </c>
      <c r="B28" s="4" t="s">
        <v>11</v>
      </c>
      <c r="C28" s="1">
        <v>1011259.2000000001</v>
      </c>
      <c r="D28" s="1">
        <v>113104.39</v>
      </c>
      <c r="E28" s="1">
        <v>898154.81000000006</v>
      </c>
      <c r="F28" s="1">
        <v>58</v>
      </c>
      <c r="G28" s="1">
        <v>50.339478999999997</v>
      </c>
      <c r="H28" s="8">
        <v>-0.25</v>
      </c>
      <c r="I28" s="1">
        <f t="shared" si="5"/>
        <v>166956.3003888622</v>
      </c>
      <c r="J28" s="1">
        <f t="shared" si="6"/>
        <v>1.4410958066032633</v>
      </c>
      <c r="K28" s="1">
        <f t="shared" si="7"/>
        <v>240600.0243763841</v>
      </c>
      <c r="L28" s="1">
        <f t="shared" si="8"/>
        <v>26909.934654810608</v>
      </c>
      <c r="M28" s="1">
        <f t="shared" si="9"/>
        <v>213690.08972157349</v>
      </c>
    </row>
    <row r="29" spans="1:13" ht="15.65" outlineLevel="2">
      <c r="A29" s="5">
        <v>362</v>
      </c>
      <c r="B29" s="4" t="s">
        <v>18</v>
      </c>
      <c r="C29" s="1">
        <v>46433.260000000002</v>
      </c>
      <c r="D29" s="1">
        <v>2541.0100000000002</v>
      </c>
      <c r="E29" s="1">
        <v>43892.25</v>
      </c>
      <c r="F29" s="1">
        <v>58</v>
      </c>
      <c r="G29" s="1">
        <v>49.554006999999999</v>
      </c>
      <c r="H29" s="8">
        <v>-0.25</v>
      </c>
      <c r="I29" s="1">
        <f t="shared" si="5"/>
        <v>8452.0471751547411</v>
      </c>
      <c r="J29" s="1">
        <f t="shared" si="6"/>
        <v>1.4410958066032633</v>
      </c>
      <c r="K29" s="1">
        <f t="shared" si="7"/>
        <v>12180.209741328456</v>
      </c>
      <c r="L29" s="1">
        <f t="shared" si="8"/>
        <v>666.54882200416296</v>
      </c>
      <c r="M29" s="1">
        <f t="shared" si="9"/>
        <v>11513.660919324293</v>
      </c>
    </row>
    <row r="30" spans="1:13" ht="15.65" outlineLevel="2">
      <c r="A30" s="5">
        <v>362</v>
      </c>
      <c r="B30" s="4" t="s">
        <v>10</v>
      </c>
      <c r="C30" s="1">
        <v>2179344.2199999997</v>
      </c>
      <c r="D30" s="1">
        <v>1340986.97</v>
      </c>
      <c r="E30" s="1">
        <v>838357.25</v>
      </c>
      <c r="F30" s="1">
        <v>58</v>
      </c>
      <c r="G30" s="1">
        <v>48.772807</v>
      </c>
      <c r="H30" s="8">
        <v>-0.25</v>
      </c>
      <c r="I30" s="1">
        <f t="shared" si="5"/>
        <v>433388.5717968634</v>
      </c>
      <c r="J30" s="1">
        <f t="shared" si="6"/>
        <v>1.4410958066032633</v>
      </c>
      <c r="K30" s="1">
        <f t="shared" si="7"/>
        <v>624554.45344623714</v>
      </c>
      <c r="L30" s="1">
        <f t="shared" si="8"/>
        <v>384298.80715533579</v>
      </c>
      <c r="M30" s="1">
        <f t="shared" si="9"/>
        <v>240255.64629090141</v>
      </c>
    </row>
    <row r="31" spans="1:13" ht="15.65" outlineLevel="2">
      <c r="A31" s="5">
        <v>362</v>
      </c>
      <c r="B31" s="4" t="s">
        <v>9</v>
      </c>
      <c r="C31" s="1">
        <v>114405.99000000001</v>
      </c>
      <c r="D31" s="1">
        <v>94834.270000000004</v>
      </c>
      <c r="E31" s="1">
        <v>19571.720000000001</v>
      </c>
      <c r="F31" s="1">
        <v>58</v>
      </c>
      <c r="G31" s="1">
        <v>47.995755000000003</v>
      </c>
      <c r="H31" s="8">
        <v>-0.25</v>
      </c>
      <c r="I31" s="1">
        <f t="shared" si="5"/>
        <v>24666.930030766154</v>
      </c>
      <c r="J31" s="1">
        <f t="shared" si="6"/>
        <v>1.4410958066032633</v>
      </c>
      <c r="K31" s="1">
        <f t="shared" si="7"/>
        <v>35547.409429113206</v>
      </c>
      <c r="L31" s="1">
        <f t="shared" si="8"/>
        <v>29466.224833167107</v>
      </c>
      <c r="M31" s="1">
        <f t="shared" si="9"/>
        <v>6081.1845959460998</v>
      </c>
    </row>
    <row r="32" spans="1:13" ht="15.65" outlineLevel="2">
      <c r="A32" s="5">
        <v>362</v>
      </c>
      <c r="B32" s="4" t="s">
        <v>8</v>
      </c>
      <c r="C32" s="1">
        <v>1730721.99</v>
      </c>
      <c r="D32" s="1">
        <v>948899.02000000002</v>
      </c>
      <c r="E32" s="1">
        <v>781822.96999999997</v>
      </c>
      <c r="F32" s="1">
        <v>58</v>
      </c>
      <c r="G32" s="1">
        <v>47.222619999999999</v>
      </c>
      <c r="H32" s="8">
        <v>-0.25</v>
      </c>
      <c r="I32" s="1">
        <f t="shared" si="5"/>
        <v>401996.73621953023</v>
      </c>
      <c r="J32" s="1">
        <f t="shared" si="6"/>
        <v>1.4410958066032633</v>
      </c>
      <c r="K32" s="1">
        <f t="shared" si="7"/>
        <v>579315.81083416322</v>
      </c>
      <c r="L32" s="1">
        <f t="shared" si="8"/>
        <v>317620.16565759521</v>
      </c>
      <c r="M32" s="1">
        <f t="shared" si="9"/>
        <v>261695.64517656801</v>
      </c>
    </row>
    <row r="33" spans="1:13" ht="15.65" outlineLevel="2">
      <c r="A33" s="5">
        <v>362</v>
      </c>
      <c r="B33" s="4" t="s">
        <v>7</v>
      </c>
      <c r="C33" s="1">
        <v>117420.16</v>
      </c>
      <c r="D33" s="1">
        <v>64843.900000000001</v>
      </c>
      <c r="E33" s="1">
        <v>52576.260000000002</v>
      </c>
      <c r="F33" s="1">
        <v>58</v>
      </c>
      <c r="G33" s="1">
        <v>46.453415999999997</v>
      </c>
      <c r="H33" s="8">
        <v>-0.25</v>
      </c>
      <c r="I33" s="1">
        <f t="shared" si="5"/>
        <v>29219.865102013799</v>
      </c>
      <c r="J33" s="1">
        <f t="shared" si="6"/>
        <v>1.4410958066032633</v>
      </c>
      <c r="K33" s="1">
        <f t="shared" si="7"/>
        <v>42108.625068025118</v>
      </c>
      <c r="L33" s="1">
        <f t="shared" si="8"/>
        <v>23253.992100236566</v>
      </c>
      <c r="M33" s="1">
        <f t="shared" si="9"/>
        <v>18854.632967788551</v>
      </c>
    </row>
    <row r="34" spans="1:13" ht="15.65" outlineLevel="2">
      <c r="A34" s="5">
        <v>362</v>
      </c>
      <c r="B34" s="4" t="s">
        <v>6</v>
      </c>
      <c r="C34" s="1">
        <v>482440.25999999995</v>
      </c>
      <c r="D34" s="1">
        <v>465619.84999999998</v>
      </c>
      <c r="E34" s="1">
        <v>16820.41</v>
      </c>
      <c r="F34" s="1">
        <v>58</v>
      </c>
      <c r="G34" s="1">
        <v>45.688785000000003</v>
      </c>
      <c r="H34" s="8">
        <v>-0.25</v>
      </c>
      <c r="I34" s="1">
        <f t="shared" si="5"/>
        <v>128004.86563611853</v>
      </c>
      <c r="J34" s="1">
        <f t="shared" si="6"/>
        <v>1.4410958066032633</v>
      </c>
      <c r="K34" s="1">
        <f t="shared" si="7"/>
        <v>184467.27509302457</v>
      </c>
      <c r="L34" s="1">
        <f t="shared" si="8"/>
        <v>178035.77371159455</v>
      </c>
      <c r="M34" s="1">
        <f t="shared" si="9"/>
        <v>6431.5013814300273</v>
      </c>
    </row>
    <row r="35" spans="1:13" ht="15.65" outlineLevel="2">
      <c r="A35" s="5">
        <v>362</v>
      </c>
      <c r="B35" s="4" t="s">
        <v>5</v>
      </c>
      <c r="C35" s="1">
        <v>96778.779999999999</v>
      </c>
      <c r="D35" s="1">
        <v>90272.190000000002</v>
      </c>
      <c r="E35" s="1">
        <v>6506.5900000000001</v>
      </c>
      <c r="F35" s="1">
        <v>58</v>
      </c>
      <c r="G35" s="1">
        <v>44.928119000000002</v>
      </c>
      <c r="H35" s="8">
        <v>-0.25</v>
      </c>
      <c r="I35" s="1">
        <f t="shared" si="5"/>
        <v>27264.670161318529</v>
      </c>
      <c r="J35" s="1">
        <f t="shared" si="6"/>
        <v>1.4410958066032633</v>
      </c>
      <c r="K35" s="1">
        <f t="shared" si="7"/>
        <v>39291.001837897253</v>
      </c>
      <c r="L35" s="1">
        <f t="shared" si="8"/>
        <v>36649.405822237168</v>
      </c>
      <c r="M35" s="1">
        <f t="shared" si="9"/>
        <v>2641.5960156600845</v>
      </c>
    </row>
    <row r="36" spans="1:13" ht="15.65" outlineLevel="2">
      <c r="A36" s="5">
        <v>362</v>
      </c>
      <c r="B36" s="4" t="s">
        <v>4</v>
      </c>
      <c r="C36" s="1">
        <v>745108.60000000009</v>
      </c>
      <c r="D36" s="1">
        <v>469380.95000000001</v>
      </c>
      <c r="E36" s="1">
        <v>275727.65000000002</v>
      </c>
      <c r="F36" s="1">
        <v>58</v>
      </c>
      <c r="G36" s="1">
        <v>44.171436</v>
      </c>
      <c r="H36" s="8">
        <v>-0.25</v>
      </c>
      <c r="I36" s="1">
        <f t="shared" si="5"/>
        <v>222064.26642350006</v>
      </c>
      <c r="J36" s="1">
        <f t="shared" si="6"/>
        <v>1.4410958066032633</v>
      </c>
      <c r="K36" s="1">
        <f t="shared" si="7"/>
        <v>320015.88313933578</v>
      </c>
      <c r="L36" s="1">
        <f t="shared" si="8"/>
        <v>201593.9142871662</v>
      </c>
      <c r="M36" s="1">
        <f t="shared" si="9"/>
        <v>118421.96885216956</v>
      </c>
    </row>
    <row r="37" spans="1:13" ht="15.65" outlineLevel="2">
      <c r="A37" s="5">
        <v>362</v>
      </c>
      <c r="B37" s="4" t="s">
        <v>3</v>
      </c>
      <c r="C37" s="1">
        <v>5770985.3700000001</v>
      </c>
      <c r="D37" s="1">
        <v>4195236.8200000003</v>
      </c>
      <c r="E37" s="1">
        <v>1575748.5500000001</v>
      </c>
      <c r="F37" s="1">
        <v>58</v>
      </c>
      <c r="G37" s="1">
        <v>36.153739000000002</v>
      </c>
      <c r="H37" s="8">
        <v>-0.25</v>
      </c>
      <c r="I37" s="1">
        <f t="shared" si="5"/>
        <v>2717121.8237112407</v>
      </c>
      <c r="J37" s="1">
        <f t="shared" si="6"/>
        <v>1.4410958066032633</v>
      </c>
      <c r="K37" s="1">
        <f t="shared" si="7"/>
        <v>3915632.86618048</v>
      </c>
      <c r="L37" s="1">
        <f t="shared" si="8"/>
        <v>2846482.207214898</v>
      </c>
      <c r="M37" s="1">
        <f t="shared" si="9"/>
        <v>1069150.6589655823</v>
      </c>
    </row>
    <row r="38" spans="1:13" ht="15.65" outlineLevel="1">
      <c r="A38" s="6" t="s">
        <v>33</v>
      </c>
      <c r="C38" s="1">
        <f>SUBTOTAL(9,C19:C37)</f>
        <v>105008784.8</v>
      </c>
      <c r="D38" s="1">
        <f>SUBTOTAL(9,D19:D37)</f>
        <v>65813611.250000007</v>
      </c>
      <c r="E38" s="1">
        <f>SUBTOTAL(9,E19:E37)</f>
        <v>39195173.54999999</v>
      </c>
      <c r="I38" s="1">
        <f>SUBTOTAL(9,I19:I37)</f>
        <v>14463442.178651858</v>
      </c>
      <c r="K38" s="1">
        <f>SUBTOTAL(9,K19:K37)</f>
        <v>20843205.872703962</v>
      </c>
      <c r="L38" s="1">
        <f>SUBTOTAL(9,L19:L37)</f>
        <v>13151662.820511</v>
      </c>
      <c r="M38" s="1">
        <f>SUBTOTAL(9,M19:M37)</f>
        <v>7691543.0521929618</v>
      </c>
    </row>
    <row r="39" spans="1:13" ht="15.65">
      <c r="A39" s="6" t="s">
        <v>2</v>
      </c>
      <c r="C39" s="1">
        <f>SUBTOTAL(9,C3:C37)</f>
        <v>142737890.42999998</v>
      </c>
      <c r="D39" s="1">
        <f>SUBTOTAL(9,D3:D37)</f>
        <v>87500495.629999995</v>
      </c>
      <c r="E39" s="1">
        <f>SUBTOTAL(9,E3:E37)</f>
        <v>55237394.799999997</v>
      </c>
      <c r="I39" s="1">
        <f>SUBTOTAL(9,I3:I37)</f>
        <v>20360377.627604678</v>
      </c>
      <c r="K39" s="1">
        <f>SUBTOTAL(9,K3:K37)</f>
        <v>29341254.82</v>
      </c>
      <c r="L39" s="1">
        <f>SUBTOTAL(9,L3:L37)</f>
        <v>18003468.508963589</v>
      </c>
      <c r="M39" s="1">
        <f>SUBTOTAL(9,M3:M37)</f>
        <v>11337786.311036421</v>
      </c>
    </row>
    <row r="42" spans="10:10" ht="15.65">
      <c r="J42" s="1">
        <v>1.4410958066032633</v>
      </c>
    </row>
    <row r="43" spans="11:11" ht="15.65">
      <c r="K43" s="1">
        <v>-29341254.82</v>
      </c>
    </row>
    <row r="45" spans="11:11" ht="15.65">
      <c r="K45" s="1">
        <f>+K39+K43</f>
        <v>0</v>
      </c>
    </row>
  </sheetData>
  <sortState ref="A3:E37">
    <sortCondition sortBy="value" ref="A3:A37"/>
    <sortCondition descending="1" sortBy="value" ref="B3:B37"/>
  </sortState>
  <mergeCells count="2">
    <mergeCell ref="C1:E1"/>
    <mergeCell ref="K1:M1"/>
  </mergeCells>
  <pageMargins left="0.75" right="0.75" top="2" bottom="1" header="0.75" footer="0.5"/>
  <pageSetup orientation="landscape" scale="56" r:id="rId1"/>
  <headerFooter>
    <oddHeader>&amp;C&amp;"Arial,Bold"
2022 RATE CASE
ONCOR ELECTRIC DELIVERY COMPANY LLC
WP II-B-5_04  ACCUMULATED DEPRECIATION NTUSU DISTRIBUTION SUBSTATION
TEST YEAR ENDING DECEMBER 31, 2021
SPONSOR: D. A. WATSON&amp;"-,Regular"
&amp;R&amp;"Arial,Bold"WP/II-B-5/04 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FHHXVRPN3UPD-1807981734-30866</_dlc_DocId>
    <_dlc_DocIdUrl xmlns="4f7156c1-be87-4d1f-9274-ce189f982c1a">
      <Url>http://intranet.corp.oncor.com/sites/Finance/_layouts/15/DocIdRedir.aspx?ID=FHHXVRPN3UPD-1807981734-30866</Url>
      <Description>FHHXVRPN3UPD-1807981734-30866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A62893-299C-459E-9264-C53D308FD753}">
  <ds:schemaRefs>
    <ds:schemaRef ds:uri="http://schemas.microsoft.com/office/2006/metadata/properties"/>
    <ds:schemaRef ds:uri="http://schemas.microsoft.com/sharepoint/v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4f7156c1-be87-4d1f-9274-ce189f982c1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4960F7-6B55-406B-8DA1-6F263E22AC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033F03-20FE-45CA-B19A-B6C066530F8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EA986E7-1348-47D2-B507-B5ED66303C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II-B-5_04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9429fc42-1673-4bcc-a39e-a35f7d7396b0</vt:lpwstr>
  </property>
</Properties>
</file>