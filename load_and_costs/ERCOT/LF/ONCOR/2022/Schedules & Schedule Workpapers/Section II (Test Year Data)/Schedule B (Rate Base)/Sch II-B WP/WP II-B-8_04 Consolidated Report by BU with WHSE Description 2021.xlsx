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2022 Rate Case\Section II (Test Year Data)\Schedule B (Rate Base)\Sch II-B WP\"/>
    </mc:Choice>
  </mc:AlternateContent>
  <bookViews>
    <workbookView xWindow="0" yWindow="0" windowWidth="28800" windowHeight="12720" activeTab="0"/>
  </bookViews>
  <sheets>
    <sheet name="WP II-B-8_04" sheetId="1" r:id="rId2"/>
  </sheets>
  <definedNames>
    <definedName name="_xlnm.Print_Titles" localSheetId="0">'WP II-B-8_04'!$1:$8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0" i="1" l="1"/>
</calcChain>
</file>

<file path=xl/sharedStrings.xml><?xml version="1.0" encoding="utf-8"?>
<sst xmlns="http://schemas.openxmlformats.org/spreadsheetml/2006/main" count="184" uniqueCount="184">
  <si>
    <t>TRN</t>
  </si>
  <si>
    <t>830</t>
  </si>
  <si>
    <t>515</t>
  </si>
  <si>
    <t>499</t>
  </si>
  <si>
    <t>496</t>
  </si>
  <si>
    <t>495</t>
  </si>
  <si>
    <t>493</t>
  </si>
  <si>
    <t>414</t>
  </si>
  <si>
    <t>412</t>
  </si>
  <si>
    <t>210</t>
  </si>
  <si>
    <t>099</t>
  </si>
  <si>
    <t>097</t>
  </si>
  <si>
    <t>095</t>
  </si>
  <si>
    <t>055</t>
  </si>
  <si>
    <t>048</t>
  </si>
  <si>
    <t>046</t>
  </si>
  <si>
    <t>045</t>
  </si>
  <si>
    <t>044</t>
  </si>
  <si>
    <t>043</t>
  </si>
  <si>
    <t>040</t>
  </si>
  <si>
    <t>033</t>
  </si>
  <si>
    <t>030</t>
  </si>
  <si>
    <t>023</t>
  </si>
  <si>
    <t>020</t>
  </si>
  <si>
    <t>013</t>
  </si>
  <si>
    <t>010</t>
  </si>
  <si>
    <t>111</t>
  </si>
  <si>
    <t>950</t>
  </si>
  <si>
    <t>886</t>
  </si>
  <si>
    <t>882</t>
  </si>
  <si>
    <t>875</t>
  </si>
  <si>
    <t>700</t>
  </si>
  <si>
    <t>610</t>
  </si>
  <si>
    <t>516</t>
  </si>
  <si>
    <t>513</t>
  </si>
  <si>
    <t>512</t>
  </si>
  <si>
    <t>451</t>
  </si>
  <si>
    <t>442</t>
  </si>
  <si>
    <t>440</t>
  </si>
  <si>
    <t>430</t>
  </si>
  <si>
    <t>423</t>
  </si>
  <si>
    <t>420</t>
  </si>
  <si>
    <t>413</t>
  </si>
  <si>
    <t>410</t>
  </si>
  <si>
    <t>401</t>
  </si>
  <si>
    <t>400</t>
  </si>
  <si>
    <t>391</t>
  </si>
  <si>
    <t>381</t>
  </si>
  <si>
    <t>375</t>
  </si>
  <si>
    <t>371</t>
  </si>
  <si>
    <t>370</t>
  </si>
  <si>
    <t>350</t>
  </si>
  <si>
    <t>330</t>
  </si>
  <si>
    <t>320</t>
  </si>
  <si>
    <t>316</t>
  </si>
  <si>
    <t>312</t>
  </si>
  <si>
    <t>310</t>
  </si>
  <si>
    <t>305</t>
  </si>
  <si>
    <t>301</t>
  </si>
  <si>
    <t>300</t>
  </si>
  <si>
    <t>291</t>
  </si>
  <si>
    <t>281</t>
  </si>
  <si>
    <t>275</t>
  </si>
  <si>
    <t>261</t>
  </si>
  <si>
    <t>251</t>
  </si>
  <si>
    <t>241</t>
  </si>
  <si>
    <t>231</t>
  </si>
  <si>
    <t>221</t>
  </si>
  <si>
    <t>220</t>
  </si>
  <si>
    <t>200</t>
  </si>
  <si>
    <t>191</t>
  </si>
  <si>
    <t>175</t>
  </si>
  <si>
    <t>170</t>
  </si>
  <si>
    <t>160</t>
  </si>
  <si>
    <t>141</t>
  </si>
  <si>
    <t>132</t>
  </si>
  <si>
    <t>131</t>
  </si>
  <si>
    <t>108</t>
  </si>
  <si>
    <t>107</t>
  </si>
  <si>
    <t>105</t>
  </si>
  <si>
    <t>103</t>
  </si>
  <si>
    <t>101</t>
  </si>
  <si>
    <t>100</t>
  </si>
  <si>
    <t>084</t>
  </si>
  <si>
    <t>081</t>
  </si>
  <si>
    <t>071</t>
  </si>
  <si>
    <t>060</t>
  </si>
  <si>
    <t>050</t>
  </si>
  <si>
    <t>DIS</t>
  </si>
  <si>
    <t>015</t>
  </si>
  <si>
    <t>AMARILLO TRANS</t>
  </si>
  <si>
    <t>DALLAS REG TRANS</t>
  </si>
  <si>
    <t>FORNEY TRANS</t>
  </si>
  <si>
    <t>ONCOR PALESTINE TRANS</t>
  </si>
  <si>
    <t>LUFKIN TRANS</t>
  </si>
  <si>
    <t>TEXOMA TRANS</t>
  </si>
  <si>
    <t>SULPHUR SPRINGS TRANS</t>
  </si>
  <si>
    <t>TEMPLE TRANS</t>
  </si>
  <si>
    <t>COMANCHE TRANS</t>
  </si>
  <si>
    <t>CORSICANA TRANS</t>
  </si>
  <si>
    <t>GLEN ROSE TRANS</t>
  </si>
  <si>
    <t>TYLER TRANS</t>
  </si>
  <si>
    <t>WACO TRANS</t>
  </si>
  <si>
    <t>NORTH DALLAS TRANSMISSION</t>
  </si>
  <si>
    <t>BIG SPRING TRANS</t>
  </si>
  <si>
    <t>SWEETWATER TRANS</t>
  </si>
  <si>
    <t>WICHITA FALLS TRANSMISSION</t>
  </si>
  <si>
    <t>GRAHAM TRANS</t>
  </si>
  <si>
    <t>ODESSA TRANS</t>
  </si>
  <si>
    <t>TRANSMISSION REPAIR CENTER</t>
  </si>
  <si>
    <t>LIGGETT MATERIAL</t>
  </si>
  <si>
    <t>LIGGETT SALVAGE</t>
  </si>
  <si>
    <t>STANTON TRANSMISSION</t>
  </si>
  <si>
    <t>LIGGETT EAST EMERGENCY YARD</t>
  </si>
  <si>
    <t>TELECOMMUNICATIONS SOS</t>
  </si>
  <si>
    <t>FT WORTH TRANS</t>
  </si>
  <si>
    <t>JACKSONVILLE</t>
  </si>
  <si>
    <t>MEXIA</t>
  </si>
  <si>
    <t>ATHENS</t>
  </si>
  <si>
    <t>BROWNWOOD</t>
  </si>
  <si>
    <t>STEPHENVILLE</t>
  </si>
  <si>
    <t>BIG SPRING DIST</t>
  </si>
  <si>
    <t>CLEBURNE</t>
  </si>
  <si>
    <t>DALLAS CENTRAL SVC</t>
  </si>
  <si>
    <t>DALLAS NORTHEAST SVC</t>
  </si>
  <si>
    <t>DALLAS SOUTHWEST SVC</t>
  </si>
  <si>
    <t>DALLAS NORTH SVC</t>
  </si>
  <si>
    <t>CORSICANA DIST</t>
  </si>
  <si>
    <t>DECATUR</t>
  </si>
  <si>
    <t>LAKE DALLAS</t>
  </si>
  <si>
    <t>TEXOMA DIST</t>
  </si>
  <si>
    <t>HEB</t>
  </si>
  <si>
    <t>UTILX FAULT REPAIR</t>
  </si>
  <si>
    <t>STANTON</t>
  </si>
  <si>
    <t>FARMERS BRANCH</t>
  </si>
  <si>
    <t>EASTLAND</t>
  </si>
  <si>
    <t>GRAHAM DIST</t>
  </si>
  <si>
    <t>HILLSBORO</t>
  </si>
  <si>
    <t>EAST DOC</t>
  </si>
  <si>
    <t>KILLEEN</t>
  </si>
  <si>
    <t>DESOTO</t>
  </si>
  <si>
    <t>LUFKIN DIST</t>
  </si>
  <si>
    <t>BRADY</t>
  </si>
  <si>
    <t>McKINNEY</t>
  </si>
  <si>
    <t>MESQUITE</t>
  </si>
  <si>
    <t>BENBROOK</t>
  </si>
  <si>
    <t>MINERAL WELLS</t>
  </si>
  <si>
    <t>BENBROOK NETWORK</t>
  </si>
  <si>
    <t>WEST DOC</t>
  </si>
  <si>
    <t>Nacogdoches</t>
  </si>
  <si>
    <t>STANDARD UTILITY YARD</t>
  </si>
  <si>
    <t>PALESTINE DIST</t>
  </si>
  <si>
    <t>PARIS</t>
  </si>
  <si>
    <t>ARLINGTON</t>
  </si>
  <si>
    <t>FT WORTH NORTH SVC</t>
  </si>
  <si>
    <t>ROUND ROCK</t>
  </si>
  <si>
    <t>CELESTE</t>
  </si>
  <si>
    <t>SULPHUR SPRINGS DIST</t>
  </si>
  <si>
    <t>TAYLOR</t>
  </si>
  <si>
    <t>MIDLAND</t>
  </si>
  <si>
    <t>TEMPLE DIST</t>
  </si>
  <si>
    <t>ODESSA DIST</t>
  </si>
  <si>
    <t>TERRELL</t>
  </si>
  <si>
    <t>MONAHANS</t>
  </si>
  <si>
    <t>TYLER DIST</t>
  </si>
  <si>
    <t>WACO DIST</t>
  </si>
  <si>
    <t>WAXAHACHIE</t>
  </si>
  <si>
    <t>RUBBER GOODS</t>
  </si>
  <si>
    <t>ANDREWS</t>
  </si>
  <si>
    <t>WASTE MANAGEMENT SOS</t>
  </si>
  <si>
    <t>METER SHOP SOS</t>
  </si>
  <si>
    <t>DISTRIBUTION EQUIPMENT SOS</t>
  </si>
  <si>
    <t>SNYDER</t>
  </si>
  <si>
    <t>WICHITA FALLS DIST</t>
  </si>
  <si>
    <t>PERMIAN CENTRAL WAREHOUSE</t>
  </si>
  <si>
    <t>TRINITY STORM STOCK</t>
  </si>
  <si>
    <t>TRINITY CENTRAL WAREHOUSE</t>
  </si>
  <si>
    <t>IRBY ODESSA DC</t>
  </si>
  <si>
    <t>HOLDING</t>
  </si>
  <si>
    <t>2022 RATE CASE</t>
  </si>
  <si>
    <t>ONCOR ELECTRIC DELIVERY COMPANY LLC</t>
  </si>
  <si>
    <t>FOR THE TEST YEAR ENDING DECEMBER 31, 2021</t>
  </si>
  <si>
    <t>CONSOLIDATED COMMODITY REPORT BY WAREHOUSE</t>
  </si>
  <si>
    <t>SPONSOR:  A. THENMADATHIL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</si>
</sst>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mmm\-yy;@"/>
  </numFmts>
  <fonts count="6"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8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43" fontId="0" fillId="0" borderId="0" xfId="0" applyNumberFormat="1"/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" fontId="3" fillId="0" borderId="0" xfId="0" applyNumberFormat="1" applyFont="1"/>
    <xf numFmtId="164" fontId="2" fillId="0" borderId="1" xfId="0" applyNumberFormat="1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164" fontId="5" fillId="0" borderId="0" xfId="0" applyNumberFormat="1" applyFont="1"/>
    <xf numFmtId="0" fontId="5" fillId="0" borderId="0" xfId="0" applyFont="1"/>
    <xf numFmtId="4" fontId="5" fillId="0" borderId="0" xfId="0" applyNumberFormat="1" applyFont="1"/>
    <xf numFmtId="0" fontId="5" fillId="0" borderId="0" xfId="0" applyFont="1" applyAlignment="1">
      <alignment horizontal="left" indent="1"/>
    </xf>
    <xf numFmtId="0" fontId="4" fillId="0" borderId="0" xfId="0" applyFont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T100"/>
  <sheetViews>
    <sheetView tabSelected="1" workbookViewId="0" topLeftCell="A1">
      <pane ySplit="8" topLeftCell="A9" activePane="bottomLeft" state="frozen"/>
      <selection pane="topLeft" activeCell="A1" sqref="A1"/>
      <selection pane="bottomLeft" activeCell="A6" sqref="A6"/>
    </sheetView>
  </sheetViews>
  <sheetFormatPr defaultRowHeight="15"/>
  <cols>
    <col min="2" max="2" width="30" bestFit="1" customWidth="1"/>
    <col min="3" max="3" width="12.2857142857143" style="1" bestFit="1" customWidth="1"/>
    <col min="4" max="4" width="13.5714285714286" style="1" bestFit="1" customWidth="1"/>
    <col min="5" max="5" width="12.2857142857143" bestFit="1" customWidth="1"/>
    <col min="6" max="10" width="12.2857142857143" style="1" bestFit="1" customWidth="1"/>
    <col min="11" max="15" width="12.7142857142857" style="1" customWidth="1"/>
    <col min="16" max="20" width="8.71428571428571" style="1"/>
  </cols>
  <sheetData>
    <row r="1" spans="1:15" ht="15.5">
      <c r="A1" s="13" t="s">
        <v>179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5.5">
      <c r="A2" s="13" t="s">
        <v>180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5.5">
      <c r="A3" s="13" t="s">
        <v>182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5.5">
      <c r="A4" s="13" t="s">
        <v>181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5.5">
      <c r="A5" s="13" t="s">
        <v>183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8" spans="1:15" s="9" customFormat="1" ht="14.5">
      <c r="A8" s="7" t="s">
        <v>88</v>
      </c>
      <c r="B8" s="8"/>
      <c r="C8" s="9">
        <v>44196</v>
      </c>
      <c r="D8" s="9">
        <v>44227</v>
      </c>
      <c r="E8" s="9">
        <v>44255</v>
      </c>
      <c r="F8" s="9">
        <v>44286</v>
      </c>
      <c r="G8" s="9">
        <v>44316</v>
      </c>
      <c r="H8" s="9">
        <v>44347</v>
      </c>
      <c r="I8" s="9">
        <v>44377</v>
      </c>
      <c r="J8" s="9">
        <v>44408</v>
      </c>
      <c r="K8" s="9">
        <v>44439</v>
      </c>
      <c r="L8" s="9">
        <v>44469</v>
      </c>
      <c r="M8" s="9">
        <v>44500</v>
      </c>
      <c r="N8" s="9">
        <v>44530</v>
      </c>
      <c r="O8" s="9">
        <v>44561</v>
      </c>
    </row>
    <row r="9" spans="1:15" ht="14.5">
      <c r="A9" s="3" t="s">
        <v>87</v>
      </c>
      <c r="B9" s="3" t="s">
        <v>116</v>
      </c>
      <c r="C9" s="1">
        <v>108568.95759999999</v>
      </c>
      <c r="D9" s="2">
        <v>113929.99329999999</v>
      </c>
      <c r="E9" s="6">
        <v>102562.84719999998</v>
      </c>
      <c r="F9" s="1">
        <v>123382.78530000006</v>
      </c>
      <c r="G9" s="1">
        <v>125408.35960000005</v>
      </c>
      <c r="H9" s="1">
        <v>134838.18220000004</v>
      </c>
      <c r="I9" s="1">
        <v>137244.14130000005</v>
      </c>
      <c r="J9" s="1">
        <v>133410.03590000002</v>
      </c>
      <c r="K9" s="1">
        <v>137992.0932</v>
      </c>
      <c r="L9" s="1">
        <v>215822.46900000016</v>
      </c>
      <c r="M9" s="1">
        <v>125355.03699999997</v>
      </c>
      <c r="N9" s="1">
        <v>119843.05669999996</v>
      </c>
      <c r="O9" s="1">
        <v>127095.59019999998</v>
      </c>
    </row>
    <row r="10" spans="1:15" ht="14.5">
      <c r="A10" s="3" t="s">
        <v>86</v>
      </c>
      <c r="B10" s="3" t="s">
        <v>117</v>
      </c>
      <c r="C10" s="1">
        <v>103584.69290000001</v>
      </c>
      <c r="D10" s="2">
        <v>100072.46429999999</v>
      </c>
      <c r="E10" s="6">
        <v>97135.034499999951</v>
      </c>
      <c r="F10" s="1">
        <v>102456.17469999996</v>
      </c>
      <c r="G10" s="1">
        <v>101286.31759999995</v>
      </c>
      <c r="H10" s="1">
        <v>100064.04069999998</v>
      </c>
      <c r="I10" s="1">
        <v>103634.52429999993</v>
      </c>
      <c r="J10" s="1">
        <v>104584.07779999991</v>
      </c>
      <c r="K10" s="1">
        <v>104194.86809999992</v>
      </c>
      <c r="L10" s="1">
        <v>99229.786299999949</v>
      </c>
      <c r="M10" s="1">
        <v>104054.30879999991</v>
      </c>
      <c r="N10" s="1">
        <v>105768.90869999993</v>
      </c>
      <c r="O10" s="1">
        <v>103446.46889999998</v>
      </c>
    </row>
    <row r="11" spans="1:15" ht="14.5">
      <c r="A11" s="3" t="s">
        <v>85</v>
      </c>
      <c r="B11" s="3" t="s">
        <v>118</v>
      </c>
      <c r="C11" s="1">
        <v>110692.1985</v>
      </c>
      <c r="D11" s="2">
        <v>113600.58529999999</v>
      </c>
      <c r="E11" s="6">
        <v>122572.29939999997</v>
      </c>
      <c r="F11" s="1">
        <v>138746.76300000004</v>
      </c>
      <c r="G11" s="1">
        <v>127284.41669999993</v>
      </c>
      <c r="H11" s="1">
        <v>128913.21640000001</v>
      </c>
      <c r="I11" s="1">
        <v>113172.57749999997</v>
      </c>
      <c r="J11" s="1">
        <v>143704.66660000014</v>
      </c>
      <c r="K11" s="1">
        <v>128364.52540000001</v>
      </c>
      <c r="L11" s="1">
        <v>144240.58010000008</v>
      </c>
      <c r="M11" s="1">
        <v>128698.08130000001</v>
      </c>
      <c r="N11" s="1">
        <v>131068.50859999999</v>
      </c>
      <c r="O11" s="1">
        <v>146844.44838999998</v>
      </c>
    </row>
    <row r="12" spans="1:15" ht="14.5">
      <c r="A12" s="3" t="s">
        <v>84</v>
      </c>
      <c r="B12" s="3" t="s">
        <v>119</v>
      </c>
      <c r="C12" s="1">
        <v>136430.41509999998</v>
      </c>
      <c r="D12" s="2">
        <v>130500.09450000001</v>
      </c>
      <c r="E12" s="6">
        <v>129740.96149999996</v>
      </c>
      <c r="F12" s="1">
        <v>122970.11700000001</v>
      </c>
      <c r="G12" s="1">
        <v>127928.97580000006</v>
      </c>
      <c r="H12" s="1">
        <v>134827.70699999994</v>
      </c>
      <c r="I12" s="1">
        <v>142399.05679999993</v>
      </c>
      <c r="J12" s="1">
        <v>154309.08349999983</v>
      </c>
      <c r="K12" s="1">
        <v>170202.01409999991</v>
      </c>
      <c r="L12" s="1">
        <v>159623.29139999996</v>
      </c>
      <c r="M12" s="1">
        <v>167369.09479999996</v>
      </c>
      <c r="N12" s="1">
        <v>155809.96089999998</v>
      </c>
      <c r="O12" s="1">
        <v>175880.62629999997</v>
      </c>
    </row>
    <row r="13" spans="1:15" ht="14.5">
      <c r="A13" s="3" t="s">
        <v>83</v>
      </c>
      <c r="B13" s="3" t="s">
        <v>120</v>
      </c>
      <c r="C13" s="1">
        <v>129725.78579999998</v>
      </c>
      <c r="D13" s="2">
        <v>125445.3431</v>
      </c>
      <c r="E13" s="6">
        <v>89055.880000000005</v>
      </c>
      <c r="F13" s="1">
        <v>85087.94309999999</v>
      </c>
      <c r="G13" s="1">
        <v>88838.606400000004</v>
      </c>
      <c r="H13" s="1">
        <v>87937.854699999996</v>
      </c>
      <c r="I13" s="1">
        <v>84692.478000000032</v>
      </c>
      <c r="J13" s="1">
        <v>85200.189200000052</v>
      </c>
      <c r="K13" s="1">
        <v>81322.842100000009</v>
      </c>
      <c r="L13" s="1">
        <v>86808.820000000065</v>
      </c>
      <c r="M13" s="1">
        <v>89249.385600000023</v>
      </c>
      <c r="N13" s="1">
        <v>98173.585800000044</v>
      </c>
      <c r="O13" s="1">
        <v>92437.350100000054</v>
      </c>
    </row>
    <row r="14" spans="1:15" ht="14.5">
      <c r="A14" s="3" t="s">
        <v>82</v>
      </c>
      <c r="B14" s="3" t="s">
        <v>121</v>
      </c>
      <c r="C14" s="1">
        <v>423439.04970000003</v>
      </c>
      <c r="D14" s="2">
        <v>430356.35339</v>
      </c>
      <c r="E14" s="6">
        <v>463168.35060000018</v>
      </c>
      <c r="F14" s="1">
        <v>510680.25694000005</v>
      </c>
      <c r="G14" s="1">
        <v>530268.44215000002</v>
      </c>
      <c r="H14" s="1">
        <v>544969.6790100002</v>
      </c>
      <c r="I14" s="1">
        <v>577553.46421000001</v>
      </c>
      <c r="J14" s="1">
        <v>575533.75170000014</v>
      </c>
      <c r="K14" s="1">
        <v>649059.61590000021</v>
      </c>
      <c r="L14" s="1">
        <v>664144.31623999984</v>
      </c>
      <c r="M14" s="1">
        <v>684943.57570000016</v>
      </c>
      <c r="N14" s="1">
        <v>733987.25860000018</v>
      </c>
      <c r="O14" s="1">
        <v>511376.38430000015</v>
      </c>
    </row>
    <row r="15" spans="1:15" ht="14.5">
      <c r="A15" s="3" t="s">
        <v>81</v>
      </c>
      <c r="B15" s="3" t="s">
        <v>122</v>
      </c>
      <c r="C15" s="1">
        <v>163229.72260000001</v>
      </c>
      <c r="D15" s="2">
        <v>163063.03079999998</v>
      </c>
      <c r="E15" s="6">
        <v>162139.94599999994</v>
      </c>
      <c r="F15" s="1">
        <v>164321.10229999997</v>
      </c>
      <c r="G15" s="1">
        <v>181733.83959999992</v>
      </c>
      <c r="H15" s="1">
        <v>173384.12189999988</v>
      </c>
      <c r="I15" s="1">
        <v>175798.12159999996</v>
      </c>
      <c r="J15" s="1">
        <v>176046.89789999992</v>
      </c>
      <c r="K15" s="1">
        <v>195888.36109999992</v>
      </c>
      <c r="L15" s="1">
        <v>201808.39069999993</v>
      </c>
      <c r="M15" s="1">
        <v>207043.07560000007</v>
      </c>
      <c r="N15" s="1">
        <v>199806.7667000001</v>
      </c>
      <c r="O15" s="1">
        <v>192725.2923</v>
      </c>
    </row>
    <row r="16" spans="1:15" ht="14.5">
      <c r="A16" s="3" t="s">
        <v>80</v>
      </c>
      <c r="B16" s="3" t="s">
        <v>123</v>
      </c>
      <c r="C16" s="1">
        <v>3873739.7074999996</v>
      </c>
      <c r="D16" s="2">
        <v>3990852.4383999999</v>
      </c>
      <c r="E16" s="6">
        <v>3976725.526300001</v>
      </c>
      <c r="F16" s="1">
        <v>3286307.8555999994</v>
      </c>
      <c r="G16" s="1">
        <v>3310631.0846999986</v>
      </c>
      <c r="H16" s="1">
        <v>3264371.9281999995</v>
      </c>
      <c r="I16" s="1">
        <v>3324829.9538000003</v>
      </c>
      <c r="J16" s="1">
        <v>3323896.8309999998</v>
      </c>
      <c r="K16" s="1">
        <v>3180415.2386999996</v>
      </c>
      <c r="L16" s="1">
        <v>3097562.8910000003</v>
      </c>
      <c r="M16" s="1">
        <v>3159490.0810000002</v>
      </c>
      <c r="N16" s="1">
        <v>3207693.6289999997</v>
      </c>
      <c r="O16" s="1">
        <v>3245016.0724999998</v>
      </c>
    </row>
    <row r="17" spans="1:15" ht="14.5">
      <c r="A17" s="3" t="s">
        <v>79</v>
      </c>
      <c r="B17" s="3" t="s">
        <v>124</v>
      </c>
      <c r="C17" s="1">
        <v>937560.01069999998</v>
      </c>
      <c r="D17" s="2">
        <v>851099.91129999992</v>
      </c>
      <c r="E17" s="6">
        <v>812941.25249999983</v>
      </c>
      <c r="F17" s="1">
        <v>821381.72069999983</v>
      </c>
      <c r="G17" s="1">
        <v>894364.38759999978</v>
      </c>
      <c r="H17" s="1">
        <v>843722.75030000065</v>
      </c>
      <c r="I17" s="1">
        <v>746881.7723999999</v>
      </c>
      <c r="J17" s="1">
        <v>775010.47379999957</v>
      </c>
      <c r="K17" s="1">
        <v>842641.7426999996</v>
      </c>
      <c r="L17" s="1">
        <v>644690.25539999991</v>
      </c>
      <c r="M17" s="1">
        <v>742866.97773199982</v>
      </c>
      <c r="N17" s="1">
        <v>764030.68457999988</v>
      </c>
      <c r="O17" s="1">
        <v>651136.58240999992</v>
      </c>
    </row>
    <row r="18" spans="1:15" ht="14.5">
      <c r="A18" s="3" t="s">
        <v>78</v>
      </c>
      <c r="B18" s="3" t="s">
        <v>125</v>
      </c>
      <c r="C18" s="1">
        <v>376025.22230000002</v>
      </c>
      <c r="D18" s="2">
        <v>370549.68789999996</v>
      </c>
      <c r="E18" s="6">
        <v>419852.11297000019</v>
      </c>
      <c r="F18" s="1">
        <v>432223.15303000028</v>
      </c>
      <c r="G18" s="1">
        <v>462440.98492000008</v>
      </c>
      <c r="H18" s="1">
        <v>472463.50827999995</v>
      </c>
      <c r="I18" s="1">
        <v>455458.58290000015</v>
      </c>
      <c r="J18" s="1">
        <v>425809.50250000012</v>
      </c>
      <c r="K18" s="1">
        <v>392446.29370000027</v>
      </c>
      <c r="L18" s="1">
        <v>391464.84870000015</v>
      </c>
      <c r="M18" s="1">
        <v>396978.71399999998</v>
      </c>
      <c r="N18" s="1">
        <v>396183.24819999986</v>
      </c>
      <c r="O18" s="1">
        <v>453476.69466000004</v>
      </c>
    </row>
    <row r="19" spans="1:15" ht="14.5">
      <c r="A19" s="3" t="s">
        <v>77</v>
      </c>
      <c r="B19" s="3" t="s">
        <v>126</v>
      </c>
      <c r="C19" s="1">
        <v>410079.34340000001</v>
      </c>
      <c r="D19" s="2">
        <v>376369.29589999997</v>
      </c>
      <c r="E19" s="6">
        <v>383031.48209999991</v>
      </c>
      <c r="F19" s="1">
        <v>371940.8634999998</v>
      </c>
      <c r="G19" s="1">
        <v>353795.13209999993</v>
      </c>
      <c r="H19" s="1">
        <v>378271.51109999989</v>
      </c>
      <c r="I19" s="1">
        <v>390599.02639999992</v>
      </c>
      <c r="J19" s="1">
        <v>407208.6746999998</v>
      </c>
      <c r="K19" s="1">
        <v>549591.76759999956</v>
      </c>
      <c r="L19" s="1">
        <v>580494.40019999992</v>
      </c>
      <c r="M19" s="1">
        <v>598184.14665000013</v>
      </c>
      <c r="N19" s="1">
        <v>597939.74897999992</v>
      </c>
      <c r="O19" s="1">
        <v>593528.91951999976</v>
      </c>
    </row>
    <row r="20" spans="1:15" ht="14.5">
      <c r="A20" s="3" t="s">
        <v>26</v>
      </c>
      <c r="B20" s="3" t="s">
        <v>127</v>
      </c>
      <c r="C20" s="1">
        <v>99543.902200000011</v>
      </c>
      <c r="D20" s="2">
        <v>93084.116100000014</v>
      </c>
      <c r="E20" s="6">
        <v>96875.425400000036</v>
      </c>
      <c r="F20" s="1">
        <v>100707.06429999998</v>
      </c>
      <c r="G20" s="1">
        <v>131799.81490000009</v>
      </c>
      <c r="H20" s="1">
        <v>133200.59630000001</v>
      </c>
      <c r="I20" s="1">
        <v>129457.55209999999</v>
      </c>
      <c r="J20" s="1">
        <v>101692.03170000001</v>
      </c>
      <c r="K20" s="1">
        <v>124220.30929999999</v>
      </c>
      <c r="L20" s="1">
        <v>118907.32549999999</v>
      </c>
      <c r="M20" s="1">
        <v>121936.77560000001</v>
      </c>
      <c r="N20" s="1">
        <v>122550.2481</v>
      </c>
      <c r="O20" s="1">
        <v>125151.09770000001</v>
      </c>
    </row>
    <row r="21" spans="1:15" ht="14.5">
      <c r="A21" s="3" t="s">
        <v>76</v>
      </c>
      <c r="B21" s="3" t="s">
        <v>128</v>
      </c>
      <c r="C21" s="1">
        <v>83352.013519999993</v>
      </c>
      <c r="D21" s="2">
        <v>88573.63622</v>
      </c>
      <c r="E21" s="6">
        <v>94339.575920000018</v>
      </c>
      <c r="F21" s="1">
        <v>80407.887820000018</v>
      </c>
      <c r="G21" s="1">
        <v>88774.5573</v>
      </c>
      <c r="H21" s="1">
        <v>112815.72279999995</v>
      </c>
      <c r="I21" s="1">
        <v>92622.353399999978</v>
      </c>
      <c r="J21" s="1">
        <v>105121.65859999994</v>
      </c>
      <c r="K21" s="1">
        <v>107773.78869999995</v>
      </c>
      <c r="L21" s="1">
        <v>106304.90279999991</v>
      </c>
      <c r="M21" s="1">
        <v>110092.61749999992</v>
      </c>
      <c r="N21" s="1">
        <v>102989.65019999995</v>
      </c>
      <c r="O21" s="1">
        <v>117124.21039999997</v>
      </c>
    </row>
    <row r="22" spans="1:15" ht="14.5">
      <c r="A22" s="3" t="s">
        <v>75</v>
      </c>
      <c r="B22" s="3" t="s">
        <v>129</v>
      </c>
      <c r="C22" s="1">
        <v>281810.11929999996</v>
      </c>
      <c r="D22" s="2">
        <v>276499.69559999998</v>
      </c>
      <c r="E22" s="6">
        <v>293038.6666</v>
      </c>
      <c r="F22" s="1">
        <v>328074.4344000002</v>
      </c>
      <c r="G22" s="1">
        <v>312970.4418000002</v>
      </c>
      <c r="H22" s="1">
        <v>325440.32940000005</v>
      </c>
      <c r="I22" s="1">
        <v>354794.29940000002</v>
      </c>
      <c r="J22" s="1">
        <v>357734.32710000005</v>
      </c>
      <c r="K22" s="1">
        <v>329676.16490000009</v>
      </c>
      <c r="L22" s="1">
        <v>397245.55897000019</v>
      </c>
      <c r="M22" s="1">
        <v>377433.40421999997</v>
      </c>
      <c r="N22" s="1">
        <v>407960.45378000021</v>
      </c>
      <c r="O22" s="1">
        <v>405634.94910000009</v>
      </c>
    </row>
    <row r="23" spans="1:15" ht="14.5">
      <c r="A23" s="3" t="s">
        <v>74</v>
      </c>
      <c r="B23" s="3" t="s">
        <v>130</v>
      </c>
      <c r="C23" s="1">
        <v>189546.17129999999</v>
      </c>
      <c r="D23" s="2">
        <v>171095.77510000003</v>
      </c>
      <c r="E23" s="6">
        <v>173893.72710000016</v>
      </c>
      <c r="F23" s="1">
        <v>167852.3693000002</v>
      </c>
      <c r="G23" s="1">
        <v>191485.68680000008</v>
      </c>
      <c r="H23" s="1">
        <v>178954.09470000005</v>
      </c>
      <c r="I23" s="1">
        <v>202437.67860000004</v>
      </c>
      <c r="J23" s="1">
        <v>201609.06190000018</v>
      </c>
      <c r="K23" s="1">
        <v>203900.41200000001</v>
      </c>
      <c r="L23" s="1">
        <v>193315.6829999999</v>
      </c>
      <c r="M23" s="1">
        <v>214804.94799999998</v>
      </c>
      <c r="N23" s="1">
        <v>234845.10117999997</v>
      </c>
      <c r="O23" s="1">
        <v>244992.08709999995</v>
      </c>
    </row>
    <row r="24" spans="1:15" ht="14.5">
      <c r="A24" s="3" t="s">
        <v>73</v>
      </c>
      <c r="B24" s="3" t="s">
        <v>131</v>
      </c>
      <c r="C24" s="1">
        <v>317434.34078999999</v>
      </c>
      <c r="D24" s="2">
        <v>284212.72305000003</v>
      </c>
      <c r="E24" s="6">
        <v>359804.75916000013</v>
      </c>
      <c r="F24" s="1">
        <v>373780.26636000013</v>
      </c>
      <c r="G24" s="1">
        <v>321494.92158000014</v>
      </c>
      <c r="H24" s="1">
        <v>285570.34658999986</v>
      </c>
      <c r="I24" s="1">
        <v>312603.35129000008</v>
      </c>
      <c r="J24" s="1">
        <v>374971.09809999994</v>
      </c>
      <c r="K24" s="1">
        <v>383058.29080000002</v>
      </c>
      <c r="L24" s="1">
        <v>364941.96296000027</v>
      </c>
      <c r="M24" s="1">
        <v>361706.37938000017</v>
      </c>
      <c r="N24" s="1">
        <v>341053.86594000005</v>
      </c>
      <c r="O24" s="1">
        <v>384417.42595999996</v>
      </c>
    </row>
    <row r="25" spans="1:15" ht="14.5">
      <c r="A25" s="3" t="s">
        <v>72</v>
      </c>
      <c r="B25" s="3" t="s">
        <v>132</v>
      </c>
      <c r="C25" s="1">
        <v>234778.2242</v>
      </c>
      <c r="D25" s="2">
        <v>216154.66509999998</v>
      </c>
      <c r="E25" s="6">
        <v>235718.29040000003</v>
      </c>
      <c r="F25" s="1">
        <v>212901.20080000005</v>
      </c>
      <c r="G25" s="1">
        <v>178804.33859999999</v>
      </c>
      <c r="H25" s="1">
        <v>200179.58620000005</v>
      </c>
      <c r="I25" s="1">
        <v>201952.87189999997</v>
      </c>
      <c r="J25" s="1">
        <v>212072.54920000001</v>
      </c>
      <c r="K25" s="1">
        <v>212559.67730000001</v>
      </c>
      <c r="L25" s="1">
        <v>230392.78780000002</v>
      </c>
      <c r="M25" s="1">
        <v>215474.2231</v>
      </c>
      <c r="N25" s="1">
        <v>231938.38709999999</v>
      </c>
      <c r="O25" s="1">
        <v>230344.43269999998</v>
      </c>
    </row>
    <row r="26" spans="1:15" ht="14.5">
      <c r="A26" s="3" t="s">
        <v>71</v>
      </c>
      <c r="B26" s="3" t="s">
        <v>133</v>
      </c>
      <c r="C26" s="1">
        <v>340791.67025999998</v>
      </c>
      <c r="D26" s="2">
        <v>364347.15513499995</v>
      </c>
      <c r="E26" s="6">
        <v>371670.62886500015</v>
      </c>
      <c r="F26" s="1">
        <v>455512.11090400029</v>
      </c>
      <c r="G26" s="1">
        <v>486309.48236300028</v>
      </c>
      <c r="H26" s="1">
        <v>560401.66810400039</v>
      </c>
      <c r="I26" s="1">
        <v>582886.54856000026</v>
      </c>
      <c r="J26" s="1">
        <v>604445.99087599991</v>
      </c>
      <c r="K26" s="1">
        <v>658929.20916100056</v>
      </c>
      <c r="L26" s="1">
        <v>643417.2855680004</v>
      </c>
      <c r="M26" s="1">
        <v>655459.91578100005</v>
      </c>
      <c r="N26" s="1">
        <v>596111.22911900026</v>
      </c>
      <c r="O26" s="1">
        <v>713182.96447400074</v>
      </c>
    </row>
    <row r="27" spans="1:15" ht="14.5">
      <c r="A27" s="3" t="s">
        <v>70</v>
      </c>
      <c r="B27" s="3" t="s">
        <v>134</v>
      </c>
      <c r="C27" s="1">
        <v>545473.77489600005</v>
      </c>
      <c r="D27" s="2">
        <v>569777.95239700004</v>
      </c>
      <c r="E27" s="6">
        <v>566077.36460300034</v>
      </c>
      <c r="F27" s="1">
        <v>597334.58346200036</v>
      </c>
      <c r="G27" s="1">
        <v>495239.65891000011</v>
      </c>
      <c r="H27" s="1">
        <v>581368.57068300049</v>
      </c>
      <c r="I27" s="1">
        <v>525514.07832300023</v>
      </c>
      <c r="J27" s="1">
        <v>799157.6912430001</v>
      </c>
      <c r="K27" s="1">
        <v>693387.76846600033</v>
      </c>
      <c r="L27" s="1">
        <v>724851.1183390005</v>
      </c>
      <c r="M27" s="1">
        <v>897973.51822699991</v>
      </c>
      <c r="N27" s="1">
        <v>829452.76125500049</v>
      </c>
      <c r="O27" s="1">
        <v>779180.82676000067</v>
      </c>
    </row>
    <row r="28" spans="1:15" ht="14.5">
      <c r="A28" s="3" t="s">
        <v>69</v>
      </c>
      <c r="B28" s="3" t="s">
        <v>135</v>
      </c>
      <c r="C28" s="1">
        <v>71796.452399999995</v>
      </c>
      <c r="D28" s="2">
        <v>68684.715599999996</v>
      </c>
      <c r="E28" s="6">
        <v>68213.177099999972</v>
      </c>
      <c r="F28" s="1">
        <v>72319.623099999983</v>
      </c>
      <c r="G28" s="1">
        <v>75976.548100000029</v>
      </c>
      <c r="H28" s="1">
        <v>73199.966799999966</v>
      </c>
      <c r="I28" s="1">
        <v>75432.080100000006</v>
      </c>
      <c r="J28" s="1">
        <v>73275.395299999946</v>
      </c>
      <c r="K28" s="1">
        <v>71958.161299999978</v>
      </c>
      <c r="L28" s="1">
        <v>74029.563499999975</v>
      </c>
      <c r="M28" s="1">
        <v>82856.371299999999</v>
      </c>
      <c r="N28" s="1">
        <v>89508.452700000009</v>
      </c>
      <c r="O28" s="1">
        <v>81471.427499999991</v>
      </c>
    </row>
    <row r="29" spans="1:15" ht="14.5">
      <c r="A29" s="3" t="s">
        <v>68</v>
      </c>
      <c r="B29" s="3" t="s">
        <v>136</v>
      </c>
      <c r="C29" s="1">
        <v>52056.711300000003</v>
      </c>
      <c r="D29" s="2">
        <v>55606.031300000002</v>
      </c>
      <c r="E29" s="6">
        <v>54338.931500000035</v>
      </c>
      <c r="F29" s="1">
        <v>73924.325500000006</v>
      </c>
      <c r="G29" s="1">
        <v>72042.609999999986</v>
      </c>
      <c r="H29" s="1">
        <v>49257.76380000003</v>
      </c>
      <c r="I29" s="1">
        <v>48137.898100000013</v>
      </c>
      <c r="J29" s="1">
        <v>60250.749300000018</v>
      </c>
      <c r="K29" s="1">
        <v>57917.60560000001</v>
      </c>
      <c r="L29" s="1">
        <v>62062.573700000001</v>
      </c>
      <c r="M29" s="1">
        <v>82017.893399999986</v>
      </c>
      <c r="N29" s="1">
        <v>75635.158699999985</v>
      </c>
      <c r="O29" s="1">
        <v>73964.782899999991</v>
      </c>
    </row>
    <row r="30" spans="1:15" ht="14.5">
      <c r="A30" s="3" t="s">
        <v>67</v>
      </c>
      <c r="B30" s="3" t="s">
        <v>137</v>
      </c>
      <c r="C30" s="1">
        <v>56884.608200000002</v>
      </c>
      <c r="D30" s="2">
        <v>56080.109000000004</v>
      </c>
      <c r="E30" s="6">
        <v>57834.670099999974</v>
      </c>
      <c r="F30" s="1">
        <v>56245.258399999984</v>
      </c>
      <c r="G30" s="1">
        <v>58094.26709999999</v>
      </c>
      <c r="H30" s="1">
        <v>56567.391899999988</v>
      </c>
      <c r="I30" s="1">
        <v>57554.105599999966</v>
      </c>
      <c r="J30" s="1">
        <v>56654.988399999973</v>
      </c>
      <c r="K30" s="1">
        <v>54715.879499999959</v>
      </c>
      <c r="L30" s="1">
        <v>58712.936499999953</v>
      </c>
      <c r="M30" s="1">
        <v>55590.221099999966</v>
      </c>
      <c r="N30" s="1">
        <v>54626.607999999964</v>
      </c>
      <c r="O30" s="1">
        <v>55059.754099999955</v>
      </c>
    </row>
    <row r="31" spans="1:15" ht="14.5">
      <c r="A31" s="3" t="s">
        <v>66</v>
      </c>
      <c r="B31" s="3" t="s">
        <v>138</v>
      </c>
      <c r="C31" s="1">
        <v>1981113.2211000002</v>
      </c>
      <c r="D31" s="2">
        <v>1908050.3226999999</v>
      </c>
      <c r="E31" s="6">
        <v>1827992.6024000004</v>
      </c>
      <c r="F31" s="1">
        <v>1752437.8516000004</v>
      </c>
      <c r="G31" s="1">
        <v>1558368.2335000003</v>
      </c>
      <c r="H31" s="1">
        <v>1384233.0460000001</v>
      </c>
      <c r="I31" s="1">
        <v>1442569.0133</v>
      </c>
      <c r="J31" s="1">
        <v>1672277.3552000001</v>
      </c>
      <c r="K31" s="1">
        <v>1687544.2104000005</v>
      </c>
      <c r="L31" s="1">
        <v>1704052.3459000001</v>
      </c>
      <c r="M31" s="1">
        <v>1654507.0540720001</v>
      </c>
      <c r="N31" s="1">
        <v>1900432.5761930002</v>
      </c>
      <c r="O31" s="1">
        <v>1959382.2779500003</v>
      </c>
    </row>
    <row r="32" spans="1:15" ht="14.5">
      <c r="A32" s="3" t="s">
        <v>65</v>
      </c>
      <c r="B32" s="3" t="s">
        <v>139</v>
      </c>
      <c r="C32" s="1">
        <v>135322.86300000001</v>
      </c>
      <c r="D32" s="2">
        <v>142955.9209</v>
      </c>
      <c r="E32" s="6">
        <v>153766.86859999999</v>
      </c>
      <c r="F32" s="1">
        <v>160767.48110000006</v>
      </c>
      <c r="G32" s="1">
        <v>163556.9659000001</v>
      </c>
      <c r="H32" s="1">
        <v>181048.29560000013</v>
      </c>
      <c r="I32" s="1">
        <v>147705.14710000006</v>
      </c>
      <c r="J32" s="1">
        <v>164460.94380000018</v>
      </c>
      <c r="K32" s="1">
        <v>175250.29550000007</v>
      </c>
      <c r="L32" s="1">
        <v>175572.15560000012</v>
      </c>
      <c r="M32" s="1">
        <v>180533.97990000004</v>
      </c>
      <c r="N32" s="1">
        <v>150723.03610000017</v>
      </c>
      <c r="O32" s="1">
        <v>159904.64030000006</v>
      </c>
    </row>
    <row r="33" spans="1:15" ht="14.5">
      <c r="A33" s="3" t="s">
        <v>64</v>
      </c>
      <c r="B33" s="3" t="s">
        <v>140</v>
      </c>
      <c r="C33" s="1">
        <v>256834.4295</v>
      </c>
      <c r="D33" s="2">
        <v>277511.46640000003</v>
      </c>
      <c r="E33" s="6">
        <v>335606.85389999999</v>
      </c>
      <c r="F33" s="1">
        <v>321364.80229999981</v>
      </c>
      <c r="G33" s="1">
        <v>340707.01069999975</v>
      </c>
      <c r="H33" s="1">
        <v>336406.89959999983</v>
      </c>
      <c r="I33" s="1">
        <v>365105.69969999976</v>
      </c>
      <c r="J33" s="1">
        <v>361636.6831999998</v>
      </c>
      <c r="K33" s="1">
        <v>399716.30099999974</v>
      </c>
      <c r="L33" s="1">
        <v>369666.27009999979</v>
      </c>
      <c r="M33" s="1">
        <v>378353.13139999978</v>
      </c>
      <c r="N33" s="1">
        <v>356071.32119999971</v>
      </c>
      <c r="O33" s="1">
        <v>343854.98531999975</v>
      </c>
    </row>
    <row r="34" spans="1:15" ht="14.5">
      <c r="A34" s="3" t="s">
        <v>63</v>
      </c>
      <c r="B34" s="3" t="s">
        <v>141</v>
      </c>
      <c r="C34" s="1">
        <v>284819.02929999999</v>
      </c>
      <c r="D34" s="2">
        <v>292769.73700000002</v>
      </c>
      <c r="E34" s="6">
        <v>335239.87119999988</v>
      </c>
      <c r="F34" s="1">
        <v>299429.88439999998</v>
      </c>
      <c r="G34" s="1">
        <v>302817.35129999998</v>
      </c>
      <c r="H34" s="1">
        <v>305424.28789999994</v>
      </c>
      <c r="I34" s="1">
        <v>256793.78229999999</v>
      </c>
      <c r="J34" s="1">
        <v>249530.3159999999</v>
      </c>
      <c r="K34" s="1">
        <v>237363.21813999998</v>
      </c>
      <c r="L34" s="1">
        <v>234922.64269399998</v>
      </c>
      <c r="M34" s="1">
        <v>232911.29452799994</v>
      </c>
      <c r="N34" s="1">
        <v>251314.2528309999</v>
      </c>
      <c r="O34" s="1">
        <v>232300.81662899989</v>
      </c>
    </row>
    <row r="35" spans="1:15" ht="14.5">
      <c r="A35" s="3" t="s">
        <v>62</v>
      </c>
      <c r="B35" s="3" t="s">
        <v>142</v>
      </c>
      <c r="C35" s="1">
        <v>146347.99980000002</v>
      </c>
      <c r="D35" s="2">
        <v>135683.54860000001</v>
      </c>
      <c r="E35" s="6">
        <v>151464.11250000005</v>
      </c>
      <c r="F35" s="1">
        <v>145297.9504</v>
      </c>
      <c r="G35" s="1">
        <v>134444.48549999998</v>
      </c>
      <c r="H35" s="1">
        <v>116350.56640000001</v>
      </c>
      <c r="I35" s="1">
        <v>110800.8671</v>
      </c>
      <c r="J35" s="1">
        <v>111551.0195</v>
      </c>
      <c r="K35" s="1">
        <v>107160.9436</v>
      </c>
      <c r="L35" s="1">
        <v>117687.20469999997</v>
      </c>
      <c r="M35" s="1">
        <v>106540.49850000002</v>
      </c>
      <c r="N35" s="1">
        <v>106037.14929999999</v>
      </c>
      <c r="O35" s="1">
        <v>109744.1931</v>
      </c>
    </row>
    <row r="36" spans="1:15" ht="14.5">
      <c r="A36" s="3" t="s">
        <v>61</v>
      </c>
      <c r="B36" s="3" t="s">
        <v>143</v>
      </c>
      <c r="C36" s="1">
        <v>490216.67310000001</v>
      </c>
      <c r="D36" s="2">
        <v>439063.40059999999</v>
      </c>
      <c r="E36" s="6">
        <v>528903.19560000009</v>
      </c>
      <c r="F36" s="1">
        <v>610810.30940000014</v>
      </c>
      <c r="G36" s="1">
        <v>517906.93802999996</v>
      </c>
      <c r="H36" s="1">
        <v>500459.63012799999</v>
      </c>
      <c r="I36" s="1">
        <v>606827.84210799972</v>
      </c>
      <c r="J36" s="1">
        <v>752547.02073699993</v>
      </c>
      <c r="K36" s="1">
        <v>691952.08988999983</v>
      </c>
      <c r="L36" s="1">
        <v>599531.24469399976</v>
      </c>
      <c r="M36" s="1">
        <v>473972.73325400014</v>
      </c>
      <c r="N36" s="1">
        <v>522025.2382540002</v>
      </c>
      <c r="O36" s="1">
        <v>560487.89614900015</v>
      </c>
    </row>
    <row r="37" spans="1:15" ht="14.5">
      <c r="A37" s="3" t="s">
        <v>60</v>
      </c>
      <c r="B37" s="3" t="s">
        <v>144</v>
      </c>
      <c r="C37" s="1">
        <v>494841.97170000005</v>
      </c>
      <c r="D37" s="2">
        <v>503132.11129999999</v>
      </c>
      <c r="E37" s="6">
        <v>528294.59629999963</v>
      </c>
      <c r="F37" s="1">
        <v>536782.98679999972</v>
      </c>
      <c r="G37" s="1">
        <v>476530.06280000019</v>
      </c>
      <c r="H37" s="1">
        <v>527306.94049999991</v>
      </c>
      <c r="I37" s="1">
        <v>541944.4132999999</v>
      </c>
      <c r="J37" s="1">
        <v>579912.77870000026</v>
      </c>
      <c r="K37" s="1">
        <v>575192.74030000018</v>
      </c>
      <c r="L37" s="1">
        <v>503977.9335000001</v>
      </c>
      <c r="M37" s="1">
        <v>765651.96169999964</v>
      </c>
      <c r="N37" s="1">
        <v>536595.01979999978</v>
      </c>
      <c r="O37" s="1">
        <v>480034.72814000014</v>
      </c>
    </row>
    <row r="38" spans="1:15" ht="14.5">
      <c r="A38" s="3" t="s">
        <v>59</v>
      </c>
      <c r="B38" s="3" t="s">
        <v>145</v>
      </c>
      <c r="C38" s="1">
        <v>658009.0662</v>
      </c>
      <c r="D38" s="2">
        <v>745607.25920000009</v>
      </c>
      <c r="E38" s="6">
        <v>1175377.9182</v>
      </c>
      <c r="F38" s="1">
        <v>1230969.6874000002</v>
      </c>
      <c r="G38" s="1">
        <v>1085651.3082999997</v>
      </c>
      <c r="H38" s="1">
        <v>1126447.5891999996</v>
      </c>
      <c r="I38" s="1">
        <v>1059036.2189999998</v>
      </c>
      <c r="J38" s="1">
        <v>944503.17889999982</v>
      </c>
      <c r="K38" s="1">
        <v>890434.45620000036</v>
      </c>
      <c r="L38" s="1">
        <v>772556.36120000028</v>
      </c>
      <c r="M38" s="1">
        <v>767854.60638000036</v>
      </c>
      <c r="N38" s="1">
        <v>863611.8329800003</v>
      </c>
      <c r="O38" s="1">
        <v>991027.35060000047</v>
      </c>
    </row>
    <row r="39" spans="1:15" ht="14.5">
      <c r="A39" s="3" t="s">
        <v>58</v>
      </c>
      <c r="B39" s="3" t="s">
        <v>146</v>
      </c>
      <c r="C39" s="1">
        <v>91716.450199999992</v>
      </c>
      <c r="D39" s="2">
        <v>84878.550499999998</v>
      </c>
      <c r="E39" s="6">
        <v>102618.17339999997</v>
      </c>
      <c r="F39" s="1">
        <v>98107.924599999926</v>
      </c>
      <c r="G39" s="1">
        <v>101810.69609999997</v>
      </c>
      <c r="H39" s="1">
        <v>93642.447199999951</v>
      </c>
      <c r="I39" s="1">
        <v>114214.87079999999</v>
      </c>
      <c r="J39" s="1">
        <v>106454.99920000001</v>
      </c>
      <c r="K39" s="1">
        <v>98160.045600000012</v>
      </c>
      <c r="L39" s="1">
        <v>100915.90969999999</v>
      </c>
      <c r="M39" s="1">
        <v>117342.06509999995</v>
      </c>
      <c r="N39" s="1">
        <v>114325.6801</v>
      </c>
      <c r="O39" s="1">
        <v>114825.57379999997</v>
      </c>
    </row>
    <row r="40" spans="1:15" ht="14.5">
      <c r="A40" s="3" t="s">
        <v>57</v>
      </c>
      <c r="B40" s="3" t="s">
        <v>147</v>
      </c>
      <c r="C40" s="1">
        <v>1084548.7727000001</v>
      </c>
      <c r="D40" s="2">
        <v>962824.28269999998</v>
      </c>
      <c r="E40" s="6">
        <v>942964.37050000019</v>
      </c>
      <c r="F40" s="1">
        <v>951711.76620000007</v>
      </c>
      <c r="G40" s="1">
        <v>950941.72660000005</v>
      </c>
      <c r="H40" s="1">
        <v>948763.91290000011</v>
      </c>
      <c r="I40" s="1">
        <v>946061.90210000006</v>
      </c>
      <c r="J40" s="1">
        <v>946061.90210000006</v>
      </c>
      <c r="K40" s="1">
        <v>944897.90210000006</v>
      </c>
      <c r="L40" s="1">
        <v>943979.19990000012</v>
      </c>
      <c r="M40" s="1">
        <v>938100.64270000008</v>
      </c>
      <c r="N40" s="1">
        <v>939788.23580000002</v>
      </c>
      <c r="O40" s="1">
        <v>935864.94339999999</v>
      </c>
    </row>
    <row r="41" spans="1:15" ht="14.5">
      <c r="A41" s="3" t="s">
        <v>56</v>
      </c>
      <c r="B41" s="3" t="s">
        <v>148</v>
      </c>
      <c r="C41" s="1">
        <v>33936.267850000004</v>
      </c>
      <c r="D41" s="2">
        <v>44899.562539999999</v>
      </c>
      <c r="E41" s="6">
        <v>39975.81117999999</v>
      </c>
      <c r="F41" s="1">
        <v>56744.749369999998</v>
      </c>
      <c r="G41" s="1">
        <v>46446.128170000004</v>
      </c>
      <c r="H41" s="1">
        <v>41464.13167000001</v>
      </c>
      <c r="I41" s="1">
        <v>50069.572510000005</v>
      </c>
      <c r="J41" s="1">
        <v>51701.997100000015</v>
      </c>
      <c r="K41" s="1">
        <v>35189.914499999999</v>
      </c>
      <c r="L41" s="1">
        <v>51526.895500000006</v>
      </c>
      <c r="M41" s="1">
        <v>43852.634100000003</v>
      </c>
      <c r="N41" s="1">
        <v>36255.418399999995</v>
      </c>
      <c r="O41" s="1">
        <v>31471.441990000003</v>
      </c>
    </row>
    <row r="42" spans="1:15" ht="14.5">
      <c r="A42" s="3" t="s">
        <v>55</v>
      </c>
      <c r="B42" s="3" t="s">
        <v>149</v>
      </c>
      <c r="C42" s="1">
        <v>44027.688200000004</v>
      </c>
      <c r="D42" s="2">
        <v>41709.372600000002</v>
      </c>
      <c r="E42" s="6">
        <v>57915.46739999998</v>
      </c>
      <c r="F42" s="1">
        <v>61920.62309999999</v>
      </c>
      <c r="G42" s="1">
        <v>63935.226799999982</v>
      </c>
      <c r="H42" s="1">
        <v>61552.465999999986</v>
      </c>
      <c r="I42" s="1">
        <v>83833.201499999981</v>
      </c>
      <c r="J42" s="1">
        <v>88553.77969999997</v>
      </c>
      <c r="K42" s="1">
        <v>69271.153299999976</v>
      </c>
      <c r="L42" s="1">
        <v>68075.570899999962</v>
      </c>
      <c r="M42" s="1">
        <v>68894.811099999992</v>
      </c>
      <c r="N42" s="1">
        <v>79462.108599999978</v>
      </c>
      <c r="O42" s="1">
        <v>80208.802499999991</v>
      </c>
    </row>
    <row r="43" spans="1:15" ht="14.5">
      <c r="A43" s="3" t="s">
        <v>54</v>
      </c>
      <c r="B43" s="3" t="s">
        <v>150</v>
      </c>
      <c r="C43" s="1">
        <v>1031772.1651</v>
      </c>
      <c r="D43" s="2">
        <v>873647.56149999995</v>
      </c>
      <c r="E43" s="6">
        <v>924975.7542999998</v>
      </c>
      <c r="F43" s="1">
        <v>942608.31279999949</v>
      </c>
      <c r="G43" s="1">
        <v>980212.92040000029</v>
      </c>
      <c r="H43" s="1">
        <v>919543.16950000019</v>
      </c>
      <c r="I43" s="1">
        <v>847876.4024999995</v>
      </c>
      <c r="J43" s="1">
        <v>884369.01809999929</v>
      </c>
      <c r="K43" s="1">
        <v>879617.65279999957</v>
      </c>
      <c r="L43" s="1">
        <v>921251.48319999955</v>
      </c>
      <c r="M43" s="1">
        <v>813936.90040000039</v>
      </c>
      <c r="N43" s="1">
        <v>724258.76440000033</v>
      </c>
      <c r="O43" s="1">
        <v>692062.82690000033</v>
      </c>
    </row>
    <row r="44" spans="1:15" ht="14.5">
      <c r="A44" s="3" t="s">
        <v>53</v>
      </c>
      <c r="B44" s="3" t="s">
        <v>151</v>
      </c>
      <c r="C44" s="1">
        <v>153428.12109999999</v>
      </c>
      <c r="D44" s="2">
        <v>147245.7671</v>
      </c>
      <c r="E44" s="6">
        <v>143610.88640000002</v>
      </c>
      <c r="F44" s="1">
        <v>147669.15850000005</v>
      </c>
      <c r="G44" s="1">
        <v>165028.633</v>
      </c>
      <c r="H44" s="1">
        <v>179401.99740000005</v>
      </c>
      <c r="I44" s="1">
        <v>169249.3389</v>
      </c>
      <c r="J44" s="1">
        <v>162222.59629999998</v>
      </c>
      <c r="K44" s="1">
        <v>154811.09910000005</v>
      </c>
      <c r="L44" s="1">
        <v>144116.37289999993</v>
      </c>
      <c r="M44" s="1">
        <v>146464.66579999996</v>
      </c>
      <c r="N44" s="1">
        <v>143141.02770000001</v>
      </c>
      <c r="O44" s="1">
        <v>159539.9914</v>
      </c>
    </row>
    <row r="45" spans="1:15" ht="14.5">
      <c r="A45" s="3" t="s">
        <v>52</v>
      </c>
      <c r="B45" s="3" t="s">
        <v>152</v>
      </c>
      <c r="C45" s="1">
        <v>140839.42699199999</v>
      </c>
      <c r="D45" s="2">
        <v>137296.199567</v>
      </c>
      <c r="E45" s="6">
        <v>134885.86989600002</v>
      </c>
      <c r="F45" s="1">
        <v>122610.93603400001</v>
      </c>
      <c r="G45" s="1">
        <v>126360.66945400003</v>
      </c>
      <c r="H45" s="1">
        <v>153785.02778000006</v>
      </c>
      <c r="I45" s="1">
        <v>146928.15500000006</v>
      </c>
      <c r="J45" s="1">
        <v>142507.49820000012</v>
      </c>
      <c r="K45" s="1">
        <v>132124.88050000003</v>
      </c>
      <c r="L45" s="1">
        <v>130693.07880000002</v>
      </c>
      <c r="M45" s="1">
        <v>140723.04530000003</v>
      </c>
      <c r="N45" s="1">
        <v>136607.39659999998</v>
      </c>
      <c r="O45" s="1">
        <v>119313.45900000003</v>
      </c>
    </row>
    <row r="46" spans="1:15" ht="14.5">
      <c r="A46" s="3" t="s">
        <v>51</v>
      </c>
      <c r="B46" s="3" t="s">
        <v>153</v>
      </c>
      <c r="C46" s="1">
        <v>793494.51240000001</v>
      </c>
      <c r="D46" s="2">
        <v>800061.19350000005</v>
      </c>
      <c r="E46" s="6">
        <v>815642.51710000017</v>
      </c>
      <c r="F46" s="1">
        <v>792699.36020000011</v>
      </c>
      <c r="G46" s="1">
        <v>621447.80769999989</v>
      </c>
      <c r="H46" s="1">
        <v>539281.03979999991</v>
      </c>
      <c r="I46" s="1">
        <v>648862.17859999975</v>
      </c>
      <c r="J46" s="1">
        <v>693176.55989999976</v>
      </c>
      <c r="K46" s="1">
        <v>910427.56329999946</v>
      </c>
      <c r="L46" s="1">
        <v>846904.40679999965</v>
      </c>
      <c r="M46" s="1">
        <v>798687.9407999994</v>
      </c>
      <c r="N46" s="1">
        <v>796234.16273999994</v>
      </c>
      <c r="O46" s="1">
        <v>639908.79183</v>
      </c>
    </row>
    <row r="47" spans="1:15" ht="14.5">
      <c r="A47" s="3" t="s">
        <v>50</v>
      </c>
      <c r="B47" s="3" t="s">
        <v>154</v>
      </c>
      <c r="C47" s="1">
        <v>676222.36105300009</v>
      </c>
      <c r="D47" s="2">
        <v>696185.16115299996</v>
      </c>
      <c r="E47" s="6">
        <v>685561.0441729998</v>
      </c>
      <c r="F47" s="1">
        <v>748173.10106300015</v>
      </c>
      <c r="G47" s="1">
        <v>752032.44946299982</v>
      </c>
      <c r="H47" s="1">
        <v>758583.23398700007</v>
      </c>
      <c r="I47" s="1">
        <v>935316.0764929998</v>
      </c>
      <c r="J47" s="1">
        <v>1014191.441933</v>
      </c>
      <c r="K47" s="1">
        <v>1024983.6948770001</v>
      </c>
      <c r="L47" s="1">
        <v>1108199.3956569997</v>
      </c>
      <c r="M47" s="1">
        <v>1125312.7520570003</v>
      </c>
      <c r="N47" s="1">
        <v>1095406.2162670007</v>
      </c>
      <c r="O47" s="1">
        <v>1076531.5326270007</v>
      </c>
    </row>
    <row r="48" spans="1:15" ht="14.5">
      <c r="A48" s="3" t="s">
        <v>49</v>
      </c>
      <c r="B48" s="3" t="s">
        <v>155</v>
      </c>
      <c r="C48" s="1">
        <v>407319.84359</v>
      </c>
      <c r="D48" s="2">
        <v>420208.01685499999</v>
      </c>
      <c r="E48" s="6">
        <v>462905.72547799989</v>
      </c>
      <c r="F48" s="1">
        <v>486004.36908999993</v>
      </c>
      <c r="G48" s="1">
        <v>491317.18917799962</v>
      </c>
      <c r="H48" s="1">
        <v>509002.90688699984</v>
      </c>
      <c r="I48" s="1">
        <v>521427.40981199982</v>
      </c>
      <c r="J48" s="1">
        <v>564408.07422499999</v>
      </c>
      <c r="K48" s="1">
        <v>561853.21937799989</v>
      </c>
      <c r="L48" s="1">
        <v>543926.61849399982</v>
      </c>
      <c r="M48" s="1">
        <v>493829.6868480001</v>
      </c>
      <c r="N48" s="1">
        <v>675686.44741700019</v>
      </c>
      <c r="O48" s="1">
        <v>544089.80084399995</v>
      </c>
    </row>
    <row r="49" spans="1:15" ht="14.5">
      <c r="A49" s="3" t="s">
        <v>48</v>
      </c>
      <c r="B49" s="3" t="s">
        <v>156</v>
      </c>
      <c r="C49" s="1">
        <v>136736.225355</v>
      </c>
      <c r="D49" s="2">
        <v>141152.212015</v>
      </c>
      <c r="E49" s="6">
        <v>162424.38921499995</v>
      </c>
      <c r="F49" s="1">
        <v>163987.94751500001</v>
      </c>
      <c r="G49" s="1">
        <v>159007.72757499994</v>
      </c>
      <c r="H49" s="1">
        <v>157719.69807499991</v>
      </c>
      <c r="I49" s="1">
        <v>154596.70109999998</v>
      </c>
      <c r="J49" s="1">
        <v>151805.39180000004</v>
      </c>
      <c r="K49" s="1">
        <v>151676.89969999995</v>
      </c>
      <c r="L49" s="1">
        <v>151174.21259999997</v>
      </c>
      <c r="M49" s="1">
        <v>117963.81120000001</v>
      </c>
      <c r="N49" s="1">
        <v>117175.27559999999</v>
      </c>
      <c r="O49" s="1">
        <v>114045.09860000003</v>
      </c>
    </row>
    <row r="50" spans="1:15" ht="14.5">
      <c r="A50" s="3" t="s">
        <v>47</v>
      </c>
      <c r="B50" s="3" t="s">
        <v>157</v>
      </c>
      <c r="C50" s="1">
        <v>98889.333400000003</v>
      </c>
      <c r="D50" s="2">
        <v>94379.614600000001</v>
      </c>
      <c r="E50" s="6">
        <v>99311.024200000043</v>
      </c>
      <c r="F50" s="1">
        <v>200799.21240000005</v>
      </c>
      <c r="G50" s="1">
        <v>203978.4927</v>
      </c>
      <c r="H50" s="1">
        <v>208471.64350000001</v>
      </c>
      <c r="I50" s="1">
        <v>207549.8220000001</v>
      </c>
      <c r="J50" s="1">
        <v>169136.23290000009</v>
      </c>
      <c r="K50" s="1">
        <v>112797.60610000006</v>
      </c>
      <c r="L50" s="1">
        <v>110168.77430000002</v>
      </c>
      <c r="M50" s="1">
        <v>104770.86270000003</v>
      </c>
      <c r="N50" s="1">
        <v>113948.47500000001</v>
      </c>
      <c r="O50" s="1">
        <v>104220.42410000003</v>
      </c>
    </row>
    <row r="51" spans="1:15" ht="14.5">
      <c r="A51" s="3" t="s">
        <v>46</v>
      </c>
      <c r="B51" s="3" t="s">
        <v>158</v>
      </c>
      <c r="C51" s="1">
        <v>64365.841099999998</v>
      </c>
      <c r="D51" s="2">
        <v>64274.417700000005</v>
      </c>
      <c r="E51" s="6">
        <v>75701.022899999996</v>
      </c>
      <c r="F51" s="1">
        <v>69049.457799999989</v>
      </c>
      <c r="G51" s="1">
        <v>63032.930100000005</v>
      </c>
      <c r="H51" s="1">
        <v>69174.794300000009</v>
      </c>
      <c r="I51" s="1">
        <v>74406.929499999998</v>
      </c>
      <c r="J51" s="1">
        <v>74977.292099999977</v>
      </c>
      <c r="K51" s="1">
        <v>69633.639399999985</v>
      </c>
      <c r="L51" s="1">
        <v>78386.474499999953</v>
      </c>
      <c r="M51" s="1">
        <v>77684.630600000004</v>
      </c>
      <c r="N51" s="1">
        <v>87397.85089999999</v>
      </c>
      <c r="O51" s="1">
        <v>85113.349000000002</v>
      </c>
    </row>
    <row r="52" spans="1:15" ht="14.5">
      <c r="A52" s="3" t="s">
        <v>45</v>
      </c>
      <c r="B52" s="3" t="s">
        <v>159</v>
      </c>
      <c r="C52" s="1">
        <v>430365.90919999999</v>
      </c>
      <c r="D52" s="2">
        <v>408844.43489999999</v>
      </c>
      <c r="E52" s="6">
        <v>396586.09440000018</v>
      </c>
      <c r="F52" s="1">
        <v>436880.274256</v>
      </c>
      <c r="G52" s="1">
        <v>438930.6386800005</v>
      </c>
      <c r="H52" s="1">
        <v>477842.26806500001</v>
      </c>
      <c r="I52" s="1">
        <v>437859.2750369999</v>
      </c>
      <c r="J52" s="1">
        <v>419809.03083399998</v>
      </c>
      <c r="K52" s="1">
        <v>434372.072186</v>
      </c>
      <c r="L52" s="1">
        <v>431013.99167100008</v>
      </c>
      <c r="M52" s="1">
        <v>469003.34538700001</v>
      </c>
      <c r="N52" s="1">
        <v>449661.08344200021</v>
      </c>
      <c r="O52" s="1">
        <v>471836.22365600022</v>
      </c>
    </row>
    <row r="53" spans="1:15" ht="14.5">
      <c r="A53" s="3" t="s">
        <v>44</v>
      </c>
      <c r="B53" s="3" t="s">
        <v>160</v>
      </c>
      <c r="C53" s="1">
        <v>200320.2108</v>
      </c>
      <c r="D53" s="2">
        <v>245905.38689999998</v>
      </c>
      <c r="E53" s="6">
        <v>226176.04039999997</v>
      </c>
      <c r="F53" s="1">
        <v>228641.74599999987</v>
      </c>
      <c r="G53" s="1">
        <v>262101.4987999998</v>
      </c>
      <c r="H53" s="1">
        <v>263960.36049999989</v>
      </c>
      <c r="I53" s="1">
        <v>262600.75469999987</v>
      </c>
      <c r="J53" s="1">
        <v>270095.62509999983</v>
      </c>
      <c r="K53" s="1">
        <v>265457.75569999986</v>
      </c>
      <c r="L53" s="1">
        <v>280693.76479999977</v>
      </c>
      <c r="M53" s="1">
        <v>254392.53849999997</v>
      </c>
      <c r="N53" s="1">
        <v>233300.10670000003</v>
      </c>
      <c r="O53" s="1">
        <v>254219.00229999996</v>
      </c>
    </row>
    <row r="54" spans="1:15" ht="14.5">
      <c r="A54" s="3" t="s">
        <v>43</v>
      </c>
      <c r="B54" s="3" t="s">
        <v>161</v>
      </c>
      <c r="C54" s="1">
        <v>676352.37248500006</v>
      </c>
      <c r="D54" s="2">
        <v>658111.75141199993</v>
      </c>
      <c r="E54" s="6">
        <v>608775.16930200031</v>
      </c>
      <c r="F54" s="1">
        <v>662413.76329599996</v>
      </c>
      <c r="G54" s="1">
        <v>651132.56771299976</v>
      </c>
      <c r="H54" s="1">
        <v>639459.3806289999</v>
      </c>
      <c r="I54" s="1">
        <v>640971.71631600009</v>
      </c>
      <c r="J54" s="1">
        <v>511727.15559999994</v>
      </c>
      <c r="K54" s="1">
        <v>504010.16811999975</v>
      </c>
      <c r="L54" s="1">
        <v>515629.26561200002</v>
      </c>
      <c r="M54" s="1">
        <v>490759.58126499999</v>
      </c>
      <c r="N54" s="1">
        <v>517495.8823249999</v>
      </c>
      <c r="O54" s="1">
        <v>545402.14528399985</v>
      </c>
    </row>
    <row r="55" spans="1:15" ht="14.5">
      <c r="A55" s="3" t="s">
        <v>42</v>
      </c>
      <c r="B55" s="3" t="s">
        <v>162</v>
      </c>
      <c r="C55" s="1">
        <v>153787.30320000002</v>
      </c>
      <c r="D55" s="2">
        <v>151115.26370000001</v>
      </c>
      <c r="E55" s="6">
        <v>164310.97620000006</v>
      </c>
      <c r="F55" s="1">
        <v>145841.51230000015</v>
      </c>
      <c r="G55" s="1">
        <v>143256.35420000009</v>
      </c>
      <c r="H55" s="1">
        <v>150324.97280000013</v>
      </c>
      <c r="I55" s="1">
        <v>135861.7281000001</v>
      </c>
      <c r="J55" s="1">
        <v>156670.88899999997</v>
      </c>
      <c r="K55" s="1">
        <v>137656.67690000005</v>
      </c>
      <c r="L55" s="1">
        <v>133128.30699999997</v>
      </c>
      <c r="M55" s="1">
        <v>138826.62149999998</v>
      </c>
      <c r="N55" s="1">
        <v>137922.9008</v>
      </c>
      <c r="O55" s="1">
        <v>132161.87720000002</v>
      </c>
    </row>
    <row r="56" spans="1:15" ht="14.5">
      <c r="A56" s="3" t="s">
        <v>41</v>
      </c>
      <c r="B56" s="3" t="s">
        <v>163</v>
      </c>
      <c r="C56" s="1">
        <v>408768.07087900001</v>
      </c>
      <c r="D56" s="2">
        <v>407679.33237900003</v>
      </c>
      <c r="E56" s="6">
        <v>468406.73004500009</v>
      </c>
      <c r="F56" s="1">
        <v>481554.11542099994</v>
      </c>
      <c r="G56" s="1">
        <v>468631.14745699998</v>
      </c>
      <c r="H56" s="1">
        <v>431891.2478730001</v>
      </c>
      <c r="I56" s="1">
        <v>426696.71049999987</v>
      </c>
      <c r="J56" s="1">
        <v>517699.92919999984</v>
      </c>
      <c r="K56" s="1">
        <v>512433.67829999997</v>
      </c>
      <c r="L56" s="1">
        <v>518901.02480000019</v>
      </c>
      <c r="M56" s="1">
        <v>498187.70020000008</v>
      </c>
      <c r="N56" s="1">
        <v>494136.98369999992</v>
      </c>
      <c r="O56" s="1">
        <v>499710.74850000005</v>
      </c>
    </row>
    <row r="57" spans="1:15" ht="14.5">
      <c r="A57" s="3" t="s">
        <v>40</v>
      </c>
      <c r="B57" s="3" t="s">
        <v>164</v>
      </c>
      <c r="C57" s="1">
        <v>517573.62634800002</v>
      </c>
      <c r="D57" s="2">
        <v>464903.85620800004</v>
      </c>
      <c r="E57" s="6">
        <v>505650.38024199998</v>
      </c>
      <c r="F57" s="1">
        <v>385278.51720200008</v>
      </c>
      <c r="G57" s="1">
        <v>312739.648392</v>
      </c>
      <c r="H57" s="1">
        <v>318070.32095999998</v>
      </c>
      <c r="I57" s="1">
        <v>327065.70860500028</v>
      </c>
      <c r="J57" s="1">
        <v>321892.14230900013</v>
      </c>
      <c r="K57" s="1">
        <v>309387.17381100007</v>
      </c>
      <c r="L57" s="1">
        <v>311492.15207099996</v>
      </c>
      <c r="M57" s="1">
        <v>285332.49615599989</v>
      </c>
      <c r="N57" s="1">
        <v>285974.50007199997</v>
      </c>
      <c r="O57" s="1">
        <v>309158.9208039997</v>
      </c>
    </row>
    <row r="58" spans="1:15" ht="14.5">
      <c r="A58" s="3" t="s">
        <v>39</v>
      </c>
      <c r="B58" s="3" t="s">
        <v>165</v>
      </c>
      <c r="C58" s="1">
        <v>359033.66449999996</v>
      </c>
      <c r="D58" s="2">
        <v>344507.98979999998</v>
      </c>
      <c r="E58" s="6">
        <v>298903.43699999986</v>
      </c>
      <c r="F58" s="1">
        <v>249007.62979999997</v>
      </c>
      <c r="G58" s="1">
        <v>258315.58869999982</v>
      </c>
      <c r="H58" s="1">
        <v>257882.84819999995</v>
      </c>
      <c r="I58" s="1">
        <v>254045.04379999993</v>
      </c>
      <c r="J58" s="1">
        <v>247459.70229999989</v>
      </c>
      <c r="K58" s="1">
        <v>264535.08840000001</v>
      </c>
      <c r="L58" s="1">
        <v>280272.97959999979</v>
      </c>
      <c r="M58" s="1">
        <v>286575.38979999977</v>
      </c>
      <c r="N58" s="1">
        <v>271351.63849999971</v>
      </c>
      <c r="O58" s="1">
        <v>255061.94768000004</v>
      </c>
    </row>
    <row r="59" spans="1:15" ht="14.5">
      <c r="A59" s="3" t="s">
        <v>38</v>
      </c>
      <c r="B59" s="3" t="s">
        <v>166</v>
      </c>
      <c r="C59" s="1">
        <v>344002.70410999999</v>
      </c>
      <c r="D59" s="2">
        <v>314285.86667000002</v>
      </c>
      <c r="E59" s="6">
        <v>319927.74907999998</v>
      </c>
      <c r="F59" s="1">
        <v>328532.47859000013</v>
      </c>
      <c r="G59" s="1">
        <v>336228.82169600035</v>
      </c>
      <c r="H59" s="1">
        <v>301741.91821800038</v>
      </c>
      <c r="I59" s="1">
        <v>298963.61885600031</v>
      </c>
      <c r="J59" s="1">
        <v>299340.21840000019</v>
      </c>
      <c r="K59" s="1">
        <v>290555.74620000011</v>
      </c>
      <c r="L59" s="1">
        <v>288870.79060000007</v>
      </c>
      <c r="M59" s="1">
        <v>315002.85279999999</v>
      </c>
      <c r="N59" s="1">
        <v>281781.2709</v>
      </c>
      <c r="O59" s="1">
        <v>312237.01931500004</v>
      </c>
    </row>
    <row r="60" spans="1:15" ht="14.5">
      <c r="A60" s="3" t="s">
        <v>37</v>
      </c>
      <c r="B60" s="3" t="s">
        <v>167</v>
      </c>
      <c r="C60" s="1">
        <v>1432281.0279999999</v>
      </c>
      <c r="D60" s="2">
        <v>1374437.9002000003</v>
      </c>
      <c r="E60" s="6">
        <v>1797380.0944999994</v>
      </c>
      <c r="F60" s="1">
        <v>1441170.3789999995</v>
      </c>
      <c r="G60" s="1">
        <v>1289199.1164000006</v>
      </c>
      <c r="H60" s="1">
        <v>1358712.4930999999</v>
      </c>
      <c r="I60" s="1">
        <v>1496878.2810999996</v>
      </c>
      <c r="J60" s="1">
        <v>1518312.9978999998</v>
      </c>
      <c r="K60" s="1">
        <v>1227408.2399999995</v>
      </c>
      <c r="L60" s="1">
        <v>1405078.6601999996</v>
      </c>
      <c r="M60" s="1">
        <v>1541846.4923999996</v>
      </c>
      <c r="N60" s="1">
        <v>1624040.8624999994</v>
      </c>
      <c r="O60" s="1">
        <v>1635435.2972999995</v>
      </c>
    </row>
    <row r="61" spans="1:15" ht="14.5">
      <c r="A61" s="3" t="s">
        <v>36</v>
      </c>
      <c r="B61" s="3" t="s">
        <v>168</v>
      </c>
      <c r="C61" s="1">
        <v>170564.48430000001</v>
      </c>
      <c r="D61" s="2">
        <v>171047.5589</v>
      </c>
      <c r="E61" s="6">
        <v>171047.55890000003</v>
      </c>
      <c r="F61" s="1">
        <v>171918.10280000005</v>
      </c>
      <c r="G61" s="1">
        <v>125076.6817</v>
      </c>
      <c r="H61" s="1">
        <v>79186.353499999997</v>
      </c>
      <c r="I61" s="1">
        <v>49972.693200000002</v>
      </c>
      <c r="J61" s="1">
        <v>49972.693200000002</v>
      </c>
      <c r="K61" s="1">
        <v>49972.693200000002</v>
      </c>
      <c r="L61" s="1">
        <v>34672.453200000004</v>
      </c>
      <c r="M61" s="1">
        <v>34672.453200000004</v>
      </c>
      <c r="N61" s="1">
        <v>34672.453200000004</v>
      </c>
      <c r="O61" s="1">
        <v>34672.453200000004</v>
      </c>
    </row>
    <row r="62" spans="1:15" ht="14.5">
      <c r="A62" s="3" t="s">
        <v>35</v>
      </c>
      <c r="B62" s="3" t="s">
        <v>169</v>
      </c>
      <c r="C62" s="1">
        <v>357186.51331300003</v>
      </c>
      <c r="D62" s="2">
        <v>342379.55052300001</v>
      </c>
      <c r="E62" s="6">
        <v>331687.83818200004</v>
      </c>
      <c r="F62" s="1">
        <v>330474.19761200005</v>
      </c>
      <c r="G62" s="1">
        <v>372331.81058999954</v>
      </c>
      <c r="H62" s="1">
        <v>390301.7447399997</v>
      </c>
      <c r="I62" s="1">
        <v>342818.90669899958</v>
      </c>
      <c r="J62" s="1">
        <v>392456.50104900007</v>
      </c>
      <c r="K62" s="1">
        <v>428876.8567810001</v>
      </c>
      <c r="L62" s="1">
        <v>419853.9113579999</v>
      </c>
      <c r="M62" s="1">
        <v>397995.1121329997</v>
      </c>
      <c r="N62" s="1">
        <v>376603.15526999946</v>
      </c>
      <c r="O62" s="1">
        <v>392660.13630899967</v>
      </c>
    </row>
    <row r="63" spans="1:15" ht="14.5">
      <c r="A63" s="3" t="s">
        <v>34</v>
      </c>
      <c r="B63" s="3" t="s">
        <v>170</v>
      </c>
      <c r="C63" s="1">
        <v>84095.833299999998</v>
      </c>
      <c r="D63" s="2">
        <v>84095.833299999998</v>
      </c>
      <c r="E63" s="6">
        <v>84095.833299999984</v>
      </c>
      <c r="F63" s="1">
        <v>84095.833299999984</v>
      </c>
      <c r="G63" s="1">
        <v>84095.833299999984</v>
      </c>
      <c r="H63" s="1">
        <v>84095.833299999984</v>
      </c>
      <c r="I63" s="1">
        <v>84095.833299999984</v>
      </c>
      <c r="J63" s="1">
        <v>84095.833299999984</v>
      </c>
      <c r="K63" s="1">
        <v>84095.833299999984</v>
      </c>
      <c r="L63" s="1">
        <v>84095.833299999984</v>
      </c>
      <c r="M63" s="1">
        <v>84095.833299999984</v>
      </c>
      <c r="N63" s="1">
        <v>112561.03029999998</v>
      </c>
      <c r="O63" s="1">
        <v>154520.82430000004</v>
      </c>
    </row>
    <row r="64" spans="1:15" ht="14.5">
      <c r="A64" s="3" t="s">
        <v>33</v>
      </c>
      <c r="B64" s="3" t="s">
        <v>171</v>
      </c>
      <c r="C64" s="1">
        <v>7246916.375</v>
      </c>
      <c r="D64" s="2">
        <v>6751549.6370000001</v>
      </c>
      <c r="E64" s="6">
        <v>7091547.298899998</v>
      </c>
      <c r="F64" s="1">
        <v>6818760.6530999988</v>
      </c>
      <c r="G64" s="1">
        <v>7272406.2491999986</v>
      </c>
      <c r="H64" s="1">
        <v>8459884.8343000002</v>
      </c>
      <c r="I64" s="1">
        <v>7582405.7119000033</v>
      </c>
      <c r="J64" s="1">
        <v>7454343.7645999994</v>
      </c>
      <c r="K64" s="1">
        <v>7917424.292200001</v>
      </c>
      <c r="L64" s="1">
        <v>8741739.3502999991</v>
      </c>
      <c r="M64" s="1">
        <v>8675971.9901999999</v>
      </c>
      <c r="N64" s="1">
        <v>7880475.0840999968</v>
      </c>
      <c r="O64" s="1">
        <v>8058746.2732999986</v>
      </c>
    </row>
    <row r="65" spans="1:15" ht="14.5">
      <c r="A65" s="3" t="s">
        <v>32</v>
      </c>
      <c r="B65" s="3" t="s">
        <v>172</v>
      </c>
      <c r="C65" s="1">
        <v>145383.43370000002</v>
      </c>
      <c r="D65" s="2">
        <v>143588.36910000001</v>
      </c>
      <c r="E65" s="6">
        <v>163749.95069999996</v>
      </c>
      <c r="F65" s="1">
        <v>165823.26969999992</v>
      </c>
      <c r="G65" s="1">
        <v>177797.96860000002</v>
      </c>
      <c r="H65" s="1">
        <v>175903.10910000003</v>
      </c>
      <c r="I65" s="1">
        <v>208531.12389999995</v>
      </c>
      <c r="J65" s="1">
        <v>229898.90679999997</v>
      </c>
      <c r="K65" s="1">
        <v>233953.49129999999</v>
      </c>
      <c r="L65" s="1">
        <v>229680.72090000002</v>
      </c>
      <c r="M65" s="1">
        <v>233978.3406</v>
      </c>
      <c r="N65" s="1">
        <v>236236.94939999984</v>
      </c>
      <c r="O65" s="1">
        <v>245990.17759999988</v>
      </c>
    </row>
    <row r="66" spans="1:15" ht="14.5">
      <c r="A66" s="3" t="s">
        <v>31</v>
      </c>
      <c r="B66" s="3" t="s">
        <v>173</v>
      </c>
      <c r="C66" s="1">
        <v>305866.58127799997</v>
      </c>
      <c r="D66" s="2">
        <v>303280.80332400004</v>
      </c>
      <c r="E66" s="6">
        <v>335279.83652599994</v>
      </c>
      <c r="F66" s="1">
        <v>357103.8101649998</v>
      </c>
      <c r="G66" s="1">
        <v>340075.11113300011</v>
      </c>
      <c r="H66" s="1">
        <v>395078.58026700001</v>
      </c>
      <c r="I66" s="1">
        <v>392509.56643699994</v>
      </c>
      <c r="J66" s="1">
        <v>377886.62146300002</v>
      </c>
      <c r="K66" s="1">
        <v>351787.15044199995</v>
      </c>
      <c r="L66" s="1">
        <v>336434.40217200009</v>
      </c>
      <c r="M66" s="1">
        <v>271673.04017099983</v>
      </c>
      <c r="N66" s="1">
        <v>290362.38806200004</v>
      </c>
      <c r="O66" s="1">
        <v>287197.72126599995</v>
      </c>
    </row>
    <row r="67" spans="1:15" ht="14.5">
      <c r="A67" s="3" t="s">
        <v>30</v>
      </c>
      <c r="B67" s="3" t="s">
        <v>174</v>
      </c>
      <c r="C67" s="1">
        <v>6867723.1131550008</v>
      </c>
      <c r="D67" s="2">
        <v>6314759.5764949992</v>
      </c>
      <c r="E67" s="6">
        <v>4709982.4800949944</v>
      </c>
      <c r="F67" s="1">
        <v>4554045.8880949998</v>
      </c>
      <c r="G67" s="1">
        <v>3785313.0276150005</v>
      </c>
      <c r="H67" s="1">
        <v>2145368.9051799993</v>
      </c>
      <c r="I67" s="1">
        <v>695125.49648000021</v>
      </c>
      <c r="J67" s="1">
        <v>384163.19178000005</v>
      </c>
      <c r="K67" s="1">
        <v>327999.90778000001</v>
      </c>
      <c r="L67" s="1">
        <v>194491.67507999999</v>
      </c>
      <c r="M67" s="1">
        <v>187376.55107999998</v>
      </c>
      <c r="N67" s="1">
        <v>187376.56147999998</v>
      </c>
      <c r="O67" s="1">
        <v>187376.56147999998</v>
      </c>
    </row>
    <row r="68" spans="1:15" ht="14.5">
      <c r="A68" s="3" t="s">
        <v>29</v>
      </c>
      <c r="B68" s="3" t="s">
        <v>175</v>
      </c>
      <c r="C68" s="1">
        <v>2057547.1132000003</v>
      </c>
      <c r="D68" s="2">
        <v>2057547.075</v>
      </c>
      <c r="E68" s="6">
        <v>2167589.3805</v>
      </c>
      <c r="F68" s="1">
        <v>2575038.0839999989</v>
      </c>
      <c r="G68" s="1">
        <v>1916256.0109000015</v>
      </c>
      <c r="H68" s="1">
        <v>1920635.2120000017</v>
      </c>
      <c r="I68" s="1">
        <v>1935079.1874000016</v>
      </c>
      <c r="J68" s="1">
        <v>1935079.1874000016</v>
      </c>
      <c r="K68" s="1">
        <v>1935079.1492000015</v>
      </c>
      <c r="L68" s="1">
        <v>1935079.1492000015</v>
      </c>
      <c r="M68" s="1">
        <v>1962274.8911000001</v>
      </c>
      <c r="N68" s="1">
        <v>1962643.2910000002</v>
      </c>
      <c r="O68" s="1">
        <v>2184557.3618999999</v>
      </c>
    </row>
    <row r="69" spans="1:15" ht="14.5">
      <c r="A69" s="3" t="s">
        <v>28</v>
      </c>
      <c r="B69" s="3" t="s">
        <v>176</v>
      </c>
      <c r="C69" s="1">
        <v>19387592.381900001</v>
      </c>
      <c r="D69" s="2">
        <v>18454294.917600002</v>
      </c>
      <c r="E69" s="6">
        <v>29471464.755699947</v>
      </c>
      <c r="F69" s="1">
        <v>16617651.663700007</v>
      </c>
      <c r="G69" s="1">
        <v>17209460.734999985</v>
      </c>
      <c r="H69" s="1">
        <v>18182161.156299971</v>
      </c>
      <c r="I69" s="1">
        <v>21318632.39179996</v>
      </c>
      <c r="J69" s="1">
        <v>24184671.894999981</v>
      </c>
      <c r="K69" s="1">
        <v>22774832.115299962</v>
      </c>
      <c r="L69" s="1">
        <v>24862233.720999971</v>
      </c>
      <c r="M69" s="1">
        <f>26378357.6052-260.55</f>
        <v>26378097.055199999</v>
      </c>
      <c r="N69" s="1">
        <f>29349642.309-47619.91</f>
        <v>29302022.399</v>
      </c>
      <c r="O69" s="1">
        <f>32555356.3145-2431379.36</f>
        <v>30123976.954500001</v>
      </c>
    </row>
    <row r="70" spans="1:15" ht="14.5">
      <c r="A70" s="3" t="s">
        <v>27</v>
      </c>
      <c r="B70" s="3" t="s">
        <v>177</v>
      </c>
      <c r="C70" s="1">
        <v>0</v>
      </c>
      <c r="D70" s="2">
        <v>987424.86380000005</v>
      </c>
      <c r="E70" s="6">
        <v>2258519.0331999999</v>
      </c>
      <c r="F70" s="1">
        <v>3026976.3165000025</v>
      </c>
      <c r="G70" s="1">
        <v>2798288.1758000008</v>
      </c>
      <c r="H70" s="1">
        <v>2933214.0150999995</v>
      </c>
      <c r="I70" s="1">
        <v>4694272.984199998</v>
      </c>
      <c r="J70" s="1">
        <v>5990782.6138999984</v>
      </c>
      <c r="K70" s="1">
        <v>9672279.1697000004</v>
      </c>
      <c r="L70" s="1">
        <v>10323509.777700001</v>
      </c>
      <c r="M70" s="1">
        <v>10177152.2204</v>
      </c>
      <c r="N70" s="1">
        <v>11757935.401300004</v>
      </c>
      <c r="O70" s="1">
        <v>12585894.932900004</v>
      </c>
    </row>
    <row r="71" spans="1:15" ht="14.5">
      <c r="A71" s="3">
        <v>999</v>
      </c>
      <c r="B71" s="3" t="s">
        <v>178</v>
      </c>
      <c r="C71" s="1">
        <v>0</v>
      </c>
      <c r="D71" s="2">
        <v>0</v>
      </c>
      <c r="E71" s="6">
        <v>0</v>
      </c>
      <c r="F71" s="1">
        <v>0</v>
      </c>
      <c r="G71" s="1">
        <v>0</v>
      </c>
      <c r="H71" s="1">
        <v>0</v>
      </c>
      <c r="I71" s="1">
        <v>3217.9962</v>
      </c>
      <c r="J71" s="1">
        <v>3217.9962</v>
      </c>
      <c r="K71" s="1">
        <v>3217.9962</v>
      </c>
      <c r="L71" s="1">
        <v>3217.9962</v>
      </c>
      <c r="M71" s="1">
        <v>3217.9962</v>
      </c>
      <c r="N71" s="1">
        <v>3217.9962</v>
      </c>
      <c r="O71" s="1">
        <v>6523.9378999999999</v>
      </c>
    </row>
    <row r="72" spans="3:20" s="10" customFormat="1" ht="14.5">
      <c r="C72" s="11">
        <f t="shared" si="0" ref="C72:H72">SUM(C9:C71)</f>
        <v>59396706.075874016</v>
      </c>
      <c r="D72" s="11">
        <f t="shared" si="0"/>
        <v>57943251.419032998</v>
      </c>
      <c r="E72" s="11">
        <f t="shared" si="0"/>
        <v>70386949.621831924</v>
      </c>
      <c r="F72" s="11">
        <f t="shared" si="0"/>
        <v>57639713.966425002</v>
      </c>
      <c r="G72" s="11">
        <f t="shared" si="0"/>
        <v>56264144.81376899</v>
      </c>
      <c r="H72" s="11">
        <f t="shared" si="0"/>
        <v>56904499.815525986</v>
      </c>
      <c r="I72" s="11">
        <f>SUM(I9:I71)</f>
        <v>59854436.789835952</v>
      </c>
      <c r="J72" s="11">
        <f t="shared" si="1" ref="J72:O72">SUM(J9:J71)</f>
        <v>64487262.701248981</v>
      </c>
      <c r="K72" s="11">
        <f t="shared" si="1"/>
        <v>66965611.410331957</v>
      </c>
      <c r="L72" s="11">
        <f t="shared" si="1"/>
        <v>70267446.226079971</v>
      </c>
      <c r="M72" s="11">
        <f t="shared" si="1"/>
        <v>71813900.955820993</v>
      </c>
      <c r="N72" s="11">
        <f t="shared" si="1"/>
        <v>75783246.697266996</v>
      </c>
      <c r="O72" s="11">
        <f t="shared" si="1"/>
        <v>77714761.829147011</v>
      </c>
      <c r="P72" s="11"/>
      <c r="Q72" s="11"/>
      <c r="R72" s="11"/>
      <c r="S72" s="11"/>
      <c r="T72" s="11"/>
    </row>
    <row r="73" spans="1:2" ht="14.5">
      <c r="A73" s="4" t="s">
        <v>0</v>
      </c>
      <c r="B73" s="5"/>
    </row>
    <row r="74" spans="1:15" ht="14.5">
      <c r="A74" s="3" t="s">
        <v>25</v>
      </c>
      <c r="B74" s="3" t="s">
        <v>91</v>
      </c>
      <c r="C74" s="1">
        <v>611764.96683500009</v>
      </c>
      <c r="D74" s="1">
        <v>621748.75945000001</v>
      </c>
      <c r="E74" s="1">
        <v>593626.56407100079</v>
      </c>
      <c r="F74" s="1">
        <v>634798.76069400087</v>
      </c>
      <c r="G74" s="1">
        <v>630065.27731400076</v>
      </c>
      <c r="H74" s="1">
        <v>641241.73203800083</v>
      </c>
      <c r="I74" s="1">
        <v>646007.5745000008</v>
      </c>
      <c r="J74" s="1">
        <v>662379.42630000063</v>
      </c>
      <c r="K74" s="1">
        <v>653149.60730000038</v>
      </c>
      <c r="L74" s="1">
        <v>684663.81720000017</v>
      </c>
      <c r="M74" s="1">
        <v>520134.10315799993</v>
      </c>
      <c r="N74" s="1">
        <v>505444.51739800017</v>
      </c>
      <c r="O74" s="1">
        <v>534601.00250400009</v>
      </c>
    </row>
    <row r="75" spans="1:15" ht="14.5">
      <c r="A75" s="3" t="s">
        <v>24</v>
      </c>
      <c r="B75" s="3" t="s">
        <v>92</v>
      </c>
      <c r="C75" s="1">
        <v>166401.3266</v>
      </c>
      <c r="D75" s="1">
        <v>166610.53390000001</v>
      </c>
      <c r="E75" s="1">
        <v>157739.49959999995</v>
      </c>
      <c r="F75" s="1">
        <v>169313.73799999987</v>
      </c>
      <c r="G75" s="1">
        <v>222862.1834999999</v>
      </c>
      <c r="H75" s="1">
        <v>230165.66649999991</v>
      </c>
      <c r="I75" s="1">
        <v>226506.8143</v>
      </c>
      <c r="J75" s="1">
        <v>237580.8358</v>
      </c>
      <c r="K75" s="1">
        <v>293716.16409999999</v>
      </c>
      <c r="L75" s="1">
        <v>238305.6367</v>
      </c>
      <c r="M75" s="1">
        <v>260182.09230000002</v>
      </c>
      <c r="N75" s="1">
        <v>273469.22960000002</v>
      </c>
      <c r="O75" s="1">
        <v>254205.57250000013</v>
      </c>
    </row>
    <row r="76" spans="1:15" ht="14.5">
      <c r="A76" s="3" t="s">
        <v>89</v>
      </c>
      <c r="B76" s="3" t="s">
        <v>90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6199.5306</v>
      </c>
      <c r="M76" s="1">
        <v>6199.5306</v>
      </c>
      <c r="N76" s="1">
        <v>6199.5306</v>
      </c>
      <c r="O76" s="1">
        <v>6199.5306</v>
      </c>
    </row>
    <row r="77" spans="1:15" ht="14.5">
      <c r="A77" s="3" t="s">
        <v>23</v>
      </c>
      <c r="B77" s="3" t="s">
        <v>93</v>
      </c>
      <c r="C77" s="1">
        <v>126985.9189</v>
      </c>
      <c r="D77" s="1">
        <v>126514.24120000002</v>
      </c>
      <c r="E77" s="1">
        <v>125282.136</v>
      </c>
      <c r="F77" s="1">
        <v>128106.35079999999</v>
      </c>
      <c r="G77" s="1">
        <v>127802.26000000001</v>
      </c>
      <c r="H77" s="1">
        <v>127166.6321</v>
      </c>
      <c r="I77" s="1">
        <v>127459.31910000002</v>
      </c>
      <c r="J77" s="1">
        <v>127068.15979999999</v>
      </c>
      <c r="K77" s="1">
        <v>126696.57329999996</v>
      </c>
      <c r="L77" s="1">
        <v>109993.48599999999</v>
      </c>
      <c r="M77" s="1">
        <v>115135.00789999997</v>
      </c>
      <c r="N77" s="1">
        <v>116795.49170000001</v>
      </c>
      <c r="O77" s="1">
        <v>113135.51720000002</v>
      </c>
    </row>
    <row r="78" spans="1:15" ht="14.5">
      <c r="A78" s="3" t="s">
        <v>22</v>
      </c>
      <c r="B78" s="3" t="s">
        <v>94</v>
      </c>
      <c r="C78" s="1">
        <v>161204.29609999998</v>
      </c>
      <c r="D78" s="1">
        <v>158845.25930000001</v>
      </c>
      <c r="E78" s="1">
        <v>150043.08939999997</v>
      </c>
      <c r="F78" s="1">
        <v>160474.53369999994</v>
      </c>
      <c r="G78" s="1">
        <v>161622.05869999999</v>
      </c>
      <c r="H78" s="1">
        <v>161547.09089999998</v>
      </c>
      <c r="I78" s="1">
        <v>161255.75809999998</v>
      </c>
      <c r="J78" s="1">
        <v>161037.78719999996</v>
      </c>
      <c r="K78" s="1">
        <v>150622.14839999995</v>
      </c>
      <c r="L78" s="1">
        <v>149943.15689999997</v>
      </c>
      <c r="M78" s="1">
        <v>149023.03799999991</v>
      </c>
      <c r="N78" s="1">
        <v>147733.63769999991</v>
      </c>
      <c r="O78" s="1">
        <v>147824.31079999992</v>
      </c>
    </row>
    <row r="79" spans="1:15" ht="14.5">
      <c r="A79" s="3" t="s">
        <v>21</v>
      </c>
      <c r="B79" s="3" t="s">
        <v>95</v>
      </c>
      <c r="C79" s="1">
        <v>90066.216</v>
      </c>
      <c r="D79" s="1">
        <v>96640.981599999999</v>
      </c>
      <c r="E79" s="1">
        <v>90260.701399999976</v>
      </c>
      <c r="F79" s="1">
        <v>94976.294999999969</v>
      </c>
      <c r="G79" s="1">
        <v>95729.199899999963</v>
      </c>
      <c r="H79" s="1">
        <v>92819.977799999964</v>
      </c>
      <c r="I79" s="1">
        <v>100955.69229999998</v>
      </c>
      <c r="J79" s="1">
        <v>103423.24779999998</v>
      </c>
      <c r="K79" s="1">
        <v>108141.21429999996</v>
      </c>
      <c r="L79" s="1">
        <v>108672.91679999999</v>
      </c>
      <c r="M79" s="1">
        <v>104641.7077</v>
      </c>
      <c r="N79" s="1">
        <v>111222.46570000003</v>
      </c>
      <c r="O79" s="1">
        <v>108220.98200000003</v>
      </c>
    </row>
    <row r="80" spans="1:15" ht="14.5">
      <c r="A80" s="3" t="s">
        <v>20</v>
      </c>
      <c r="B80" s="3" t="s">
        <v>96</v>
      </c>
      <c r="C80" s="1">
        <v>117300.91729999999</v>
      </c>
      <c r="D80" s="1">
        <v>116786.0735</v>
      </c>
      <c r="E80" s="1">
        <v>121700.9457</v>
      </c>
      <c r="F80" s="1">
        <v>121873.24589999998</v>
      </c>
      <c r="G80" s="1">
        <v>123222.33939999997</v>
      </c>
      <c r="H80" s="1">
        <v>123166.67519999998</v>
      </c>
      <c r="I80" s="1">
        <v>127050.52399999998</v>
      </c>
      <c r="J80" s="1">
        <v>124706.43359999998</v>
      </c>
      <c r="K80" s="1">
        <v>133830.35560000004</v>
      </c>
      <c r="L80" s="1">
        <v>129539.38419999999</v>
      </c>
      <c r="M80" s="1">
        <v>134398.73350000003</v>
      </c>
      <c r="N80" s="1">
        <v>132682.9687</v>
      </c>
      <c r="O80" s="1">
        <v>129521.80359999997</v>
      </c>
    </row>
    <row r="81" spans="1:15" ht="14.5">
      <c r="A81" s="3" t="s">
        <v>19</v>
      </c>
      <c r="B81" s="3" t="s">
        <v>97</v>
      </c>
      <c r="C81" s="1">
        <v>211489.42867200001</v>
      </c>
      <c r="D81" s="1">
        <v>231016.74503300001</v>
      </c>
      <c r="E81" s="1">
        <v>231709.90323299999</v>
      </c>
      <c r="F81" s="1">
        <v>227894.23865000001</v>
      </c>
      <c r="G81" s="1">
        <v>231540.71355000002</v>
      </c>
      <c r="H81" s="1">
        <v>232374.34913000005</v>
      </c>
      <c r="I81" s="1">
        <v>254334.21619999997</v>
      </c>
      <c r="J81" s="1">
        <v>230246.00570000004</v>
      </c>
      <c r="K81" s="1">
        <v>225572.81710000007</v>
      </c>
      <c r="L81" s="1">
        <v>222908.33090000003</v>
      </c>
      <c r="M81" s="1">
        <v>227054.06489999997</v>
      </c>
      <c r="N81" s="1">
        <v>217284.84669999994</v>
      </c>
      <c r="O81" s="1">
        <v>223770.86236000003</v>
      </c>
    </row>
    <row r="82" spans="1:15" ht="14.5">
      <c r="A82" s="3" t="s">
        <v>18</v>
      </c>
      <c r="B82" s="3" t="s">
        <v>98</v>
      </c>
      <c r="C82" s="1">
        <v>76563.127999999997</v>
      </c>
      <c r="D82" s="1">
        <v>77542.147100000002</v>
      </c>
      <c r="E82" s="1">
        <v>83159.183100000009</v>
      </c>
      <c r="F82" s="1">
        <v>84052.441699999996</v>
      </c>
      <c r="G82" s="1">
        <v>83686.828999999998</v>
      </c>
      <c r="H82" s="1">
        <v>82825.964900000006</v>
      </c>
      <c r="I82" s="1">
        <v>81966.9807</v>
      </c>
      <c r="J82" s="1">
        <v>83130.185600000026</v>
      </c>
      <c r="K82" s="1">
        <v>81312.835000000006</v>
      </c>
      <c r="L82" s="1">
        <v>79174.575400000016</v>
      </c>
      <c r="M82" s="1">
        <v>78346.356600000014</v>
      </c>
      <c r="N82" s="1">
        <v>78888.456800000014</v>
      </c>
      <c r="O82" s="1">
        <v>70947.631200000003</v>
      </c>
    </row>
    <row r="83" spans="1:15" ht="14.5">
      <c r="A83" s="3" t="s">
        <v>17</v>
      </c>
      <c r="B83" s="3" t="s">
        <v>99</v>
      </c>
      <c r="C83" s="1">
        <v>230903.92180000001</v>
      </c>
      <c r="D83" s="1">
        <v>233727.4884</v>
      </c>
      <c r="E83" s="1">
        <v>229633.44530000014</v>
      </c>
      <c r="F83" s="1">
        <v>238660.29900000012</v>
      </c>
      <c r="G83" s="1">
        <v>256849.94420000014</v>
      </c>
      <c r="H83" s="1">
        <v>246919.7757000002</v>
      </c>
      <c r="I83" s="1">
        <v>229438.34700000015</v>
      </c>
      <c r="J83" s="1">
        <v>244833.25980000015</v>
      </c>
      <c r="K83" s="1">
        <v>237795.17190000016</v>
      </c>
      <c r="L83" s="1">
        <v>231600.03300000017</v>
      </c>
      <c r="M83" s="1">
        <v>228654.5365000001</v>
      </c>
      <c r="N83" s="1">
        <v>228868.92380000011</v>
      </c>
      <c r="O83" s="1">
        <v>224898.92380000011</v>
      </c>
    </row>
    <row r="84" spans="1:15" ht="14.5">
      <c r="A84" s="3" t="s">
        <v>16</v>
      </c>
      <c r="B84" s="3" t="s">
        <v>100</v>
      </c>
      <c r="C84" s="1">
        <v>178577.4019</v>
      </c>
      <c r="D84" s="1">
        <v>177360.7659</v>
      </c>
      <c r="E84" s="1">
        <v>171519.92910000001</v>
      </c>
      <c r="F84" s="1">
        <v>170882.36099999998</v>
      </c>
      <c r="G84" s="1">
        <v>172062.56910000002</v>
      </c>
      <c r="H84" s="1">
        <v>172051.90530000001</v>
      </c>
      <c r="I84" s="1">
        <v>171922.82970000003</v>
      </c>
      <c r="J84" s="1">
        <v>171538.73540000003</v>
      </c>
      <c r="K84" s="1">
        <v>171846.30140000003</v>
      </c>
      <c r="L84" s="1">
        <v>171717.09120000002</v>
      </c>
      <c r="M84" s="1">
        <v>171436.04620000001</v>
      </c>
      <c r="N84" s="1">
        <v>170833.78020000001</v>
      </c>
      <c r="O84" s="1">
        <v>164312.43489999999</v>
      </c>
    </row>
    <row r="85" spans="1:15" ht="14.5">
      <c r="A85" s="3" t="s">
        <v>15</v>
      </c>
      <c r="B85" s="3" t="s">
        <v>101</v>
      </c>
      <c r="C85" s="1">
        <v>191250.66580000002</v>
      </c>
      <c r="D85" s="1">
        <v>188305.36610000001</v>
      </c>
      <c r="E85" s="1">
        <v>189332.37700000001</v>
      </c>
      <c r="F85" s="1">
        <v>188998.29510000002</v>
      </c>
      <c r="G85" s="1">
        <v>188723.11249999996</v>
      </c>
      <c r="H85" s="1">
        <v>188733.73809999999</v>
      </c>
      <c r="I85" s="1">
        <v>175339.84460000007</v>
      </c>
      <c r="J85" s="1">
        <v>181523.24230000004</v>
      </c>
      <c r="K85" s="1">
        <v>176892.73270000008</v>
      </c>
      <c r="L85" s="1">
        <v>176604.95730000004</v>
      </c>
      <c r="M85" s="1">
        <v>176263.01760000008</v>
      </c>
      <c r="N85" s="1">
        <v>171851.63150000008</v>
      </c>
      <c r="O85" s="1">
        <v>172982.92920000007</v>
      </c>
    </row>
    <row r="86" spans="1:15" ht="14.5">
      <c r="A86" s="3" t="s">
        <v>14</v>
      </c>
      <c r="B86" s="3" t="s">
        <v>102</v>
      </c>
      <c r="C86" s="1">
        <v>142537.68369999999</v>
      </c>
      <c r="D86" s="1">
        <v>143226.9258</v>
      </c>
      <c r="E86" s="1">
        <v>146189.93250000002</v>
      </c>
      <c r="F86" s="1">
        <v>140275.20420000001</v>
      </c>
      <c r="G86" s="1">
        <v>139060.91469999999</v>
      </c>
      <c r="H86" s="1">
        <v>138488.06820400001</v>
      </c>
      <c r="I86" s="1">
        <v>139254.8988</v>
      </c>
      <c r="J86" s="1">
        <v>140663.34720000008</v>
      </c>
      <c r="K86" s="1">
        <v>139412.19439999998</v>
      </c>
      <c r="L86" s="1">
        <v>135662.12969999999</v>
      </c>
      <c r="M86" s="1">
        <v>130600.1826</v>
      </c>
      <c r="N86" s="1">
        <v>129893.78459999998</v>
      </c>
      <c r="O86" s="1">
        <v>141839.9641000001</v>
      </c>
    </row>
    <row r="87" spans="1:15" ht="14.5">
      <c r="A87" s="3" t="s">
        <v>13</v>
      </c>
      <c r="B87" s="3" t="s">
        <v>103</v>
      </c>
      <c r="C87" s="1">
        <v>64751.301899999999</v>
      </c>
      <c r="D87" s="1">
        <v>68208.888299999991</v>
      </c>
      <c r="E87" s="1">
        <v>72100.406000000003</v>
      </c>
      <c r="F87" s="1">
        <v>140701.86529999998</v>
      </c>
      <c r="G87" s="1">
        <v>197751.07460000005</v>
      </c>
      <c r="H87" s="1">
        <v>184159.13199999998</v>
      </c>
      <c r="I87" s="1">
        <v>309009.46590000001</v>
      </c>
      <c r="J87" s="1">
        <v>255085.0171</v>
      </c>
      <c r="K87" s="1">
        <v>168133.58859999996</v>
      </c>
      <c r="L87" s="1">
        <v>134252.31129999997</v>
      </c>
      <c r="M87" s="1">
        <v>120938.99530000002</v>
      </c>
      <c r="N87" s="1">
        <v>111028.62030000004</v>
      </c>
      <c r="O87" s="1">
        <v>130757.26649999998</v>
      </c>
    </row>
    <row r="88" spans="1:15" ht="14.5">
      <c r="A88" s="3" t="s">
        <v>12</v>
      </c>
      <c r="B88" s="3" t="s">
        <v>104</v>
      </c>
      <c r="C88" s="1">
        <v>260155.86499999999</v>
      </c>
      <c r="D88" s="1">
        <v>259501.2499</v>
      </c>
      <c r="E88" s="1">
        <v>260153.97989999992</v>
      </c>
      <c r="F88" s="1">
        <v>275374.93809999991</v>
      </c>
      <c r="G88" s="1">
        <v>256936.77839999984</v>
      </c>
      <c r="H88" s="1">
        <v>267255.77879999985</v>
      </c>
      <c r="I88" s="1">
        <v>271711.6621999999</v>
      </c>
      <c r="J88" s="1">
        <v>262276.75619999989</v>
      </c>
      <c r="K88" s="1">
        <v>264037.07579999976</v>
      </c>
      <c r="L88" s="1">
        <v>271750.78009999986</v>
      </c>
      <c r="M88" s="1">
        <v>333287.7012999999</v>
      </c>
      <c r="N88" s="1">
        <v>333357.90129999985</v>
      </c>
      <c r="O88" s="1">
        <v>557656.16740000003</v>
      </c>
    </row>
    <row r="89" spans="1:15" ht="14.5">
      <c r="A89" s="3" t="s">
        <v>11</v>
      </c>
      <c r="B89" s="3" t="s">
        <v>105</v>
      </c>
      <c r="C89" s="1">
        <v>352624.35940000002</v>
      </c>
      <c r="D89" s="1">
        <v>354542.38010000001</v>
      </c>
      <c r="E89" s="1">
        <v>347610.98110000009</v>
      </c>
      <c r="F89" s="1">
        <v>352136.5528</v>
      </c>
      <c r="G89" s="1">
        <v>349411.9326</v>
      </c>
      <c r="H89" s="1">
        <v>335755.54130000004</v>
      </c>
      <c r="I89" s="1">
        <v>333160.52390000003</v>
      </c>
      <c r="J89" s="1">
        <v>303487.93359999993</v>
      </c>
      <c r="K89" s="1">
        <v>325015.74429999996</v>
      </c>
      <c r="L89" s="1">
        <v>323332.92849999998</v>
      </c>
      <c r="M89" s="1">
        <v>312652.63039999997</v>
      </c>
      <c r="N89" s="1">
        <v>323256.22290000005</v>
      </c>
      <c r="O89" s="1">
        <v>379067.14080000005</v>
      </c>
    </row>
    <row r="90" spans="1:15" ht="14.5">
      <c r="A90" s="3" t="s">
        <v>10</v>
      </c>
      <c r="B90" s="3" t="s">
        <v>106</v>
      </c>
      <c r="C90" s="1">
        <v>160589.19930000001</v>
      </c>
      <c r="D90" s="1">
        <v>171007.55540000001</v>
      </c>
      <c r="E90" s="1">
        <v>205892.76740000007</v>
      </c>
      <c r="F90" s="1">
        <v>196770.71770000001</v>
      </c>
      <c r="G90" s="1">
        <v>180893.2494</v>
      </c>
      <c r="H90" s="1">
        <v>182895.43030000007</v>
      </c>
      <c r="I90" s="1">
        <v>185536.31880000007</v>
      </c>
      <c r="J90" s="1">
        <v>187368.23560000007</v>
      </c>
      <c r="K90" s="1">
        <v>189800.69850000006</v>
      </c>
      <c r="L90" s="1">
        <v>177670.38490000012</v>
      </c>
      <c r="M90" s="1">
        <v>179565.39240000001</v>
      </c>
      <c r="N90" s="1">
        <v>170042.03130000003</v>
      </c>
      <c r="O90" s="1">
        <v>204183.89300000001</v>
      </c>
    </row>
    <row r="91" spans="1:15" ht="14.5">
      <c r="A91" s="3" t="s">
        <v>9</v>
      </c>
      <c r="B91" s="3" t="s">
        <v>107</v>
      </c>
      <c r="C91" s="1">
        <v>153907.96520000001</v>
      </c>
      <c r="D91" s="1">
        <v>151548.9031</v>
      </c>
      <c r="E91" s="1">
        <v>156717.00750000001</v>
      </c>
      <c r="F91" s="1">
        <v>156979.18110000002</v>
      </c>
      <c r="G91" s="1">
        <v>152256.99289999998</v>
      </c>
      <c r="H91" s="1">
        <v>153830.90509999997</v>
      </c>
      <c r="I91" s="1">
        <v>159965.85000000001</v>
      </c>
      <c r="J91" s="1">
        <v>165739.61999999997</v>
      </c>
      <c r="K91" s="1">
        <v>150963.64660000001</v>
      </c>
      <c r="L91" s="1">
        <v>166073.99059999999</v>
      </c>
      <c r="M91" s="1">
        <v>164214.58299999998</v>
      </c>
      <c r="N91" s="1">
        <v>172684.18319999997</v>
      </c>
      <c r="O91" s="1">
        <v>162177.28520000001</v>
      </c>
    </row>
    <row r="92" spans="1:15" ht="14.5">
      <c r="A92" s="3" t="s">
        <v>8</v>
      </c>
      <c r="B92" s="3" t="s">
        <v>108</v>
      </c>
      <c r="C92" s="1">
        <v>866891.12650000001</v>
      </c>
      <c r="D92" s="1">
        <v>876473.00819999992</v>
      </c>
      <c r="E92" s="1">
        <v>867606.3552999997</v>
      </c>
      <c r="F92" s="1">
        <v>871674.84149999998</v>
      </c>
      <c r="G92" s="1">
        <v>873932.61819999968</v>
      </c>
      <c r="H92" s="1">
        <v>850726.16459999967</v>
      </c>
      <c r="I92" s="1">
        <v>914660.46319999965</v>
      </c>
      <c r="J92" s="1">
        <v>817049.14450000005</v>
      </c>
      <c r="K92" s="1">
        <v>819393.52459999989</v>
      </c>
      <c r="L92" s="1">
        <v>790384.66300000006</v>
      </c>
      <c r="M92" s="1">
        <v>782968.21530000027</v>
      </c>
      <c r="N92" s="1">
        <v>754929.08499999985</v>
      </c>
      <c r="O92" s="1">
        <v>814712.6954000002</v>
      </c>
    </row>
    <row r="93" spans="1:15" ht="14.5">
      <c r="A93" s="3" t="s">
        <v>7</v>
      </c>
      <c r="B93" s="3" t="s">
        <v>109</v>
      </c>
      <c r="C93" s="1">
        <v>3501633.6973999999</v>
      </c>
      <c r="D93" s="1">
        <v>3391815.3791</v>
      </c>
      <c r="E93" s="1">
        <v>3326672.6425999962</v>
      </c>
      <c r="F93" s="1">
        <v>3466572.7632999965</v>
      </c>
      <c r="G93" s="1">
        <v>3570076.8499999973</v>
      </c>
      <c r="H93" s="1">
        <v>3571639.2351999972</v>
      </c>
      <c r="I93" s="1">
        <v>3533950.177999997</v>
      </c>
      <c r="J93" s="1">
        <v>3494903.4394999994</v>
      </c>
      <c r="K93" s="1">
        <v>3592244.6084999964</v>
      </c>
      <c r="L93" s="1">
        <v>3581612.9474999974</v>
      </c>
      <c r="M93" s="1">
        <v>3554233.043099999</v>
      </c>
      <c r="N93" s="1">
        <v>3645461.9224999989</v>
      </c>
      <c r="O93" s="1">
        <v>3678591.5672999988</v>
      </c>
    </row>
    <row r="94" spans="1:15" ht="14.5">
      <c r="A94" s="3" t="s">
        <v>6</v>
      </c>
      <c r="B94" s="3" t="s">
        <v>110</v>
      </c>
      <c r="C94" s="1">
        <v>47219804.877300002</v>
      </c>
      <c r="D94" s="1">
        <v>49696402.785399996</v>
      </c>
      <c r="E94" s="1">
        <v>49498834.566600047</v>
      </c>
      <c r="F94" s="1">
        <v>48326009.194300003</v>
      </c>
      <c r="G94" s="1">
        <v>46734277.287000038</v>
      </c>
      <c r="H94" s="1">
        <v>46509216.105200037</v>
      </c>
      <c r="I94" s="1">
        <v>48798303.389900059</v>
      </c>
      <c r="J94" s="1">
        <v>47724952.383600041</v>
      </c>
      <c r="K94" s="1">
        <v>47595689.757999986</v>
      </c>
      <c r="L94" s="1">
        <v>46519058.877800062</v>
      </c>
      <c r="M94" s="1">
        <v>46426786.963499963</v>
      </c>
      <c r="N94" s="1">
        <v>46086633.245399952</v>
      </c>
      <c r="O94" s="1">
        <v>47575092.396199852</v>
      </c>
    </row>
    <row r="95" spans="1:15" ht="14.5">
      <c r="A95" s="3" t="s">
        <v>5</v>
      </c>
      <c r="B95" s="3" t="s">
        <v>111</v>
      </c>
      <c r="C95" s="1">
        <v>-17215.830000000002</v>
      </c>
      <c r="D95" s="1">
        <v>115738.61</v>
      </c>
      <c r="E95" s="1">
        <v>203032.53439999995</v>
      </c>
      <c r="F95" s="1">
        <v>150967.72650000002</v>
      </c>
      <c r="G95" s="1">
        <v>361446.19339999999</v>
      </c>
      <c r="H95" s="1">
        <v>387708.07059999998</v>
      </c>
      <c r="I95" s="1">
        <v>64630.314099999996</v>
      </c>
      <c r="J95" s="1">
        <v>126690.33740000002</v>
      </c>
      <c r="K95" s="1">
        <v>76581.804799999998</v>
      </c>
      <c r="L95" s="1">
        <v>234105.02530000001</v>
      </c>
      <c r="M95" s="1">
        <v>227742.42249999999</v>
      </c>
      <c r="N95" s="1">
        <v>88536.295800000007</v>
      </c>
      <c r="O95" s="1">
        <v>15948.190699999999</v>
      </c>
    </row>
    <row r="96" spans="1:15" ht="14.5">
      <c r="A96" s="3" t="s">
        <v>4</v>
      </c>
      <c r="B96" s="3" t="s">
        <v>112</v>
      </c>
      <c r="C96" s="1">
        <v>2508473.4299999997</v>
      </c>
      <c r="D96" s="1">
        <v>2505599.0699999998</v>
      </c>
      <c r="E96" s="1">
        <v>2506504.48</v>
      </c>
      <c r="F96" s="1">
        <v>2505599.0700000003</v>
      </c>
      <c r="G96" s="1">
        <v>2505599.0700000003</v>
      </c>
      <c r="H96" s="1">
        <v>2505599.0700000003</v>
      </c>
      <c r="I96" s="1">
        <v>2505599.0700000003</v>
      </c>
      <c r="J96" s="1">
        <v>2504054.7900000005</v>
      </c>
      <c r="K96" s="1">
        <v>2554347.8406000002</v>
      </c>
      <c r="L96" s="1">
        <v>2548148.3100000005</v>
      </c>
      <c r="M96" s="1">
        <v>2548148.3100000005</v>
      </c>
      <c r="N96" s="1">
        <v>2548148.3100000005</v>
      </c>
      <c r="O96" s="1">
        <v>3021249.0617000004</v>
      </c>
    </row>
    <row r="97" spans="1:15" ht="14.5">
      <c r="A97" s="3" t="s">
        <v>3</v>
      </c>
      <c r="B97" s="3" t="s">
        <v>113</v>
      </c>
      <c r="C97" s="1">
        <v>9340454.2069999985</v>
      </c>
      <c r="D97" s="1">
        <v>9731210.2687999997</v>
      </c>
      <c r="E97" s="1">
        <v>9756865.9054000024</v>
      </c>
      <c r="F97" s="1">
        <v>9844231.5859000012</v>
      </c>
      <c r="G97" s="1">
        <v>9582503.8994999975</v>
      </c>
      <c r="H97" s="1">
        <v>9735876.675999999</v>
      </c>
      <c r="I97" s="1">
        <v>9885948.0926000029</v>
      </c>
      <c r="J97" s="1">
        <v>9915740.3541999981</v>
      </c>
      <c r="K97" s="1">
        <v>9871593.0363000035</v>
      </c>
      <c r="L97" s="1">
        <v>9801753.4674999993</v>
      </c>
      <c r="M97" s="1">
        <v>9971863.3642000016</v>
      </c>
      <c r="N97" s="1">
        <v>10062710.1614</v>
      </c>
      <c r="O97" s="1">
        <v>10030703.628900001</v>
      </c>
    </row>
    <row r="98" spans="1:15" ht="14.5">
      <c r="A98" s="3" t="s">
        <v>2</v>
      </c>
      <c r="B98" s="3" t="s">
        <v>114</v>
      </c>
      <c r="C98" s="1">
        <v>2632764.4703000002</v>
      </c>
      <c r="D98" s="1">
        <v>3086458.5313000004</v>
      </c>
      <c r="E98" s="1">
        <v>3022267.093299998</v>
      </c>
      <c r="F98" s="1">
        <v>2932265.580399998</v>
      </c>
      <c r="G98" s="1">
        <v>2695497.283799998</v>
      </c>
      <c r="H98" s="1">
        <v>2562588.1322999983</v>
      </c>
      <c r="I98" s="1">
        <v>2468072.0385999996</v>
      </c>
      <c r="J98" s="1">
        <v>2338241.0208999994</v>
      </c>
      <c r="K98" s="1">
        <v>2195110.6836999999</v>
      </c>
      <c r="L98" s="1">
        <v>2090376.7342000001</v>
      </c>
      <c r="M98" s="1">
        <v>2054422.8101999997</v>
      </c>
      <c r="N98" s="1">
        <v>1942123.2845000003</v>
      </c>
      <c r="O98" s="1">
        <v>3393150.768399999</v>
      </c>
    </row>
    <row r="99" spans="1:15" ht="14.5">
      <c r="A99" s="3" t="s">
        <v>1</v>
      </c>
      <c r="B99" s="3" t="s">
        <v>115</v>
      </c>
      <c r="C99" s="1">
        <v>501058.89809999999</v>
      </c>
      <c r="D99" s="1">
        <v>491057.3334</v>
      </c>
      <c r="E99" s="1">
        <v>488516.58099999977</v>
      </c>
      <c r="F99" s="1">
        <v>483917.2469999998</v>
      </c>
      <c r="G99" s="1">
        <v>481776.50939999981</v>
      </c>
      <c r="H99" s="1">
        <v>477657.9635999999</v>
      </c>
      <c r="I99" s="1">
        <v>475418.18729999993</v>
      </c>
      <c r="J99" s="1">
        <v>480374.2110999999</v>
      </c>
      <c r="K99" s="1">
        <v>488117.80089999997</v>
      </c>
      <c r="L99" s="1">
        <v>491239.12489999994</v>
      </c>
      <c r="M99" s="1">
        <v>487425.39059999993</v>
      </c>
      <c r="N99" s="1">
        <v>478365.84759999992</v>
      </c>
      <c r="O99" s="1">
        <v>473106.25309999997</v>
      </c>
    </row>
    <row r="100" spans="1:20" s="10" customFormat="1" ht="14.5">
      <c r="A100" s="12"/>
      <c r="C100" s="11">
        <f t="shared" si="2" ref="C100:O100">SUM(C74:C99)</f>
        <v>69850939.439007014</v>
      </c>
      <c r="D100" s="11">
        <f t="shared" si="2"/>
        <v>73237889.250282988</v>
      </c>
      <c r="E100" s="11">
        <f t="shared" si="2"/>
        <v>73002973.006904051</v>
      </c>
      <c r="F100" s="11">
        <f t="shared" si="2"/>
        <v>72063507.027644008</v>
      </c>
      <c r="G100" s="11">
        <f t="shared" si="2"/>
        <v>70375587.141064018</v>
      </c>
      <c r="H100" s="11">
        <f t="shared" si="2"/>
        <v>70162409.780872047</v>
      </c>
      <c r="I100" s="11">
        <f t="shared" si="2"/>
        <v>72347458.353800058</v>
      </c>
      <c r="J100" s="11">
        <f t="shared" si="2"/>
        <v>71044093.91020003</v>
      </c>
      <c r="K100" s="11">
        <f t="shared" si="2"/>
        <v>70790017.926699981</v>
      </c>
      <c r="L100" s="11">
        <f t="shared" si="2"/>
        <v>69574744.591500059</v>
      </c>
      <c r="M100" s="11">
        <f t="shared" si="2"/>
        <v>69466318.239357963</v>
      </c>
      <c r="N100" s="11">
        <f t="shared" si="2"/>
        <v>69008446.376197949</v>
      </c>
      <c r="O100" s="11">
        <f t="shared" si="2"/>
        <v>72728857.779363856</v>
      </c>
      <c r="P100" s="11"/>
      <c r="Q100" s="11"/>
      <c r="R100" s="11"/>
      <c r="S100" s="11"/>
      <c r="T100" s="11"/>
    </row>
  </sheetData>
  <mergeCells count="5">
    <mergeCell ref="A1:O1"/>
    <mergeCell ref="A2:O2"/>
    <mergeCell ref="A3:O3"/>
    <mergeCell ref="A4:O4"/>
    <mergeCell ref="A5:O5"/>
  </mergeCells>
  <pageMargins left="0.7" right="0.7" top="2" bottom="0.75" header="1" footer="0.3"/>
  <pageSetup fitToHeight="0" orientation="landscape" scale="60" r:id="rId1"/>
  <headerFooter>
    <oddHeader>&amp;R&amp;"Arial,Bold"WP/II-B-8/04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FHHXVRPN3UPD-1807981734-31628</_dlc_DocId>
    <_dlc_DocIdUrl xmlns="4f7156c1-be87-4d1f-9274-ce189f982c1a">
      <Url>http://intranet.corp.oncor.com/sites/Finance/_layouts/15/DocIdRedir.aspx?ID=FHHXVRPN3UPD-1807981734-31628</Url>
      <Description>FHHXVRPN3UPD-1807981734-31628</Description>
    </_dlc_DocIdUrl>
  </documentManagement>
</p:properties>
</file>

<file path=customXml/itemProps1.xml><?xml version="1.0" encoding="utf-8"?>
<ds:datastoreItem xmlns:ds="http://schemas.openxmlformats.org/officeDocument/2006/customXml" ds:itemID="{AD5F780E-5B36-4D65-B45C-463D46A773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FBED89-2988-4907-A4B5-6AA27B98CBC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DE40802-7EB6-47FD-8AF0-4D298BE4BBD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0FEDAB2-D9B1-4D7A-B307-72F304B0F494}">
  <ds:schemaRefs>
    <ds:schemaRef ds:uri="http://schemas.microsoft.com/sharepoint/v3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4f7156c1-be87-4d1f-9274-ce189f982c1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II-B-8_04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8733f143-ee37-410d-b0db-f87793eec53d</vt:lpwstr>
  </property>
</Properties>
</file>