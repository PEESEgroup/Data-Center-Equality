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N:\2022 Rate Case\Section II (Test Year Data)\Schedule B (Rate Base)\Sch II-B WP\"/>
    </mc:Choice>
  </mc:AlternateContent>
  <bookViews>
    <workbookView xWindow="0" yWindow="0" windowWidth="28800" windowHeight="13065" activeTab="0"/>
  </bookViews>
  <sheets>
    <sheet name="WP II-B-11_03" sheetId="1" r:id="rId2"/>
  </sheets>
  <externalReferences>
    <externalReference r:id="rId5"/>
    <externalReference r:id="rId6"/>
  </externalReferences>
  <definedNames>
    <definedName name="_MIR16">#REF!</definedName>
    <definedName name="_MIR17">#REF!</definedName>
    <definedName name="_MIR18">#REF!</definedName>
    <definedName name="_MIR19">#REF!</definedName>
    <definedName name="_MIR43">#REF!</definedName>
    <definedName name="C_MIR12">"Group 9"</definedName>
    <definedName name="C_MIR13">"Group 12"</definedName>
    <definedName name="C_MIR14">"Group 4"</definedName>
    <definedName name="C_MIR15">"Group 15"</definedName>
    <definedName name="C_MIR16">"Group 19"</definedName>
    <definedName name="C_MIR17">"Group 10"</definedName>
    <definedName name="C_MIR18">"Group 18"</definedName>
    <definedName name="C_MIR19">"Group 13"</definedName>
    <definedName name="C_MIR43">"Group 11"</definedName>
    <definedName name="Fuel_Cost">'[1]Fuel $000'!$A$2:$BI$80</definedName>
    <definedName name="Fuel_Use_Lookup">#REF!</definedName>
    <definedName name="FuelTable">#REF!</definedName>
    <definedName name="GFUS">#REF!</definedName>
    <definedName name="Margin_Appl_to_Whlse">[2]fuelfac!#REF!</definedName>
    <definedName name="Months">#REF!</definedName>
    <definedName name="Months2">#REF!</definedName>
    <definedName name="On_Off_Peak_COAL_FOM">#REF!</definedName>
    <definedName name="OnOffPkHrs">#REF!</definedName>
    <definedName name="_xlnm.Print_Area" localSheetId="0">'WP II-B-11_03'!$A$1:$P$106</definedName>
    <definedName name="_xlnm.Print_Titles" localSheetId="0">'WP II-B-11_03'!$1:$4</definedName>
    <definedName name="Station_cap">[1]Capacity!$A$2:$BI$77</definedName>
    <definedName name="Station_fuel">'[1]Fuel Use'!$A$2:$BI$80</definedName>
    <definedName name="Station_out">[1]GWH!$A$2:$BI$80</definedName>
    <definedName name="TwentyYearOutput">#REF!</definedName>
    <definedName name="WSPP_Margin">[2]fuelfac!#REF!</definedName>
  </definedNames>
  <calcPr calcId="152511" iterate="1" iterateCount="100" iterateDelta="0.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05" i="1" l="1"/>
</calcChain>
</file>

<file path=xl/sharedStrings.xml><?xml version="1.0" encoding="utf-8"?>
<sst xmlns="http://schemas.openxmlformats.org/spreadsheetml/2006/main" count="262" uniqueCount="125">
  <si>
    <t>Line Description</t>
  </si>
  <si>
    <t>Amount</t>
  </si>
  <si>
    <t>Account</t>
  </si>
  <si>
    <t>Period</t>
  </si>
  <si>
    <t>Year</t>
  </si>
  <si>
    <t>Journal ID</t>
  </si>
  <si>
    <t>Unit</t>
  </si>
  <si>
    <t>Amortization Schedule</t>
  </si>
  <si>
    <t>Electric Plant Acquisition Adjustment - NTU (3)</t>
  </si>
  <si>
    <t>NTU</t>
  </si>
  <si>
    <t>0000934439</t>
  </si>
  <si>
    <t>NTX 114</t>
  </si>
  <si>
    <t>NTX 114 Amortization</t>
  </si>
  <si>
    <t>0000935153</t>
  </si>
  <si>
    <t>NTX Gross Plant</t>
  </si>
  <si>
    <t>0000935349</t>
  </si>
  <si>
    <t>0000935157</t>
  </si>
  <si>
    <t>Amort 14/30 days May &amp; June</t>
  </si>
  <si>
    <t>0000936596</t>
  </si>
  <si>
    <t>D&amp;A for July 2019</t>
  </si>
  <si>
    <t>D&amp;A for Aug 2019</t>
  </si>
  <si>
    <t>0000938296</t>
  </si>
  <si>
    <t>Final True Up PA 114</t>
  </si>
  <si>
    <t>0000938570</t>
  </si>
  <si>
    <t>Rev True Up PA 114</t>
  </si>
  <si>
    <t>D&amp;A for Sep 2019</t>
  </si>
  <si>
    <t>D&amp;A for Oct 2019</t>
  </si>
  <si>
    <t>D&amp;A for Nov 2019</t>
  </si>
  <si>
    <t>D&amp;A for Dec 2019</t>
  </si>
  <si>
    <t>D&amp;A for Jan 2020</t>
  </si>
  <si>
    <t>D&amp;A for Feb 2020</t>
  </si>
  <si>
    <t>D&amp;A for Mar 2020</t>
  </si>
  <si>
    <t>D&amp;A for Apr 2020</t>
  </si>
  <si>
    <t>D&amp;A for May 2020</t>
  </si>
  <si>
    <t>D&amp;A for June 2020</t>
  </si>
  <si>
    <t>D&amp;A for July 2020</t>
  </si>
  <si>
    <t>D&amp;A for August 2020</t>
  </si>
  <si>
    <t>D&amp;A for September 2020</t>
  </si>
  <si>
    <t>D&amp;A for October 2020</t>
  </si>
  <si>
    <t>D&amp;A for November 2020</t>
  </si>
  <si>
    <t>D&amp;A for December 2020</t>
  </si>
  <si>
    <t>Plant Account</t>
  </si>
  <si>
    <t>Property Unit</t>
  </si>
  <si>
    <t>Description</t>
  </si>
  <si>
    <t>Gross Plant</t>
  </si>
  <si>
    <t>Net Plant</t>
  </si>
  <si>
    <t>Annual Depreciation Rate</t>
  </si>
  <si>
    <t>Annual Depreciation</t>
  </si>
  <si>
    <t>Remaining Life in Years</t>
  </si>
  <si>
    <t>Gross Plant x Remaining Life</t>
  </si>
  <si>
    <t>0010</t>
  </si>
  <si>
    <t>Location</t>
  </si>
  <si>
    <t>N500800</t>
  </si>
  <si>
    <t>N006390</t>
  </si>
  <si>
    <t>N006410</t>
  </si>
  <si>
    <t>0095</t>
  </si>
  <si>
    <t>3420</t>
  </si>
  <si>
    <t>3620</t>
  </si>
  <si>
    <t>4328</t>
  </si>
  <si>
    <t>0020</t>
  </si>
  <si>
    <t>0030</t>
  </si>
  <si>
    <t>0040</t>
  </si>
  <si>
    <t>0280</t>
  </si>
  <si>
    <t>3040</t>
  </si>
  <si>
    <t>314L</t>
  </si>
  <si>
    <t>318C</t>
  </si>
  <si>
    <t>4110</t>
  </si>
  <si>
    <t>4130</t>
  </si>
  <si>
    <t>4185</t>
  </si>
  <si>
    <t>9999</t>
  </si>
  <si>
    <t>DRIVEWAY OR ROADWAY</t>
  </si>
  <si>
    <t>POLES  WOOD  40' (138)</t>
  </si>
  <si>
    <t>POLES  WOOD  90' (138)</t>
  </si>
  <si>
    <t>ALUMINUM CONDUCTOR  ANY SIZE (345KV)</t>
  </si>
  <si>
    <t>FEE LAND</t>
  </si>
  <si>
    <t>YARD IMPROVEMENTS AND SURFACING</t>
  </si>
  <si>
    <t>FENCE</t>
  </si>
  <si>
    <t>SERVICE BUILDING</t>
  </si>
  <si>
    <t>BATTERY CHARGING SET</t>
  </si>
  <si>
    <t>SUPERVISORY CONTROL EQUIPMENT</t>
  </si>
  <si>
    <t>BUSS ASSEMBLY - 138KV</t>
  </si>
  <si>
    <t>SWITCHBOARD PANEL  CONTROL CABLE  138KV</t>
  </si>
  <si>
    <t>SWITCH  DISCONNECT  138KV</t>
  </si>
  <si>
    <t>LIGHTNING ARRESTOR 345 KV</t>
  </si>
  <si>
    <t>POWER CIRCUIT BREAKER 345 KV</t>
  </si>
  <si>
    <t>CIRCUIT INTERRUPTER 345 KV</t>
  </si>
  <si>
    <t>UNCLASSIFIED</t>
  </si>
  <si>
    <t>Remaining Life</t>
  </si>
  <si>
    <t>N510200</t>
  </si>
  <si>
    <t>3625</t>
  </si>
  <si>
    <t>POLES  METAL  90' (138)</t>
  </si>
  <si>
    <t>1110</t>
  </si>
  <si>
    <t>LIGHTNING ARRESTOR 0-69 KV</t>
  </si>
  <si>
    <t>NTU TRAN</t>
  </si>
  <si>
    <t>As of December 31, 2021</t>
  </si>
  <si>
    <t>1143000</t>
  </si>
  <si>
    <t>D&amp;A for January 2021</t>
  </si>
  <si>
    <t>D&amp;A for February 2021</t>
  </si>
  <si>
    <t>D&amp;A for March 2021</t>
  </si>
  <si>
    <t>D&amp;A for April 2021</t>
  </si>
  <si>
    <t>D&amp;A for May 2021</t>
  </si>
  <si>
    <t>D&amp;A for June 2021</t>
  </si>
  <si>
    <t>D&amp;A for July 2021</t>
  </si>
  <si>
    <t>D&amp;A for August 2021</t>
  </si>
  <si>
    <t>D&amp;A for September 2021</t>
  </si>
  <si>
    <t>D&amp;A for October 2021</t>
  </si>
  <si>
    <t>D&amp;A for November 2021</t>
  </si>
  <si>
    <t>D&amp;A for December 2021</t>
  </si>
  <si>
    <t>Balance at 12-31-2021 to be reviewed in this proceeding</t>
  </si>
  <si>
    <t>Annual Amortization of 1143000</t>
  </si>
  <si>
    <t>Accumulated Depreciation</t>
  </si>
  <si>
    <t>Sharyland Distribution &amp; Transmission Services, LLC's ("SDTS") acquisition adjustment resulted from SDTS's acquisition of transmission facilities from SPS on December 30, 2013 (Docket No. 41430).  Amortization of this acquisition adjustment at SDTS began during 2015 (Docket No. 45414).  Oncor acquired these facilities and the related acquisition adjustment from SDTS on May 16, 2019 (Docket No. 48929 Oncor's acquisition of InfraREIT).  Oncor began depreciating the transmission assets and amortizing the related acquisition adjustment May 17, 2019 based on SDTS's annual amortization that began during 2015.</t>
  </si>
  <si>
    <t xml:space="preserve">Amortization expense through December 31, 2021 was booked to account 425 (non-operating since not reviewed and approved by the PUC) based on an amortization period of </t>
  </si>
  <si>
    <t>years</t>
  </si>
  <si>
    <t>Requesting annual amortization expense (account 406 amortization expense) and related recovery in rates as calculated below based on the depreciation study in this docket:</t>
  </si>
  <si>
    <t>NTU DIST</t>
  </si>
  <si>
    <t>Requested annual amortization account 406 - K&amp;M Adjustment</t>
  </si>
  <si>
    <t>NTU acquisition adjustment</t>
  </si>
  <si>
    <t>Oncor acquired NTU May 2019 (Docket No. 48929).</t>
  </si>
  <si>
    <t>Oncor Electric Delivery Company LLC</t>
  </si>
  <si>
    <t>Test year amortization Account 425 (non-operating) since amortization not yet approved</t>
  </si>
  <si>
    <t>Remaining amortization period at December 31, 2021 which is based on the 27.56-year period pending review and approval by the PUC</t>
  </si>
  <si>
    <t>Requested in this proceeding</t>
  </si>
  <si>
    <t>WP/II-B-11/03</t>
  </si>
  <si>
    <t>Page 2 of 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</si>
</sst>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_(* #,##0_);_(* \(#,##0\);_(* &quot;-&quot;??_);_(@_)"/>
    <numFmt numFmtId="165" formatCode="0.000%"/>
  </numFmts>
  <fonts count="5">
    <font>
      <sz val="10"/>
      <color theme="1"/>
      <name val="Arial"/>
      <family val="2"/>
    </font>
    <font>
      <sz val="12"/>
      <color theme="1"/>
      <name val="Arial"/>
      <family val="2"/>
    </font>
    <font>
      <b/>
      <sz val="12"/>
      <color theme="1"/>
      <name val="Arial"/>
      <family val="2"/>
    </font>
    <font>
      <sz val="10"/>
      <name val="Arial"/>
      <family val="2"/>
    </font>
    <font>
      <sz val="11"/>
      <color theme="1"/>
      <name val="Calibri"/>
      <family val="2"/>
      <scheme val="minor"/>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style="double">
        <color auto="1"/>
      </bottom>
    </border>
  </borders>
  <cellStyleXfs count="25">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0">
      <alignment/>
      <protection/>
    </xf>
    <xf numFmtId="44" fontId="3" fillId="0" borderId="0" applyFont="0" applyFill="0" applyBorder="0" applyAlignment="0" applyProtection="0"/>
    <xf numFmtId="43" fontId="3" fillId="0" borderId="0" applyFont="0" applyFill="0" applyBorder="0" applyAlignment="0" applyProtection="0"/>
    <xf numFmtId="0" fontId="4" fillId="0" borderId="0">
      <alignment/>
      <protection/>
    </xf>
    <xf numFmtId="0" fontId="4" fillId="0" borderId="0">
      <alignment/>
      <protection/>
    </xf>
  </cellStyleXfs>
  <cellXfs count="26">
    <xf numFmtId="0" fontId="0" fillId="0" borderId="0" xfId="0"/>
    <xf numFmtId="0" fontId="1" fillId="0" borderId="0" xfId="0" applyFont="1"/>
    <xf numFmtId="39" fontId="1" fillId="0" borderId="0" xfId="0" applyNumberFormat="1" applyFont="1"/>
    <xf numFmtId="0" fontId="1" fillId="0" borderId="0" xfId="0" applyFont="1" applyAlignment="1">
      <alignment horizontal="center"/>
    </xf>
    <xf numFmtId="0" fontId="2" fillId="0" borderId="0" xfId="0" applyFont="1" applyAlignment="1">
      <alignment horizontal="center" wrapText="1"/>
    </xf>
    <xf numFmtId="39" fontId="2" fillId="0" borderId="0" xfId="0" applyNumberFormat="1" applyFont="1" applyAlignment="1">
      <alignment horizontal="center" wrapText="1"/>
    </xf>
    <xf numFmtId="0" fontId="2" fillId="0" borderId="0" xfId="0" applyFont="1"/>
    <xf numFmtId="39" fontId="1" fillId="0" borderId="1" xfId="0" applyNumberFormat="1" applyFont="1" applyBorder="1"/>
    <xf numFmtId="10" fontId="1" fillId="0" borderId="0" xfId="15" applyNumberFormat="1" applyFont="1" applyAlignment="1">
      <alignment horizontal="center"/>
    </xf>
    <xf numFmtId="39" fontId="1" fillId="0" borderId="2" xfId="0" applyNumberFormat="1" applyFont="1" applyBorder="1"/>
    <xf numFmtId="39" fontId="1" fillId="0" borderId="0" xfId="0" applyNumberFormat="1" applyFont="1" applyAlignment="1">
      <alignment horizontal="center"/>
    </xf>
    <xf numFmtId="39" fontId="1" fillId="0" borderId="0" xfId="0" applyNumberFormat="1" applyFont="1" applyAlignment="1">
      <alignment horizontal="right"/>
    </xf>
    <xf numFmtId="39" fontId="1" fillId="0" borderId="0" xfId="0" applyNumberFormat="1" applyFont="1" applyFill="1"/>
    <xf numFmtId="39" fontId="1" fillId="0" borderId="1" xfId="0" applyNumberFormat="1" applyFont="1" applyFill="1" applyBorder="1"/>
    <xf numFmtId="39" fontId="1" fillId="0" borderId="2" xfId="0" applyNumberFormat="1" applyFont="1" applyFill="1" applyBorder="1"/>
    <xf numFmtId="0" fontId="1" fillId="0" borderId="0" xfId="0" applyFont="1" applyAlignment="1">
      <alignment horizontal="right"/>
    </xf>
    <xf numFmtId="0" fontId="1" fillId="0" borderId="0" xfId="0" applyFont="1" applyAlignment="1">
      <alignment horizontal="left"/>
    </xf>
    <xf numFmtId="164" fontId="1" fillId="0" borderId="0" xfId="18" applyNumberFormat="1" applyFont="1"/>
    <xf numFmtId="43" fontId="1" fillId="0" borderId="0" xfId="18" applyNumberFormat="1" applyFont="1"/>
    <xf numFmtId="10" fontId="1" fillId="0" borderId="0" xfId="0" applyNumberFormat="1" applyFont="1"/>
    <xf numFmtId="39" fontId="2" fillId="0" borderId="0" xfId="0" applyNumberFormat="1" applyFont="1" applyFill="1" applyAlignment="1">
      <alignment horizontal="center" wrapText="1"/>
    </xf>
    <xf numFmtId="165" fontId="1" fillId="0" borderId="0" xfId="0" applyNumberFormat="1" applyFont="1" applyFill="1"/>
    <xf numFmtId="0" fontId="1" fillId="0" borderId="0" xfId="0" applyFont="1" applyAlignment="1">
      <alignment wrapText="1"/>
    </xf>
    <xf numFmtId="0" fontId="0" fillId="0" borderId="0" xfId="0" applyAlignment="1">
      <alignment wrapText="1"/>
    </xf>
    <xf numFmtId="0" fontId="1" fillId="0" borderId="0" xfId="0" applyFont="1" applyBorder="1" applyAlignment="1">
      <alignment horizontal="center" wrapText="1"/>
    </xf>
    <xf numFmtId="0" fontId="0" fillId="0" borderId="1" xfId="0" applyBorder="1" applyAlignment="1">
      <alignment wrapText="1"/>
    </xf>
  </cellXfs>
  <cellStyles count="11">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Currency 2" xfId="21"/>
    <cellStyle name="Comma 2" xfId="22"/>
    <cellStyle name="Normal 3" xfId="23"/>
    <cellStyle name="Normal 2 2" xfId="2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externalLink" Target="externalLinks/externalLink1.xml" /><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6" Type="http://schemas.openxmlformats.org/officeDocument/2006/relationships/externalLink" Target="externalLinks/externalLink2.xml" /><Relationship Id="rId3" Type="http://schemas.openxmlformats.org/officeDocument/2006/relationships/styles" Target="styles.xml" /><Relationship Id="rId7" Type="http://schemas.openxmlformats.org/officeDocument/2006/relationships/calcChain" Target="calcChain.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file:///\\FNPCPLM01\Home\SPS\SPS%20BUDGETS\08-12Budget\Deliverables\SPS%202008%20Prelim%20Budget%20ES%20data%20_tables.xls" TargetMode="External" /></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XNFCPSS01\Home\REVREQ\EXCEL\SPS%20Fuel\NM%20Continuation%20Filing\Schedule%20MEM-3%20(Revise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PS"/>
      <sheetName val="FOM Coal $000"/>
      <sheetName val="Fuel $000"/>
      <sheetName val="Capacity Factor Calc"/>
      <sheetName val="Fuel Use"/>
      <sheetName val="Capacity"/>
      <sheetName val="GWH"/>
      <sheetName val="Hours Lookup"/>
      <sheetName val="SPS All STATION Output by Month"/>
    </sheetNames>
    <sheetDataSet>
      <sheetData sheetId="0" refreshError="1"/>
      <sheetData sheetId="1" refreshError="1"/>
      <sheetData sheetId="2" refreshError="1"/>
      <sheetData sheetId="3" refreshError="1">
        <row r="2">
          <cell r="A2" t="str">
            <v>Scenario</v>
          </cell>
          <cell r="B2" t="str">
            <v>SPS_012907_PNS</v>
          </cell>
        </row>
        <row r="4">
          <cell r="A4" t="str">
            <v>Sum of Fuel $000</v>
          </cell>
          <cell r="B4" t="str">
            <v>Year</v>
          </cell>
          <cell r="C4" t="str">
            <v>Month</v>
          </cell>
        </row>
        <row r="5">
          <cell r="B5">
            <v>2007</v>
          </cell>
          <cell r="N5">
            <v>2008</v>
          </cell>
          <cell r="Z5">
            <v>2009</v>
          </cell>
          <cell r="AL5">
            <v>2010</v>
          </cell>
          <cell r="AX5">
            <v>2011</v>
          </cell>
        </row>
        <row r="6">
          <cell r="A6" t="str">
            <v>Source</v>
          </cell>
          <cell r="B6">
            <v>1</v>
          </cell>
          <cell r="C6">
            <v>2</v>
          </cell>
          <cell r="D6">
            <v>3</v>
          </cell>
          <cell r="E6">
            <v>4</v>
          </cell>
          <cell r="F6">
            <v>5</v>
          </cell>
          <cell r="G6">
            <v>6</v>
          </cell>
          <cell r="H6">
            <v>7</v>
          </cell>
          <cell r="I6">
            <v>8</v>
          </cell>
          <cell r="J6">
            <v>9</v>
          </cell>
          <cell r="K6">
            <v>10</v>
          </cell>
          <cell r="L6">
            <v>11</v>
          </cell>
          <cell r="M6">
            <v>12</v>
          </cell>
          <cell r="N6">
            <v>1</v>
          </cell>
          <cell r="O6">
            <v>2</v>
          </cell>
          <cell r="P6">
            <v>3</v>
          </cell>
          <cell r="Q6">
            <v>4</v>
          </cell>
          <cell r="R6">
            <v>5</v>
          </cell>
          <cell r="S6">
            <v>6</v>
          </cell>
          <cell r="T6">
            <v>7</v>
          </cell>
          <cell r="U6">
            <v>8</v>
          </cell>
          <cell r="V6">
            <v>9</v>
          </cell>
          <cell r="W6">
            <v>10</v>
          </cell>
          <cell r="X6">
            <v>11</v>
          </cell>
          <cell r="Y6">
            <v>12</v>
          </cell>
          <cell r="Z6">
            <v>1</v>
          </cell>
          <cell r="AA6">
            <v>2</v>
          </cell>
          <cell r="AB6">
            <v>3</v>
          </cell>
          <cell r="AC6">
            <v>4</v>
          </cell>
          <cell r="AD6">
            <v>5</v>
          </cell>
          <cell r="AE6">
            <v>6</v>
          </cell>
          <cell r="AF6">
            <v>7</v>
          </cell>
          <cell r="AG6">
            <v>8</v>
          </cell>
          <cell r="AH6">
            <v>9</v>
          </cell>
          <cell r="AI6">
            <v>10</v>
          </cell>
          <cell r="AJ6">
            <v>11</v>
          </cell>
          <cell r="AK6">
            <v>12</v>
          </cell>
          <cell r="AL6">
            <v>1</v>
          </cell>
          <cell r="AM6">
            <v>2</v>
          </cell>
          <cell r="AN6">
            <v>3</v>
          </cell>
          <cell r="AO6">
            <v>4</v>
          </cell>
          <cell r="AP6">
            <v>5</v>
          </cell>
          <cell r="AQ6">
            <v>6</v>
          </cell>
          <cell r="AR6">
            <v>7</v>
          </cell>
          <cell r="AS6">
            <v>8</v>
          </cell>
          <cell r="AT6">
            <v>9</v>
          </cell>
          <cell r="AU6">
            <v>10</v>
          </cell>
          <cell r="AV6">
            <v>11</v>
          </cell>
          <cell r="AW6">
            <v>12</v>
          </cell>
          <cell r="AX6">
            <v>1</v>
          </cell>
          <cell r="AY6">
            <v>2</v>
          </cell>
          <cell r="AZ6">
            <v>3</v>
          </cell>
          <cell r="BA6">
            <v>4</v>
          </cell>
          <cell r="BB6">
            <v>5</v>
          </cell>
          <cell r="BC6">
            <v>6</v>
          </cell>
          <cell r="BD6">
            <v>7</v>
          </cell>
          <cell r="BE6">
            <v>8</v>
          </cell>
          <cell r="BF6">
            <v>9</v>
          </cell>
          <cell r="BG6">
            <v>10</v>
          </cell>
          <cell r="BH6">
            <v>11</v>
          </cell>
          <cell r="BI6">
            <v>12</v>
          </cell>
        </row>
        <row r="7">
          <cell r="A7" t="str">
            <v>BLACKHAWK 1</v>
          </cell>
          <cell r="B7">
            <v>2707.51</v>
          </cell>
          <cell r="C7">
            <v>3020.61</v>
          </cell>
          <cell r="D7">
            <v>2991.32</v>
          </cell>
          <cell r="E7">
            <v>3043.82</v>
          </cell>
          <cell r="F7">
            <v>3050.06</v>
          </cell>
          <cell r="G7">
            <v>3008.69</v>
          </cell>
          <cell r="H7">
            <v>3265.42</v>
          </cell>
          <cell r="I7">
            <v>3265.11</v>
          </cell>
          <cell r="J7">
            <v>3081.87</v>
          </cell>
          <cell r="K7">
            <v>1896.71</v>
          </cell>
          <cell r="L7">
            <v>3041.84</v>
          </cell>
          <cell r="M7">
            <v>3241.75</v>
          </cell>
          <cell r="N7">
            <v>3509.25</v>
          </cell>
          <cell r="O7">
            <v>3456.33</v>
          </cell>
          <cell r="P7">
            <v>3704.93</v>
          </cell>
          <cell r="Q7">
            <v>3223.12</v>
          </cell>
          <cell r="R7">
            <v>3111.78</v>
          </cell>
          <cell r="S7">
            <v>2871.27</v>
          </cell>
          <cell r="T7">
            <v>3230.9</v>
          </cell>
          <cell r="U7">
            <v>3246.61</v>
          </cell>
          <cell r="V7">
            <v>3024.3</v>
          </cell>
          <cell r="W7">
            <v>1891.93</v>
          </cell>
          <cell r="X7">
            <v>2664.27</v>
          </cell>
          <cell r="Y7">
            <v>2161.35</v>
          </cell>
          <cell r="Z7">
            <v>2846.48</v>
          </cell>
          <cell r="AA7">
            <v>3380.03</v>
          </cell>
          <cell r="AB7">
            <v>2583.43</v>
          </cell>
          <cell r="AC7">
            <v>2915.64</v>
          </cell>
          <cell r="AD7">
            <v>2936.69</v>
          </cell>
          <cell r="AE7">
            <v>2968.75</v>
          </cell>
          <cell r="AF7">
            <v>3165.22</v>
          </cell>
          <cell r="AG7">
            <v>3188.99</v>
          </cell>
          <cell r="AH7">
            <v>2993.8</v>
          </cell>
          <cell r="AI7">
            <v>1546.97</v>
          </cell>
          <cell r="AJ7">
            <v>1549.1</v>
          </cell>
          <cell r="AK7">
            <v>2070.47</v>
          </cell>
          <cell r="AL7">
            <v>2677.49</v>
          </cell>
          <cell r="AM7">
            <v>2904.49</v>
          </cell>
          <cell r="AN7">
            <v>2596.11</v>
          </cell>
          <cell r="AO7">
            <v>2681.68</v>
          </cell>
          <cell r="AP7">
            <v>2578.21</v>
          </cell>
          <cell r="AQ7">
            <v>2735.75</v>
          </cell>
          <cell r="AR7">
            <v>3006.83</v>
          </cell>
          <cell r="AS7">
            <v>2972.97</v>
          </cell>
          <cell r="AT7">
            <v>2874.75</v>
          </cell>
          <cell r="AU7">
            <v>2265.74</v>
          </cell>
          <cell r="AV7">
            <v>2444.63</v>
          </cell>
          <cell r="AW7">
            <v>2753.9</v>
          </cell>
          <cell r="AX7">
            <v>2904.41</v>
          </cell>
          <cell r="AY7">
            <v>3279.92</v>
          </cell>
          <cell r="AZ7">
            <v>3352.53</v>
          </cell>
          <cell r="BA7">
            <v>2867.93</v>
          </cell>
          <cell r="BB7">
            <v>2636.79</v>
          </cell>
          <cell r="BC7">
            <v>2647.1</v>
          </cell>
          <cell r="BD7">
            <v>2909.85</v>
          </cell>
          <cell r="BE7">
            <v>2917.97</v>
          </cell>
          <cell r="BF7">
            <v>2837.93</v>
          </cell>
          <cell r="BG7">
            <v>2272.08</v>
          </cell>
          <cell r="BH7">
            <v>2365</v>
          </cell>
          <cell r="BI7">
            <v>2692.08</v>
          </cell>
        </row>
        <row r="8">
          <cell r="A8" t="str">
            <v>BLACKHAWK 2</v>
          </cell>
          <cell r="B8">
            <v>2774.35</v>
          </cell>
          <cell r="C8">
            <v>3031.05</v>
          </cell>
          <cell r="D8">
            <v>2875.19</v>
          </cell>
          <cell r="E8">
            <v>2448.45</v>
          </cell>
          <cell r="F8">
            <v>3021.79</v>
          </cell>
          <cell r="G8">
            <v>2967.82</v>
          </cell>
          <cell r="H8">
            <v>3125.49</v>
          </cell>
          <cell r="I8">
            <v>3186.98</v>
          </cell>
          <cell r="J8">
            <v>3038.88</v>
          </cell>
          <cell r="K8">
            <v>3300.22</v>
          </cell>
          <cell r="L8">
            <v>3178.24</v>
          </cell>
          <cell r="M8">
            <v>3472.05</v>
          </cell>
          <cell r="N8">
            <v>3606.29</v>
          </cell>
          <cell r="O8">
            <v>3463.35</v>
          </cell>
          <cell r="P8">
            <v>3729.36</v>
          </cell>
          <cell r="Q8">
            <v>1763.63</v>
          </cell>
          <cell r="R8">
            <v>3086.02</v>
          </cell>
          <cell r="S8">
            <v>2853.97</v>
          </cell>
          <cell r="T8">
            <v>3212.59</v>
          </cell>
          <cell r="U8">
            <v>3220.05</v>
          </cell>
          <cell r="V8">
            <v>3019.93</v>
          </cell>
          <cell r="W8">
            <v>2464.35</v>
          </cell>
          <cell r="X8">
            <v>3155.17</v>
          </cell>
          <cell r="Y8">
            <v>3291.92</v>
          </cell>
          <cell r="Z8">
            <v>3038.96</v>
          </cell>
          <cell r="AA8">
            <v>3329.66</v>
          </cell>
          <cell r="AB8">
            <v>1344.02</v>
          </cell>
          <cell r="AC8">
            <v>2342.58</v>
          </cell>
          <cell r="AD8">
            <v>2839.83</v>
          </cell>
          <cell r="AE8">
            <v>2912.29</v>
          </cell>
          <cell r="AF8">
            <v>3139.97</v>
          </cell>
          <cell r="AG8">
            <v>3145.41</v>
          </cell>
          <cell r="AH8">
            <v>2965.75</v>
          </cell>
          <cell r="AI8">
            <v>2528.7</v>
          </cell>
          <cell r="AJ8">
            <v>1725.55</v>
          </cell>
          <cell r="AK8">
            <v>2207.6</v>
          </cell>
          <cell r="AL8">
            <v>3028.16</v>
          </cell>
          <cell r="AM8">
            <v>2937.3</v>
          </cell>
          <cell r="AN8">
            <v>2207.54</v>
          </cell>
          <cell r="AO8">
            <v>2660.15</v>
          </cell>
          <cell r="AP8">
            <v>2434.72</v>
          </cell>
          <cell r="AQ8">
            <v>2672.1</v>
          </cell>
          <cell r="AR8">
            <v>2979.02</v>
          </cell>
          <cell r="AS8">
            <v>3006.94</v>
          </cell>
          <cell r="AT8">
            <v>2928.75</v>
          </cell>
          <cell r="AU8">
            <v>2259.94</v>
          </cell>
          <cell r="AV8">
            <v>2500.24</v>
          </cell>
          <cell r="AW8">
            <v>2792.64</v>
          </cell>
          <cell r="AX8">
            <v>3135.87</v>
          </cell>
          <cell r="AY8">
            <v>3302.64</v>
          </cell>
          <cell r="AZ8">
            <v>3243.02</v>
          </cell>
          <cell r="BA8">
            <v>2863.78</v>
          </cell>
          <cell r="BB8">
            <v>2548.37</v>
          </cell>
          <cell r="BC8">
            <v>2638.38</v>
          </cell>
          <cell r="BD8">
            <v>2856.46</v>
          </cell>
          <cell r="BE8">
            <v>2882.07</v>
          </cell>
          <cell r="BF8">
            <v>2816.87</v>
          </cell>
          <cell r="BG8">
            <v>2263.42</v>
          </cell>
          <cell r="BH8">
            <v>2407.19</v>
          </cell>
          <cell r="BI8">
            <v>2818.86</v>
          </cell>
        </row>
        <row r="9">
          <cell r="A9" t="str">
            <v>CARLS GT 5</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row>
        <row r="10">
          <cell r="A10" t="str">
            <v>CEL1GAS 1</v>
          </cell>
          <cell r="B10">
            <v>21.39</v>
          </cell>
          <cell r="C10">
            <v>19.31</v>
          </cell>
          <cell r="D10">
            <v>21.39</v>
          </cell>
          <cell r="E10">
            <v>13.1</v>
          </cell>
          <cell r="F10">
            <v>17.93</v>
          </cell>
          <cell r="G10">
            <v>20.69</v>
          </cell>
          <cell r="H10">
            <v>21.39</v>
          </cell>
          <cell r="I10">
            <v>21.39</v>
          </cell>
          <cell r="J10">
            <v>20.69</v>
          </cell>
          <cell r="K10">
            <v>21.39</v>
          </cell>
          <cell r="L10">
            <v>20.69</v>
          </cell>
          <cell r="M10">
            <v>21.39</v>
          </cell>
          <cell r="N10">
            <v>21.39</v>
          </cell>
          <cell r="O10">
            <v>20.01</v>
          </cell>
          <cell r="P10">
            <v>21.39</v>
          </cell>
          <cell r="Q10">
            <v>15.85</v>
          </cell>
          <cell r="R10">
            <v>17.93</v>
          </cell>
          <cell r="S10">
            <v>20.69</v>
          </cell>
          <cell r="T10">
            <v>21.39</v>
          </cell>
          <cell r="U10">
            <v>21.39</v>
          </cell>
          <cell r="V10">
            <v>20.69</v>
          </cell>
          <cell r="W10">
            <v>21.39</v>
          </cell>
          <cell r="X10">
            <v>20.69</v>
          </cell>
          <cell r="Y10">
            <v>21.39</v>
          </cell>
          <cell r="Z10">
            <v>21.39</v>
          </cell>
          <cell r="AA10">
            <v>19.31</v>
          </cell>
          <cell r="AB10">
            <v>21.39</v>
          </cell>
          <cell r="AC10">
            <v>16.56</v>
          </cell>
          <cell r="AD10">
            <v>15.85</v>
          </cell>
          <cell r="AE10">
            <v>20.69</v>
          </cell>
          <cell r="AF10">
            <v>21.39</v>
          </cell>
          <cell r="AG10">
            <v>21.39</v>
          </cell>
          <cell r="AH10">
            <v>20.69</v>
          </cell>
          <cell r="AI10">
            <v>21.39</v>
          </cell>
          <cell r="AJ10">
            <v>20.69</v>
          </cell>
          <cell r="AK10">
            <v>21.39</v>
          </cell>
          <cell r="AL10">
            <v>21.39</v>
          </cell>
          <cell r="AM10">
            <v>19.31</v>
          </cell>
          <cell r="AN10">
            <v>21.39</v>
          </cell>
          <cell r="AO10">
            <v>17.23</v>
          </cell>
          <cell r="AP10">
            <v>15.18</v>
          </cell>
          <cell r="AQ10">
            <v>20.69</v>
          </cell>
          <cell r="AR10">
            <v>21.39</v>
          </cell>
          <cell r="AS10">
            <v>21.39</v>
          </cell>
          <cell r="AT10">
            <v>20.69</v>
          </cell>
          <cell r="AU10">
            <v>21.39</v>
          </cell>
          <cell r="AV10">
            <v>20.69</v>
          </cell>
          <cell r="AW10">
            <v>21.39</v>
          </cell>
          <cell r="AX10">
            <v>21.39</v>
          </cell>
          <cell r="AY10">
            <v>19.31</v>
          </cell>
          <cell r="AZ10">
            <v>21.39</v>
          </cell>
          <cell r="BA10">
            <v>14.21</v>
          </cell>
          <cell r="BB10">
            <v>21.39</v>
          </cell>
          <cell r="BC10">
            <v>20.69</v>
          </cell>
          <cell r="BD10">
            <v>21.39</v>
          </cell>
          <cell r="BE10">
            <v>21.39</v>
          </cell>
          <cell r="BF10">
            <v>20.69</v>
          </cell>
          <cell r="BG10">
            <v>21.39</v>
          </cell>
          <cell r="BH10">
            <v>20.69</v>
          </cell>
          <cell r="BI10">
            <v>21.39</v>
          </cell>
        </row>
        <row r="11">
          <cell r="A11" t="str">
            <v>CEL2STM 1</v>
          </cell>
          <cell r="B11">
            <v>257.7</v>
          </cell>
          <cell r="C11">
            <v>233.53</v>
          </cell>
          <cell r="D11">
            <v>260.41</v>
          </cell>
          <cell r="E11">
            <v>159.78</v>
          </cell>
          <cell r="F11">
            <v>218.57</v>
          </cell>
          <cell r="G11">
            <v>252.11</v>
          </cell>
          <cell r="H11">
            <v>260.41</v>
          </cell>
          <cell r="I11">
            <v>260.41</v>
          </cell>
          <cell r="J11">
            <v>252.11</v>
          </cell>
          <cell r="K11">
            <v>260.41</v>
          </cell>
          <cell r="L11">
            <v>252.11</v>
          </cell>
          <cell r="M11">
            <v>260.41</v>
          </cell>
          <cell r="N11">
            <v>257.7</v>
          </cell>
          <cell r="O11">
            <v>242.13</v>
          </cell>
          <cell r="P11">
            <v>260.41</v>
          </cell>
          <cell r="Q11">
            <v>193.32</v>
          </cell>
          <cell r="R11">
            <v>218.57</v>
          </cell>
          <cell r="S11">
            <v>252.11</v>
          </cell>
          <cell r="T11">
            <v>260.41</v>
          </cell>
          <cell r="U11">
            <v>260.41</v>
          </cell>
          <cell r="V11">
            <v>252.11</v>
          </cell>
          <cell r="W11">
            <v>260.41</v>
          </cell>
          <cell r="X11">
            <v>252.11</v>
          </cell>
          <cell r="Y11">
            <v>260.41</v>
          </cell>
          <cell r="Z11">
            <v>257.7</v>
          </cell>
          <cell r="AA11">
            <v>233.53</v>
          </cell>
          <cell r="AB11">
            <v>260.41</v>
          </cell>
          <cell r="AC11">
            <v>201.62</v>
          </cell>
          <cell r="AD11">
            <v>193.32</v>
          </cell>
          <cell r="AE11">
            <v>252.11</v>
          </cell>
          <cell r="AF11">
            <v>260.41</v>
          </cell>
          <cell r="AG11">
            <v>260.41</v>
          </cell>
          <cell r="AH11">
            <v>252.11</v>
          </cell>
          <cell r="AI11">
            <v>260.41</v>
          </cell>
          <cell r="AJ11">
            <v>252.11</v>
          </cell>
          <cell r="AK11">
            <v>260.41</v>
          </cell>
          <cell r="AL11">
            <v>257.7</v>
          </cell>
          <cell r="AM11">
            <v>233.53</v>
          </cell>
          <cell r="AN11">
            <v>260.41</v>
          </cell>
          <cell r="AO11">
            <v>209.91</v>
          </cell>
          <cell r="AP11">
            <v>185.02</v>
          </cell>
          <cell r="AQ11">
            <v>252.11</v>
          </cell>
          <cell r="AR11">
            <v>260.41</v>
          </cell>
          <cell r="AS11">
            <v>260.41</v>
          </cell>
          <cell r="AT11">
            <v>252.11</v>
          </cell>
          <cell r="AU11">
            <v>260.41</v>
          </cell>
          <cell r="AV11">
            <v>252.11</v>
          </cell>
          <cell r="AW11">
            <v>260.41</v>
          </cell>
          <cell r="AX11">
            <v>257.7</v>
          </cell>
          <cell r="AY11">
            <v>233.53</v>
          </cell>
          <cell r="AZ11">
            <v>260.41</v>
          </cell>
          <cell r="BA11">
            <v>173.12</v>
          </cell>
          <cell r="BB11">
            <v>260.41</v>
          </cell>
          <cell r="BC11">
            <v>252.11</v>
          </cell>
          <cell r="BD11">
            <v>260.41</v>
          </cell>
          <cell r="BE11">
            <v>260.41</v>
          </cell>
          <cell r="BF11">
            <v>252.11</v>
          </cell>
          <cell r="BG11">
            <v>260.41</v>
          </cell>
          <cell r="BH11">
            <v>252.11</v>
          </cell>
          <cell r="BI11">
            <v>260.41</v>
          </cell>
        </row>
        <row r="12">
          <cell r="A12" t="str">
            <v>CU GT 3</v>
          </cell>
          <cell r="B12">
            <v>0</v>
          </cell>
          <cell r="C12">
            <v>0</v>
          </cell>
          <cell r="D12">
            <v>0</v>
          </cell>
          <cell r="E12">
            <v>0</v>
          </cell>
          <cell r="F12">
            <v>0</v>
          </cell>
          <cell r="G12">
            <v>145.45</v>
          </cell>
          <cell r="H12">
            <v>280.94</v>
          </cell>
          <cell r="I12">
            <v>318.47</v>
          </cell>
          <cell r="J12">
            <v>0</v>
          </cell>
          <cell r="K12">
            <v>0</v>
          </cell>
          <cell r="L12">
            <v>0</v>
          </cell>
          <cell r="M12">
            <v>0</v>
          </cell>
          <cell r="N12">
            <v>0</v>
          </cell>
          <cell r="O12">
            <v>0</v>
          </cell>
          <cell r="P12">
            <v>0</v>
          </cell>
          <cell r="Q12">
            <v>38.33</v>
          </cell>
          <cell r="R12">
            <v>0</v>
          </cell>
          <cell r="S12">
            <v>0</v>
          </cell>
          <cell r="T12">
            <v>131.4</v>
          </cell>
          <cell r="U12">
            <v>88.32</v>
          </cell>
          <cell r="V12">
            <v>0</v>
          </cell>
          <cell r="W12">
            <v>0</v>
          </cell>
          <cell r="X12">
            <v>0</v>
          </cell>
          <cell r="Y12">
            <v>0</v>
          </cell>
          <cell r="Z12">
            <v>0</v>
          </cell>
          <cell r="AA12">
            <v>0</v>
          </cell>
          <cell r="AB12">
            <v>0</v>
          </cell>
          <cell r="AC12">
            <v>0</v>
          </cell>
          <cell r="AD12">
            <v>0</v>
          </cell>
          <cell r="AE12">
            <v>0</v>
          </cell>
          <cell r="AF12">
            <v>206.26</v>
          </cell>
          <cell r="AG12">
            <v>121.59</v>
          </cell>
          <cell r="AH12">
            <v>0</v>
          </cell>
          <cell r="AI12">
            <v>0</v>
          </cell>
          <cell r="AJ12">
            <v>0</v>
          </cell>
          <cell r="AK12">
            <v>0</v>
          </cell>
          <cell r="AL12">
            <v>0</v>
          </cell>
          <cell r="AM12">
            <v>0</v>
          </cell>
          <cell r="AN12">
            <v>0</v>
          </cell>
          <cell r="AO12">
            <v>0</v>
          </cell>
          <cell r="AP12">
            <v>0</v>
          </cell>
          <cell r="AQ12">
            <v>183.49</v>
          </cell>
          <cell r="AR12">
            <v>177.06</v>
          </cell>
          <cell r="AS12">
            <v>301.54</v>
          </cell>
          <cell r="AT12">
            <v>23.08</v>
          </cell>
          <cell r="AU12">
            <v>0</v>
          </cell>
          <cell r="AV12">
            <v>0</v>
          </cell>
          <cell r="AW12">
            <v>0</v>
          </cell>
          <cell r="AX12">
            <v>0</v>
          </cell>
          <cell r="AY12">
            <v>101.93</v>
          </cell>
          <cell r="AZ12">
            <v>0</v>
          </cell>
          <cell r="BA12">
            <v>55.69</v>
          </cell>
          <cell r="BB12">
            <v>0</v>
          </cell>
          <cell r="BC12">
            <v>91.22</v>
          </cell>
          <cell r="BD12">
            <v>127.74</v>
          </cell>
          <cell r="BE12">
            <v>274.04</v>
          </cell>
          <cell r="BF12">
            <v>0</v>
          </cell>
          <cell r="BG12">
            <v>37.58</v>
          </cell>
          <cell r="BH12">
            <v>0</v>
          </cell>
          <cell r="BI12">
            <v>13.94</v>
          </cell>
        </row>
        <row r="13">
          <cell r="A13" t="str">
            <v>CU GT 4</v>
          </cell>
          <cell r="B13">
            <v>0</v>
          </cell>
          <cell r="C13">
            <v>0</v>
          </cell>
          <cell r="D13">
            <v>0</v>
          </cell>
          <cell r="E13">
            <v>0</v>
          </cell>
          <cell r="F13">
            <v>0</v>
          </cell>
          <cell r="G13">
            <v>131.81</v>
          </cell>
          <cell r="H13">
            <v>424.97</v>
          </cell>
          <cell r="I13">
            <v>366.1</v>
          </cell>
          <cell r="J13">
            <v>0</v>
          </cell>
          <cell r="K13">
            <v>0</v>
          </cell>
          <cell r="L13">
            <v>0</v>
          </cell>
          <cell r="M13">
            <v>0</v>
          </cell>
          <cell r="N13">
            <v>0</v>
          </cell>
          <cell r="O13">
            <v>0</v>
          </cell>
          <cell r="P13">
            <v>0</v>
          </cell>
          <cell r="Q13">
            <v>93.08</v>
          </cell>
          <cell r="R13">
            <v>0</v>
          </cell>
          <cell r="S13">
            <v>0</v>
          </cell>
          <cell r="T13">
            <v>170.98</v>
          </cell>
          <cell r="U13">
            <v>102.07</v>
          </cell>
          <cell r="V13">
            <v>0</v>
          </cell>
          <cell r="W13">
            <v>0</v>
          </cell>
          <cell r="X13">
            <v>0</v>
          </cell>
          <cell r="Y13">
            <v>0</v>
          </cell>
          <cell r="Z13">
            <v>0</v>
          </cell>
          <cell r="AA13">
            <v>0</v>
          </cell>
          <cell r="AB13">
            <v>0</v>
          </cell>
          <cell r="AC13">
            <v>0</v>
          </cell>
          <cell r="AD13">
            <v>0</v>
          </cell>
          <cell r="AE13">
            <v>0</v>
          </cell>
          <cell r="AF13">
            <v>298.69</v>
          </cell>
          <cell r="AG13">
            <v>90.54</v>
          </cell>
          <cell r="AH13">
            <v>0</v>
          </cell>
          <cell r="AI13">
            <v>0</v>
          </cell>
          <cell r="AJ13">
            <v>0</v>
          </cell>
          <cell r="AK13">
            <v>0</v>
          </cell>
          <cell r="AL13">
            <v>0</v>
          </cell>
          <cell r="AM13">
            <v>0</v>
          </cell>
          <cell r="AN13">
            <v>0</v>
          </cell>
          <cell r="AO13">
            <v>0</v>
          </cell>
          <cell r="AP13">
            <v>0</v>
          </cell>
          <cell r="AQ13">
            <v>269.58</v>
          </cell>
          <cell r="AR13">
            <v>457.41</v>
          </cell>
          <cell r="AS13">
            <v>444.02</v>
          </cell>
          <cell r="AT13">
            <v>34.58</v>
          </cell>
          <cell r="AU13">
            <v>0</v>
          </cell>
          <cell r="AV13">
            <v>0</v>
          </cell>
          <cell r="AW13">
            <v>18.29</v>
          </cell>
          <cell r="AX13">
            <v>0</v>
          </cell>
          <cell r="AY13">
            <v>219.84</v>
          </cell>
          <cell r="AZ13">
            <v>91.29</v>
          </cell>
          <cell r="BA13">
            <v>76.38</v>
          </cell>
          <cell r="BB13">
            <v>25.9</v>
          </cell>
          <cell r="BC13">
            <v>159.82</v>
          </cell>
          <cell r="BD13">
            <v>187.55</v>
          </cell>
          <cell r="BE13">
            <v>331.54</v>
          </cell>
          <cell r="BF13">
            <v>33.83</v>
          </cell>
          <cell r="BG13">
            <v>60.3</v>
          </cell>
          <cell r="BH13">
            <v>0</v>
          </cell>
          <cell r="BI13">
            <v>103.62</v>
          </cell>
        </row>
        <row r="14">
          <cell r="A14" t="str">
            <v>CUNNINGHAM 1</v>
          </cell>
          <cell r="B14">
            <v>0</v>
          </cell>
          <cell r="C14">
            <v>556.09</v>
          </cell>
          <cell r="D14">
            <v>423.63</v>
          </cell>
          <cell r="E14">
            <v>1475.86</v>
          </cell>
          <cell r="F14">
            <v>1780.95</v>
          </cell>
          <cell r="G14">
            <v>2168.6</v>
          </cell>
          <cell r="H14">
            <v>2634.99</v>
          </cell>
          <cell r="I14">
            <v>2615.11</v>
          </cell>
          <cell r="J14">
            <v>1909.58</v>
          </cell>
          <cell r="K14">
            <v>611.95</v>
          </cell>
          <cell r="L14">
            <v>0</v>
          </cell>
          <cell r="M14">
            <v>0</v>
          </cell>
          <cell r="N14">
            <v>528.59</v>
          </cell>
          <cell r="O14">
            <v>760.85</v>
          </cell>
          <cell r="P14">
            <v>259.11</v>
          </cell>
          <cell r="Q14">
            <v>920.53</v>
          </cell>
          <cell r="R14">
            <v>1899.69</v>
          </cell>
          <cell r="S14">
            <v>1957.63</v>
          </cell>
          <cell r="T14">
            <v>2434.05</v>
          </cell>
          <cell r="U14">
            <v>2358.48</v>
          </cell>
          <cell r="V14">
            <v>1705.64</v>
          </cell>
          <cell r="W14">
            <v>159.53</v>
          </cell>
          <cell r="X14">
            <v>0</v>
          </cell>
          <cell r="Y14">
            <v>587.03</v>
          </cell>
          <cell r="Z14">
            <v>0</v>
          </cell>
          <cell r="AA14">
            <v>241.14</v>
          </cell>
          <cell r="AB14">
            <v>0</v>
          </cell>
          <cell r="AC14">
            <v>125.16</v>
          </cell>
          <cell r="AD14">
            <v>1787.27</v>
          </cell>
          <cell r="AE14">
            <v>1932.57</v>
          </cell>
          <cell r="AF14">
            <v>2435.85</v>
          </cell>
          <cell r="AG14">
            <v>2404.28</v>
          </cell>
          <cell r="AH14">
            <v>1763.37</v>
          </cell>
          <cell r="AI14">
            <v>0</v>
          </cell>
          <cell r="AJ14">
            <v>270.65</v>
          </cell>
          <cell r="AK14">
            <v>0</v>
          </cell>
          <cell r="AL14">
            <v>0</v>
          </cell>
          <cell r="AM14">
            <v>0</v>
          </cell>
          <cell r="AN14">
            <v>0</v>
          </cell>
          <cell r="AO14">
            <v>221.42</v>
          </cell>
          <cell r="AP14">
            <v>1940.26</v>
          </cell>
          <cell r="AQ14">
            <v>2110.94</v>
          </cell>
          <cell r="AR14">
            <v>2366.34</v>
          </cell>
          <cell r="AS14">
            <v>2394.29</v>
          </cell>
          <cell r="AT14">
            <v>2005.6</v>
          </cell>
          <cell r="AU14">
            <v>642.22</v>
          </cell>
          <cell r="AV14">
            <v>578.15</v>
          </cell>
          <cell r="AW14">
            <v>532.39</v>
          </cell>
          <cell r="AX14">
            <v>765.85</v>
          </cell>
          <cell r="AY14">
            <v>1236.66</v>
          </cell>
          <cell r="AZ14">
            <v>1221.06</v>
          </cell>
          <cell r="BA14">
            <v>866.54</v>
          </cell>
          <cell r="BB14">
            <v>1959.01</v>
          </cell>
          <cell r="BC14">
            <v>1982.49</v>
          </cell>
          <cell r="BD14">
            <v>2306.86</v>
          </cell>
          <cell r="BE14">
            <v>2228.52</v>
          </cell>
          <cell r="BF14">
            <v>1901.44</v>
          </cell>
          <cell r="BG14">
            <v>298.66</v>
          </cell>
          <cell r="BH14">
            <v>988.49</v>
          </cell>
          <cell r="BI14">
            <v>655.41</v>
          </cell>
        </row>
        <row r="15">
          <cell r="A15" t="str">
            <v>CUNNINGHAM 2</v>
          </cell>
          <cell r="B15">
            <v>3988.68</v>
          </cell>
          <cell r="C15">
            <v>6443.18</v>
          </cell>
          <cell r="D15">
            <v>3519.13</v>
          </cell>
          <cell r="E15">
            <v>0</v>
          </cell>
          <cell r="F15">
            <v>2181.64</v>
          </cell>
          <cell r="G15">
            <v>6088.76</v>
          </cell>
          <cell r="H15">
            <v>7374.45</v>
          </cell>
          <cell r="I15">
            <v>7305.77</v>
          </cell>
          <cell r="J15">
            <v>5511.28</v>
          </cell>
          <cell r="K15">
            <v>5712.98</v>
          </cell>
          <cell r="L15">
            <v>5371.45</v>
          </cell>
          <cell r="M15">
            <v>4580.25</v>
          </cell>
          <cell r="N15">
            <v>5163.36</v>
          </cell>
          <cell r="O15">
            <v>4177.15</v>
          </cell>
          <cell r="P15">
            <v>5119.27</v>
          </cell>
          <cell r="Q15">
            <v>6063.65</v>
          </cell>
          <cell r="R15">
            <v>5887.3</v>
          </cell>
          <cell r="S15">
            <v>5785.35</v>
          </cell>
          <cell r="T15">
            <v>6867.42</v>
          </cell>
          <cell r="U15">
            <v>6739.61</v>
          </cell>
          <cell r="V15">
            <v>4791.45</v>
          </cell>
          <cell r="W15">
            <v>3554.12</v>
          </cell>
          <cell r="X15">
            <v>3995.35</v>
          </cell>
          <cell r="Y15">
            <v>4209.93</v>
          </cell>
          <cell r="Z15">
            <v>4526.85</v>
          </cell>
          <cell r="AA15">
            <v>4818.8</v>
          </cell>
          <cell r="AB15">
            <v>2249.42</v>
          </cell>
          <cell r="AC15">
            <v>2359.19</v>
          </cell>
          <cell r="AD15">
            <v>5420.57</v>
          </cell>
          <cell r="AE15">
            <v>5637.86</v>
          </cell>
          <cell r="AF15">
            <v>6733.5</v>
          </cell>
          <cell r="AG15">
            <v>6610.76</v>
          </cell>
          <cell r="AH15">
            <v>4925.67</v>
          </cell>
          <cell r="AI15">
            <v>3455.62</v>
          </cell>
          <cell r="AJ15">
            <v>2689.96</v>
          </cell>
          <cell r="AK15">
            <v>3958.66</v>
          </cell>
          <cell r="AL15">
            <v>3138.95</v>
          </cell>
          <cell r="AM15">
            <v>4480.83</v>
          </cell>
          <cell r="AN15">
            <v>2280.88</v>
          </cell>
          <cell r="AO15">
            <v>2335</v>
          </cell>
          <cell r="AP15">
            <v>5786.03</v>
          </cell>
          <cell r="AQ15">
            <v>6324.85</v>
          </cell>
          <cell r="AR15">
            <v>6969.5</v>
          </cell>
          <cell r="AS15">
            <v>6880.97</v>
          </cell>
          <cell r="AT15">
            <v>6243.06</v>
          </cell>
          <cell r="AU15">
            <v>4099.68</v>
          </cell>
          <cell r="AV15">
            <v>5264.64</v>
          </cell>
          <cell r="AW15">
            <v>5694.06</v>
          </cell>
          <cell r="AX15">
            <v>5060.46</v>
          </cell>
          <cell r="AY15">
            <v>7014.79</v>
          </cell>
          <cell r="AZ15">
            <v>6152.12</v>
          </cell>
          <cell r="BA15">
            <v>5418.96</v>
          </cell>
          <cell r="BB15">
            <v>5811.95</v>
          </cell>
          <cell r="BC15">
            <v>5971.37</v>
          </cell>
          <cell r="BD15">
            <v>6710.13</v>
          </cell>
          <cell r="BE15">
            <v>6627.42</v>
          </cell>
          <cell r="BF15">
            <v>6031.73</v>
          </cell>
          <cell r="BG15">
            <v>5011.16</v>
          </cell>
          <cell r="BH15">
            <v>3932.74</v>
          </cell>
          <cell r="BI15">
            <v>4958.28</v>
          </cell>
        </row>
        <row r="16">
          <cell r="A16" t="str">
            <v>HARRINGTON 1</v>
          </cell>
          <cell r="B16">
            <v>3506.13</v>
          </cell>
          <cell r="C16">
            <v>3190.33</v>
          </cell>
          <cell r="D16">
            <v>3504.97</v>
          </cell>
          <cell r="E16">
            <v>3385.26</v>
          </cell>
          <cell r="F16">
            <v>3372</v>
          </cell>
          <cell r="G16">
            <v>3297.84</v>
          </cell>
          <cell r="H16">
            <v>3529.61</v>
          </cell>
          <cell r="I16">
            <v>3472.06</v>
          </cell>
          <cell r="J16">
            <v>3170.36</v>
          </cell>
          <cell r="K16">
            <v>0</v>
          </cell>
          <cell r="L16">
            <v>1517.46</v>
          </cell>
          <cell r="M16">
            <v>3472.83</v>
          </cell>
          <cell r="N16">
            <v>3014.72</v>
          </cell>
          <cell r="O16">
            <v>2863.98</v>
          </cell>
          <cell r="P16">
            <v>3025.54</v>
          </cell>
          <cell r="Q16">
            <v>2940.5</v>
          </cell>
          <cell r="R16">
            <v>2343.21</v>
          </cell>
          <cell r="S16">
            <v>2949.48</v>
          </cell>
          <cell r="T16">
            <v>3099.46</v>
          </cell>
          <cell r="U16">
            <v>3083</v>
          </cell>
          <cell r="V16">
            <v>2986.15</v>
          </cell>
          <cell r="W16">
            <v>3087.46</v>
          </cell>
          <cell r="X16">
            <v>3012.48</v>
          </cell>
          <cell r="Y16">
            <v>3099.15</v>
          </cell>
          <cell r="Z16">
            <v>2944.49</v>
          </cell>
          <cell r="AA16">
            <v>2680.88</v>
          </cell>
          <cell r="AB16">
            <v>2974.34</v>
          </cell>
          <cell r="AC16">
            <v>2883.87</v>
          </cell>
          <cell r="AD16">
            <v>2294.86</v>
          </cell>
          <cell r="AE16">
            <v>2872.11</v>
          </cell>
          <cell r="AF16">
            <v>3001.46</v>
          </cell>
          <cell r="AG16">
            <v>3003.08</v>
          </cell>
          <cell r="AH16">
            <v>2905.66</v>
          </cell>
          <cell r="AI16">
            <v>3005.64</v>
          </cell>
          <cell r="AJ16">
            <v>2908.49</v>
          </cell>
          <cell r="AK16">
            <v>2997.01</v>
          </cell>
          <cell r="AL16">
            <v>754.55</v>
          </cell>
          <cell r="AM16">
            <v>845.96</v>
          </cell>
          <cell r="AN16">
            <v>2909.47</v>
          </cell>
          <cell r="AO16">
            <v>2783.39</v>
          </cell>
          <cell r="AP16">
            <v>2868.14</v>
          </cell>
          <cell r="AQ16">
            <v>2711.97</v>
          </cell>
          <cell r="AR16">
            <v>2853.54</v>
          </cell>
          <cell r="AS16">
            <v>2818.71</v>
          </cell>
          <cell r="AT16">
            <v>2757.13</v>
          </cell>
          <cell r="AU16">
            <v>2896.89</v>
          </cell>
          <cell r="AV16">
            <v>2785.03</v>
          </cell>
          <cell r="AW16">
            <v>2894.23</v>
          </cell>
          <cell r="AX16">
            <v>2838.56</v>
          </cell>
          <cell r="AY16">
            <v>2492.66</v>
          </cell>
          <cell r="AZ16">
            <v>2003.26</v>
          </cell>
          <cell r="BA16">
            <v>2749.03</v>
          </cell>
          <cell r="BB16">
            <v>2858.25</v>
          </cell>
          <cell r="BC16">
            <v>2703.31</v>
          </cell>
          <cell r="BD16">
            <v>2837.18</v>
          </cell>
          <cell r="BE16">
            <v>2799.65</v>
          </cell>
          <cell r="BF16">
            <v>2740.66</v>
          </cell>
          <cell r="BG16">
            <v>2876.79</v>
          </cell>
          <cell r="BH16">
            <v>2753.59</v>
          </cell>
          <cell r="BI16">
            <v>2863.96</v>
          </cell>
        </row>
        <row r="17">
          <cell r="A17" t="str">
            <v>HARRINGTON 2</v>
          </cell>
          <cell r="B17">
            <v>3847.49</v>
          </cell>
          <cell r="C17">
            <v>3472.78</v>
          </cell>
          <cell r="D17">
            <v>3847.49</v>
          </cell>
          <cell r="E17">
            <v>2845.16</v>
          </cell>
          <cell r="F17">
            <v>3807.26</v>
          </cell>
          <cell r="G17">
            <v>3698.55</v>
          </cell>
          <cell r="H17">
            <v>3873.82</v>
          </cell>
          <cell r="I17">
            <v>3873.65</v>
          </cell>
          <cell r="J17">
            <v>3746.21</v>
          </cell>
          <cell r="K17">
            <v>3873.82</v>
          </cell>
          <cell r="L17">
            <v>3744.06</v>
          </cell>
          <cell r="M17">
            <v>3873.64</v>
          </cell>
          <cell r="N17">
            <v>3350.93</v>
          </cell>
          <cell r="O17">
            <v>3148.77</v>
          </cell>
          <cell r="P17">
            <v>3365.45</v>
          </cell>
          <cell r="Q17">
            <v>3254.37</v>
          </cell>
          <cell r="R17">
            <v>3345.37</v>
          </cell>
          <cell r="S17">
            <v>3251.34</v>
          </cell>
          <cell r="T17">
            <v>3389.17</v>
          </cell>
          <cell r="U17">
            <v>3389.36</v>
          </cell>
          <cell r="V17">
            <v>3278.8</v>
          </cell>
          <cell r="W17">
            <v>2623.24</v>
          </cell>
          <cell r="X17">
            <v>0</v>
          </cell>
          <cell r="Y17">
            <v>2074.36</v>
          </cell>
          <cell r="Z17">
            <v>3249.86</v>
          </cell>
          <cell r="AA17">
            <v>2195.01</v>
          </cell>
          <cell r="AB17">
            <v>3251.71</v>
          </cell>
          <cell r="AC17">
            <v>3144.59</v>
          </cell>
          <cell r="AD17">
            <v>3250.53</v>
          </cell>
          <cell r="AE17">
            <v>3142.1</v>
          </cell>
          <cell r="AF17">
            <v>3277.67</v>
          </cell>
          <cell r="AG17">
            <v>3278.03</v>
          </cell>
          <cell r="AH17">
            <v>3169.75</v>
          </cell>
          <cell r="AI17">
            <v>3278.03</v>
          </cell>
          <cell r="AJ17">
            <v>3170.05</v>
          </cell>
          <cell r="AK17">
            <v>3278.03</v>
          </cell>
          <cell r="AL17">
            <v>3184.71</v>
          </cell>
          <cell r="AM17">
            <v>2874.55</v>
          </cell>
          <cell r="AN17">
            <v>2459.22</v>
          </cell>
          <cell r="AO17">
            <v>3070.06</v>
          </cell>
          <cell r="AP17">
            <v>3183.03</v>
          </cell>
          <cell r="AQ17">
            <v>3053.95</v>
          </cell>
          <cell r="AR17">
            <v>3193.26</v>
          </cell>
          <cell r="AS17">
            <v>3164.85</v>
          </cell>
          <cell r="AT17">
            <v>3083.55</v>
          </cell>
          <cell r="AU17">
            <v>3208.05</v>
          </cell>
          <cell r="AV17">
            <v>3095.63</v>
          </cell>
          <cell r="AW17">
            <v>3204.43</v>
          </cell>
          <cell r="AX17">
            <v>3139.16</v>
          </cell>
          <cell r="AY17">
            <v>2824.12</v>
          </cell>
          <cell r="AZ17">
            <v>3134.77</v>
          </cell>
          <cell r="BA17">
            <v>801.03</v>
          </cell>
          <cell r="BB17">
            <v>1826.46</v>
          </cell>
          <cell r="BC17">
            <v>3016.86</v>
          </cell>
          <cell r="BD17">
            <v>3154.44</v>
          </cell>
          <cell r="BE17">
            <v>3130.06</v>
          </cell>
          <cell r="BF17">
            <v>3042.35</v>
          </cell>
          <cell r="BG17">
            <v>3169.49</v>
          </cell>
          <cell r="BH17">
            <v>3056.43</v>
          </cell>
          <cell r="BI17">
            <v>3171.83</v>
          </cell>
        </row>
        <row r="18">
          <cell r="A18" t="str">
            <v>HARRINGTON 3</v>
          </cell>
          <cell r="B18">
            <v>3779.08</v>
          </cell>
          <cell r="C18">
            <v>3414.61</v>
          </cell>
          <cell r="D18">
            <v>3774.62</v>
          </cell>
          <cell r="E18">
            <v>3284.99</v>
          </cell>
          <cell r="F18">
            <v>3231.33</v>
          </cell>
          <cell r="G18">
            <v>3620.74</v>
          </cell>
          <cell r="H18">
            <v>3798.74</v>
          </cell>
          <cell r="I18">
            <v>3787.66</v>
          </cell>
          <cell r="J18">
            <v>3676.25</v>
          </cell>
          <cell r="K18">
            <v>3791.91</v>
          </cell>
          <cell r="L18">
            <v>3656.99</v>
          </cell>
          <cell r="M18">
            <v>3787.76</v>
          </cell>
          <cell r="N18">
            <v>3294.63</v>
          </cell>
          <cell r="O18">
            <v>2342.13</v>
          </cell>
          <cell r="P18">
            <v>3299.13</v>
          </cell>
          <cell r="Q18">
            <v>3191.34</v>
          </cell>
          <cell r="R18">
            <v>3292.28</v>
          </cell>
          <cell r="S18">
            <v>3191.99</v>
          </cell>
          <cell r="T18">
            <v>3329.43</v>
          </cell>
          <cell r="U18">
            <v>3324.34</v>
          </cell>
          <cell r="V18">
            <v>3222.99</v>
          </cell>
          <cell r="W18">
            <v>3235.03</v>
          </cell>
          <cell r="X18">
            <v>3223.78</v>
          </cell>
          <cell r="Y18">
            <v>3325.59</v>
          </cell>
          <cell r="Z18">
            <v>3189.29</v>
          </cell>
          <cell r="AA18">
            <v>2885.86</v>
          </cell>
          <cell r="AB18">
            <v>3193.96</v>
          </cell>
          <cell r="AC18">
            <v>1029.2</v>
          </cell>
          <cell r="AD18">
            <v>2360.06</v>
          </cell>
          <cell r="AE18">
            <v>3083.22</v>
          </cell>
          <cell r="AF18">
            <v>3219.34</v>
          </cell>
          <cell r="AG18">
            <v>3219.38</v>
          </cell>
          <cell r="AH18">
            <v>3100.41</v>
          </cell>
          <cell r="AI18">
            <v>3219.91</v>
          </cell>
          <cell r="AJ18">
            <v>3116.36</v>
          </cell>
          <cell r="AK18">
            <v>3219.41</v>
          </cell>
          <cell r="AL18">
            <v>3128.89</v>
          </cell>
          <cell r="AM18">
            <v>2826.4</v>
          </cell>
          <cell r="AN18">
            <v>3127.41</v>
          </cell>
          <cell r="AO18">
            <v>3008.79</v>
          </cell>
          <cell r="AP18">
            <v>2408.98</v>
          </cell>
          <cell r="AQ18">
            <v>2990.03</v>
          </cell>
          <cell r="AR18">
            <v>3125.78</v>
          </cell>
          <cell r="AS18">
            <v>3098.26</v>
          </cell>
          <cell r="AT18">
            <v>3027.67</v>
          </cell>
          <cell r="AU18">
            <v>3145.97</v>
          </cell>
          <cell r="AV18">
            <v>3032.98</v>
          </cell>
          <cell r="AW18">
            <v>3142.56</v>
          </cell>
          <cell r="AX18">
            <v>3078.35</v>
          </cell>
          <cell r="AY18">
            <v>2762.42</v>
          </cell>
          <cell r="AZ18">
            <v>2475.42</v>
          </cell>
          <cell r="BA18">
            <v>2673.1</v>
          </cell>
          <cell r="BB18">
            <v>3092.09</v>
          </cell>
          <cell r="BC18">
            <v>2956.16</v>
          </cell>
          <cell r="BD18">
            <v>3089.02</v>
          </cell>
          <cell r="BE18">
            <v>3059.2</v>
          </cell>
          <cell r="BF18">
            <v>2985.84</v>
          </cell>
          <cell r="BG18">
            <v>3109.05</v>
          </cell>
          <cell r="BH18">
            <v>3005.2</v>
          </cell>
          <cell r="BI18">
            <v>3112.37</v>
          </cell>
        </row>
        <row r="19">
          <cell r="A19" t="str">
            <v>JONES 1</v>
          </cell>
          <cell r="B19">
            <v>2341.42</v>
          </cell>
          <cell r="C19">
            <v>7206.75</v>
          </cell>
          <cell r="D19">
            <v>3722.04</v>
          </cell>
          <cell r="E19">
            <v>6057.25</v>
          </cell>
          <cell r="F19">
            <v>3807.39</v>
          </cell>
          <cell r="G19">
            <v>5605.44</v>
          </cell>
          <cell r="H19">
            <v>8123.83</v>
          </cell>
          <cell r="I19">
            <v>7544.55</v>
          </cell>
          <cell r="J19">
            <v>3337.22</v>
          </cell>
          <cell r="K19">
            <v>5656.07</v>
          </cell>
          <cell r="L19">
            <v>4458.65</v>
          </cell>
          <cell r="M19">
            <v>3569.56</v>
          </cell>
          <cell r="N19">
            <v>2935.6</v>
          </cell>
          <cell r="O19">
            <v>4458.89</v>
          </cell>
          <cell r="P19">
            <v>7499.64</v>
          </cell>
          <cell r="Q19">
            <v>7352.77</v>
          </cell>
          <cell r="R19">
            <v>5690.65</v>
          </cell>
          <cell r="S19">
            <v>5034.82</v>
          </cell>
          <cell r="T19">
            <v>6809.87</v>
          </cell>
          <cell r="U19">
            <v>6177.34</v>
          </cell>
          <cell r="V19">
            <v>3802.31</v>
          </cell>
          <cell r="W19">
            <v>3359.24</v>
          </cell>
          <cell r="X19">
            <v>1372.47</v>
          </cell>
          <cell r="Y19">
            <v>1987.06</v>
          </cell>
          <cell r="Z19">
            <v>4222.52</v>
          </cell>
          <cell r="AA19">
            <v>3936.26</v>
          </cell>
          <cell r="AB19">
            <v>534.6</v>
          </cell>
          <cell r="AC19">
            <v>3643.07</v>
          </cell>
          <cell r="AD19">
            <v>4282.58</v>
          </cell>
          <cell r="AE19">
            <v>5108.91</v>
          </cell>
          <cell r="AF19">
            <v>6562.67</v>
          </cell>
          <cell r="AG19">
            <v>6299.68</v>
          </cell>
          <cell r="AH19">
            <v>2480.14</v>
          </cell>
          <cell r="AI19">
            <v>0</v>
          </cell>
          <cell r="AJ19">
            <v>114.75</v>
          </cell>
          <cell r="AK19">
            <v>2995.24</v>
          </cell>
          <cell r="AL19">
            <v>1985.95</v>
          </cell>
          <cell r="AM19">
            <v>3091.29</v>
          </cell>
          <cell r="AN19">
            <v>2185.07</v>
          </cell>
          <cell r="AO19">
            <v>3674.22</v>
          </cell>
          <cell r="AP19">
            <v>4726.44</v>
          </cell>
          <cell r="AQ19">
            <v>5827.04</v>
          </cell>
          <cell r="AR19">
            <v>7295.67</v>
          </cell>
          <cell r="AS19">
            <v>6760.1</v>
          </cell>
          <cell r="AT19">
            <v>5272.12</v>
          </cell>
          <cell r="AU19">
            <v>4341.92</v>
          </cell>
          <cell r="AV19">
            <v>4043.66</v>
          </cell>
          <cell r="AW19">
            <v>6331.23</v>
          </cell>
          <cell r="AX19">
            <v>4810.59</v>
          </cell>
          <cell r="AY19">
            <v>7925.77</v>
          </cell>
          <cell r="AZ19">
            <v>6399.03</v>
          </cell>
          <cell r="BA19">
            <v>5908.18</v>
          </cell>
          <cell r="BB19">
            <v>4878.84</v>
          </cell>
          <cell r="BC19">
            <v>5624.3</v>
          </cell>
          <cell r="BD19">
            <v>6394.78</v>
          </cell>
          <cell r="BE19">
            <v>6427.8</v>
          </cell>
          <cell r="BF19">
            <v>5425.2</v>
          </cell>
          <cell r="BG19">
            <v>4508.17</v>
          </cell>
          <cell r="BH19">
            <v>6118.08</v>
          </cell>
          <cell r="BI19">
            <v>6134.12</v>
          </cell>
        </row>
        <row r="20">
          <cell r="A20" t="str">
            <v>JONES 2</v>
          </cell>
          <cell r="B20">
            <v>3317.75</v>
          </cell>
          <cell r="C20">
            <v>6973.01</v>
          </cell>
          <cell r="D20">
            <v>4947.82</v>
          </cell>
          <cell r="E20">
            <v>5514.66</v>
          </cell>
          <cell r="F20">
            <v>4975.62</v>
          </cell>
          <cell r="G20">
            <v>5837.29</v>
          </cell>
          <cell r="H20">
            <v>7806.51</v>
          </cell>
          <cell r="I20">
            <v>7648.37</v>
          </cell>
          <cell r="J20">
            <v>4690.49</v>
          </cell>
          <cell r="K20">
            <v>6000.21</v>
          </cell>
          <cell r="L20">
            <v>4778.53</v>
          </cell>
          <cell r="M20">
            <v>4190.19</v>
          </cell>
          <cell r="N20">
            <v>4396.09</v>
          </cell>
          <cell r="O20">
            <v>4403.02</v>
          </cell>
          <cell r="P20">
            <v>7228.04</v>
          </cell>
          <cell r="Q20">
            <v>1979.09</v>
          </cell>
          <cell r="R20">
            <v>1857.79</v>
          </cell>
          <cell r="S20">
            <v>3673.74</v>
          </cell>
          <cell r="T20">
            <v>6440.47</v>
          </cell>
          <cell r="U20">
            <v>6497.65</v>
          </cell>
          <cell r="V20">
            <v>1984.5</v>
          </cell>
          <cell r="W20">
            <v>2732.84</v>
          </cell>
          <cell r="X20">
            <v>4071.32</v>
          </cell>
          <cell r="Y20">
            <v>4250.87</v>
          </cell>
          <cell r="Z20">
            <v>4139.76</v>
          </cell>
          <cell r="AA20">
            <v>4201.96</v>
          </cell>
          <cell r="AB20">
            <v>3620.71</v>
          </cell>
          <cell r="AC20">
            <v>2123.1</v>
          </cell>
          <cell r="AD20">
            <v>3746.34</v>
          </cell>
          <cell r="AE20">
            <v>4001.65</v>
          </cell>
          <cell r="AF20">
            <v>6505.14</v>
          </cell>
          <cell r="AG20">
            <v>5960.4</v>
          </cell>
          <cell r="AH20">
            <v>4094.32</v>
          </cell>
          <cell r="AI20">
            <v>4358.93</v>
          </cell>
          <cell r="AJ20">
            <v>4264.48</v>
          </cell>
          <cell r="AK20">
            <v>2125.23</v>
          </cell>
          <cell r="AL20">
            <v>5128.54</v>
          </cell>
          <cell r="AM20">
            <v>4734.33</v>
          </cell>
          <cell r="AN20">
            <v>3356.86</v>
          </cell>
          <cell r="AO20">
            <v>3907.33</v>
          </cell>
          <cell r="AP20">
            <v>5241.85</v>
          </cell>
          <cell r="AQ20">
            <v>5870.98</v>
          </cell>
          <cell r="AR20">
            <v>7032.46</v>
          </cell>
          <cell r="AS20">
            <v>7130.05</v>
          </cell>
          <cell r="AT20">
            <v>6013.39</v>
          </cell>
          <cell r="AU20">
            <v>5776.7</v>
          </cell>
          <cell r="AV20">
            <v>5063.9</v>
          </cell>
          <cell r="AW20">
            <v>5638.44</v>
          </cell>
          <cell r="AX20">
            <v>6388.22</v>
          </cell>
          <cell r="AY20">
            <v>8171.21</v>
          </cell>
          <cell r="AZ20">
            <v>7459.01</v>
          </cell>
          <cell r="BA20">
            <v>6160.52</v>
          </cell>
          <cell r="BB20">
            <v>5487.82</v>
          </cell>
          <cell r="BC20">
            <v>5965.42</v>
          </cell>
          <cell r="BD20">
            <v>7001.9</v>
          </cell>
          <cell r="BE20">
            <v>6607.78</v>
          </cell>
          <cell r="BF20">
            <v>5966.08</v>
          </cell>
          <cell r="BG20">
            <v>5033.19</v>
          </cell>
          <cell r="BH20">
            <v>814.44</v>
          </cell>
          <cell r="BI20">
            <v>1524.71</v>
          </cell>
        </row>
        <row r="21">
          <cell r="A21" t="str">
            <v>MADDOX 1</v>
          </cell>
          <cell r="B21">
            <v>667.46</v>
          </cell>
          <cell r="C21">
            <v>770.03</v>
          </cell>
          <cell r="D21">
            <v>1309.68</v>
          </cell>
          <cell r="E21">
            <v>2455.75</v>
          </cell>
          <cell r="F21">
            <v>3275.08</v>
          </cell>
          <cell r="G21">
            <v>3559.85</v>
          </cell>
          <cell r="H21">
            <v>4216.46</v>
          </cell>
          <cell r="I21">
            <v>4197.85</v>
          </cell>
          <cell r="J21">
            <v>3063.61</v>
          </cell>
          <cell r="K21">
            <v>1299.06</v>
          </cell>
          <cell r="L21">
            <v>469.33</v>
          </cell>
          <cell r="M21">
            <v>923.72</v>
          </cell>
          <cell r="N21">
            <v>0</v>
          </cell>
          <cell r="O21">
            <v>0</v>
          </cell>
          <cell r="P21">
            <v>2018.9</v>
          </cell>
          <cell r="Q21">
            <v>2986.63</v>
          </cell>
          <cell r="R21">
            <v>3254.05</v>
          </cell>
          <cell r="S21">
            <v>3339.42</v>
          </cell>
          <cell r="T21">
            <v>3991.47</v>
          </cell>
          <cell r="U21">
            <v>3916.24</v>
          </cell>
          <cell r="V21">
            <v>2768.86</v>
          </cell>
          <cell r="W21">
            <v>1511.62</v>
          </cell>
          <cell r="X21">
            <v>967.76</v>
          </cell>
          <cell r="Y21">
            <v>0</v>
          </cell>
          <cell r="Z21">
            <v>1610.96</v>
          </cell>
          <cell r="AA21">
            <v>1083.92</v>
          </cell>
          <cell r="AB21">
            <v>1489.85</v>
          </cell>
          <cell r="AC21">
            <v>1651.9</v>
          </cell>
          <cell r="AD21">
            <v>3002.53</v>
          </cell>
          <cell r="AE21">
            <v>3246.21</v>
          </cell>
          <cell r="AF21">
            <v>3914.54</v>
          </cell>
          <cell r="AG21">
            <v>3863.94</v>
          </cell>
          <cell r="AH21">
            <v>2869.3</v>
          </cell>
          <cell r="AI21">
            <v>1087.16</v>
          </cell>
          <cell r="AJ21">
            <v>1636.68</v>
          </cell>
          <cell r="AK21">
            <v>769.19</v>
          </cell>
          <cell r="AL21">
            <v>1896.68</v>
          </cell>
          <cell r="AM21">
            <v>751</v>
          </cell>
          <cell r="AN21">
            <v>2005.32</v>
          </cell>
          <cell r="AO21">
            <v>2276.63</v>
          </cell>
          <cell r="AP21">
            <v>3233.88</v>
          </cell>
          <cell r="AQ21">
            <v>3565.49</v>
          </cell>
          <cell r="AR21">
            <v>3900.21</v>
          </cell>
          <cell r="AS21">
            <v>3923.2</v>
          </cell>
          <cell r="AT21">
            <v>3588.18</v>
          </cell>
          <cell r="AU21">
            <v>1467.18</v>
          </cell>
          <cell r="AV21">
            <v>1229.33</v>
          </cell>
          <cell r="AW21">
            <v>1584.57</v>
          </cell>
          <cell r="AX21">
            <v>1986.96</v>
          </cell>
          <cell r="AY21">
            <v>3372.14</v>
          </cell>
          <cell r="AZ21">
            <v>1864.04</v>
          </cell>
          <cell r="BA21">
            <v>2527.96</v>
          </cell>
          <cell r="BB21">
            <v>3287.06</v>
          </cell>
          <cell r="BC21">
            <v>3333.55</v>
          </cell>
          <cell r="BD21">
            <v>3790.72</v>
          </cell>
          <cell r="BE21">
            <v>3762.42</v>
          </cell>
          <cell r="BF21">
            <v>3315.36</v>
          </cell>
          <cell r="BG21">
            <v>681.58</v>
          </cell>
          <cell r="BH21">
            <v>1728.79</v>
          </cell>
          <cell r="BI21">
            <v>2477.7</v>
          </cell>
        </row>
        <row r="22">
          <cell r="A22" t="str">
            <v>MD GT 2</v>
          </cell>
          <cell r="B22">
            <v>0</v>
          </cell>
          <cell r="C22">
            <v>0</v>
          </cell>
          <cell r="D22">
            <v>0</v>
          </cell>
          <cell r="E22">
            <v>0</v>
          </cell>
          <cell r="F22">
            <v>26.33</v>
          </cell>
          <cell r="G22">
            <v>122.81</v>
          </cell>
          <cell r="H22">
            <v>216.58</v>
          </cell>
          <cell r="I22">
            <v>230.53</v>
          </cell>
          <cell r="J22">
            <v>0</v>
          </cell>
          <cell r="K22">
            <v>0</v>
          </cell>
          <cell r="L22">
            <v>0</v>
          </cell>
          <cell r="M22">
            <v>0</v>
          </cell>
          <cell r="N22">
            <v>0</v>
          </cell>
          <cell r="O22">
            <v>0</v>
          </cell>
          <cell r="P22">
            <v>0</v>
          </cell>
          <cell r="Q22">
            <v>17.01</v>
          </cell>
          <cell r="R22">
            <v>0</v>
          </cell>
          <cell r="S22">
            <v>0</v>
          </cell>
          <cell r="T22">
            <v>111.54</v>
          </cell>
          <cell r="U22">
            <v>39.39</v>
          </cell>
          <cell r="V22">
            <v>0</v>
          </cell>
          <cell r="W22">
            <v>0</v>
          </cell>
          <cell r="X22">
            <v>0</v>
          </cell>
          <cell r="Y22">
            <v>0</v>
          </cell>
          <cell r="Z22">
            <v>0</v>
          </cell>
          <cell r="AA22">
            <v>0</v>
          </cell>
          <cell r="AB22">
            <v>0</v>
          </cell>
          <cell r="AC22">
            <v>0</v>
          </cell>
          <cell r="AD22">
            <v>0</v>
          </cell>
          <cell r="AE22">
            <v>26.7</v>
          </cell>
          <cell r="AF22">
            <v>21.57</v>
          </cell>
          <cell r="AG22">
            <v>48.92</v>
          </cell>
          <cell r="AH22">
            <v>0</v>
          </cell>
          <cell r="AI22">
            <v>0</v>
          </cell>
          <cell r="AJ22">
            <v>0</v>
          </cell>
          <cell r="AK22">
            <v>0</v>
          </cell>
          <cell r="AL22">
            <v>0</v>
          </cell>
          <cell r="AM22">
            <v>0</v>
          </cell>
          <cell r="AN22">
            <v>0</v>
          </cell>
          <cell r="AO22">
            <v>0</v>
          </cell>
          <cell r="AP22">
            <v>0</v>
          </cell>
          <cell r="AQ22">
            <v>127.63</v>
          </cell>
          <cell r="AR22">
            <v>159.96</v>
          </cell>
          <cell r="AS22">
            <v>259.96</v>
          </cell>
          <cell r="AT22">
            <v>0</v>
          </cell>
          <cell r="AU22">
            <v>10.62</v>
          </cell>
          <cell r="AV22">
            <v>0</v>
          </cell>
          <cell r="AW22">
            <v>23.48</v>
          </cell>
          <cell r="AX22">
            <v>0</v>
          </cell>
          <cell r="AY22">
            <v>66.46</v>
          </cell>
          <cell r="AZ22">
            <v>17.59</v>
          </cell>
          <cell r="BA22">
            <v>20.06</v>
          </cell>
          <cell r="BB22">
            <v>0</v>
          </cell>
          <cell r="BC22">
            <v>58.4</v>
          </cell>
          <cell r="BD22">
            <v>142.73</v>
          </cell>
          <cell r="BE22">
            <v>109.23</v>
          </cell>
          <cell r="BF22">
            <v>20.03</v>
          </cell>
          <cell r="BG22">
            <v>20.28</v>
          </cell>
          <cell r="BH22">
            <v>0</v>
          </cell>
          <cell r="BI22">
            <v>0</v>
          </cell>
        </row>
        <row r="23">
          <cell r="A23" t="str">
            <v>MD GT 3</v>
          </cell>
          <cell r="B23">
            <v>0</v>
          </cell>
          <cell r="C23">
            <v>0</v>
          </cell>
          <cell r="D23">
            <v>0</v>
          </cell>
          <cell r="E23">
            <v>0</v>
          </cell>
          <cell r="F23">
            <v>0</v>
          </cell>
          <cell r="G23">
            <v>16.36</v>
          </cell>
          <cell r="H23">
            <v>6.38</v>
          </cell>
          <cell r="I23">
            <v>27.17</v>
          </cell>
          <cell r="J23">
            <v>0</v>
          </cell>
          <cell r="K23">
            <v>0</v>
          </cell>
          <cell r="L23">
            <v>0</v>
          </cell>
          <cell r="M23">
            <v>0</v>
          </cell>
          <cell r="N23">
            <v>0</v>
          </cell>
          <cell r="O23">
            <v>0</v>
          </cell>
          <cell r="P23">
            <v>0</v>
          </cell>
          <cell r="Q23">
            <v>0</v>
          </cell>
          <cell r="R23">
            <v>0</v>
          </cell>
          <cell r="S23">
            <v>0</v>
          </cell>
          <cell r="T23">
            <v>5.91</v>
          </cell>
          <cell r="U23">
            <v>0</v>
          </cell>
          <cell r="V23">
            <v>0</v>
          </cell>
          <cell r="W23">
            <v>0</v>
          </cell>
          <cell r="X23">
            <v>0</v>
          </cell>
          <cell r="Y23">
            <v>0</v>
          </cell>
          <cell r="Z23">
            <v>0</v>
          </cell>
          <cell r="AA23">
            <v>0</v>
          </cell>
          <cell r="AB23">
            <v>0</v>
          </cell>
          <cell r="AC23">
            <v>0</v>
          </cell>
          <cell r="AD23">
            <v>0</v>
          </cell>
          <cell r="AE23">
            <v>0</v>
          </cell>
          <cell r="AF23">
            <v>24.78</v>
          </cell>
          <cell r="AG23">
            <v>11.53</v>
          </cell>
          <cell r="AH23">
            <v>0</v>
          </cell>
          <cell r="AI23">
            <v>0</v>
          </cell>
          <cell r="AJ23">
            <v>0</v>
          </cell>
          <cell r="AK23">
            <v>0</v>
          </cell>
          <cell r="AL23">
            <v>0</v>
          </cell>
          <cell r="AM23">
            <v>0</v>
          </cell>
          <cell r="AN23">
            <v>0</v>
          </cell>
          <cell r="AO23">
            <v>0</v>
          </cell>
          <cell r="AP23">
            <v>0</v>
          </cell>
          <cell r="AQ23">
            <v>12.63</v>
          </cell>
          <cell r="AR23">
            <v>22.5</v>
          </cell>
          <cell r="AS23">
            <v>33.92</v>
          </cell>
          <cell r="AT23">
            <v>0</v>
          </cell>
          <cell r="AU23">
            <v>0</v>
          </cell>
          <cell r="AV23">
            <v>0</v>
          </cell>
          <cell r="AW23">
            <v>0</v>
          </cell>
          <cell r="AX23">
            <v>0</v>
          </cell>
          <cell r="AY23">
            <v>6.98</v>
          </cell>
          <cell r="AZ23">
            <v>0</v>
          </cell>
          <cell r="BA23">
            <v>0</v>
          </cell>
          <cell r="BB23">
            <v>0</v>
          </cell>
          <cell r="BC23">
            <v>4.17</v>
          </cell>
          <cell r="BD23">
            <v>4.64</v>
          </cell>
          <cell r="BE23">
            <v>17.55</v>
          </cell>
          <cell r="BF23">
            <v>0</v>
          </cell>
          <cell r="BG23">
            <v>0</v>
          </cell>
          <cell r="BH23">
            <v>0</v>
          </cell>
          <cell r="BI23">
            <v>0</v>
          </cell>
        </row>
        <row r="24">
          <cell r="A24" t="str">
            <v>MOORE CO</v>
          </cell>
          <cell r="B24">
            <v>0</v>
          </cell>
          <cell r="C24">
            <v>0</v>
          </cell>
          <cell r="D24">
            <v>0</v>
          </cell>
          <cell r="E24">
            <v>0</v>
          </cell>
          <cell r="F24">
            <v>0</v>
          </cell>
          <cell r="G24">
            <v>82.85</v>
          </cell>
          <cell r="H24">
            <v>325.37</v>
          </cell>
          <cell r="I24">
            <v>277.32</v>
          </cell>
          <cell r="J24">
            <v>0</v>
          </cell>
          <cell r="K24">
            <v>0</v>
          </cell>
          <cell r="L24">
            <v>0</v>
          </cell>
          <cell r="M24">
            <v>0</v>
          </cell>
          <cell r="N24">
            <v>0</v>
          </cell>
          <cell r="O24">
            <v>0</v>
          </cell>
          <cell r="P24">
            <v>0</v>
          </cell>
          <cell r="Q24">
            <v>0</v>
          </cell>
          <cell r="R24">
            <v>0</v>
          </cell>
          <cell r="S24">
            <v>0</v>
          </cell>
          <cell r="T24">
            <v>163.37</v>
          </cell>
          <cell r="U24">
            <v>95.83</v>
          </cell>
          <cell r="V24">
            <v>0</v>
          </cell>
          <cell r="W24">
            <v>0</v>
          </cell>
          <cell r="X24">
            <v>0</v>
          </cell>
          <cell r="Y24">
            <v>0</v>
          </cell>
          <cell r="Z24">
            <v>0</v>
          </cell>
          <cell r="AA24">
            <v>0</v>
          </cell>
          <cell r="AB24">
            <v>0</v>
          </cell>
          <cell r="AC24">
            <v>0</v>
          </cell>
          <cell r="AD24">
            <v>0</v>
          </cell>
          <cell r="AE24">
            <v>52.28</v>
          </cell>
          <cell r="AF24">
            <v>169.22</v>
          </cell>
          <cell r="AG24">
            <v>249.39</v>
          </cell>
          <cell r="AH24">
            <v>6.77</v>
          </cell>
          <cell r="AI24">
            <v>0</v>
          </cell>
          <cell r="AJ24">
            <v>0</v>
          </cell>
          <cell r="AK24">
            <v>0</v>
          </cell>
          <cell r="AL24">
            <v>0</v>
          </cell>
          <cell r="AM24">
            <v>0</v>
          </cell>
          <cell r="AN24">
            <v>0</v>
          </cell>
          <cell r="AO24">
            <v>0</v>
          </cell>
          <cell r="AP24">
            <v>0</v>
          </cell>
          <cell r="AQ24">
            <v>60.34</v>
          </cell>
          <cell r="AR24">
            <v>123.48</v>
          </cell>
          <cell r="AS24">
            <v>161.12</v>
          </cell>
          <cell r="AT24">
            <v>72.95</v>
          </cell>
          <cell r="AU24">
            <v>0</v>
          </cell>
          <cell r="AV24">
            <v>0</v>
          </cell>
          <cell r="AW24">
            <v>0</v>
          </cell>
          <cell r="AX24">
            <v>0</v>
          </cell>
          <cell r="AY24">
            <v>0</v>
          </cell>
          <cell r="AZ24">
            <v>0</v>
          </cell>
          <cell r="BA24">
            <v>0</v>
          </cell>
          <cell r="BB24">
            <v>0</v>
          </cell>
          <cell r="BC24">
            <v>72.17</v>
          </cell>
          <cell r="BD24">
            <v>138.15</v>
          </cell>
          <cell r="BE24">
            <v>46.26</v>
          </cell>
          <cell r="BF24">
            <v>0</v>
          </cell>
          <cell r="BG24">
            <v>0</v>
          </cell>
          <cell r="BH24">
            <v>0</v>
          </cell>
          <cell r="BI24">
            <v>0</v>
          </cell>
        </row>
        <row r="25">
          <cell r="A25" t="str">
            <v>MUSTANG CC 1</v>
          </cell>
          <cell r="B25">
            <v>6843.56</v>
          </cell>
          <cell r="C25">
            <v>6998.24</v>
          </cell>
          <cell r="D25">
            <v>7261.66</v>
          </cell>
          <cell r="E25">
            <v>7120.37</v>
          </cell>
          <cell r="F25">
            <v>6865.77</v>
          </cell>
          <cell r="G25">
            <v>6851.71</v>
          </cell>
          <cell r="H25">
            <v>7606.81</v>
          </cell>
          <cell r="I25">
            <v>7515.42</v>
          </cell>
          <cell r="J25">
            <v>7248.64</v>
          </cell>
          <cell r="K25">
            <v>7695.15</v>
          </cell>
          <cell r="L25">
            <v>7563.7</v>
          </cell>
          <cell r="M25">
            <v>8233.25</v>
          </cell>
          <cell r="N25">
            <v>8577.32</v>
          </cell>
          <cell r="O25">
            <v>8316.44</v>
          </cell>
          <cell r="P25">
            <v>9076.64</v>
          </cell>
          <cell r="Q25">
            <v>7609.02</v>
          </cell>
          <cell r="R25">
            <v>7073.71</v>
          </cell>
          <cell r="S25">
            <v>6279.62</v>
          </cell>
          <cell r="T25">
            <v>7251.86</v>
          </cell>
          <cell r="U25">
            <v>7410.97</v>
          </cell>
          <cell r="V25">
            <v>6969.47</v>
          </cell>
          <cell r="W25">
            <v>5958.68</v>
          </cell>
          <cell r="X25">
            <v>7963.19</v>
          </cell>
          <cell r="Y25">
            <v>8545.33</v>
          </cell>
          <cell r="Z25">
            <v>9083.66</v>
          </cell>
          <cell r="AA25">
            <v>8404.36</v>
          </cell>
          <cell r="AB25">
            <v>7334.01</v>
          </cell>
          <cell r="AC25">
            <v>6541.66</v>
          </cell>
          <cell r="AD25">
            <v>6534.83</v>
          </cell>
          <cell r="AE25">
            <v>6570.03</v>
          </cell>
          <cell r="AF25">
            <v>7361.12</v>
          </cell>
          <cell r="AG25">
            <v>7308.39</v>
          </cell>
          <cell r="AH25">
            <v>6672.67</v>
          </cell>
          <cell r="AI25">
            <v>6489.68</v>
          </cell>
          <cell r="AJ25">
            <v>7429.05</v>
          </cell>
          <cell r="AK25">
            <v>8195.45</v>
          </cell>
          <cell r="AL25">
            <v>8697.16</v>
          </cell>
          <cell r="AM25">
            <v>8085.31</v>
          </cell>
          <cell r="AN25">
            <v>8377.59</v>
          </cell>
          <cell r="AO25">
            <v>3763.92</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row>
        <row r="26">
          <cell r="A26" t="str">
            <v>MUSTANG CC 2</v>
          </cell>
          <cell r="B26">
            <v>6679.75</v>
          </cell>
          <cell r="C26">
            <v>6993.45</v>
          </cell>
          <cell r="D26">
            <v>7092.71</v>
          </cell>
          <cell r="E26">
            <v>7025.01</v>
          </cell>
          <cell r="F26">
            <v>6313.1</v>
          </cell>
          <cell r="G26">
            <v>6042.56</v>
          </cell>
          <cell r="H26">
            <v>7572.54</v>
          </cell>
          <cell r="I26">
            <v>7513.91</v>
          </cell>
          <cell r="J26">
            <v>7136.69</v>
          </cell>
          <cell r="K26">
            <v>7536.45</v>
          </cell>
          <cell r="L26">
            <v>7241.52</v>
          </cell>
          <cell r="M26">
            <v>7950.71</v>
          </cell>
          <cell r="N26">
            <v>8382.81</v>
          </cell>
          <cell r="O26">
            <v>8180.33</v>
          </cell>
          <cell r="P26">
            <v>8888.82</v>
          </cell>
          <cell r="Q26">
            <v>7488.36</v>
          </cell>
          <cell r="R26">
            <v>6640.02</v>
          </cell>
          <cell r="S26">
            <v>5916.13</v>
          </cell>
          <cell r="T26">
            <v>7167.3</v>
          </cell>
          <cell r="U26">
            <v>6931.02</v>
          </cell>
          <cell r="V26">
            <v>5823.98</v>
          </cell>
          <cell r="W26">
            <v>3425.24</v>
          </cell>
          <cell r="X26">
            <v>7652.24</v>
          </cell>
          <cell r="Y26">
            <v>7391.5</v>
          </cell>
          <cell r="Z26">
            <v>8848.3</v>
          </cell>
          <cell r="AA26">
            <v>8319.95</v>
          </cell>
          <cell r="AB26">
            <v>5187.89</v>
          </cell>
          <cell r="AC26">
            <v>5401.37</v>
          </cell>
          <cell r="AD26">
            <v>5908.68</v>
          </cell>
          <cell r="AE26">
            <v>5851</v>
          </cell>
          <cell r="AF26">
            <v>7261.11</v>
          </cell>
          <cell r="AG26">
            <v>7241.34</v>
          </cell>
          <cell r="AH26">
            <v>5929.12</v>
          </cell>
          <cell r="AI26">
            <v>3379.08</v>
          </cell>
          <cell r="AJ26">
            <v>4943.84</v>
          </cell>
          <cell r="AK26">
            <v>6665.84</v>
          </cell>
          <cell r="AL26">
            <v>8647.03</v>
          </cell>
          <cell r="AM26">
            <v>8015.83</v>
          </cell>
          <cell r="AN26">
            <v>8112.1</v>
          </cell>
          <cell r="AO26">
            <v>2968.1</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row>
        <row r="27">
          <cell r="A27" t="str">
            <v>MUSTANG GT 1</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row>
        <row r="28">
          <cell r="A28" t="str">
            <v>MUSTANG GT 2</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row>
        <row r="29">
          <cell r="A29" t="str">
            <v>NICHOLS 1</v>
          </cell>
          <cell r="B29">
            <v>0</v>
          </cell>
          <cell r="C29">
            <v>0</v>
          </cell>
          <cell r="D29">
            <v>0</v>
          </cell>
          <cell r="E29">
            <v>0</v>
          </cell>
          <cell r="F29">
            <v>372.4</v>
          </cell>
          <cell r="G29">
            <v>1781.69</v>
          </cell>
          <cell r="H29">
            <v>2972.74</v>
          </cell>
          <cell r="I29">
            <v>2858.88</v>
          </cell>
          <cell r="J29">
            <v>52.54</v>
          </cell>
          <cell r="K29">
            <v>0</v>
          </cell>
          <cell r="L29">
            <v>0</v>
          </cell>
          <cell r="M29">
            <v>0</v>
          </cell>
          <cell r="N29">
            <v>0</v>
          </cell>
          <cell r="O29">
            <v>0</v>
          </cell>
          <cell r="P29">
            <v>0</v>
          </cell>
          <cell r="Q29">
            <v>377.57</v>
          </cell>
          <cell r="R29">
            <v>373.89</v>
          </cell>
          <cell r="S29">
            <v>491.84</v>
          </cell>
          <cell r="T29">
            <v>2573.68</v>
          </cell>
          <cell r="U29">
            <v>1775.68</v>
          </cell>
          <cell r="V29">
            <v>0</v>
          </cell>
          <cell r="W29">
            <v>0</v>
          </cell>
          <cell r="X29">
            <v>393.96</v>
          </cell>
          <cell r="Y29">
            <v>0</v>
          </cell>
          <cell r="Z29">
            <v>0</v>
          </cell>
          <cell r="AA29">
            <v>0</v>
          </cell>
          <cell r="AB29">
            <v>0</v>
          </cell>
          <cell r="AC29">
            <v>0</v>
          </cell>
          <cell r="AD29">
            <v>0</v>
          </cell>
          <cell r="AE29">
            <v>700.45</v>
          </cell>
          <cell r="AF29">
            <v>2505.09</v>
          </cell>
          <cell r="AG29">
            <v>2083.36</v>
          </cell>
          <cell r="AH29">
            <v>0</v>
          </cell>
          <cell r="AI29">
            <v>0</v>
          </cell>
          <cell r="AJ29">
            <v>0</v>
          </cell>
          <cell r="AK29">
            <v>0</v>
          </cell>
          <cell r="AL29">
            <v>0</v>
          </cell>
          <cell r="AM29">
            <v>0</v>
          </cell>
          <cell r="AN29">
            <v>0</v>
          </cell>
          <cell r="AO29">
            <v>0</v>
          </cell>
          <cell r="AP29">
            <v>0</v>
          </cell>
          <cell r="AQ29">
            <v>1252.59</v>
          </cell>
          <cell r="AR29">
            <v>2080.6</v>
          </cell>
          <cell r="AS29">
            <v>1657.48</v>
          </cell>
          <cell r="AT29">
            <v>0</v>
          </cell>
          <cell r="AU29">
            <v>0</v>
          </cell>
          <cell r="AV29">
            <v>0</v>
          </cell>
          <cell r="AW29">
            <v>0</v>
          </cell>
          <cell r="AX29">
            <v>0</v>
          </cell>
          <cell r="AY29">
            <v>424.61</v>
          </cell>
          <cell r="AZ29">
            <v>0</v>
          </cell>
          <cell r="BA29">
            <v>26.35</v>
          </cell>
          <cell r="BB29">
            <v>632.1</v>
          </cell>
          <cell r="BC29">
            <v>1054.17</v>
          </cell>
          <cell r="BD29">
            <v>2415.99</v>
          </cell>
          <cell r="BE29">
            <v>2236.48</v>
          </cell>
          <cell r="BF29">
            <v>176.18</v>
          </cell>
          <cell r="BG29">
            <v>0</v>
          </cell>
          <cell r="BH29">
            <v>0</v>
          </cell>
          <cell r="BI29">
            <v>0</v>
          </cell>
        </row>
        <row r="30">
          <cell r="A30" t="str">
            <v>NICHOLS 2</v>
          </cell>
          <cell r="B30">
            <v>0</v>
          </cell>
          <cell r="C30">
            <v>0</v>
          </cell>
          <cell r="D30">
            <v>0</v>
          </cell>
          <cell r="E30">
            <v>0</v>
          </cell>
          <cell r="F30">
            <v>119.83</v>
          </cell>
          <cell r="G30">
            <v>1937.32</v>
          </cell>
          <cell r="H30">
            <v>2891.98</v>
          </cell>
          <cell r="I30">
            <v>2541.93</v>
          </cell>
          <cell r="J30">
            <v>51.26</v>
          </cell>
          <cell r="K30">
            <v>0</v>
          </cell>
          <cell r="L30">
            <v>0</v>
          </cell>
          <cell r="M30">
            <v>0</v>
          </cell>
          <cell r="N30">
            <v>0</v>
          </cell>
          <cell r="O30">
            <v>0</v>
          </cell>
          <cell r="P30">
            <v>0</v>
          </cell>
          <cell r="Q30">
            <v>215.91</v>
          </cell>
          <cell r="R30">
            <v>371.07</v>
          </cell>
          <cell r="S30">
            <v>1313.31</v>
          </cell>
          <cell r="T30">
            <v>2553.27</v>
          </cell>
          <cell r="U30">
            <v>2238.69</v>
          </cell>
          <cell r="V30">
            <v>0</v>
          </cell>
          <cell r="W30">
            <v>0</v>
          </cell>
          <cell r="X30">
            <v>389.07</v>
          </cell>
          <cell r="Y30">
            <v>0</v>
          </cell>
          <cell r="Z30">
            <v>0</v>
          </cell>
          <cell r="AA30">
            <v>0</v>
          </cell>
          <cell r="AB30">
            <v>0</v>
          </cell>
          <cell r="AC30">
            <v>0</v>
          </cell>
          <cell r="AD30">
            <v>358.61</v>
          </cell>
          <cell r="AE30">
            <v>1490.79</v>
          </cell>
          <cell r="AF30">
            <v>2583.54</v>
          </cell>
          <cell r="AG30">
            <v>2498.53</v>
          </cell>
          <cell r="AH30">
            <v>73.2</v>
          </cell>
          <cell r="AI30">
            <v>0</v>
          </cell>
          <cell r="AJ30">
            <v>0</v>
          </cell>
          <cell r="AK30">
            <v>0</v>
          </cell>
          <cell r="AL30">
            <v>0</v>
          </cell>
          <cell r="AM30">
            <v>0</v>
          </cell>
          <cell r="AN30">
            <v>0</v>
          </cell>
          <cell r="AO30">
            <v>0</v>
          </cell>
          <cell r="AP30">
            <v>0</v>
          </cell>
          <cell r="AQ30">
            <v>1595.5</v>
          </cell>
          <cell r="AR30">
            <v>2125.53</v>
          </cell>
          <cell r="AS30">
            <v>2421.92</v>
          </cell>
          <cell r="AT30">
            <v>359.72</v>
          </cell>
          <cell r="AU30">
            <v>0</v>
          </cell>
          <cell r="AV30">
            <v>0</v>
          </cell>
          <cell r="AW30">
            <v>0</v>
          </cell>
          <cell r="AX30">
            <v>0</v>
          </cell>
          <cell r="AY30">
            <v>425.6</v>
          </cell>
          <cell r="AZ30">
            <v>0</v>
          </cell>
          <cell r="BA30">
            <v>45.71</v>
          </cell>
          <cell r="BB30">
            <v>447.14</v>
          </cell>
          <cell r="BC30">
            <v>1427.36</v>
          </cell>
          <cell r="BD30">
            <v>2400.26</v>
          </cell>
          <cell r="BE30">
            <v>2486.48</v>
          </cell>
          <cell r="BF30">
            <v>180.84</v>
          </cell>
          <cell r="BG30">
            <v>0</v>
          </cell>
          <cell r="BH30">
            <v>0</v>
          </cell>
          <cell r="BI30">
            <v>0</v>
          </cell>
        </row>
        <row r="31">
          <cell r="A31" t="str">
            <v>NICHOLS 3</v>
          </cell>
          <cell r="B31">
            <v>1533.95</v>
          </cell>
          <cell r="C31">
            <v>2856.74</v>
          </cell>
          <cell r="D31">
            <v>1988.3</v>
          </cell>
          <cell r="E31">
            <v>2724.75</v>
          </cell>
          <cell r="F31">
            <v>2328.03</v>
          </cell>
          <cell r="G31">
            <v>3120.51</v>
          </cell>
          <cell r="H31">
            <v>5131.73</v>
          </cell>
          <cell r="I31">
            <v>4491.33</v>
          </cell>
          <cell r="J31">
            <v>2238.17</v>
          </cell>
          <cell r="K31">
            <v>3328.21</v>
          </cell>
          <cell r="L31">
            <v>1907.85</v>
          </cell>
          <cell r="M31">
            <v>2123.23</v>
          </cell>
          <cell r="N31">
            <v>1516.34</v>
          </cell>
          <cell r="O31">
            <v>1801.94</v>
          </cell>
          <cell r="P31">
            <v>2728.35</v>
          </cell>
          <cell r="Q31">
            <v>3526.19</v>
          </cell>
          <cell r="R31">
            <v>2087.43</v>
          </cell>
          <cell r="S31">
            <v>2590.7</v>
          </cell>
          <cell r="T31">
            <v>4295.52</v>
          </cell>
          <cell r="U31">
            <v>3343.73</v>
          </cell>
          <cell r="V31">
            <v>195.96</v>
          </cell>
          <cell r="W31">
            <v>170.12</v>
          </cell>
          <cell r="X31">
            <v>1364.29</v>
          </cell>
          <cell r="Y31">
            <v>1647.03</v>
          </cell>
          <cell r="Z31">
            <v>2249.95</v>
          </cell>
          <cell r="AA31">
            <v>2566.8</v>
          </cell>
          <cell r="AB31">
            <v>581.75</v>
          </cell>
          <cell r="AC31">
            <v>1300.17</v>
          </cell>
          <cell r="AD31">
            <v>2126.3</v>
          </cell>
          <cell r="AE31">
            <v>1922.72</v>
          </cell>
          <cell r="AF31">
            <v>3861.02</v>
          </cell>
          <cell r="AG31">
            <v>3818.58</v>
          </cell>
          <cell r="AH31">
            <v>1699.94</v>
          </cell>
          <cell r="AI31">
            <v>1594.81</v>
          </cell>
          <cell r="AJ31">
            <v>1215.29</v>
          </cell>
          <cell r="AK31">
            <v>1330.46</v>
          </cell>
          <cell r="AL31">
            <v>2039</v>
          </cell>
          <cell r="AM31">
            <v>1739.09</v>
          </cell>
          <cell r="AN31">
            <v>0</v>
          </cell>
          <cell r="AO31">
            <v>497.87</v>
          </cell>
          <cell r="AP31">
            <v>2579.11</v>
          </cell>
          <cell r="AQ31">
            <v>3021.29</v>
          </cell>
          <cell r="AR31">
            <v>4004.7</v>
          </cell>
          <cell r="AS31">
            <v>3735.64</v>
          </cell>
          <cell r="AT31">
            <v>2255.02</v>
          </cell>
          <cell r="AU31">
            <v>2534.26</v>
          </cell>
          <cell r="AV31">
            <v>1719.97</v>
          </cell>
          <cell r="AW31">
            <v>2784.28</v>
          </cell>
          <cell r="AX31">
            <v>2660.47</v>
          </cell>
          <cell r="AY31">
            <v>3301.35</v>
          </cell>
          <cell r="AZ31">
            <v>2623.62</v>
          </cell>
          <cell r="BA31">
            <v>3471.57</v>
          </cell>
          <cell r="BB31">
            <v>2718.34</v>
          </cell>
          <cell r="BC31">
            <v>3029.06</v>
          </cell>
          <cell r="BD31">
            <v>3648.9</v>
          </cell>
          <cell r="BE31">
            <v>3590.27</v>
          </cell>
          <cell r="BF31">
            <v>2347.32</v>
          </cell>
          <cell r="BG31">
            <v>2092.32</v>
          </cell>
          <cell r="BH31">
            <v>2407.36</v>
          </cell>
          <cell r="BI31">
            <v>2987.09</v>
          </cell>
        </row>
        <row r="32">
          <cell r="A32" t="str">
            <v>PLANT X 1</v>
          </cell>
          <cell r="B32">
            <v>0</v>
          </cell>
          <cell r="C32">
            <v>223.96</v>
          </cell>
          <cell r="D32">
            <v>161.63</v>
          </cell>
          <cell r="E32">
            <v>252.2</v>
          </cell>
          <cell r="F32">
            <v>268.62</v>
          </cell>
          <cell r="G32">
            <v>446.83</v>
          </cell>
          <cell r="H32">
            <v>962.17</v>
          </cell>
          <cell r="I32">
            <v>921.39</v>
          </cell>
          <cell r="J32">
            <v>177.67</v>
          </cell>
          <cell r="K32">
            <v>336.06</v>
          </cell>
          <cell r="L32">
            <v>129.41</v>
          </cell>
          <cell r="M32">
            <v>0</v>
          </cell>
          <cell r="N32">
            <v>0</v>
          </cell>
          <cell r="O32">
            <v>0</v>
          </cell>
          <cell r="P32">
            <v>173.17</v>
          </cell>
          <cell r="Q32">
            <v>339.65</v>
          </cell>
          <cell r="R32">
            <v>217.74</v>
          </cell>
          <cell r="S32">
            <v>163.37</v>
          </cell>
          <cell r="T32">
            <v>456.88</v>
          </cell>
          <cell r="U32">
            <v>392.2</v>
          </cell>
          <cell r="V32">
            <v>0</v>
          </cell>
          <cell r="W32">
            <v>169.36</v>
          </cell>
          <cell r="X32">
            <v>0</v>
          </cell>
          <cell r="Y32">
            <v>0</v>
          </cell>
          <cell r="Z32">
            <v>0</v>
          </cell>
          <cell r="AA32">
            <v>0</v>
          </cell>
          <cell r="AB32">
            <v>0</v>
          </cell>
          <cell r="AC32">
            <v>0</v>
          </cell>
          <cell r="AD32">
            <v>173.13</v>
          </cell>
          <cell r="AE32">
            <v>241.31</v>
          </cell>
          <cell r="AF32">
            <v>491.31</v>
          </cell>
          <cell r="AG32">
            <v>615.75</v>
          </cell>
          <cell r="AH32">
            <v>22.96</v>
          </cell>
          <cell r="AI32">
            <v>0</v>
          </cell>
          <cell r="AJ32">
            <v>0</v>
          </cell>
          <cell r="AK32">
            <v>0</v>
          </cell>
          <cell r="AL32">
            <v>0</v>
          </cell>
          <cell r="AM32">
            <v>0</v>
          </cell>
          <cell r="AN32">
            <v>0</v>
          </cell>
          <cell r="AO32">
            <v>9.15</v>
          </cell>
          <cell r="AP32">
            <v>483.16</v>
          </cell>
          <cell r="AQ32">
            <v>647.23</v>
          </cell>
          <cell r="AR32">
            <v>753.63</v>
          </cell>
          <cell r="AS32">
            <v>854.39</v>
          </cell>
          <cell r="AT32">
            <v>395.89</v>
          </cell>
          <cell r="AU32">
            <v>292.87</v>
          </cell>
          <cell r="AV32">
            <v>208.58</v>
          </cell>
          <cell r="AW32">
            <v>190.37</v>
          </cell>
          <cell r="AX32">
            <v>241.98</v>
          </cell>
          <cell r="AY32">
            <v>613.48</v>
          </cell>
          <cell r="AZ32">
            <v>378.67</v>
          </cell>
          <cell r="BA32">
            <v>302.78</v>
          </cell>
          <cell r="BB32">
            <v>496.54</v>
          </cell>
          <cell r="BC32">
            <v>466.94</v>
          </cell>
          <cell r="BD32">
            <v>702.27</v>
          </cell>
          <cell r="BE32">
            <v>655.17</v>
          </cell>
          <cell r="BF32">
            <v>225.61</v>
          </cell>
          <cell r="BG32">
            <v>320.36</v>
          </cell>
          <cell r="BH32">
            <v>0</v>
          </cell>
          <cell r="BI32">
            <v>395.53</v>
          </cell>
        </row>
        <row r="33">
          <cell r="A33" t="str">
            <v>PLANT X 2</v>
          </cell>
          <cell r="B33">
            <v>112.18</v>
          </cell>
          <cell r="C33">
            <v>555.8</v>
          </cell>
          <cell r="D33">
            <v>309.4</v>
          </cell>
          <cell r="E33">
            <v>606.92</v>
          </cell>
          <cell r="F33">
            <v>630.81</v>
          </cell>
          <cell r="G33">
            <v>1236.23</v>
          </cell>
          <cell r="H33">
            <v>2291.77</v>
          </cell>
          <cell r="I33">
            <v>1954.05</v>
          </cell>
          <cell r="J33">
            <v>590.15</v>
          </cell>
          <cell r="K33">
            <v>735.8</v>
          </cell>
          <cell r="L33">
            <v>151.53</v>
          </cell>
          <cell r="M33">
            <v>346.53</v>
          </cell>
          <cell r="N33">
            <v>0</v>
          </cell>
          <cell r="O33">
            <v>0</v>
          </cell>
          <cell r="P33">
            <v>822.5</v>
          </cell>
          <cell r="Q33">
            <v>1362.2</v>
          </cell>
          <cell r="R33">
            <v>835.05</v>
          </cell>
          <cell r="S33">
            <v>584.46</v>
          </cell>
          <cell r="T33">
            <v>1331.45</v>
          </cell>
          <cell r="U33">
            <v>1017.76</v>
          </cell>
          <cell r="V33">
            <v>0</v>
          </cell>
          <cell r="W33">
            <v>110.87</v>
          </cell>
          <cell r="X33">
            <v>233</v>
          </cell>
          <cell r="Y33">
            <v>0</v>
          </cell>
          <cell r="Z33">
            <v>457.36</v>
          </cell>
          <cell r="AA33">
            <v>0</v>
          </cell>
          <cell r="AB33">
            <v>0</v>
          </cell>
          <cell r="AC33">
            <v>247.47</v>
          </cell>
          <cell r="AD33">
            <v>509.71</v>
          </cell>
          <cell r="AE33">
            <v>818.15</v>
          </cell>
          <cell r="AF33">
            <v>1416.06</v>
          </cell>
          <cell r="AG33">
            <v>1762.85</v>
          </cell>
          <cell r="AH33">
            <v>357.85</v>
          </cell>
          <cell r="AI33">
            <v>271.37</v>
          </cell>
          <cell r="AJ33">
            <v>154.83</v>
          </cell>
          <cell r="AK33">
            <v>0</v>
          </cell>
          <cell r="AL33">
            <v>285.53</v>
          </cell>
          <cell r="AM33">
            <v>305.06</v>
          </cell>
          <cell r="AN33">
            <v>162.57</v>
          </cell>
          <cell r="AO33">
            <v>574.95</v>
          </cell>
          <cell r="AP33">
            <v>794.78</v>
          </cell>
          <cell r="AQ33">
            <v>1504.14</v>
          </cell>
          <cell r="AR33">
            <v>2034.55</v>
          </cell>
          <cell r="AS33">
            <v>2017.51</v>
          </cell>
          <cell r="AT33">
            <v>847.37</v>
          </cell>
          <cell r="AU33">
            <v>1015.34</v>
          </cell>
          <cell r="AV33">
            <v>514.58</v>
          </cell>
          <cell r="AW33">
            <v>820.2</v>
          </cell>
          <cell r="AX33">
            <v>701.25</v>
          </cell>
          <cell r="AY33">
            <v>1743.76</v>
          </cell>
          <cell r="AZ33">
            <v>1199.11</v>
          </cell>
          <cell r="BA33">
            <v>1129.16</v>
          </cell>
          <cell r="BB33">
            <v>1038.52</v>
          </cell>
          <cell r="BC33">
            <v>1370.7</v>
          </cell>
          <cell r="BD33">
            <v>1884.46</v>
          </cell>
          <cell r="BE33">
            <v>1862.61</v>
          </cell>
          <cell r="BF33">
            <v>616.29</v>
          </cell>
          <cell r="BG33">
            <v>430.32</v>
          </cell>
          <cell r="BH33">
            <v>1027.14</v>
          </cell>
          <cell r="BI33">
            <v>1219.9</v>
          </cell>
        </row>
        <row r="34">
          <cell r="A34" t="str">
            <v>PLANT X 3</v>
          </cell>
          <cell r="B34">
            <v>378.99</v>
          </cell>
          <cell r="C34">
            <v>1668.62</v>
          </cell>
          <cell r="D34">
            <v>465.58</v>
          </cell>
          <cell r="E34">
            <v>905.02</v>
          </cell>
          <cell r="F34">
            <v>814.89</v>
          </cell>
          <cell r="G34">
            <v>1529.67</v>
          </cell>
          <cell r="H34">
            <v>2661.64</v>
          </cell>
          <cell r="I34">
            <v>2427.87</v>
          </cell>
          <cell r="J34">
            <v>762.81</v>
          </cell>
          <cell r="K34">
            <v>1393.51</v>
          </cell>
          <cell r="L34">
            <v>284.19</v>
          </cell>
          <cell r="M34">
            <v>769.52</v>
          </cell>
          <cell r="N34">
            <v>0</v>
          </cell>
          <cell r="O34">
            <v>0</v>
          </cell>
          <cell r="P34">
            <v>1295.02</v>
          </cell>
          <cell r="Q34">
            <v>2148.55</v>
          </cell>
          <cell r="R34">
            <v>1006.48</v>
          </cell>
          <cell r="S34">
            <v>714.24</v>
          </cell>
          <cell r="T34">
            <v>1303.32</v>
          </cell>
          <cell r="U34">
            <v>1382.5</v>
          </cell>
          <cell r="V34">
            <v>0</v>
          </cell>
          <cell r="W34">
            <v>380.26</v>
          </cell>
          <cell r="X34">
            <v>289.68</v>
          </cell>
          <cell r="Y34">
            <v>238.18</v>
          </cell>
          <cell r="Z34">
            <v>666.18</v>
          </cell>
          <cell r="AA34">
            <v>748</v>
          </cell>
          <cell r="AB34">
            <v>59.19</v>
          </cell>
          <cell r="AC34">
            <v>194.26</v>
          </cell>
          <cell r="AD34">
            <v>505.86</v>
          </cell>
          <cell r="AE34">
            <v>878.88</v>
          </cell>
          <cell r="AF34">
            <v>1798.69</v>
          </cell>
          <cell r="AG34">
            <v>1842.99</v>
          </cell>
          <cell r="AH34">
            <v>459.95</v>
          </cell>
          <cell r="AI34">
            <v>384.53</v>
          </cell>
          <cell r="AJ34">
            <v>362.87</v>
          </cell>
          <cell r="AK34">
            <v>196.22</v>
          </cell>
          <cell r="AL34">
            <v>444.81</v>
          </cell>
          <cell r="AM34">
            <v>745.76</v>
          </cell>
          <cell r="AN34">
            <v>468.36</v>
          </cell>
          <cell r="AO34">
            <v>477.95</v>
          </cell>
          <cell r="AP34">
            <v>1181.18</v>
          </cell>
          <cell r="AQ34">
            <v>1879.09</v>
          </cell>
          <cell r="AR34">
            <v>2357.63</v>
          </cell>
          <cell r="AS34">
            <v>2382.92</v>
          </cell>
          <cell r="AT34">
            <v>1308.93</v>
          </cell>
          <cell r="AU34">
            <v>1243.1</v>
          </cell>
          <cell r="AV34">
            <v>855.25</v>
          </cell>
          <cell r="AW34">
            <v>1219.49</v>
          </cell>
          <cell r="AX34">
            <v>1362.69</v>
          </cell>
          <cell r="AY34">
            <v>2383.11</v>
          </cell>
          <cell r="AZ34">
            <v>1275.65</v>
          </cell>
          <cell r="BA34">
            <v>1621.68</v>
          </cell>
          <cell r="BB34">
            <v>1652.82</v>
          </cell>
          <cell r="BC34">
            <v>1514.99</v>
          </cell>
          <cell r="BD34">
            <v>2068.18</v>
          </cell>
          <cell r="BE34">
            <v>2115.29</v>
          </cell>
          <cell r="BF34">
            <v>1161.97</v>
          </cell>
          <cell r="BG34">
            <v>1212.17</v>
          </cell>
          <cell r="BH34">
            <v>1410.36</v>
          </cell>
          <cell r="BI34">
            <v>1631.87</v>
          </cell>
        </row>
        <row r="35">
          <cell r="A35" t="str">
            <v>PLANT X 4</v>
          </cell>
          <cell r="B35">
            <v>2280.16</v>
          </cell>
          <cell r="C35">
            <v>5228.67</v>
          </cell>
          <cell r="D35">
            <v>4086.46</v>
          </cell>
          <cell r="E35">
            <v>5375.93</v>
          </cell>
          <cell r="F35">
            <v>3521.16</v>
          </cell>
          <cell r="G35">
            <v>4989.92</v>
          </cell>
          <cell r="H35">
            <v>6748.42</v>
          </cell>
          <cell r="I35">
            <v>6642.09</v>
          </cell>
          <cell r="J35">
            <v>5704.69</v>
          </cell>
          <cell r="K35">
            <v>4273.84</v>
          </cell>
          <cell r="L35">
            <v>4638.11</v>
          </cell>
          <cell r="M35">
            <v>4550.48</v>
          </cell>
          <cell r="N35">
            <v>2937.84</v>
          </cell>
          <cell r="O35">
            <v>5100.21</v>
          </cell>
          <cell r="P35">
            <v>7205.1</v>
          </cell>
          <cell r="Q35">
            <v>6584.6</v>
          </cell>
          <cell r="R35">
            <v>4049.24</v>
          </cell>
          <cell r="S35">
            <v>2424.51</v>
          </cell>
          <cell r="T35">
            <v>4805.98</v>
          </cell>
          <cell r="U35">
            <v>4447.81</v>
          </cell>
          <cell r="V35">
            <v>1884.51</v>
          </cell>
          <cell r="W35">
            <v>1074.72</v>
          </cell>
          <cell r="X35">
            <v>1827.15</v>
          </cell>
          <cell r="Y35">
            <v>2096.09</v>
          </cell>
          <cell r="Z35">
            <v>3947.75</v>
          </cell>
          <cell r="AA35">
            <v>5390.33</v>
          </cell>
          <cell r="AB35">
            <v>498.9</v>
          </cell>
          <cell r="AC35">
            <v>2136.54</v>
          </cell>
          <cell r="AD35">
            <v>2880.98</v>
          </cell>
          <cell r="AE35">
            <v>3174.83</v>
          </cell>
          <cell r="AF35">
            <v>5337.06</v>
          </cell>
          <cell r="AG35">
            <v>4691.6</v>
          </cell>
          <cell r="AH35">
            <v>1650.93</v>
          </cell>
          <cell r="AI35">
            <v>1088.44</v>
          </cell>
          <cell r="AJ35">
            <v>1338.52</v>
          </cell>
          <cell r="AK35">
            <v>1456.64</v>
          </cell>
          <cell r="AL35">
            <v>1598.55</v>
          </cell>
          <cell r="AM35">
            <v>0</v>
          </cell>
          <cell r="AN35">
            <v>1066.39</v>
          </cell>
          <cell r="AO35">
            <v>2951.18</v>
          </cell>
          <cell r="AP35">
            <v>3994.99</v>
          </cell>
          <cell r="AQ35">
            <v>4735.98</v>
          </cell>
          <cell r="AR35">
            <v>6328.76</v>
          </cell>
          <cell r="AS35">
            <v>5811.88</v>
          </cell>
          <cell r="AT35">
            <v>4561.8</v>
          </cell>
          <cell r="AU35">
            <v>3542.36</v>
          </cell>
          <cell r="AV35">
            <v>3957.26</v>
          </cell>
          <cell r="AW35">
            <v>4448.35</v>
          </cell>
          <cell r="AX35">
            <v>5186.89</v>
          </cell>
          <cell r="AY35">
            <v>7287.38</v>
          </cell>
          <cell r="AZ35">
            <v>6068.59</v>
          </cell>
          <cell r="BA35">
            <v>5968.56</v>
          </cell>
          <cell r="BB35">
            <v>4535.26</v>
          </cell>
          <cell r="BC35">
            <v>4977.35</v>
          </cell>
          <cell r="BD35">
            <v>6044.91</v>
          </cell>
          <cell r="BE35">
            <v>5905.91</v>
          </cell>
          <cell r="BF35">
            <v>4812.09</v>
          </cell>
          <cell r="BG35">
            <v>3428.12</v>
          </cell>
          <cell r="BH35">
            <v>3883.27</v>
          </cell>
          <cell r="BI35">
            <v>4390.16</v>
          </cell>
        </row>
        <row r="36">
          <cell r="A36" t="str">
            <v>RIVER GT 1</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row>
        <row r="37">
          <cell r="A37" t="str">
            <v>TOLK 1</v>
          </cell>
          <cell r="B37">
            <v>6928.14</v>
          </cell>
          <cell r="C37">
            <v>238.6</v>
          </cell>
          <cell r="D37">
            <v>4137.47</v>
          </cell>
          <cell r="E37">
            <v>6732.85</v>
          </cell>
          <cell r="F37">
            <v>6606.13</v>
          </cell>
          <cell r="G37">
            <v>6483.58</v>
          </cell>
          <cell r="H37">
            <v>7022.45</v>
          </cell>
          <cell r="I37">
            <v>6908.13</v>
          </cell>
          <cell r="J37">
            <v>6749.95</v>
          </cell>
          <cell r="K37">
            <v>6917.92</v>
          </cell>
          <cell r="L37">
            <v>6664.53</v>
          </cell>
          <cell r="M37">
            <v>6822.96</v>
          </cell>
          <cell r="N37">
            <v>6512.04</v>
          </cell>
          <cell r="O37">
            <v>6214.83</v>
          </cell>
          <cell r="P37">
            <v>6805.51</v>
          </cell>
          <cell r="Q37">
            <v>4532.36</v>
          </cell>
          <cell r="R37">
            <v>6251.43</v>
          </cell>
          <cell r="S37">
            <v>6369.99</v>
          </cell>
          <cell r="T37">
            <v>6799.04</v>
          </cell>
          <cell r="U37">
            <v>6691.34</v>
          </cell>
          <cell r="V37">
            <v>6572.8</v>
          </cell>
          <cell r="W37">
            <v>6603.6</v>
          </cell>
          <cell r="X37">
            <v>6553.91</v>
          </cell>
          <cell r="Y37">
            <v>6734.78</v>
          </cell>
          <cell r="Z37">
            <v>1943.96</v>
          </cell>
          <cell r="AA37">
            <v>1743.43</v>
          </cell>
          <cell r="AB37">
            <v>6589.54</v>
          </cell>
          <cell r="AC37">
            <v>6454.89</v>
          </cell>
          <cell r="AD37">
            <v>6635.86</v>
          </cell>
          <cell r="AE37">
            <v>6473.78</v>
          </cell>
          <cell r="AF37">
            <v>6852.06</v>
          </cell>
          <cell r="AG37">
            <v>6792.51</v>
          </cell>
          <cell r="AH37">
            <v>6545.88</v>
          </cell>
          <cell r="AI37">
            <v>6656.25</v>
          </cell>
          <cell r="AJ37">
            <v>6500.82</v>
          </cell>
          <cell r="AK37">
            <v>6729.7</v>
          </cell>
          <cell r="AL37">
            <v>6778.8</v>
          </cell>
          <cell r="AM37">
            <v>6153.7</v>
          </cell>
          <cell r="AN37">
            <v>5156.55</v>
          </cell>
          <cell r="AO37">
            <v>6368.17</v>
          </cell>
          <cell r="AP37">
            <v>6717.44</v>
          </cell>
          <cell r="AQ37">
            <v>6628.66</v>
          </cell>
          <cell r="AR37">
            <v>6895.71</v>
          </cell>
          <cell r="AS37">
            <v>6889.58</v>
          </cell>
          <cell r="AT37">
            <v>6696.13</v>
          </cell>
          <cell r="AU37">
            <v>6609.59</v>
          </cell>
          <cell r="AV37">
            <v>6578.7</v>
          </cell>
          <cell r="AW37">
            <v>6786.21</v>
          </cell>
          <cell r="AX37">
            <v>6101.79</v>
          </cell>
          <cell r="AY37">
            <v>5573.11</v>
          </cell>
          <cell r="AZ37">
            <v>6134.98</v>
          </cell>
          <cell r="BA37">
            <v>4164.27</v>
          </cell>
          <cell r="BB37">
            <v>6085.68</v>
          </cell>
          <cell r="BC37">
            <v>5971.36</v>
          </cell>
          <cell r="BD37">
            <v>6214.04</v>
          </cell>
          <cell r="BE37">
            <v>6215.73</v>
          </cell>
          <cell r="BF37">
            <v>6026.16</v>
          </cell>
          <cell r="BG37">
            <v>6047.54</v>
          </cell>
          <cell r="BH37">
            <v>5955.3</v>
          </cell>
          <cell r="BI37">
            <v>6144.9</v>
          </cell>
        </row>
        <row r="38">
          <cell r="A38" t="str">
            <v>TOLK 2</v>
          </cell>
          <cell r="B38">
            <v>6614.59</v>
          </cell>
          <cell r="C38">
            <v>6004.75</v>
          </cell>
          <cell r="D38">
            <v>6613.25</v>
          </cell>
          <cell r="E38">
            <v>4862.57</v>
          </cell>
          <cell r="F38">
            <v>6354.88</v>
          </cell>
          <cell r="G38">
            <v>6227.67</v>
          </cell>
          <cell r="H38">
            <v>6659.68</v>
          </cell>
          <cell r="I38">
            <v>6593.33</v>
          </cell>
          <cell r="J38">
            <v>6437.11</v>
          </cell>
          <cell r="K38">
            <v>6641.75</v>
          </cell>
          <cell r="L38">
            <v>6349.83</v>
          </cell>
          <cell r="M38">
            <v>6602.18</v>
          </cell>
          <cell r="N38">
            <v>6219.48</v>
          </cell>
          <cell r="O38">
            <v>5876.53</v>
          </cell>
          <cell r="P38">
            <v>0</v>
          </cell>
          <cell r="Q38">
            <v>2439.13</v>
          </cell>
          <cell r="R38">
            <v>5963.69</v>
          </cell>
          <cell r="S38">
            <v>6139.91</v>
          </cell>
          <cell r="T38">
            <v>6449.98</v>
          </cell>
          <cell r="U38">
            <v>6404.56</v>
          </cell>
          <cell r="V38">
            <v>6234.8</v>
          </cell>
          <cell r="W38">
            <v>6321.66</v>
          </cell>
          <cell r="X38">
            <v>6229.65</v>
          </cell>
          <cell r="Y38">
            <v>6392.58</v>
          </cell>
          <cell r="Z38">
            <v>6417.28</v>
          </cell>
          <cell r="AA38">
            <v>5806.89</v>
          </cell>
          <cell r="AB38">
            <v>6300.69</v>
          </cell>
          <cell r="AC38">
            <v>6129.05</v>
          </cell>
          <cell r="AD38">
            <v>4835.86</v>
          </cell>
          <cell r="AE38">
            <v>6173.2</v>
          </cell>
          <cell r="AF38">
            <v>6473.86</v>
          </cell>
          <cell r="AG38">
            <v>6452.73</v>
          </cell>
          <cell r="AH38">
            <v>6218.65</v>
          </cell>
          <cell r="AI38">
            <v>6387.94</v>
          </cell>
          <cell r="AJ38">
            <v>6188.54</v>
          </cell>
          <cell r="AK38">
            <v>6398.13</v>
          </cell>
          <cell r="AL38">
            <v>6415.78</v>
          </cell>
          <cell r="AM38">
            <v>5792.48</v>
          </cell>
          <cell r="AN38">
            <v>6372.85</v>
          </cell>
          <cell r="AO38">
            <v>4639.31</v>
          </cell>
          <cell r="AP38">
            <v>6334.16</v>
          </cell>
          <cell r="AQ38">
            <v>6221.66</v>
          </cell>
          <cell r="AR38">
            <v>6477.89</v>
          </cell>
          <cell r="AS38">
            <v>6478.3</v>
          </cell>
          <cell r="AT38">
            <v>6269.64</v>
          </cell>
          <cell r="AU38">
            <v>6316.11</v>
          </cell>
          <cell r="AV38">
            <v>6241.53</v>
          </cell>
          <cell r="AW38">
            <v>6439.53</v>
          </cell>
          <cell r="AX38">
            <v>5767.98</v>
          </cell>
          <cell r="AY38">
            <v>743.43</v>
          </cell>
          <cell r="AZ38">
            <v>3720.91</v>
          </cell>
          <cell r="BA38">
            <v>5592.01</v>
          </cell>
          <cell r="BB38">
            <v>5749</v>
          </cell>
          <cell r="BC38">
            <v>5592.01</v>
          </cell>
          <cell r="BD38">
            <v>5830.16</v>
          </cell>
          <cell r="BE38">
            <v>5830.22</v>
          </cell>
          <cell r="BF38">
            <v>5642.33</v>
          </cell>
          <cell r="BG38">
            <v>5792.24</v>
          </cell>
          <cell r="BH38">
            <v>5632.98</v>
          </cell>
          <cell r="BI38">
            <v>5807.95</v>
          </cell>
        </row>
        <row r="39">
          <cell r="A39" t="str">
            <v>TUCUMCAR 9</v>
          </cell>
          <cell r="B39">
            <v>0</v>
          </cell>
          <cell r="C39">
            <v>0</v>
          </cell>
          <cell r="D39">
            <v>0</v>
          </cell>
          <cell r="E39">
            <v>0</v>
          </cell>
          <cell r="F39">
            <v>0</v>
          </cell>
          <cell r="G39">
            <v>5.55</v>
          </cell>
          <cell r="H39">
            <v>2.38</v>
          </cell>
          <cell r="I39">
            <v>6.35</v>
          </cell>
          <cell r="J39">
            <v>0</v>
          </cell>
          <cell r="K39">
            <v>0</v>
          </cell>
          <cell r="L39">
            <v>0</v>
          </cell>
          <cell r="M39">
            <v>0</v>
          </cell>
          <cell r="N39">
            <v>0</v>
          </cell>
          <cell r="O39">
            <v>0</v>
          </cell>
          <cell r="P39">
            <v>0</v>
          </cell>
          <cell r="Q39">
            <v>0</v>
          </cell>
          <cell r="R39">
            <v>0</v>
          </cell>
          <cell r="S39">
            <v>0</v>
          </cell>
          <cell r="T39">
            <v>0.81</v>
          </cell>
          <cell r="U39">
            <v>0</v>
          </cell>
          <cell r="V39">
            <v>0</v>
          </cell>
          <cell r="W39">
            <v>0</v>
          </cell>
          <cell r="X39">
            <v>0</v>
          </cell>
          <cell r="Y39">
            <v>0</v>
          </cell>
          <cell r="Z39">
            <v>0</v>
          </cell>
          <cell r="AA39">
            <v>0</v>
          </cell>
          <cell r="AB39">
            <v>0</v>
          </cell>
          <cell r="AC39">
            <v>0</v>
          </cell>
          <cell r="AD39">
            <v>0</v>
          </cell>
          <cell r="AE39">
            <v>0</v>
          </cell>
          <cell r="AF39">
            <v>16.51</v>
          </cell>
          <cell r="AG39">
            <v>8.26</v>
          </cell>
          <cell r="AH39">
            <v>0</v>
          </cell>
          <cell r="AI39">
            <v>0</v>
          </cell>
          <cell r="AJ39">
            <v>0</v>
          </cell>
          <cell r="AK39">
            <v>0</v>
          </cell>
          <cell r="AL39">
            <v>0</v>
          </cell>
          <cell r="AM39">
            <v>0</v>
          </cell>
          <cell r="AN39">
            <v>0</v>
          </cell>
          <cell r="AO39">
            <v>0</v>
          </cell>
          <cell r="AP39">
            <v>0</v>
          </cell>
          <cell r="AQ39">
            <v>3.37</v>
          </cell>
          <cell r="AR39">
            <v>4.21</v>
          </cell>
          <cell r="AS39">
            <v>5.89</v>
          </cell>
          <cell r="AT39">
            <v>0</v>
          </cell>
          <cell r="AU39">
            <v>0</v>
          </cell>
          <cell r="AV39">
            <v>0</v>
          </cell>
          <cell r="AW39">
            <v>0</v>
          </cell>
          <cell r="AX39">
            <v>0</v>
          </cell>
          <cell r="AY39">
            <v>0.94</v>
          </cell>
          <cell r="AZ39">
            <v>0</v>
          </cell>
          <cell r="BA39">
            <v>0</v>
          </cell>
          <cell r="BB39">
            <v>0</v>
          </cell>
          <cell r="BC39">
            <v>0</v>
          </cell>
          <cell r="BD39">
            <v>0</v>
          </cell>
          <cell r="BE39">
            <v>5.15</v>
          </cell>
          <cell r="BF39">
            <v>0</v>
          </cell>
          <cell r="BG39">
            <v>0</v>
          </cell>
          <cell r="BH39">
            <v>0</v>
          </cell>
          <cell r="BI39">
            <v>0</v>
          </cell>
        </row>
        <row r="40">
          <cell r="A40" t="str">
            <v>PUR Llano Wind</v>
          </cell>
          <cell r="B40">
            <v>537.41</v>
          </cell>
          <cell r="C40">
            <v>507.91</v>
          </cell>
          <cell r="D40">
            <v>630.7</v>
          </cell>
          <cell r="E40">
            <v>684.33</v>
          </cell>
          <cell r="F40">
            <v>589.02</v>
          </cell>
          <cell r="G40">
            <v>520.86</v>
          </cell>
          <cell r="H40">
            <v>468.18</v>
          </cell>
          <cell r="I40">
            <v>471.98</v>
          </cell>
          <cell r="J40">
            <v>514.16</v>
          </cell>
          <cell r="K40">
            <v>466.28</v>
          </cell>
          <cell r="L40">
            <v>580.53</v>
          </cell>
          <cell r="M40">
            <v>567.42</v>
          </cell>
          <cell r="N40">
            <v>548.39</v>
          </cell>
          <cell r="O40">
            <v>561.32</v>
          </cell>
          <cell r="P40">
            <v>643.58</v>
          </cell>
          <cell r="Q40">
            <v>698.32</v>
          </cell>
          <cell r="R40">
            <v>601.06</v>
          </cell>
          <cell r="S40">
            <v>531.5</v>
          </cell>
          <cell r="T40">
            <v>477.74</v>
          </cell>
          <cell r="U40">
            <v>481.62</v>
          </cell>
          <cell r="V40">
            <v>524.66</v>
          </cell>
          <cell r="W40">
            <v>475.81</v>
          </cell>
          <cell r="X40">
            <v>592.39</v>
          </cell>
          <cell r="Y40">
            <v>579.02</v>
          </cell>
          <cell r="Z40">
            <v>558.71</v>
          </cell>
          <cell r="AA40">
            <v>528.05</v>
          </cell>
          <cell r="AB40">
            <v>655.7</v>
          </cell>
          <cell r="AC40">
            <v>711.46</v>
          </cell>
          <cell r="AD40">
            <v>612.37</v>
          </cell>
          <cell r="AE40">
            <v>541.51</v>
          </cell>
          <cell r="AF40">
            <v>486.74</v>
          </cell>
          <cell r="AG40">
            <v>490.69</v>
          </cell>
          <cell r="AH40">
            <v>534.54</v>
          </cell>
          <cell r="AI40">
            <v>484.77</v>
          </cell>
          <cell r="AJ40">
            <v>603.54</v>
          </cell>
          <cell r="AK40">
            <v>589.92</v>
          </cell>
          <cell r="AL40">
            <v>569.25</v>
          </cell>
          <cell r="AM40">
            <v>538.01</v>
          </cell>
          <cell r="AN40">
            <v>668.07</v>
          </cell>
          <cell r="AO40">
            <v>724.88</v>
          </cell>
          <cell r="AP40">
            <v>623.93</v>
          </cell>
          <cell r="AQ40">
            <v>551.72</v>
          </cell>
          <cell r="AR40">
            <v>495.92</v>
          </cell>
          <cell r="AS40">
            <v>499.95</v>
          </cell>
          <cell r="AT40">
            <v>544.62</v>
          </cell>
          <cell r="AU40">
            <v>493.91</v>
          </cell>
          <cell r="AV40">
            <v>614.93</v>
          </cell>
          <cell r="AW40">
            <v>601.05</v>
          </cell>
          <cell r="AX40">
            <v>580.23</v>
          </cell>
          <cell r="AY40">
            <v>548.39</v>
          </cell>
          <cell r="AZ40">
            <v>680.96</v>
          </cell>
          <cell r="BA40">
            <v>738.87</v>
          </cell>
          <cell r="BB40">
            <v>635.96</v>
          </cell>
          <cell r="BC40">
            <v>562.37</v>
          </cell>
          <cell r="BD40">
            <v>505.49</v>
          </cell>
          <cell r="BE40">
            <v>509.59</v>
          </cell>
          <cell r="BF40">
            <v>555.13</v>
          </cell>
          <cell r="BG40">
            <v>503.44</v>
          </cell>
          <cell r="BH40">
            <v>626.79</v>
          </cell>
          <cell r="BI40">
            <v>612.64</v>
          </cell>
        </row>
        <row r="41">
          <cell r="A41" t="str">
            <v>DC Tie PUR</v>
          </cell>
          <cell r="B41">
            <v>930.96</v>
          </cell>
          <cell r="C41">
            <v>177.85</v>
          </cell>
          <cell r="D41">
            <v>866.89</v>
          </cell>
          <cell r="E41">
            <v>1393.94</v>
          </cell>
          <cell r="F41">
            <v>1966.62</v>
          </cell>
          <cell r="G41">
            <v>1674.73</v>
          </cell>
          <cell r="H41">
            <v>2858.89</v>
          </cell>
          <cell r="I41">
            <v>2950.93</v>
          </cell>
          <cell r="J41">
            <v>544.42</v>
          </cell>
          <cell r="K41">
            <v>1148.84</v>
          </cell>
          <cell r="L41">
            <v>1910.93</v>
          </cell>
          <cell r="M41">
            <v>1870.39</v>
          </cell>
          <cell r="N41">
            <v>1504.95</v>
          </cell>
          <cell r="O41">
            <v>1156.41</v>
          </cell>
          <cell r="P41">
            <v>335.38</v>
          </cell>
          <cell r="Q41">
            <v>1583.82</v>
          </cell>
          <cell r="R41">
            <v>2120.74</v>
          </cell>
          <cell r="S41">
            <v>1775.24</v>
          </cell>
          <cell r="T41">
            <v>1752.11</v>
          </cell>
          <cell r="U41">
            <v>2275.34</v>
          </cell>
          <cell r="V41">
            <v>1092.45</v>
          </cell>
          <cell r="W41">
            <v>2094.77</v>
          </cell>
          <cell r="X41">
            <v>1959.75</v>
          </cell>
          <cell r="Y41">
            <v>1566.74</v>
          </cell>
          <cell r="Z41">
            <v>1171.02</v>
          </cell>
          <cell r="AA41">
            <v>461.21</v>
          </cell>
          <cell r="AB41">
            <v>1100.88</v>
          </cell>
          <cell r="AC41">
            <v>1924.56</v>
          </cell>
          <cell r="AD41">
            <v>1744.96</v>
          </cell>
          <cell r="AE41">
            <v>1917.66</v>
          </cell>
          <cell r="AF41">
            <v>2295.23</v>
          </cell>
          <cell r="AG41">
            <v>1886.92</v>
          </cell>
          <cell r="AH41">
            <v>1907.65</v>
          </cell>
          <cell r="AI41">
            <v>1518.76</v>
          </cell>
          <cell r="AJ41">
            <v>1047.35</v>
          </cell>
          <cell r="AK41">
            <v>1618.09</v>
          </cell>
          <cell r="AL41">
            <v>1690.51</v>
          </cell>
          <cell r="AM41">
            <v>1630.51</v>
          </cell>
          <cell r="AN41">
            <v>1476.78</v>
          </cell>
          <cell r="AO41">
            <v>1410.25</v>
          </cell>
          <cell r="AP41">
            <v>603.38</v>
          </cell>
          <cell r="AQ41">
            <v>1084.06</v>
          </cell>
          <cell r="AR41">
            <v>1430.97</v>
          </cell>
          <cell r="AS41">
            <v>1233.82</v>
          </cell>
          <cell r="AT41">
            <v>809.21</v>
          </cell>
          <cell r="AU41">
            <v>669.99</v>
          </cell>
          <cell r="AV41">
            <v>83.69</v>
          </cell>
          <cell r="AW41">
            <v>481.6</v>
          </cell>
          <cell r="AX41">
            <v>241.61</v>
          </cell>
          <cell r="AY41">
            <v>932.35</v>
          </cell>
          <cell r="AZ41">
            <v>1352.2</v>
          </cell>
          <cell r="BA41">
            <v>976.29</v>
          </cell>
          <cell r="BB41">
            <v>730.27</v>
          </cell>
          <cell r="BC41">
            <v>397.43</v>
          </cell>
          <cell r="BD41">
            <v>1041.35</v>
          </cell>
          <cell r="BE41">
            <v>700.72</v>
          </cell>
          <cell r="BF41">
            <v>547.54</v>
          </cell>
          <cell r="BG41">
            <v>255.8</v>
          </cell>
          <cell r="BH41">
            <v>429.26</v>
          </cell>
          <cell r="BI41">
            <v>933.94</v>
          </cell>
        </row>
        <row r="42">
          <cell r="A42" t="str">
            <v>DC Tie SAL</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row>
        <row r="43">
          <cell r="A43" t="str">
            <v>Econ PUR_N</v>
          </cell>
          <cell r="B43">
            <v>0</v>
          </cell>
          <cell r="C43">
            <v>0</v>
          </cell>
          <cell r="D43">
            <v>0</v>
          </cell>
          <cell r="E43">
            <v>28.39</v>
          </cell>
          <cell r="F43">
            <v>0</v>
          </cell>
          <cell r="G43">
            <v>0</v>
          </cell>
          <cell r="H43">
            <v>230.46</v>
          </cell>
          <cell r="I43">
            <v>0</v>
          </cell>
          <cell r="J43">
            <v>0</v>
          </cell>
          <cell r="K43">
            <v>1.43</v>
          </cell>
          <cell r="L43">
            <v>0</v>
          </cell>
          <cell r="M43">
            <v>0</v>
          </cell>
          <cell r="N43">
            <v>3.79</v>
          </cell>
          <cell r="O43">
            <v>0</v>
          </cell>
          <cell r="P43">
            <v>0</v>
          </cell>
          <cell r="Q43">
            <v>86.92</v>
          </cell>
          <cell r="R43">
            <v>37.52</v>
          </cell>
          <cell r="S43">
            <v>0</v>
          </cell>
          <cell r="T43">
            <v>23.82</v>
          </cell>
          <cell r="U43">
            <v>0</v>
          </cell>
          <cell r="V43">
            <v>0</v>
          </cell>
          <cell r="W43">
            <v>78.32</v>
          </cell>
          <cell r="X43">
            <v>84.11</v>
          </cell>
          <cell r="Y43">
            <v>0</v>
          </cell>
          <cell r="Z43">
            <v>0</v>
          </cell>
          <cell r="AA43">
            <v>0</v>
          </cell>
          <cell r="AB43">
            <v>0</v>
          </cell>
          <cell r="AC43">
            <v>0</v>
          </cell>
          <cell r="AD43">
            <v>27.76</v>
          </cell>
          <cell r="AE43">
            <v>0</v>
          </cell>
          <cell r="AF43">
            <v>33.47</v>
          </cell>
          <cell r="AG43">
            <v>0</v>
          </cell>
          <cell r="AH43">
            <v>0</v>
          </cell>
          <cell r="AI43">
            <v>0</v>
          </cell>
          <cell r="AJ43">
            <v>0</v>
          </cell>
          <cell r="AK43">
            <v>0</v>
          </cell>
          <cell r="AL43">
            <v>0</v>
          </cell>
          <cell r="AM43">
            <v>0</v>
          </cell>
          <cell r="AN43">
            <v>0</v>
          </cell>
          <cell r="AO43">
            <v>0</v>
          </cell>
          <cell r="AP43">
            <v>4.46</v>
          </cell>
          <cell r="AQ43">
            <v>0</v>
          </cell>
          <cell r="AR43">
            <v>0.25</v>
          </cell>
          <cell r="AS43">
            <v>0</v>
          </cell>
          <cell r="AT43">
            <v>0</v>
          </cell>
          <cell r="AU43">
            <v>16.85</v>
          </cell>
          <cell r="AV43">
            <v>0</v>
          </cell>
          <cell r="AW43">
            <v>0</v>
          </cell>
          <cell r="AX43">
            <v>0</v>
          </cell>
          <cell r="AY43">
            <v>35.09</v>
          </cell>
          <cell r="AZ43">
            <v>14.31</v>
          </cell>
          <cell r="BA43">
            <v>37.48</v>
          </cell>
          <cell r="BB43">
            <v>0</v>
          </cell>
          <cell r="BC43">
            <v>0</v>
          </cell>
          <cell r="BD43">
            <v>0</v>
          </cell>
          <cell r="BE43">
            <v>0</v>
          </cell>
          <cell r="BF43">
            <v>0</v>
          </cell>
          <cell r="BG43">
            <v>0</v>
          </cell>
          <cell r="BH43">
            <v>0</v>
          </cell>
          <cell r="BI43">
            <v>24.98</v>
          </cell>
        </row>
        <row r="44">
          <cell r="A44" t="str">
            <v>Econ SAL_N</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row>
        <row r="45">
          <cell r="A45" t="str">
            <v>PUR CapRock Wind</v>
          </cell>
          <cell r="B45">
            <v>544.43</v>
          </cell>
          <cell r="C45">
            <v>514.56</v>
          </cell>
          <cell r="D45">
            <v>638.94</v>
          </cell>
          <cell r="E45">
            <v>693.28</v>
          </cell>
          <cell r="F45">
            <v>596.73</v>
          </cell>
          <cell r="G45">
            <v>527.67</v>
          </cell>
          <cell r="H45">
            <v>474.3</v>
          </cell>
          <cell r="I45">
            <v>478.15</v>
          </cell>
          <cell r="J45">
            <v>520.88</v>
          </cell>
          <cell r="K45">
            <v>472.38</v>
          </cell>
          <cell r="L45">
            <v>588.12</v>
          </cell>
          <cell r="M45">
            <v>574.84</v>
          </cell>
          <cell r="N45">
            <v>558.05</v>
          </cell>
          <cell r="O45">
            <v>571.21</v>
          </cell>
          <cell r="P45">
            <v>654.92</v>
          </cell>
          <cell r="Q45">
            <v>710.62</v>
          </cell>
          <cell r="R45">
            <v>611.65</v>
          </cell>
          <cell r="S45">
            <v>540.87</v>
          </cell>
          <cell r="T45">
            <v>486.16</v>
          </cell>
          <cell r="U45">
            <v>490.11</v>
          </cell>
          <cell r="V45">
            <v>533.91</v>
          </cell>
          <cell r="W45">
            <v>484.2</v>
          </cell>
          <cell r="X45">
            <v>602.83</v>
          </cell>
          <cell r="Y45">
            <v>589.22</v>
          </cell>
          <cell r="Z45">
            <v>572.11</v>
          </cell>
          <cell r="AA45">
            <v>540.71</v>
          </cell>
          <cell r="AB45">
            <v>671.42</v>
          </cell>
          <cell r="AC45">
            <v>728.52</v>
          </cell>
          <cell r="AD45">
            <v>627.05</v>
          </cell>
          <cell r="AE45">
            <v>554.49</v>
          </cell>
          <cell r="AF45">
            <v>498.41</v>
          </cell>
          <cell r="AG45">
            <v>502.45</v>
          </cell>
          <cell r="AH45">
            <v>547.36</v>
          </cell>
          <cell r="AI45">
            <v>496.39</v>
          </cell>
          <cell r="AJ45">
            <v>618.01</v>
          </cell>
          <cell r="AK45">
            <v>604.06</v>
          </cell>
          <cell r="AL45">
            <v>586.38</v>
          </cell>
          <cell r="AM45">
            <v>554.2</v>
          </cell>
          <cell r="AN45">
            <v>688.17</v>
          </cell>
          <cell r="AO45">
            <v>746.7</v>
          </cell>
          <cell r="AP45">
            <v>642.7</v>
          </cell>
          <cell r="AQ45">
            <v>568.33</v>
          </cell>
          <cell r="AR45">
            <v>510.84</v>
          </cell>
          <cell r="AS45">
            <v>514.99</v>
          </cell>
          <cell r="AT45">
            <v>561.01</v>
          </cell>
          <cell r="AU45">
            <v>508.78</v>
          </cell>
          <cell r="AV45">
            <v>633.43</v>
          </cell>
          <cell r="AW45">
            <v>619.13</v>
          </cell>
          <cell r="AX45">
            <v>601.1</v>
          </cell>
          <cell r="AY45">
            <v>568.11</v>
          </cell>
          <cell r="AZ45">
            <v>705.44</v>
          </cell>
          <cell r="BA45">
            <v>765.43</v>
          </cell>
          <cell r="BB45">
            <v>658.83</v>
          </cell>
          <cell r="BC45">
            <v>582.59</v>
          </cell>
          <cell r="BD45">
            <v>523.66</v>
          </cell>
          <cell r="BE45">
            <v>527.91</v>
          </cell>
          <cell r="BF45">
            <v>575.09</v>
          </cell>
          <cell r="BG45">
            <v>521.55</v>
          </cell>
          <cell r="BH45">
            <v>649.33</v>
          </cell>
          <cell r="BI45">
            <v>634.67</v>
          </cell>
        </row>
        <row r="46">
          <cell r="A46" t="str">
            <v>PUR LlanoC Wind</v>
          </cell>
          <cell r="B46">
            <v>23.3</v>
          </cell>
          <cell r="C46">
            <v>21.87</v>
          </cell>
          <cell r="D46">
            <v>21.57</v>
          </cell>
          <cell r="E46">
            <v>20.75</v>
          </cell>
          <cell r="F46">
            <v>22.27</v>
          </cell>
          <cell r="G46">
            <v>23.61</v>
          </cell>
          <cell r="H46">
            <v>22.21</v>
          </cell>
          <cell r="I46">
            <v>23.76</v>
          </cell>
          <cell r="J46">
            <v>20.64</v>
          </cell>
          <cell r="K46">
            <v>23.7</v>
          </cell>
          <cell r="L46">
            <v>21.96</v>
          </cell>
          <cell r="M46">
            <v>21.69</v>
          </cell>
          <cell r="N46">
            <v>24.3</v>
          </cell>
          <cell r="O46">
            <v>21.38</v>
          </cell>
          <cell r="P46">
            <v>21.53</v>
          </cell>
          <cell r="Q46">
            <v>23.04</v>
          </cell>
          <cell r="R46">
            <v>22.96</v>
          </cell>
          <cell r="S46">
            <v>22.05</v>
          </cell>
          <cell r="T46">
            <v>23</v>
          </cell>
          <cell r="U46">
            <v>23.32</v>
          </cell>
          <cell r="V46">
            <v>24.57</v>
          </cell>
          <cell r="W46">
            <v>22.43</v>
          </cell>
          <cell r="X46">
            <v>20.97</v>
          </cell>
          <cell r="Y46">
            <v>23.14</v>
          </cell>
          <cell r="Z46">
            <v>23.65</v>
          </cell>
          <cell r="AA46">
            <v>22.14</v>
          </cell>
          <cell r="AB46">
            <v>22.47</v>
          </cell>
          <cell r="AC46">
            <v>21.87</v>
          </cell>
          <cell r="AD46">
            <v>24.89</v>
          </cell>
          <cell r="AE46">
            <v>24.2</v>
          </cell>
          <cell r="AF46">
            <v>23.1</v>
          </cell>
          <cell r="AG46">
            <v>22.94</v>
          </cell>
          <cell r="AH46">
            <v>22.77</v>
          </cell>
          <cell r="AI46">
            <v>24.11</v>
          </cell>
          <cell r="AJ46">
            <v>22.09</v>
          </cell>
          <cell r="AK46">
            <v>23.62</v>
          </cell>
          <cell r="AL46">
            <v>24.03</v>
          </cell>
          <cell r="AM46">
            <v>21.85</v>
          </cell>
          <cell r="AN46">
            <v>24.65</v>
          </cell>
          <cell r="AO46">
            <v>22.79</v>
          </cell>
          <cell r="AP46">
            <v>23.11</v>
          </cell>
          <cell r="AQ46">
            <v>26.2</v>
          </cell>
          <cell r="AR46">
            <v>22.64</v>
          </cell>
          <cell r="AS46">
            <v>24.02</v>
          </cell>
          <cell r="AT46">
            <v>22.88</v>
          </cell>
          <cell r="AU46">
            <v>23.65</v>
          </cell>
          <cell r="AV46">
            <v>23.79</v>
          </cell>
          <cell r="AW46">
            <v>23.5</v>
          </cell>
          <cell r="AX46">
            <v>24.56</v>
          </cell>
          <cell r="AY46">
            <v>23.06</v>
          </cell>
          <cell r="AZ46">
            <v>25.21</v>
          </cell>
          <cell r="BA46">
            <v>22.55</v>
          </cell>
          <cell r="BB46">
            <v>22.73</v>
          </cell>
          <cell r="BC46">
            <v>27.44</v>
          </cell>
          <cell r="BD46">
            <v>22.12</v>
          </cell>
          <cell r="BE46">
            <v>25.69</v>
          </cell>
          <cell r="BF46">
            <v>23.71</v>
          </cell>
          <cell r="BG46">
            <v>24.1</v>
          </cell>
          <cell r="BH46">
            <v>23.85</v>
          </cell>
          <cell r="BI46">
            <v>23.56</v>
          </cell>
        </row>
        <row r="47">
          <cell r="A47" t="str">
            <v>SPS_N MCP</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row>
        <row r="48">
          <cell r="A48" t="str">
            <v>SPS_S MCP</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row>
        <row r="49">
          <cell r="A49" t="str">
            <v>Econ PUR_BW</v>
          </cell>
          <cell r="B49">
            <v>0</v>
          </cell>
          <cell r="C49">
            <v>19.17</v>
          </cell>
          <cell r="D49">
            <v>0</v>
          </cell>
          <cell r="E49">
            <v>26.24</v>
          </cell>
          <cell r="F49">
            <v>58.09</v>
          </cell>
          <cell r="G49">
            <v>203.11</v>
          </cell>
          <cell r="H49">
            <v>655.47</v>
          </cell>
          <cell r="I49">
            <v>488.98</v>
          </cell>
          <cell r="J49">
            <v>47.85</v>
          </cell>
          <cell r="K49">
            <v>0</v>
          </cell>
          <cell r="L49">
            <v>0</v>
          </cell>
          <cell r="M49">
            <v>0</v>
          </cell>
          <cell r="N49">
            <v>0</v>
          </cell>
          <cell r="O49">
            <v>0</v>
          </cell>
          <cell r="P49">
            <v>0</v>
          </cell>
          <cell r="Q49">
            <v>61.16</v>
          </cell>
          <cell r="R49">
            <v>33.72</v>
          </cell>
          <cell r="S49">
            <v>13.58</v>
          </cell>
          <cell r="T49">
            <v>216.96</v>
          </cell>
          <cell r="U49">
            <v>129.62</v>
          </cell>
          <cell r="V49">
            <v>0</v>
          </cell>
          <cell r="W49">
            <v>0</v>
          </cell>
          <cell r="X49">
            <v>0</v>
          </cell>
          <cell r="Y49">
            <v>0</v>
          </cell>
          <cell r="Z49">
            <v>0</v>
          </cell>
          <cell r="AA49">
            <v>0</v>
          </cell>
          <cell r="AB49">
            <v>0</v>
          </cell>
          <cell r="AC49">
            <v>0</v>
          </cell>
          <cell r="AD49">
            <v>12.79</v>
          </cell>
          <cell r="AE49">
            <v>69.21</v>
          </cell>
          <cell r="AF49">
            <v>311.72</v>
          </cell>
          <cell r="AG49">
            <v>254.26</v>
          </cell>
          <cell r="AH49">
            <v>48.53</v>
          </cell>
          <cell r="AI49">
            <v>0</v>
          </cell>
          <cell r="AJ49">
            <v>0</v>
          </cell>
          <cell r="AK49">
            <v>0</v>
          </cell>
          <cell r="AL49">
            <v>0</v>
          </cell>
          <cell r="AM49">
            <v>0</v>
          </cell>
          <cell r="AN49">
            <v>0</v>
          </cell>
          <cell r="AO49">
            <v>0</v>
          </cell>
          <cell r="AP49">
            <v>43.72</v>
          </cell>
          <cell r="AQ49">
            <v>274.66</v>
          </cell>
          <cell r="AR49">
            <v>724.48</v>
          </cell>
          <cell r="AS49">
            <v>644.02</v>
          </cell>
          <cell r="AT49">
            <v>95.71</v>
          </cell>
          <cell r="AU49">
            <v>25.28</v>
          </cell>
          <cell r="AV49">
            <v>0</v>
          </cell>
          <cell r="AW49">
            <v>63.15</v>
          </cell>
          <cell r="AX49">
            <v>13.53</v>
          </cell>
          <cell r="AY49">
            <v>168.16</v>
          </cell>
          <cell r="AZ49">
            <v>147.29</v>
          </cell>
          <cell r="BA49">
            <v>53.58</v>
          </cell>
          <cell r="BB49">
            <v>46.03</v>
          </cell>
          <cell r="BC49">
            <v>120.71</v>
          </cell>
          <cell r="BD49">
            <v>502.23</v>
          </cell>
          <cell r="BE49">
            <v>458.97</v>
          </cell>
          <cell r="BF49">
            <v>70.9</v>
          </cell>
          <cell r="BG49">
            <v>48.69</v>
          </cell>
          <cell r="BH49">
            <v>0</v>
          </cell>
          <cell r="BI49">
            <v>86.78</v>
          </cell>
        </row>
        <row r="50">
          <cell r="A50" t="str">
            <v>Econ PUR_EC</v>
          </cell>
          <cell r="B50">
            <v>0</v>
          </cell>
          <cell r="C50">
            <v>6.58</v>
          </cell>
          <cell r="D50">
            <v>0</v>
          </cell>
          <cell r="E50">
            <v>13.73</v>
          </cell>
          <cell r="F50">
            <v>32.09</v>
          </cell>
          <cell r="G50">
            <v>175.4</v>
          </cell>
          <cell r="H50">
            <v>570.02</v>
          </cell>
          <cell r="I50">
            <v>420.21</v>
          </cell>
          <cell r="J50">
            <v>40.74</v>
          </cell>
          <cell r="K50">
            <v>0</v>
          </cell>
          <cell r="L50">
            <v>0</v>
          </cell>
          <cell r="M50">
            <v>0</v>
          </cell>
          <cell r="N50">
            <v>0</v>
          </cell>
          <cell r="O50">
            <v>0</v>
          </cell>
          <cell r="P50">
            <v>0</v>
          </cell>
          <cell r="Q50">
            <v>62.52</v>
          </cell>
          <cell r="R50">
            <v>35.22</v>
          </cell>
          <cell r="S50">
            <v>0</v>
          </cell>
          <cell r="T50">
            <v>169.52</v>
          </cell>
          <cell r="U50">
            <v>98.63</v>
          </cell>
          <cell r="V50">
            <v>0</v>
          </cell>
          <cell r="W50">
            <v>0</v>
          </cell>
          <cell r="X50">
            <v>0</v>
          </cell>
          <cell r="Y50">
            <v>0</v>
          </cell>
          <cell r="Z50">
            <v>0</v>
          </cell>
          <cell r="AA50">
            <v>0</v>
          </cell>
          <cell r="AB50">
            <v>0</v>
          </cell>
          <cell r="AC50">
            <v>0</v>
          </cell>
          <cell r="AD50">
            <v>13.39</v>
          </cell>
          <cell r="AE50">
            <v>61.77</v>
          </cell>
          <cell r="AF50">
            <v>263.07</v>
          </cell>
          <cell r="AG50">
            <v>229.27</v>
          </cell>
          <cell r="AH50">
            <v>27.09</v>
          </cell>
          <cell r="AI50">
            <v>0</v>
          </cell>
          <cell r="AJ50">
            <v>0</v>
          </cell>
          <cell r="AK50">
            <v>0</v>
          </cell>
          <cell r="AL50">
            <v>0</v>
          </cell>
          <cell r="AM50">
            <v>0</v>
          </cell>
          <cell r="AN50">
            <v>0</v>
          </cell>
          <cell r="AO50">
            <v>0</v>
          </cell>
          <cell r="AP50">
            <v>20.36</v>
          </cell>
          <cell r="AQ50">
            <v>243.99</v>
          </cell>
          <cell r="AR50">
            <v>544.14</v>
          </cell>
          <cell r="AS50">
            <v>520.35</v>
          </cell>
          <cell r="AT50">
            <v>90.17</v>
          </cell>
          <cell r="AU50">
            <v>7.7</v>
          </cell>
          <cell r="AV50">
            <v>0</v>
          </cell>
          <cell r="AW50">
            <v>34.62</v>
          </cell>
          <cell r="AX50">
            <v>0</v>
          </cell>
          <cell r="AY50">
            <v>163.94</v>
          </cell>
          <cell r="AZ50">
            <v>109.33</v>
          </cell>
          <cell r="BA50">
            <v>53.25</v>
          </cell>
          <cell r="BB50">
            <v>41.37</v>
          </cell>
          <cell r="BC50">
            <v>104.15</v>
          </cell>
          <cell r="BD50">
            <v>417</v>
          </cell>
          <cell r="BE50">
            <v>388.01</v>
          </cell>
          <cell r="BF50">
            <v>55.72</v>
          </cell>
          <cell r="BG50">
            <v>33.24</v>
          </cell>
          <cell r="BH50">
            <v>0</v>
          </cell>
          <cell r="BI50">
            <v>88.93</v>
          </cell>
        </row>
        <row r="51">
          <cell r="A51" t="str">
            <v>PUR AEOLUS Wind</v>
          </cell>
          <cell r="B51">
            <v>43.68</v>
          </cell>
          <cell r="C51">
            <v>42.91</v>
          </cell>
          <cell r="D51">
            <v>39.6</v>
          </cell>
          <cell r="E51">
            <v>38.83</v>
          </cell>
          <cell r="F51">
            <v>42.99</v>
          </cell>
          <cell r="G51">
            <v>44.38</v>
          </cell>
          <cell r="H51">
            <v>41.83</v>
          </cell>
          <cell r="I51">
            <v>45.53</v>
          </cell>
          <cell r="J51">
            <v>38.83</v>
          </cell>
          <cell r="K51">
            <v>45.84</v>
          </cell>
          <cell r="L51">
            <v>40.83</v>
          </cell>
          <cell r="M51">
            <v>40.91</v>
          </cell>
          <cell r="N51">
            <v>44.3</v>
          </cell>
          <cell r="O51">
            <v>38</v>
          </cell>
          <cell r="P51">
            <v>37.77</v>
          </cell>
          <cell r="Q51">
            <v>42.05</v>
          </cell>
          <cell r="R51">
            <v>42.57</v>
          </cell>
          <cell r="S51">
            <v>39.27</v>
          </cell>
          <cell r="T51">
            <v>41.6</v>
          </cell>
          <cell r="U51">
            <v>42.27</v>
          </cell>
          <cell r="V51">
            <v>45.42</v>
          </cell>
          <cell r="W51">
            <v>39.57</v>
          </cell>
          <cell r="X51">
            <v>37.77</v>
          </cell>
          <cell r="Y51">
            <v>41.82</v>
          </cell>
          <cell r="Z51">
            <v>38.6</v>
          </cell>
          <cell r="AA51">
            <v>34.93</v>
          </cell>
          <cell r="AB51">
            <v>35.74</v>
          </cell>
          <cell r="AC51">
            <v>34.72</v>
          </cell>
          <cell r="AD51">
            <v>41.05</v>
          </cell>
          <cell r="AE51">
            <v>39.69</v>
          </cell>
          <cell r="AF51">
            <v>36.63</v>
          </cell>
          <cell r="AG51">
            <v>37.04</v>
          </cell>
          <cell r="AH51">
            <v>35.54</v>
          </cell>
          <cell r="AI51">
            <v>39.83</v>
          </cell>
          <cell r="AJ51">
            <v>35.2</v>
          </cell>
          <cell r="AK51">
            <v>38.33</v>
          </cell>
          <cell r="AL51">
            <v>34.37</v>
          </cell>
          <cell r="AM51">
            <v>31.05</v>
          </cell>
          <cell r="AN51">
            <v>34.99</v>
          </cell>
          <cell r="AO51">
            <v>33.2</v>
          </cell>
          <cell r="AP51">
            <v>32.71</v>
          </cell>
          <cell r="AQ51">
            <v>38.25</v>
          </cell>
          <cell r="AR51">
            <v>31.6</v>
          </cell>
          <cell r="AS51">
            <v>34.74</v>
          </cell>
          <cell r="AT51">
            <v>32.34</v>
          </cell>
          <cell r="AU51">
            <v>33.82</v>
          </cell>
          <cell r="AV51">
            <v>34</v>
          </cell>
          <cell r="AW51">
            <v>33.63</v>
          </cell>
          <cell r="AX51">
            <v>32.13</v>
          </cell>
          <cell r="AY51">
            <v>29.73</v>
          </cell>
          <cell r="AZ51">
            <v>32.64</v>
          </cell>
          <cell r="BA51">
            <v>29.39</v>
          </cell>
          <cell r="BB51">
            <v>28.88</v>
          </cell>
          <cell r="BC51">
            <v>35.88</v>
          </cell>
          <cell r="BD51">
            <v>28.71</v>
          </cell>
          <cell r="BE51">
            <v>33.66</v>
          </cell>
          <cell r="BF51">
            <v>30.59</v>
          </cell>
          <cell r="BG51">
            <v>31.44</v>
          </cell>
          <cell r="BH51">
            <v>30.25</v>
          </cell>
          <cell r="BI51">
            <v>30.93</v>
          </cell>
        </row>
        <row r="52">
          <cell r="A52" t="str">
            <v>PUR BRANDON1</v>
          </cell>
          <cell r="B52">
            <v>127.93</v>
          </cell>
          <cell r="C52">
            <v>293.99</v>
          </cell>
          <cell r="D52">
            <v>74.91</v>
          </cell>
          <cell r="E52">
            <v>622.2</v>
          </cell>
          <cell r="F52">
            <v>632.9</v>
          </cell>
          <cell r="G52">
            <v>752.83</v>
          </cell>
          <cell r="H52">
            <v>787.31</v>
          </cell>
          <cell r="I52">
            <v>707.12</v>
          </cell>
          <cell r="J52">
            <v>556.5</v>
          </cell>
          <cell r="K52">
            <v>578.78</v>
          </cell>
          <cell r="L52">
            <v>86.05</v>
          </cell>
          <cell r="M52">
            <v>184.6</v>
          </cell>
          <cell r="N52">
            <v>335.94</v>
          </cell>
          <cell r="O52">
            <v>151.69</v>
          </cell>
          <cell r="P52">
            <v>347.57</v>
          </cell>
          <cell r="Q52">
            <v>561.76</v>
          </cell>
          <cell r="R52">
            <v>446.17</v>
          </cell>
          <cell r="S52">
            <v>697.5</v>
          </cell>
          <cell r="T52">
            <v>790.25</v>
          </cell>
          <cell r="U52">
            <v>793.6</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row>
        <row r="53">
          <cell r="A53" t="str">
            <v>PUR COOKEGT1</v>
          </cell>
          <cell r="B53">
            <v>0</v>
          </cell>
          <cell r="C53">
            <v>3.59</v>
          </cell>
          <cell r="D53">
            <v>0</v>
          </cell>
          <cell r="E53">
            <v>11.98</v>
          </cell>
          <cell r="F53">
            <v>14.53</v>
          </cell>
          <cell r="G53">
            <v>50.34</v>
          </cell>
          <cell r="H53">
            <v>159.37</v>
          </cell>
          <cell r="I53">
            <v>93.41</v>
          </cell>
          <cell r="J53">
            <v>12.73</v>
          </cell>
          <cell r="K53">
            <v>5.19</v>
          </cell>
          <cell r="L53">
            <v>0</v>
          </cell>
          <cell r="M53">
            <v>0</v>
          </cell>
          <cell r="N53">
            <v>5.91</v>
          </cell>
          <cell r="O53">
            <v>0</v>
          </cell>
          <cell r="P53">
            <v>0</v>
          </cell>
          <cell r="Q53">
            <v>40.9</v>
          </cell>
          <cell r="R53">
            <v>21.39</v>
          </cell>
          <cell r="S53">
            <v>8.87</v>
          </cell>
          <cell r="T53">
            <v>111.43</v>
          </cell>
          <cell r="U53">
            <v>47.89</v>
          </cell>
          <cell r="V53">
            <v>28.68</v>
          </cell>
          <cell r="W53">
            <v>0</v>
          </cell>
          <cell r="X53">
            <v>0</v>
          </cell>
          <cell r="Y53">
            <v>0</v>
          </cell>
          <cell r="Z53">
            <v>0</v>
          </cell>
          <cell r="AA53">
            <v>0</v>
          </cell>
          <cell r="AB53">
            <v>0</v>
          </cell>
          <cell r="AC53">
            <v>2.48</v>
          </cell>
          <cell r="AD53">
            <v>15.81</v>
          </cell>
          <cell r="AE53">
            <v>42.98</v>
          </cell>
          <cell r="AF53">
            <v>207.09</v>
          </cell>
          <cell r="AG53">
            <v>150</v>
          </cell>
          <cell r="AH53">
            <v>55.52</v>
          </cell>
          <cell r="AI53">
            <v>0</v>
          </cell>
          <cell r="AJ53">
            <v>9.14</v>
          </cell>
          <cell r="AK53">
            <v>0</v>
          </cell>
          <cell r="AL53">
            <v>0</v>
          </cell>
          <cell r="AM53">
            <v>0</v>
          </cell>
          <cell r="AN53">
            <v>0</v>
          </cell>
          <cell r="AO53">
            <v>0</v>
          </cell>
          <cell r="AP53">
            <v>12.77</v>
          </cell>
          <cell r="AQ53">
            <v>103.28</v>
          </cell>
          <cell r="AR53">
            <v>236.07</v>
          </cell>
          <cell r="AS53">
            <v>185.28</v>
          </cell>
          <cell r="AT53">
            <v>84.31</v>
          </cell>
          <cell r="AU53">
            <v>24.41</v>
          </cell>
          <cell r="AV53">
            <v>0</v>
          </cell>
          <cell r="AW53">
            <v>11.91</v>
          </cell>
          <cell r="AX53">
            <v>2.72</v>
          </cell>
          <cell r="AY53">
            <v>53.15</v>
          </cell>
          <cell r="AZ53">
            <v>29.08</v>
          </cell>
          <cell r="BA53">
            <v>29.38</v>
          </cell>
          <cell r="BB53">
            <v>26.58</v>
          </cell>
          <cell r="BC53">
            <v>125.26</v>
          </cell>
          <cell r="BD53">
            <v>239.69</v>
          </cell>
          <cell r="BE53">
            <v>176.89</v>
          </cell>
          <cell r="BF53">
            <v>75.98</v>
          </cell>
          <cell r="BG53">
            <v>33.41</v>
          </cell>
          <cell r="BH53">
            <v>0</v>
          </cell>
          <cell r="BI53">
            <v>36.68</v>
          </cell>
        </row>
        <row r="54">
          <cell r="A54" t="str">
            <v>PUR COOKEGT2</v>
          </cell>
          <cell r="B54">
            <v>1.34</v>
          </cell>
          <cell r="C54">
            <v>48.55</v>
          </cell>
          <cell r="D54">
            <v>2.86</v>
          </cell>
          <cell r="E54">
            <v>39.16</v>
          </cell>
          <cell r="F54">
            <v>71.83</v>
          </cell>
          <cell r="G54">
            <v>162.96</v>
          </cell>
          <cell r="H54">
            <v>369.91</v>
          </cell>
          <cell r="I54">
            <v>285.87</v>
          </cell>
          <cell r="J54">
            <v>133.32</v>
          </cell>
          <cell r="K54">
            <v>63.24</v>
          </cell>
          <cell r="L54">
            <v>22.16</v>
          </cell>
          <cell r="M54">
            <v>93.51</v>
          </cell>
          <cell r="N54">
            <v>17.63</v>
          </cell>
          <cell r="O54">
            <v>8.81</v>
          </cell>
          <cell r="P54">
            <v>12.02</v>
          </cell>
          <cell r="Q54">
            <v>103.69</v>
          </cell>
          <cell r="R54">
            <v>63.99</v>
          </cell>
          <cell r="S54">
            <v>174.36</v>
          </cell>
          <cell r="T54">
            <v>351.39</v>
          </cell>
          <cell r="U54">
            <v>274.24</v>
          </cell>
          <cell r="V54">
            <v>219.02</v>
          </cell>
          <cell r="W54">
            <v>85.17</v>
          </cell>
          <cell r="X54">
            <v>67.44</v>
          </cell>
          <cell r="Y54">
            <v>125.86</v>
          </cell>
          <cell r="Z54">
            <v>17.46</v>
          </cell>
          <cell r="AA54">
            <v>31.41</v>
          </cell>
          <cell r="AB54">
            <v>38.99</v>
          </cell>
          <cell r="AC54">
            <v>88.5</v>
          </cell>
          <cell r="AD54">
            <v>89.83</v>
          </cell>
          <cell r="AE54">
            <v>267.62</v>
          </cell>
          <cell r="AF54">
            <v>439.37</v>
          </cell>
          <cell r="AG54">
            <v>401.8</v>
          </cell>
          <cell r="AH54">
            <v>233.52</v>
          </cell>
          <cell r="AI54">
            <v>110.41</v>
          </cell>
          <cell r="AJ54">
            <v>82.47</v>
          </cell>
          <cell r="AK54">
            <v>175.39</v>
          </cell>
          <cell r="AL54">
            <v>47.26</v>
          </cell>
          <cell r="AM54">
            <v>25.35</v>
          </cell>
          <cell r="AN54">
            <v>45.97</v>
          </cell>
          <cell r="AO54">
            <v>71.66</v>
          </cell>
          <cell r="AP54">
            <v>136.36</v>
          </cell>
          <cell r="AQ54">
            <v>310.09</v>
          </cell>
          <cell r="AR54">
            <v>441.99</v>
          </cell>
          <cell r="AS54">
            <v>439.54</v>
          </cell>
          <cell r="AT54">
            <v>269.82</v>
          </cell>
          <cell r="AU54">
            <v>154.57</v>
          </cell>
          <cell r="AV54">
            <v>132.79</v>
          </cell>
          <cell r="AW54">
            <v>184.66</v>
          </cell>
          <cell r="AX54">
            <v>55.2</v>
          </cell>
          <cell r="AY54">
            <v>118.6</v>
          </cell>
          <cell r="AZ54">
            <v>122.94</v>
          </cell>
          <cell r="BA54">
            <v>127.27</v>
          </cell>
          <cell r="BB54">
            <v>159.59</v>
          </cell>
          <cell r="BC54">
            <v>332.27</v>
          </cell>
          <cell r="BD54">
            <v>450.41</v>
          </cell>
          <cell r="BE54">
            <v>426.58</v>
          </cell>
          <cell r="BF54">
            <v>292.94</v>
          </cell>
          <cell r="BG54">
            <v>185.92</v>
          </cell>
          <cell r="BH54">
            <v>144.06</v>
          </cell>
          <cell r="BI54">
            <v>208.31</v>
          </cell>
        </row>
        <row r="55">
          <cell r="A55" t="str">
            <v>PUR COOKEGT3</v>
          </cell>
          <cell r="B55">
            <v>0</v>
          </cell>
          <cell r="C55">
            <v>13.62</v>
          </cell>
          <cell r="D55">
            <v>0</v>
          </cell>
          <cell r="E55">
            <v>26.3</v>
          </cell>
          <cell r="F55">
            <v>38.99</v>
          </cell>
          <cell r="G55">
            <v>96.37</v>
          </cell>
          <cell r="H55">
            <v>324.5</v>
          </cell>
          <cell r="I55">
            <v>235.52</v>
          </cell>
          <cell r="J55">
            <v>62.21</v>
          </cell>
          <cell r="K55">
            <v>17.31</v>
          </cell>
          <cell r="L55">
            <v>0</v>
          </cell>
          <cell r="M55">
            <v>4.05</v>
          </cell>
          <cell r="N55">
            <v>8.41</v>
          </cell>
          <cell r="O55">
            <v>4.2</v>
          </cell>
          <cell r="P55">
            <v>0</v>
          </cell>
          <cell r="Q55">
            <v>65.48</v>
          </cell>
          <cell r="R55">
            <v>36.84</v>
          </cell>
          <cell r="S55">
            <v>61.93</v>
          </cell>
          <cell r="T55">
            <v>290.6</v>
          </cell>
          <cell r="U55">
            <v>170.59</v>
          </cell>
          <cell r="V55">
            <v>131.25</v>
          </cell>
          <cell r="W55">
            <v>33.22</v>
          </cell>
          <cell r="X55">
            <v>0</v>
          </cell>
          <cell r="Y55">
            <v>6.08</v>
          </cell>
          <cell r="Z55">
            <v>0</v>
          </cell>
          <cell r="AA55">
            <v>0</v>
          </cell>
          <cell r="AB55">
            <v>0</v>
          </cell>
          <cell r="AC55">
            <v>21.76</v>
          </cell>
          <cell r="AD55">
            <v>42.72</v>
          </cell>
          <cell r="AE55">
            <v>174.55</v>
          </cell>
          <cell r="AF55">
            <v>409.48</v>
          </cell>
          <cell r="AG55">
            <v>329.47</v>
          </cell>
          <cell r="AH55">
            <v>166.29</v>
          </cell>
          <cell r="AI55">
            <v>58.63</v>
          </cell>
          <cell r="AJ55">
            <v>25.97</v>
          </cell>
          <cell r="AK55">
            <v>31.27</v>
          </cell>
          <cell r="AL55">
            <v>0</v>
          </cell>
          <cell r="AM55">
            <v>0</v>
          </cell>
          <cell r="AN55">
            <v>0</v>
          </cell>
          <cell r="AO55">
            <v>31.18</v>
          </cell>
          <cell r="AP55">
            <v>49.28</v>
          </cell>
          <cell r="AQ55">
            <v>258.94</v>
          </cell>
          <cell r="AR55">
            <v>439.15</v>
          </cell>
          <cell r="AS55">
            <v>415.95</v>
          </cell>
          <cell r="AT55">
            <v>203.31</v>
          </cell>
          <cell r="AU55">
            <v>83.15</v>
          </cell>
          <cell r="AV55">
            <v>5.34</v>
          </cell>
          <cell r="AW55">
            <v>99.73</v>
          </cell>
          <cell r="AX55">
            <v>3.87</v>
          </cell>
          <cell r="AY55">
            <v>91.04</v>
          </cell>
          <cell r="AZ55">
            <v>63.89</v>
          </cell>
          <cell r="BA55">
            <v>90.99</v>
          </cell>
          <cell r="BB55">
            <v>113.48</v>
          </cell>
          <cell r="BC55">
            <v>296.44</v>
          </cell>
          <cell r="BD55">
            <v>452.29</v>
          </cell>
          <cell r="BE55">
            <v>381.91</v>
          </cell>
          <cell r="BF55">
            <v>238.65</v>
          </cell>
          <cell r="BG55">
            <v>103.56</v>
          </cell>
          <cell r="BH55">
            <v>49.31</v>
          </cell>
          <cell r="BI55">
            <v>152.96</v>
          </cell>
        </row>
        <row r="56">
          <cell r="A56" t="str">
            <v>PUR COOKEST1</v>
          </cell>
          <cell r="B56">
            <v>0</v>
          </cell>
          <cell r="C56">
            <v>0</v>
          </cell>
          <cell r="D56">
            <v>0</v>
          </cell>
          <cell r="E56">
            <v>551.56</v>
          </cell>
          <cell r="F56">
            <v>373.95</v>
          </cell>
          <cell r="G56">
            <v>642.57</v>
          </cell>
          <cell r="H56">
            <v>790.02</v>
          </cell>
          <cell r="I56">
            <v>886.86</v>
          </cell>
          <cell r="J56">
            <v>561.1</v>
          </cell>
          <cell r="K56">
            <v>407.07</v>
          </cell>
          <cell r="L56">
            <v>199.04</v>
          </cell>
          <cell r="M56">
            <v>32.72</v>
          </cell>
          <cell r="N56">
            <v>188.18</v>
          </cell>
          <cell r="O56">
            <v>184.2</v>
          </cell>
          <cell r="P56">
            <v>220.29</v>
          </cell>
          <cell r="Q56">
            <v>612.49</v>
          </cell>
          <cell r="R56">
            <v>490.83</v>
          </cell>
          <cell r="S56">
            <v>651.6</v>
          </cell>
          <cell r="T56">
            <v>740.03</v>
          </cell>
          <cell r="U56">
            <v>731.64</v>
          </cell>
          <cell r="V56">
            <v>672.71</v>
          </cell>
          <cell r="W56">
            <v>498.28</v>
          </cell>
          <cell r="X56">
            <v>0</v>
          </cell>
          <cell r="Y56">
            <v>333.27</v>
          </cell>
          <cell r="Z56">
            <v>0</v>
          </cell>
          <cell r="AA56">
            <v>0</v>
          </cell>
          <cell r="AB56">
            <v>0</v>
          </cell>
          <cell r="AC56">
            <v>228.68</v>
          </cell>
          <cell r="AD56">
            <v>498.47</v>
          </cell>
          <cell r="AE56">
            <v>778.66</v>
          </cell>
          <cell r="AF56">
            <v>912.02</v>
          </cell>
          <cell r="AG56">
            <v>891.91</v>
          </cell>
          <cell r="AH56">
            <v>739.56</v>
          </cell>
          <cell r="AI56">
            <v>556.78</v>
          </cell>
          <cell r="AJ56">
            <v>428.8</v>
          </cell>
          <cell r="AK56">
            <v>527.69</v>
          </cell>
          <cell r="AL56">
            <v>177.17</v>
          </cell>
          <cell r="AM56">
            <v>177.4</v>
          </cell>
          <cell r="AN56">
            <v>0</v>
          </cell>
          <cell r="AO56">
            <v>280.21</v>
          </cell>
          <cell r="AP56">
            <v>599.56</v>
          </cell>
          <cell r="AQ56">
            <v>793.32</v>
          </cell>
          <cell r="AR56">
            <v>887.22</v>
          </cell>
          <cell r="AS56">
            <v>878.35</v>
          </cell>
          <cell r="AT56">
            <v>649.4</v>
          </cell>
          <cell r="AU56">
            <v>648.01</v>
          </cell>
          <cell r="AV56">
            <v>422.88</v>
          </cell>
          <cell r="AW56">
            <v>739.36</v>
          </cell>
          <cell r="AX56">
            <v>345.14</v>
          </cell>
          <cell r="AY56">
            <v>602.95</v>
          </cell>
          <cell r="AZ56">
            <v>487.39</v>
          </cell>
          <cell r="BA56">
            <v>530.49</v>
          </cell>
          <cell r="BB56">
            <v>661.88</v>
          </cell>
          <cell r="BC56">
            <v>768.84</v>
          </cell>
          <cell r="BD56">
            <v>818.06</v>
          </cell>
          <cell r="BE56">
            <v>805.02</v>
          </cell>
          <cell r="BF56">
            <v>696.59</v>
          </cell>
          <cell r="BG56">
            <v>621.23</v>
          </cell>
          <cell r="BH56">
            <v>652.6</v>
          </cell>
          <cell r="BI56">
            <v>748.71</v>
          </cell>
        </row>
        <row r="57">
          <cell r="A57" t="str">
            <v>PUR COOKEST2</v>
          </cell>
          <cell r="B57">
            <v>0</v>
          </cell>
          <cell r="C57">
            <v>69.77</v>
          </cell>
          <cell r="D57">
            <v>11.49</v>
          </cell>
          <cell r="E57">
            <v>130.83</v>
          </cell>
          <cell r="F57">
            <v>121.82</v>
          </cell>
          <cell r="G57">
            <v>207.65</v>
          </cell>
          <cell r="H57">
            <v>398.27</v>
          </cell>
          <cell r="I57">
            <v>344.35</v>
          </cell>
          <cell r="J57">
            <v>156.96</v>
          </cell>
          <cell r="K57">
            <v>105.13</v>
          </cell>
          <cell r="L57">
            <v>17.65</v>
          </cell>
          <cell r="M57">
            <v>39.41</v>
          </cell>
          <cell r="N57">
            <v>16.28</v>
          </cell>
          <cell r="O57">
            <v>49.46</v>
          </cell>
          <cell r="P57">
            <v>12.25</v>
          </cell>
          <cell r="Q57">
            <v>218.4</v>
          </cell>
          <cell r="R57">
            <v>97.11</v>
          </cell>
          <cell r="S57">
            <v>204.71</v>
          </cell>
          <cell r="T57">
            <v>377.15</v>
          </cell>
          <cell r="U57">
            <v>328.48</v>
          </cell>
          <cell r="V57">
            <v>234.11</v>
          </cell>
          <cell r="W57">
            <v>123.43</v>
          </cell>
          <cell r="X57">
            <v>37.22</v>
          </cell>
          <cell r="Y57">
            <v>121.29</v>
          </cell>
          <cell r="Z57">
            <v>0</v>
          </cell>
          <cell r="AA57">
            <v>7.78</v>
          </cell>
          <cell r="AB57">
            <v>0</v>
          </cell>
          <cell r="AC57">
            <v>108.02</v>
          </cell>
          <cell r="AD57">
            <v>124.08</v>
          </cell>
          <cell r="AE57">
            <v>311.89</v>
          </cell>
          <cell r="AF57">
            <v>480.65</v>
          </cell>
          <cell r="AG57">
            <v>421.43</v>
          </cell>
          <cell r="AH57">
            <v>290.98</v>
          </cell>
          <cell r="AI57">
            <v>142.52</v>
          </cell>
          <cell r="AJ57">
            <v>51.32</v>
          </cell>
          <cell r="AK57">
            <v>175.34</v>
          </cell>
          <cell r="AL57">
            <v>12.04</v>
          </cell>
          <cell r="AM57">
            <v>19.58</v>
          </cell>
          <cell r="AN57">
            <v>11.71</v>
          </cell>
          <cell r="AO57">
            <v>74.21</v>
          </cell>
          <cell r="AP57">
            <v>188.51</v>
          </cell>
          <cell r="AQ57">
            <v>388.41</v>
          </cell>
          <cell r="AR57">
            <v>499.76</v>
          </cell>
          <cell r="AS57">
            <v>518.23</v>
          </cell>
          <cell r="AT57">
            <v>280.38</v>
          </cell>
          <cell r="AU57">
            <v>164.75</v>
          </cell>
          <cell r="AV57">
            <v>113.05</v>
          </cell>
          <cell r="AW57">
            <v>244.8</v>
          </cell>
          <cell r="AX57">
            <v>34.74</v>
          </cell>
          <cell r="AY57">
            <v>192.31</v>
          </cell>
          <cell r="AZ57">
            <v>257.73</v>
          </cell>
          <cell r="BA57">
            <v>148.94</v>
          </cell>
          <cell r="BB57">
            <v>205.98</v>
          </cell>
          <cell r="BC57">
            <v>361.79</v>
          </cell>
          <cell r="BD57">
            <v>495.75</v>
          </cell>
          <cell r="BE57">
            <v>481.87</v>
          </cell>
          <cell r="BF57">
            <v>302.62</v>
          </cell>
          <cell r="BG57">
            <v>221.74</v>
          </cell>
          <cell r="BH57">
            <v>185.64</v>
          </cell>
          <cell r="BI57">
            <v>317.55</v>
          </cell>
        </row>
        <row r="58">
          <cell r="A58" t="str">
            <v>PUR MASSENGALE6</v>
          </cell>
          <cell r="B58">
            <v>0</v>
          </cell>
          <cell r="C58">
            <v>25.22</v>
          </cell>
          <cell r="D58">
            <v>0</v>
          </cell>
          <cell r="E58">
            <v>44.37</v>
          </cell>
          <cell r="F58">
            <v>37.75</v>
          </cell>
          <cell r="G58">
            <v>95.72</v>
          </cell>
          <cell r="H58">
            <v>277.56</v>
          </cell>
          <cell r="I58">
            <v>181.68</v>
          </cell>
          <cell r="J58">
            <v>50.55</v>
          </cell>
          <cell r="K58">
            <v>35.97</v>
          </cell>
          <cell r="L58">
            <v>0</v>
          </cell>
          <cell r="M58">
            <v>0</v>
          </cell>
          <cell r="N58">
            <v>11.74</v>
          </cell>
          <cell r="O58">
            <v>0</v>
          </cell>
          <cell r="P58">
            <v>0</v>
          </cell>
          <cell r="Q58">
            <v>70.26</v>
          </cell>
          <cell r="R58">
            <v>31.63</v>
          </cell>
          <cell r="S58">
            <v>21.39</v>
          </cell>
          <cell r="T58">
            <v>255.42</v>
          </cell>
          <cell r="U58">
            <v>147.77</v>
          </cell>
          <cell r="V58">
            <v>95.75</v>
          </cell>
          <cell r="W58">
            <v>20.96</v>
          </cell>
          <cell r="X58">
            <v>0</v>
          </cell>
          <cell r="Y58">
            <v>0</v>
          </cell>
          <cell r="Z58">
            <v>0</v>
          </cell>
          <cell r="AA58">
            <v>0</v>
          </cell>
          <cell r="AB58">
            <v>0</v>
          </cell>
          <cell r="AC58">
            <v>9.84</v>
          </cell>
          <cell r="AD58">
            <v>48.29</v>
          </cell>
          <cell r="AE58">
            <v>134.08</v>
          </cell>
          <cell r="AF58">
            <v>290.61</v>
          </cell>
          <cell r="AG58">
            <v>255.87</v>
          </cell>
          <cell r="AH58">
            <v>126.5</v>
          </cell>
          <cell r="AI58">
            <v>50.71</v>
          </cell>
          <cell r="AJ58">
            <v>14.25</v>
          </cell>
          <cell r="AK58">
            <v>0</v>
          </cell>
          <cell r="AL58">
            <v>0</v>
          </cell>
          <cell r="AM58">
            <v>0</v>
          </cell>
          <cell r="AN58">
            <v>0</v>
          </cell>
          <cell r="AO58">
            <v>28.2</v>
          </cell>
          <cell r="AP58">
            <v>46.1</v>
          </cell>
          <cell r="AQ58">
            <v>225.91</v>
          </cell>
          <cell r="AR58">
            <v>305.15</v>
          </cell>
          <cell r="AS58">
            <v>324.68</v>
          </cell>
          <cell r="AT58">
            <v>161.4</v>
          </cell>
          <cell r="AU58">
            <v>88.45</v>
          </cell>
          <cell r="AV58">
            <v>0</v>
          </cell>
          <cell r="AW58">
            <v>49.94</v>
          </cell>
          <cell r="AX58">
            <v>10.81</v>
          </cell>
          <cell r="AY58">
            <v>97.48</v>
          </cell>
          <cell r="AZ58">
            <v>78.39</v>
          </cell>
          <cell r="BA58">
            <v>80.77</v>
          </cell>
          <cell r="BB58">
            <v>101.15</v>
          </cell>
          <cell r="BC58">
            <v>192.26</v>
          </cell>
          <cell r="BD58">
            <v>313.4</v>
          </cell>
          <cell r="BE58">
            <v>302.98</v>
          </cell>
          <cell r="BF58">
            <v>175.98</v>
          </cell>
          <cell r="BG58">
            <v>83.31</v>
          </cell>
          <cell r="BH58">
            <v>11.88</v>
          </cell>
          <cell r="BI58">
            <v>104.31</v>
          </cell>
        </row>
        <row r="59">
          <cell r="A59" t="str">
            <v>PUR MASSENGALE78</v>
          </cell>
          <cell r="B59">
            <v>786.04</v>
          </cell>
          <cell r="C59">
            <v>1583.61</v>
          </cell>
          <cell r="D59">
            <v>1008.37</v>
          </cell>
          <cell r="E59">
            <v>1396.66</v>
          </cell>
          <cell r="F59">
            <v>889.43</v>
          </cell>
          <cell r="G59">
            <v>865.35</v>
          </cell>
          <cell r="H59">
            <v>926.72</v>
          </cell>
          <cell r="I59">
            <v>1018.17</v>
          </cell>
          <cell r="J59">
            <v>891.93</v>
          </cell>
          <cell r="K59">
            <v>1176.49</v>
          </cell>
          <cell r="L59">
            <v>1146.07</v>
          </cell>
          <cell r="M59">
            <v>1104.3</v>
          </cell>
          <cell r="N59">
            <v>1348.87</v>
          </cell>
          <cell r="O59">
            <v>1716.7</v>
          </cell>
          <cell r="P59">
            <v>1903.76</v>
          </cell>
          <cell r="Q59">
            <v>1516.99</v>
          </cell>
          <cell r="R59">
            <v>949.13</v>
          </cell>
          <cell r="S59">
            <v>871.99</v>
          </cell>
          <cell r="T59">
            <v>938.76</v>
          </cell>
          <cell r="U59">
            <v>950.63</v>
          </cell>
          <cell r="V59">
            <v>880.69</v>
          </cell>
          <cell r="W59">
            <v>808.87</v>
          </cell>
          <cell r="X59">
            <v>717.61</v>
          </cell>
          <cell r="Y59">
            <v>944.67</v>
          </cell>
          <cell r="Z59">
            <v>1150.36</v>
          </cell>
          <cell r="AA59">
            <v>1290.55</v>
          </cell>
          <cell r="AB59">
            <v>652.48</v>
          </cell>
          <cell r="AC59">
            <v>738.82</v>
          </cell>
          <cell r="AD59">
            <v>759.43</v>
          </cell>
          <cell r="AE59">
            <v>844.48</v>
          </cell>
          <cell r="AF59">
            <v>1047.37</v>
          </cell>
          <cell r="AG59">
            <v>919.36</v>
          </cell>
          <cell r="AH59">
            <v>792.76</v>
          </cell>
          <cell r="AI59">
            <v>841.59</v>
          </cell>
          <cell r="AJ59">
            <v>706.65</v>
          </cell>
          <cell r="AK59">
            <v>861.52</v>
          </cell>
          <cell r="AL59">
            <v>691.61</v>
          </cell>
          <cell r="AM59">
            <v>913.57</v>
          </cell>
          <cell r="AN59">
            <v>912.76</v>
          </cell>
          <cell r="AO59">
            <v>928.57</v>
          </cell>
          <cell r="AP59">
            <v>783.8</v>
          </cell>
          <cell r="AQ59">
            <v>843.67</v>
          </cell>
          <cell r="AR59">
            <v>1022.39</v>
          </cell>
          <cell r="AS59">
            <v>947.64</v>
          </cell>
          <cell r="AT59">
            <v>866.24</v>
          </cell>
          <cell r="AU59">
            <v>819.28</v>
          </cell>
          <cell r="AV59">
            <v>703.18</v>
          </cell>
          <cell r="AW59">
            <v>1104.49</v>
          </cell>
          <cell r="AX59">
            <v>846.74</v>
          </cell>
          <cell r="AY59">
            <v>1426.28</v>
          </cell>
          <cell r="AZ59">
            <v>1437.41</v>
          </cell>
          <cell r="BA59">
            <v>959.5</v>
          </cell>
          <cell r="BB59">
            <v>779.39</v>
          </cell>
          <cell r="BC59">
            <v>855.66</v>
          </cell>
          <cell r="BD59">
            <v>1029.06</v>
          </cell>
          <cell r="BE59">
            <v>961.35</v>
          </cell>
          <cell r="BF59">
            <v>780.12</v>
          </cell>
          <cell r="BG59">
            <v>838.26</v>
          </cell>
          <cell r="BH59">
            <v>709.69</v>
          </cell>
          <cell r="BI59">
            <v>782.65</v>
          </cell>
        </row>
        <row r="60">
          <cell r="A60" t="str">
            <v>SAL PNM2003</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row>
        <row r="61">
          <cell r="A61" t="str">
            <v>PUR Padoma Wind</v>
          </cell>
          <cell r="B61">
            <v>830.65</v>
          </cell>
          <cell r="C61">
            <v>785.07</v>
          </cell>
          <cell r="D61">
            <v>974.85</v>
          </cell>
          <cell r="E61">
            <v>1057.75</v>
          </cell>
          <cell r="F61">
            <v>910.43</v>
          </cell>
          <cell r="G61">
            <v>805.08</v>
          </cell>
          <cell r="H61">
            <v>723.65</v>
          </cell>
          <cell r="I61">
            <v>729.52</v>
          </cell>
          <cell r="J61">
            <v>794.72</v>
          </cell>
          <cell r="K61">
            <v>720.72</v>
          </cell>
          <cell r="L61">
            <v>897.3</v>
          </cell>
          <cell r="M61">
            <v>877.05</v>
          </cell>
          <cell r="N61">
            <v>851.42</v>
          </cell>
          <cell r="O61">
            <v>871.5</v>
          </cell>
          <cell r="P61">
            <v>999.22</v>
          </cell>
          <cell r="Q61">
            <v>1084.19</v>
          </cell>
          <cell r="R61">
            <v>933.19</v>
          </cell>
          <cell r="S61">
            <v>825.2</v>
          </cell>
          <cell r="T61">
            <v>741.74</v>
          </cell>
          <cell r="U61">
            <v>747.76</v>
          </cell>
          <cell r="V61">
            <v>814.59</v>
          </cell>
          <cell r="W61">
            <v>738.74</v>
          </cell>
          <cell r="X61">
            <v>919.73</v>
          </cell>
          <cell r="Y61">
            <v>898.98</v>
          </cell>
          <cell r="Z61">
            <v>872.7</v>
          </cell>
          <cell r="AA61">
            <v>824.81</v>
          </cell>
          <cell r="AB61">
            <v>1024.2</v>
          </cell>
          <cell r="AC61">
            <v>1111.3</v>
          </cell>
          <cell r="AD61">
            <v>956.52</v>
          </cell>
          <cell r="AE61">
            <v>845.83</v>
          </cell>
          <cell r="AF61">
            <v>760.28</v>
          </cell>
          <cell r="AG61">
            <v>766.46</v>
          </cell>
          <cell r="AH61">
            <v>834.95</v>
          </cell>
          <cell r="AI61">
            <v>757.21</v>
          </cell>
          <cell r="AJ61">
            <v>942.73</v>
          </cell>
          <cell r="AK61">
            <v>921.45</v>
          </cell>
          <cell r="AL61">
            <v>894.52</v>
          </cell>
          <cell r="AM61">
            <v>845.43</v>
          </cell>
          <cell r="AN61">
            <v>1049.8</v>
          </cell>
          <cell r="AO61">
            <v>1139.08</v>
          </cell>
          <cell r="AP61">
            <v>980.44</v>
          </cell>
          <cell r="AQ61">
            <v>866.98</v>
          </cell>
          <cell r="AR61">
            <v>779.29</v>
          </cell>
          <cell r="AS61">
            <v>785.62</v>
          </cell>
          <cell r="AT61">
            <v>855.82</v>
          </cell>
          <cell r="AU61">
            <v>776.14</v>
          </cell>
          <cell r="AV61">
            <v>966.3</v>
          </cell>
          <cell r="AW61">
            <v>944.49</v>
          </cell>
          <cell r="AX61">
            <v>916.88</v>
          </cell>
          <cell r="AY61">
            <v>866.57</v>
          </cell>
          <cell r="AZ61">
            <v>1076.05</v>
          </cell>
          <cell r="BA61">
            <v>1167.56</v>
          </cell>
          <cell r="BB61">
            <v>1004.95</v>
          </cell>
          <cell r="BC61">
            <v>888.66</v>
          </cell>
          <cell r="BD61">
            <v>798.77</v>
          </cell>
          <cell r="BE61">
            <v>805.26</v>
          </cell>
          <cell r="BF61">
            <v>877.22</v>
          </cell>
          <cell r="BG61">
            <v>795.54</v>
          </cell>
          <cell r="BH61">
            <v>990.45</v>
          </cell>
          <cell r="BI61">
            <v>968.1</v>
          </cell>
        </row>
        <row r="62">
          <cell r="A62" t="str">
            <v>Nichols_Coal</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row>
        <row r="63">
          <cell r="A63" t="str">
            <v>PUR ENERGEN</v>
          </cell>
          <cell r="B63">
            <v>19.19</v>
          </cell>
          <cell r="C63">
            <v>19.59</v>
          </cell>
          <cell r="D63">
            <v>20.21</v>
          </cell>
          <cell r="E63">
            <v>20.39</v>
          </cell>
          <cell r="F63">
            <v>21.79</v>
          </cell>
          <cell r="G63">
            <v>20.34</v>
          </cell>
          <cell r="H63">
            <v>30.84</v>
          </cell>
          <cell r="I63">
            <v>30.94</v>
          </cell>
          <cell r="J63">
            <v>20.37</v>
          </cell>
          <cell r="K63">
            <v>23.64</v>
          </cell>
          <cell r="L63">
            <v>21.24</v>
          </cell>
          <cell r="M63">
            <v>21.25</v>
          </cell>
          <cell r="N63">
            <v>21.8</v>
          </cell>
          <cell r="O63">
            <v>21.29</v>
          </cell>
          <cell r="P63">
            <v>24.16</v>
          </cell>
          <cell r="Q63">
            <v>22.93</v>
          </cell>
          <cell r="R63">
            <v>21.55</v>
          </cell>
          <cell r="S63">
            <v>21.32</v>
          </cell>
          <cell r="T63">
            <v>32.16</v>
          </cell>
          <cell r="U63">
            <v>32.32</v>
          </cell>
          <cell r="V63">
            <v>23.13</v>
          </cell>
          <cell r="W63">
            <v>24.43</v>
          </cell>
          <cell r="X63">
            <v>21.34</v>
          </cell>
          <cell r="Y63">
            <v>25.24</v>
          </cell>
          <cell r="Z63">
            <v>24.96</v>
          </cell>
          <cell r="AA63">
            <v>23.79</v>
          </cell>
          <cell r="AB63">
            <v>22.91</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row>
        <row r="64">
          <cell r="A64" t="str">
            <v>PUR ExelGr150</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row>
        <row r="65">
          <cell r="A65" t="str">
            <v>PUR ExelOK200</v>
          </cell>
          <cell r="B65">
            <v>3982.11</v>
          </cell>
          <cell r="C65">
            <v>4130.61</v>
          </cell>
          <cell r="D65">
            <v>4293.12</v>
          </cell>
          <cell r="E65">
            <v>4127.47</v>
          </cell>
          <cell r="F65">
            <v>4239.38</v>
          </cell>
          <cell r="G65">
            <v>5929.31</v>
          </cell>
          <cell r="H65">
            <v>6504.18</v>
          </cell>
          <cell r="I65">
            <v>6526.6</v>
          </cell>
          <cell r="J65">
            <v>6237.52</v>
          </cell>
          <cell r="K65">
            <v>4611.84</v>
          </cell>
          <cell r="L65">
            <v>4340.11</v>
          </cell>
          <cell r="M65">
            <v>4768.1</v>
          </cell>
          <cell r="N65">
            <v>5057.37</v>
          </cell>
          <cell r="O65">
            <v>4801.59</v>
          </cell>
          <cell r="P65">
            <v>5052.43</v>
          </cell>
          <cell r="Q65">
            <v>4303.65</v>
          </cell>
          <cell r="R65">
            <v>4237.63</v>
          </cell>
          <cell r="S65">
            <v>5859.71</v>
          </cell>
          <cell r="T65">
            <v>6383.39</v>
          </cell>
          <cell r="U65">
            <v>6388.04</v>
          </cell>
          <cell r="V65">
            <v>5907.72</v>
          </cell>
          <cell r="W65">
            <v>4274.02</v>
          </cell>
          <cell r="X65">
            <v>4388.79</v>
          </cell>
          <cell r="Y65">
            <v>4701.5</v>
          </cell>
          <cell r="Z65">
            <v>4907.12</v>
          </cell>
          <cell r="AA65">
            <v>4684.41</v>
          </cell>
          <cell r="AB65">
            <v>4372.53</v>
          </cell>
          <cell r="AC65">
            <v>3768.11</v>
          </cell>
          <cell r="AD65">
            <v>3939.28</v>
          </cell>
          <cell r="AE65">
            <v>5263.64</v>
          </cell>
          <cell r="AF65">
            <v>6105.84</v>
          </cell>
          <cell r="AG65">
            <v>6000.21</v>
          </cell>
          <cell r="AH65">
            <v>4594.92</v>
          </cell>
          <cell r="AI65">
            <v>3858.28</v>
          </cell>
          <cell r="AJ65">
            <v>3940.17</v>
          </cell>
          <cell r="AK65">
            <v>4515.43</v>
          </cell>
          <cell r="AL65">
            <v>4928.18</v>
          </cell>
          <cell r="AM65">
            <v>4431.53</v>
          </cell>
          <cell r="AN65">
            <v>4352</v>
          </cell>
          <cell r="AO65">
            <v>3637.97</v>
          </cell>
          <cell r="AP65">
            <v>3850.24</v>
          </cell>
          <cell r="AQ65">
            <v>5543.08</v>
          </cell>
          <cell r="AR65">
            <v>6217.67</v>
          </cell>
          <cell r="AS65">
            <v>6203.48</v>
          </cell>
          <cell r="AT65">
            <v>5823.54</v>
          </cell>
          <cell r="AU65">
            <v>4238.48</v>
          </cell>
          <cell r="AV65">
            <v>4294.51</v>
          </cell>
          <cell r="AW65">
            <v>4600.16</v>
          </cell>
          <cell r="AX65">
            <v>4950.36</v>
          </cell>
          <cell r="AY65">
            <v>4468.69</v>
          </cell>
          <cell r="AZ65">
            <v>4797.89</v>
          </cell>
          <cell r="BA65">
            <v>4159.09</v>
          </cell>
          <cell r="BB65">
            <v>3986.11</v>
          </cell>
          <cell r="BC65">
            <v>5613.12</v>
          </cell>
          <cell r="BD65">
            <v>6121.15</v>
          </cell>
          <cell r="BE65">
            <v>6051.51</v>
          </cell>
          <cell r="BF65">
            <v>5957.21</v>
          </cell>
          <cell r="BG65">
            <v>4105.39</v>
          </cell>
          <cell r="BH65">
            <v>4042.95</v>
          </cell>
          <cell r="BI65">
            <v>4419.64</v>
          </cell>
        </row>
        <row r="66">
          <cell r="A66" t="str">
            <v>PUR JDWind1 Wind</v>
          </cell>
          <cell r="B66">
            <v>172.88</v>
          </cell>
          <cell r="C66">
            <v>172.11</v>
          </cell>
          <cell r="D66">
            <v>159.78</v>
          </cell>
          <cell r="E66">
            <v>157.16</v>
          </cell>
          <cell r="F66">
            <v>167.87</v>
          </cell>
          <cell r="G66">
            <v>179.73</v>
          </cell>
          <cell r="H66">
            <v>169.07</v>
          </cell>
          <cell r="I66">
            <v>180.39</v>
          </cell>
          <cell r="J66">
            <v>155.31</v>
          </cell>
          <cell r="K66">
            <v>181.35</v>
          </cell>
          <cell r="L66">
            <v>164.94</v>
          </cell>
          <cell r="M66">
            <v>164.02</v>
          </cell>
          <cell r="N66">
            <v>175.42</v>
          </cell>
          <cell r="O66">
            <v>153.76</v>
          </cell>
          <cell r="P66">
            <v>152.22</v>
          </cell>
          <cell r="Q66">
            <v>169.99</v>
          </cell>
          <cell r="R66">
            <v>164.6</v>
          </cell>
          <cell r="S66">
            <v>161.36</v>
          </cell>
          <cell r="T66">
            <v>164.84</v>
          </cell>
          <cell r="U66">
            <v>169.14</v>
          </cell>
          <cell r="V66">
            <v>179.58</v>
          </cell>
          <cell r="W66">
            <v>160.4</v>
          </cell>
          <cell r="X66">
            <v>151.1</v>
          </cell>
          <cell r="Y66">
            <v>167.29</v>
          </cell>
          <cell r="Z66">
            <v>154</v>
          </cell>
          <cell r="AA66">
            <v>140.1</v>
          </cell>
          <cell r="AB66">
            <v>146.37</v>
          </cell>
          <cell r="AC66">
            <v>138.61</v>
          </cell>
          <cell r="AD66">
            <v>161.08</v>
          </cell>
          <cell r="AE66">
            <v>156.22</v>
          </cell>
          <cell r="AF66">
            <v>149.15</v>
          </cell>
          <cell r="AG66">
            <v>147.5</v>
          </cell>
          <cell r="AH66">
            <v>144.94</v>
          </cell>
          <cell r="AI66">
            <v>157.06</v>
          </cell>
          <cell r="AJ66">
            <v>143.17</v>
          </cell>
          <cell r="AK66">
            <v>150.94</v>
          </cell>
          <cell r="AL66">
            <v>137.49</v>
          </cell>
          <cell r="AM66">
            <v>124.19</v>
          </cell>
          <cell r="AN66">
            <v>141.62</v>
          </cell>
          <cell r="AO66">
            <v>130.78</v>
          </cell>
          <cell r="AP66">
            <v>131.21</v>
          </cell>
          <cell r="AQ66">
            <v>150.67</v>
          </cell>
          <cell r="AR66">
            <v>128.74</v>
          </cell>
          <cell r="AS66">
            <v>137.12</v>
          </cell>
          <cell r="AT66">
            <v>131.64</v>
          </cell>
          <cell r="AU66">
            <v>134.84</v>
          </cell>
          <cell r="AV66">
            <v>137.12</v>
          </cell>
          <cell r="AW66">
            <v>133.43</v>
          </cell>
          <cell r="AX66">
            <v>128.73</v>
          </cell>
          <cell r="AY66">
            <v>117.11</v>
          </cell>
          <cell r="AZ66">
            <v>131.58</v>
          </cell>
          <cell r="BA66">
            <v>117.39</v>
          </cell>
          <cell r="BB66">
            <v>116.65</v>
          </cell>
          <cell r="BC66">
            <v>143.14</v>
          </cell>
          <cell r="BD66">
            <v>114.83</v>
          </cell>
          <cell r="BE66">
            <v>133.06</v>
          </cell>
          <cell r="BF66">
            <v>123.26</v>
          </cell>
          <cell r="BG66">
            <v>124.86</v>
          </cell>
          <cell r="BH66">
            <v>123.95</v>
          </cell>
          <cell r="BI66">
            <v>122.35</v>
          </cell>
        </row>
        <row r="67">
          <cell r="A67" t="str">
            <v>PUR JDWind2 Wind</v>
          </cell>
          <cell r="B67">
            <v>172.88</v>
          </cell>
          <cell r="C67">
            <v>171.95</v>
          </cell>
          <cell r="D67">
            <v>159.94</v>
          </cell>
          <cell r="E67">
            <v>157.16</v>
          </cell>
          <cell r="F67">
            <v>168.26</v>
          </cell>
          <cell r="G67">
            <v>179.35</v>
          </cell>
          <cell r="H67">
            <v>168.75</v>
          </cell>
          <cell r="I67">
            <v>180.7</v>
          </cell>
          <cell r="J67">
            <v>155.31</v>
          </cell>
          <cell r="K67">
            <v>181.51</v>
          </cell>
          <cell r="L67">
            <v>164.63</v>
          </cell>
          <cell r="M67">
            <v>164.17</v>
          </cell>
          <cell r="N67">
            <v>175.42</v>
          </cell>
          <cell r="O67">
            <v>153.76</v>
          </cell>
          <cell r="P67">
            <v>152.45</v>
          </cell>
          <cell r="Q67">
            <v>169.76</v>
          </cell>
          <cell r="R67">
            <v>164.81</v>
          </cell>
          <cell r="S67">
            <v>161.15</v>
          </cell>
          <cell r="T67">
            <v>164.9</v>
          </cell>
          <cell r="U67">
            <v>169.08</v>
          </cell>
          <cell r="V67">
            <v>179.16</v>
          </cell>
          <cell r="W67">
            <v>160.82</v>
          </cell>
          <cell r="X67">
            <v>151.1</v>
          </cell>
          <cell r="Y67">
            <v>167.29</v>
          </cell>
          <cell r="Z67">
            <v>153.77</v>
          </cell>
          <cell r="AA67">
            <v>140.34</v>
          </cell>
          <cell r="AB67">
            <v>146.37</v>
          </cell>
          <cell r="AC67">
            <v>138.61</v>
          </cell>
          <cell r="AD67">
            <v>161.08</v>
          </cell>
          <cell r="AE67">
            <v>156.45</v>
          </cell>
          <cell r="AF67">
            <v>148.68</v>
          </cell>
          <cell r="AG67">
            <v>147.74</v>
          </cell>
          <cell r="AH67">
            <v>144.87</v>
          </cell>
          <cell r="AI67">
            <v>157.13</v>
          </cell>
          <cell r="AJ67">
            <v>143.16</v>
          </cell>
          <cell r="AK67">
            <v>150.95</v>
          </cell>
          <cell r="AL67">
            <v>137.49</v>
          </cell>
          <cell r="AM67">
            <v>124.19</v>
          </cell>
          <cell r="AN67">
            <v>141.37</v>
          </cell>
          <cell r="AO67">
            <v>130.9</v>
          </cell>
          <cell r="AP67">
            <v>131.33</v>
          </cell>
          <cell r="AQ67">
            <v>150.67</v>
          </cell>
          <cell r="AR67">
            <v>128.74</v>
          </cell>
          <cell r="AS67">
            <v>137.12</v>
          </cell>
          <cell r="AT67">
            <v>131.58</v>
          </cell>
          <cell r="AU67">
            <v>134.9</v>
          </cell>
          <cell r="AV67">
            <v>137.22</v>
          </cell>
          <cell r="AW67">
            <v>133.32</v>
          </cell>
          <cell r="AX67">
            <v>128.5</v>
          </cell>
          <cell r="AY67">
            <v>117.34</v>
          </cell>
          <cell r="AZ67">
            <v>131.58</v>
          </cell>
          <cell r="BA67">
            <v>117.62</v>
          </cell>
          <cell r="BB67">
            <v>116.6</v>
          </cell>
          <cell r="BC67">
            <v>142.97</v>
          </cell>
          <cell r="BD67">
            <v>114.83</v>
          </cell>
          <cell r="BE67">
            <v>133.06</v>
          </cell>
          <cell r="BF67">
            <v>123.43</v>
          </cell>
          <cell r="BG67">
            <v>124.69</v>
          </cell>
          <cell r="BH67">
            <v>123.89</v>
          </cell>
          <cell r="BI67">
            <v>122.41</v>
          </cell>
        </row>
        <row r="68">
          <cell r="A68" t="str">
            <v>PUR JDWind3 Wind</v>
          </cell>
          <cell r="B68">
            <v>172.88</v>
          </cell>
          <cell r="C68">
            <v>171.41</v>
          </cell>
          <cell r="D68">
            <v>160.47</v>
          </cell>
          <cell r="E68">
            <v>157.04</v>
          </cell>
          <cell r="F68">
            <v>168.61</v>
          </cell>
          <cell r="G68">
            <v>179.12</v>
          </cell>
          <cell r="H68">
            <v>168.72</v>
          </cell>
          <cell r="I68">
            <v>180.74</v>
          </cell>
          <cell r="J68">
            <v>155.31</v>
          </cell>
          <cell r="K68">
            <v>181.66</v>
          </cell>
          <cell r="L68">
            <v>164.4</v>
          </cell>
          <cell r="M68">
            <v>164.25</v>
          </cell>
          <cell r="N68">
            <v>175.66</v>
          </cell>
          <cell r="O68">
            <v>153.52</v>
          </cell>
          <cell r="P68">
            <v>152.6</v>
          </cell>
          <cell r="Q68">
            <v>169.69</v>
          </cell>
          <cell r="R68">
            <v>165.19</v>
          </cell>
          <cell r="S68">
            <v>160.54</v>
          </cell>
          <cell r="T68">
            <v>164.87</v>
          </cell>
          <cell r="U68">
            <v>169.26</v>
          </cell>
          <cell r="V68">
            <v>179.81</v>
          </cell>
          <cell r="W68">
            <v>160.17</v>
          </cell>
          <cell r="X68">
            <v>151.1</v>
          </cell>
          <cell r="Y68">
            <v>167.29</v>
          </cell>
          <cell r="Z68">
            <v>153.72</v>
          </cell>
          <cell r="AA68">
            <v>140.38</v>
          </cell>
          <cell r="AB68">
            <v>146.44</v>
          </cell>
          <cell r="AC68">
            <v>138.82</v>
          </cell>
          <cell r="AD68">
            <v>160.81</v>
          </cell>
          <cell r="AE68">
            <v>156.31</v>
          </cell>
          <cell r="AF68">
            <v>148.69</v>
          </cell>
          <cell r="AG68">
            <v>147.87</v>
          </cell>
          <cell r="AH68">
            <v>144.94</v>
          </cell>
          <cell r="AI68">
            <v>157.06</v>
          </cell>
          <cell r="AJ68">
            <v>142.97</v>
          </cell>
          <cell r="AK68">
            <v>151.14</v>
          </cell>
          <cell r="AL68">
            <v>137.49</v>
          </cell>
          <cell r="AM68">
            <v>124.19</v>
          </cell>
          <cell r="AN68">
            <v>141.25</v>
          </cell>
          <cell r="AO68">
            <v>131.27</v>
          </cell>
          <cell r="AP68">
            <v>131.08</v>
          </cell>
          <cell r="AQ68">
            <v>150.55</v>
          </cell>
          <cell r="AR68">
            <v>128.87</v>
          </cell>
          <cell r="AS68">
            <v>137.12</v>
          </cell>
          <cell r="AT68">
            <v>131.76</v>
          </cell>
          <cell r="AU68">
            <v>134.72</v>
          </cell>
          <cell r="AV68">
            <v>137.04</v>
          </cell>
          <cell r="AW68">
            <v>133.51</v>
          </cell>
          <cell r="AX68">
            <v>128.44</v>
          </cell>
          <cell r="AY68">
            <v>117.39</v>
          </cell>
          <cell r="AZ68">
            <v>131.63</v>
          </cell>
          <cell r="BA68">
            <v>117.51</v>
          </cell>
          <cell r="BB68">
            <v>116.65</v>
          </cell>
          <cell r="BC68">
            <v>142.97</v>
          </cell>
          <cell r="BD68">
            <v>114.83</v>
          </cell>
          <cell r="BE68">
            <v>133.06</v>
          </cell>
          <cell r="BF68">
            <v>123.6</v>
          </cell>
          <cell r="BG68">
            <v>124.51</v>
          </cell>
          <cell r="BH68">
            <v>123.89</v>
          </cell>
          <cell r="BI68">
            <v>122.41</v>
          </cell>
        </row>
        <row r="69">
          <cell r="A69" t="str">
            <v>PUR JDWind4 Wind</v>
          </cell>
          <cell r="B69">
            <v>1391.88</v>
          </cell>
          <cell r="C69">
            <v>1353.9</v>
          </cell>
          <cell r="D69">
            <v>1292.35</v>
          </cell>
          <cell r="E69">
            <v>1255.47</v>
          </cell>
          <cell r="F69">
            <v>1351.57</v>
          </cell>
          <cell r="G69">
            <v>1431.1</v>
          </cell>
          <cell r="H69">
            <v>1349.07</v>
          </cell>
          <cell r="I69">
            <v>1441.83</v>
          </cell>
          <cell r="J69">
            <v>1247.22</v>
          </cell>
          <cell r="K69">
            <v>1448.74</v>
          </cell>
          <cell r="L69">
            <v>1321.24</v>
          </cell>
          <cell r="M69">
            <v>1312.53</v>
          </cell>
          <cell r="N69">
            <v>1399.33</v>
          </cell>
          <cell r="O69">
            <v>1234.11</v>
          </cell>
          <cell r="P69">
            <v>1229.4</v>
          </cell>
          <cell r="Q69">
            <v>1345.8</v>
          </cell>
          <cell r="R69">
            <v>1326.67</v>
          </cell>
          <cell r="S69">
            <v>1279.28</v>
          </cell>
          <cell r="T69">
            <v>1324.61</v>
          </cell>
          <cell r="U69">
            <v>1351.4</v>
          </cell>
          <cell r="V69">
            <v>1434.07</v>
          </cell>
          <cell r="W69">
            <v>1285.14</v>
          </cell>
          <cell r="X69">
            <v>1209.37</v>
          </cell>
          <cell r="Y69">
            <v>1338.31</v>
          </cell>
          <cell r="Z69">
            <v>1229.56</v>
          </cell>
          <cell r="AA69">
            <v>1123.28</v>
          </cell>
          <cell r="AB69">
            <v>1170.5</v>
          </cell>
          <cell r="AC69">
            <v>1111.88</v>
          </cell>
          <cell r="AD69">
            <v>1286.1</v>
          </cell>
          <cell r="AE69">
            <v>1249.95</v>
          </cell>
          <cell r="AF69">
            <v>1187.82</v>
          </cell>
          <cell r="AG69">
            <v>1184.98</v>
          </cell>
          <cell r="AH69">
            <v>1157.5</v>
          </cell>
          <cell r="AI69">
            <v>1256.64</v>
          </cell>
          <cell r="AJ69">
            <v>1141.59</v>
          </cell>
          <cell r="AK69">
            <v>1213.35</v>
          </cell>
          <cell r="AL69">
            <v>1099.93</v>
          </cell>
          <cell r="AM69">
            <v>993.48</v>
          </cell>
          <cell r="AN69">
            <v>1128.76</v>
          </cell>
          <cell r="AO69">
            <v>1048.56</v>
          </cell>
          <cell r="AP69">
            <v>1051.51</v>
          </cell>
          <cell r="AQ69">
            <v>1200.4</v>
          </cell>
          <cell r="AR69">
            <v>1034.94</v>
          </cell>
          <cell r="AS69">
            <v>1099.19</v>
          </cell>
          <cell r="AT69">
            <v>1051.45</v>
          </cell>
          <cell r="AU69">
            <v>1078.18</v>
          </cell>
          <cell r="AV69">
            <v>1090.81</v>
          </cell>
          <cell r="AW69">
            <v>1073.56</v>
          </cell>
          <cell r="AX69">
            <v>1024.48</v>
          </cell>
          <cell r="AY69">
            <v>945.16</v>
          </cell>
          <cell r="AZ69">
            <v>1049.98</v>
          </cell>
          <cell r="BA69">
            <v>937.9</v>
          </cell>
          <cell r="BB69">
            <v>937.39</v>
          </cell>
          <cell r="BC69">
            <v>1141.93</v>
          </cell>
          <cell r="BD69">
            <v>918.65</v>
          </cell>
          <cell r="BE69">
            <v>1062.47</v>
          </cell>
          <cell r="BF69">
            <v>987.97</v>
          </cell>
          <cell r="BG69">
            <v>998.96</v>
          </cell>
          <cell r="BH69">
            <v>986.21</v>
          </cell>
          <cell r="BI69">
            <v>984.15</v>
          </cell>
        </row>
        <row r="70">
          <cell r="A70" t="str">
            <v>PUR Natl Wind</v>
          </cell>
          <cell r="B70">
            <v>11.12</v>
          </cell>
          <cell r="C70">
            <v>11.56</v>
          </cell>
          <cell r="D70">
            <v>10.66</v>
          </cell>
          <cell r="E70">
            <v>10.4</v>
          </cell>
          <cell r="F70">
            <v>11.13</v>
          </cell>
          <cell r="G70">
            <v>11.83</v>
          </cell>
          <cell r="H70">
            <v>11.14</v>
          </cell>
          <cell r="I70">
            <v>11.87</v>
          </cell>
          <cell r="J70">
            <v>10.28</v>
          </cell>
          <cell r="K70">
            <v>12.15</v>
          </cell>
          <cell r="L70">
            <v>10.41</v>
          </cell>
          <cell r="M70">
            <v>11.1</v>
          </cell>
          <cell r="N70">
            <v>11.71</v>
          </cell>
          <cell r="O70">
            <v>10.06</v>
          </cell>
          <cell r="P70">
            <v>10.18</v>
          </cell>
          <cell r="Q70">
            <v>11.12</v>
          </cell>
          <cell r="R70">
            <v>10.79</v>
          </cell>
          <cell r="S70">
            <v>10.7</v>
          </cell>
          <cell r="T70">
            <v>10.86</v>
          </cell>
          <cell r="U70">
            <v>11.14</v>
          </cell>
          <cell r="V70">
            <v>11.88</v>
          </cell>
          <cell r="W70">
            <v>10.57</v>
          </cell>
          <cell r="X70">
            <v>10</v>
          </cell>
          <cell r="Y70">
            <v>11.02</v>
          </cell>
          <cell r="Z70">
            <v>10.15</v>
          </cell>
          <cell r="AA70">
            <v>9.3</v>
          </cell>
          <cell r="AB70">
            <v>9.58</v>
          </cell>
          <cell r="AC70">
            <v>9.1</v>
          </cell>
          <cell r="AD70">
            <v>10.75</v>
          </cell>
          <cell r="AE70">
            <v>10.34</v>
          </cell>
          <cell r="AF70">
            <v>9.82</v>
          </cell>
          <cell r="AG70">
            <v>9.67</v>
          </cell>
          <cell r="AH70">
            <v>9.96</v>
          </cell>
          <cell r="AI70">
            <v>10.03</v>
          </cell>
          <cell r="AJ70">
            <v>9.49</v>
          </cell>
          <cell r="AK70">
            <v>9.93</v>
          </cell>
          <cell r="AL70">
            <v>9.06</v>
          </cell>
          <cell r="AM70">
            <v>8.25</v>
          </cell>
          <cell r="AN70">
            <v>9.17</v>
          </cell>
          <cell r="AO70">
            <v>8.95</v>
          </cell>
          <cell r="AP70">
            <v>8.5</v>
          </cell>
          <cell r="AQ70">
            <v>9.89</v>
          </cell>
          <cell r="AR70">
            <v>8.56</v>
          </cell>
          <cell r="AS70">
            <v>8.99</v>
          </cell>
          <cell r="AT70">
            <v>8.44</v>
          </cell>
          <cell r="AU70">
            <v>9.2</v>
          </cell>
          <cell r="AV70">
            <v>9.08</v>
          </cell>
          <cell r="AW70">
            <v>8.79</v>
          </cell>
          <cell r="AX70">
            <v>8.33</v>
          </cell>
          <cell r="AY70">
            <v>7.93</v>
          </cell>
          <cell r="AZ70">
            <v>8.6</v>
          </cell>
          <cell r="BA70">
            <v>7.71</v>
          </cell>
          <cell r="BB70">
            <v>7.79</v>
          </cell>
          <cell r="BC70">
            <v>9.5</v>
          </cell>
          <cell r="BD70">
            <v>7.56</v>
          </cell>
          <cell r="BE70">
            <v>8.77</v>
          </cell>
          <cell r="BF70">
            <v>8.03</v>
          </cell>
          <cell r="BG70">
            <v>8.35</v>
          </cell>
          <cell r="BH70">
            <v>8.48</v>
          </cell>
          <cell r="BI70">
            <v>7.78</v>
          </cell>
        </row>
        <row r="71">
          <cell r="A71" t="str">
            <v>PUR Wildrdo Wind</v>
          </cell>
          <cell r="B71">
            <v>0</v>
          </cell>
          <cell r="C71">
            <v>0</v>
          </cell>
          <cell r="D71">
            <v>0</v>
          </cell>
          <cell r="E71">
            <v>0</v>
          </cell>
          <cell r="F71">
            <v>1445.24</v>
          </cell>
          <cell r="G71">
            <v>1277.99</v>
          </cell>
          <cell r="H71">
            <v>1148.73</v>
          </cell>
          <cell r="I71">
            <v>1158.06</v>
          </cell>
          <cell r="J71">
            <v>1261.55</v>
          </cell>
          <cell r="K71">
            <v>1144.08</v>
          </cell>
          <cell r="L71">
            <v>1424.39</v>
          </cell>
          <cell r="M71">
            <v>1392.24</v>
          </cell>
          <cell r="N71">
            <v>1344.94</v>
          </cell>
          <cell r="O71">
            <v>1376.67</v>
          </cell>
          <cell r="P71">
            <v>1578.41</v>
          </cell>
          <cell r="Q71">
            <v>1712.65</v>
          </cell>
          <cell r="R71">
            <v>1474.12</v>
          </cell>
          <cell r="S71">
            <v>1303.54</v>
          </cell>
          <cell r="T71">
            <v>1171.69</v>
          </cell>
          <cell r="U71">
            <v>1181.2</v>
          </cell>
          <cell r="V71">
            <v>1286.76</v>
          </cell>
          <cell r="W71">
            <v>1166.95</v>
          </cell>
          <cell r="X71">
            <v>1452.86</v>
          </cell>
          <cell r="Y71">
            <v>1420.07</v>
          </cell>
          <cell r="Z71">
            <v>1370.42</v>
          </cell>
          <cell r="AA71">
            <v>1295.21</v>
          </cell>
          <cell r="AB71">
            <v>1608.31</v>
          </cell>
          <cell r="AC71">
            <v>1745.09</v>
          </cell>
          <cell r="AD71">
            <v>1502.04</v>
          </cell>
          <cell r="AE71">
            <v>1328.23</v>
          </cell>
          <cell r="AF71">
            <v>1193.88</v>
          </cell>
          <cell r="AG71">
            <v>1203.58</v>
          </cell>
          <cell r="AH71">
            <v>1311.13</v>
          </cell>
          <cell r="AI71">
            <v>1189.05</v>
          </cell>
          <cell r="AJ71">
            <v>1480.38</v>
          </cell>
          <cell r="AK71">
            <v>1446.97</v>
          </cell>
          <cell r="AL71">
            <v>1396.33</v>
          </cell>
          <cell r="AM71">
            <v>1319.71</v>
          </cell>
          <cell r="AN71">
            <v>1638.73</v>
          </cell>
          <cell r="AO71">
            <v>1778.09</v>
          </cell>
          <cell r="AP71">
            <v>1530.45</v>
          </cell>
          <cell r="AQ71">
            <v>1353.34</v>
          </cell>
          <cell r="AR71">
            <v>1216.46</v>
          </cell>
          <cell r="AS71">
            <v>1226.34</v>
          </cell>
          <cell r="AT71">
            <v>1335.93</v>
          </cell>
          <cell r="AU71">
            <v>1211.54</v>
          </cell>
          <cell r="AV71">
            <v>1508.37</v>
          </cell>
          <cell r="AW71">
            <v>1474.33</v>
          </cell>
          <cell r="AX71">
            <v>1423.57</v>
          </cell>
          <cell r="AY71">
            <v>1345.45</v>
          </cell>
          <cell r="AZ71">
            <v>1670.69</v>
          </cell>
          <cell r="BA71">
            <v>1812.77</v>
          </cell>
          <cell r="BB71">
            <v>1560.3</v>
          </cell>
          <cell r="BC71">
            <v>1379.74</v>
          </cell>
          <cell r="BD71">
            <v>1240.18</v>
          </cell>
          <cell r="BE71">
            <v>1250.25</v>
          </cell>
          <cell r="BF71">
            <v>1361.98</v>
          </cell>
          <cell r="BG71">
            <v>1235.17</v>
          </cell>
          <cell r="BH71">
            <v>1537.79</v>
          </cell>
          <cell r="BI71">
            <v>1503.08</v>
          </cell>
        </row>
        <row r="72">
          <cell r="A72" t="str">
            <v>PUR Wind1N Wind</v>
          </cell>
          <cell r="B72">
            <v>0</v>
          </cell>
          <cell r="C72">
            <v>0</v>
          </cell>
          <cell r="D72">
            <v>0</v>
          </cell>
          <cell r="E72">
            <v>0</v>
          </cell>
          <cell r="F72">
            <v>0</v>
          </cell>
          <cell r="G72">
            <v>0</v>
          </cell>
          <cell r="H72">
            <v>0</v>
          </cell>
          <cell r="I72">
            <v>0</v>
          </cell>
          <cell r="J72">
            <v>0</v>
          </cell>
          <cell r="K72">
            <v>0</v>
          </cell>
          <cell r="L72">
            <v>0</v>
          </cell>
          <cell r="M72">
            <v>0</v>
          </cell>
          <cell r="N72">
            <v>1646.04</v>
          </cell>
          <cell r="O72">
            <v>1684.87</v>
          </cell>
          <cell r="P72">
            <v>1931.78</v>
          </cell>
          <cell r="Q72">
            <v>2096.06</v>
          </cell>
          <cell r="R72">
            <v>1804.14</v>
          </cell>
          <cell r="S72">
            <v>1595.36</v>
          </cell>
          <cell r="T72">
            <v>1434</v>
          </cell>
          <cell r="U72">
            <v>1445.64</v>
          </cell>
          <cell r="V72">
            <v>1574.83</v>
          </cell>
          <cell r="W72">
            <v>1428.2</v>
          </cell>
          <cell r="X72">
            <v>1778.11</v>
          </cell>
          <cell r="Y72">
            <v>1737.98</v>
          </cell>
          <cell r="Z72">
            <v>1495.16</v>
          </cell>
          <cell r="AA72">
            <v>1413.11</v>
          </cell>
          <cell r="AB72">
            <v>1754.71</v>
          </cell>
          <cell r="AC72">
            <v>1903.94</v>
          </cell>
          <cell r="AD72">
            <v>1638.77</v>
          </cell>
          <cell r="AE72">
            <v>1449.13</v>
          </cell>
          <cell r="AF72">
            <v>1302.56</v>
          </cell>
          <cell r="AG72">
            <v>1313.13</v>
          </cell>
          <cell r="AH72">
            <v>1430.48</v>
          </cell>
          <cell r="AI72">
            <v>1297.29</v>
          </cell>
          <cell r="AJ72">
            <v>1615.13</v>
          </cell>
          <cell r="AK72">
            <v>1578.68</v>
          </cell>
          <cell r="AL72">
            <v>1352.85</v>
          </cell>
          <cell r="AM72">
            <v>1278.61</v>
          </cell>
          <cell r="AN72">
            <v>1587.69</v>
          </cell>
          <cell r="AO72">
            <v>1722.72</v>
          </cell>
          <cell r="AP72">
            <v>1482.79</v>
          </cell>
          <cell r="AQ72">
            <v>1311.2</v>
          </cell>
          <cell r="AR72">
            <v>1178.58</v>
          </cell>
          <cell r="AS72">
            <v>1188.15</v>
          </cell>
          <cell r="AT72">
            <v>1294.32</v>
          </cell>
          <cell r="AU72">
            <v>1173.81</v>
          </cell>
          <cell r="AV72">
            <v>1461.4</v>
          </cell>
          <cell r="AW72">
            <v>1428.42</v>
          </cell>
          <cell r="AX72">
            <v>1250.95</v>
          </cell>
          <cell r="AY72">
            <v>1182.3</v>
          </cell>
          <cell r="AZ72">
            <v>1468.1</v>
          </cell>
          <cell r="BA72">
            <v>1592.95</v>
          </cell>
          <cell r="BB72">
            <v>1371.1</v>
          </cell>
          <cell r="BC72">
            <v>1212.43</v>
          </cell>
          <cell r="BD72">
            <v>1089.8</v>
          </cell>
          <cell r="BE72">
            <v>1098.65</v>
          </cell>
          <cell r="BF72">
            <v>1196.83</v>
          </cell>
          <cell r="BG72">
            <v>1085.39</v>
          </cell>
          <cell r="BH72">
            <v>1351.32</v>
          </cell>
          <cell r="BI72">
            <v>1320.82</v>
          </cell>
        </row>
        <row r="73">
          <cell r="A73" t="str">
            <v>PUR Wind1S Wind</v>
          </cell>
          <cell r="B73">
            <v>0</v>
          </cell>
          <cell r="C73">
            <v>0</v>
          </cell>
          <cell r="D73">
            <v>0</v>
          </cell>
          <cell r="E73">
            <v>0</v>
          </cell>
          <cell r="F73">
            <v>0</v>
          </cell>
          <cell r="G73">
            <v>0</v>
          </cell>
          <cell r="H73">
            <v>0</v>
          </cell>
          <cell r="I73">
            <v>0</v>
          </cell>
          <cell r="J73">
            <v>0</v>
          </cell>
          <cell r="K73">
            <v>0</v>
          </cell>
          <cell r="L73">
            <v>0</v>
          </cell>
          <cell r="M73">
            <v>0</v>
          </cell>
          <cell r="N73">
            <v>1646.04</v>
          </cell>
          <cell r="O73">
            <v>1684.87</v>
          </cell>
          <cell r="P73">
            <v>1931.78</v>
          </cell>
          <cell r="Q73">
            <v>2096.06</v>
          </cell>
          <cell r="R73">
            <v>1804.14</v>
          </cell>
          <cell r="S73">
            <v>1595.36</v>
          </cell>
          <cell r="T73">
            <v>1434</v>
          </cell>
          <cell r="U73">
            <v>1445.64</v>
          </cell>
          <cell r="V73">
            <v>1574.83</v>
          </cell>
          <cell r="W73">
            <v>1428.2</v>
          </cell>
          <cell r="X73">
            <v>1778.11</v>
          </cell>
          <cell r="Y73">
            <v>1737.98</v>
          </cell>
          <cell r="Z73">
            <v>1495.16</v>
          </cell>
          <cell r="AA73">
            <v>1413.11</v>
          </cell>
          <cell r="AB73">
            <v>1754.71</v>
          </cell>
          <cell r="AC73">
            <v>1903.94</v>
          </cell>
          <cell r="AD73">
            <v>1638.77</v>
          </cell>
          <cell r="AE73">
            <v>1449.13</v>
          </cell>
          <cell r="AF73">
            <v>1302.56</v>
          </cell>
          <cell r="AG73">
            <v>1313.13</v>
          </cell>
          <cell r="AH73">
            <v>1430.48</v>
          </cell>
          <cell r="AI73">
            <v>1297.29</v>
          </cell>
          <cell r="AJ73">
            <v>1615.13</v>
          </cell>
          <cell r="AK73">
            <v>1578.68</v>
          </cell>
          <cell r="AL73">
            <v>1352.85</v>
          </cell>
          <cell r="AM73">
            <v>1278.61</v>
          </cell>
          <cell r="AN73">
            <v>1587.69</v>
          </cell>
          <cell r="AO73">
            <v>1722.72</v>
          </cell>
          <cell r="AP73">
            <v>1482.79</v>
          </cell>
          <cell r="AQ73">
            <v>1311.2</v>
          </cell>
          <cell r="AR73">
            <v>1178.58</v>
          </cell>
          <cell r="AS73">
            <v>1188.15</v>
          </cell>
          <cell r="AT73">
            <v>1294.32</v>
          </cell>
          <cell r="AU73">
            <v>1173.81</v>
          </cell>
          <cell r="AV73">
            <v>1461.4</v>
          </cell>
          <cell r="AW73">
            <v>1428.42</v>
          </cell>
          <cell r="AX73">
            <v>1250.95</v>
          </cell>
          <cell r="AY73">
            <v>1182.3</v>
          </cell>
          <cell r="AZ73">
            <v>1468.1</v>
          </cell>
          <cell r="BA73">
            <v>1592.95</v>
          </cell>
          <cell r="BB73">
            <v>1371.1</v>
          </cell>
          <cell r="BC73">
            <v>1212.43</v>
          </cell>
          <cell r="BD73">
            <v>1089.8</v>
          </cell>
          <cell r="BE73">
            <v>1098.65</v>
          </cell>
          <cell r="BF73">
            <v>1196.83</v>
          </cell>
          <cell r="BG73">
            <v>1085.39</v>
          </cell>
          <cell r="BH73">
            <v>1351.32</v>
          </cell>
          <cell r="BI73">
            <v>1320.82</v>
          </cell>
        </row>
        <row r="74">
          <cell r="A74" t="str">
            <v>SAL GSEC PR</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row>
        <row r="75">
          <cell r="A75" t="str">
            <v>PUR CEM CC</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10505.87</v>
          </cell>
          <cell r="T75">
            <v>12691.44</v>
          </cell>
          <cell r="U75">
            <v>12321.86</v>
          </cell>
          <cell r="V75">
            <v>10701.88</v>
          </cell>
          <cell r="W75">
            <v>11478.6</v>
          </cell>
          <cell r="X75">
            <v>12161.58</v>
          </cell>
          <cell r="Y75">
            <v>12353.75</v>
          </cell>
          <cell r="Z75">
            <v>13654.07</v>
          </cell>
          <cell r="AA75">
            <v>14651.54</v>
          </cell>
          <cell r="AB75">
            <v>11015.09</v>
          </cell>
          <cell r="AC75">
            <v>11727.13</v>
          </cell>
          <cell r="AD75">
            <v>10953.93</v>
          </cell>
          <cell r="AE75">
            <v>10808.06</v>
          </cell>
          <cell r="AF75">
            <v>12890.59</v>
          </cell>
          <cell r="AG75">
            <v>12207.04</v>
          </cell>
          <cell r="AH75">
            <v>10778.32</v>
          </cell>
          <cell r="AI75">
            <v>11055.59</v>
          </cell>
          <cell r="AJ75">
            <v>9982.97</v>
          </cell>
          <cell r="AK75">
            <v>11906.76</v>
          </cell>
          <cell r="AL75">
            <v>13067.95</v>
          </cell>
          <cell r="AM75">
            <v>12598.75</v>
          </cell>
          <cell r="AN75">
            <v>11694.21</v>
          </cell>
          <cell r="AO75">
            <v>11139.12</v>
          </cell>
          <cell r="AP75">
            <v>11913.23</v>
          </cell>
          <cell r="AQ75">
            <v>12322.8</v>
          </cell>
          <cell r="AR75">
            <v>13395.42</v>
          </cell>
          <cell r="AS75">
            <v>13173.17</v>
          </cell>
          <cell r="AT75">
            <v>13067.71</v>
          </cell>
          <cell r="AU75">
            <v>11495.22</v>
          </cell>
          <cell r="AV75">
            <v>12241.67</v>
          </cell>
          <cell r="AW75">
            <v>14070.9</v>
          </cell>
          <cell r="AX75">
            <v>14046.16</v>
          </cell>
          <cell r="AY75">
            <v>15312.38</v>
          </cell>
          <cell r="AZ75">
            <v>14202.44</v>
          </cell>
          <cell r="BA75">
            <v>13263.28</v>
          </cell>
          <cell r="BB75">
            <v>11452.28</v>
          </cell>
          <cell r="BC75">
            <v>11973.19</v>
          </cell>
          <cell r="BD75">
            <v>12899.42</v>
          </cell>
          <cell r="BE75">
            <v>12819.04</v>
          </cell>
          <cell r="BF75">
            <v>11946.1</v>
          </cell>
          <cell r="BG75">
            <v>10992.74</v>
          </cell>
          <cell r="BH75">
            <v>11662.14</v>
          </cell>
          <cell r="BI75">
            <v>13328.77</v>
          </cell>
        </row>
        <row r="76">
          <cell r="A76" t="str">
            <v>PUR TEA20</v>
          </cell>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row>
        <row r="77">
          <cell r="A77" t="str">
            <v>PUR JDWind5 Wind</v>
          </cell>
          <cell r="B77">
            <v>174.26</v>
          </cell>
          <cell r="C77">
            <v>168.72</v>
          </cell>
          <cell r="D77">
            <v>161.78</v>
          </cell>
          <cell r="E77">
            <v>157.24</v>
          </cell>
          <cell r="F77">
            <v>169.03</v>
          </cell>
          <cell r="G77">
            <v>178.5</v>
          </cell>
          <cell r="H77">
            <v>168.58</v>
          </cell>
          <cell r="I77">
            <v>180.05</v>
          </cell>
          <cell r="J77">
            <v>156.13</v>
          </cell>
          <cell r="K77">
            <v>181.2</v>
          </cell>
          <cell r="L77">
            <v>165.17</v>
          </cell>
          <cell r="M77">
            <v>163.94</v>
          </cell>
          <cell r="N77">
            <v>173.87</v>
          </cell>
          <cell r="O77">
            <v>155.31</v>
          </cell>
          <cell r="P77">
            <v>155.22</v>
          </cell>
          <cell r="Q77">
            <v>166.01</v>
          </cell>
          <cell r="R77">
            <v>166.84</v>
          </cell>
          <cell r="S77">
            <v>159.19</v>
          </cell>
          <cell r="T77">
            <v>166.24</v>
          </cell>
          <cell r="U77">
            <v>168.64</v>
          </cell>
          <cell r="V77">
            <v>178.55</v>
          </cell>
          <cell r="W77">
            <v>161.05</v>
          </cell>
          <cell r="X77">
            <v>151.47</v>
          </cell>
          <cell r="Y77">
            <v>167.29</v>
          </cell>
          <cell r="Z77">
            <v>152.67</v>
          </cell>
          <cell r="AA77">
            <v>141.44</v>
          </cell>
          <cell r="AB77">
            <v>145.49</v>
          </cell>
          <cell r="AC77">
            <v>139.9</v>
          </cell>
          <cell r="AD77">
            <v>160.67</v>
          </cell>
          <cell r="AE77">
            <v>156.18</v>
          </cell>
          <cell r="AF77">
            <v>148.49</v>
          </cell>
          <cell r="AG77">
            <v>147.86</v>
          </cell>
          <cell r="AH77">
            <v>144.33</v>
          </cell>
          <cell r="AI77">
            <v>157.67</v>
          </cell>
          <cell r="AJ77">
            <v>142.68</v>
          </cell>
          <cell r="AK77">
            <v>151.77</v>
          </cell>
          <cell r="AL77">
            <v>137.49</v>
          </cell>
          <cell r="AM77">
            <v>124.19</v>
          </cell>
          <cell r="AN77">
            <v>141.25</v>
          </cell>
          <cell r="AO77">
            <v>130.41</v>
          </cell>
          <cell r="AP77">
            <v>131.95</v>
          </cell>
          <cell r="AQ77">
            <v>149.81</v>
          </cell>
          <cell r="AR77">
            <v>129.61</v>
          </cell>
          <cell r="AS77">
            <v>137.31</v>
          </cell>
          <cell r="AT77">
            <v>131.58</v>
          </cell>
          <cell r="AU77">
            <v>134.72</v>
          </cell>
          <cell r="AV77">
            <v>136.41</v>
          </cell>
          <cell r="AW77">
            <v>134.14</v>
          </cell>
          <cell r="AX77">
            <v>127.88</v>
          </cell>
          <cell r="AY77">
            <v>118.65</v>
          </cell>
          <cell r="AZ77">
            <v>130.67</v>
          </cell>
          <cell r="BA77">
            <v>117.05</v>
          </cell>
          <cell r="BB77">
            <v>117.79</v>
          </cell>
          <cell r="BC77">
            <v>142.57</v>
          </cell>
          <cell r="BD77">
            <v>114.83</v>
          </cell>
          <cell r="BE77">
            <v>132.77</v>
          </cell>
          <cell r="BF77">
            <v>123.6</v>
          </cell>
          <cell r="BG77">
            <v>124.8</v>
          </cell>
          <cell r="BH77">
            <v>123.2</v>
          </cell>
          <cell r="BI77">
            <v>123.09</v>
          </cell>
        </row>
        <row r="78">
          <cell r="A78" t="str">
            <v>PUR JDWind6 Wind</v>
          </cell>
          <cell r="B78">
            <v>174.26</v>
          </cell>
          <cell r="C78">
            <v>168.95</v>
          </cell>
          <cell r="D78">
            <v>161.55</v>
          </cell>
          <cell r="E78">
            <v>157.49</v>
          </cell>
          <cell r="F78">
            <v>169</v>
          </cell>
          <cell r="G78">
            <v>178.27</v>
          </cell>
          <cell r="H78">
            <v>169.03</v>
          </cell>
          <cell r="I78">
            <v>179.55</v>
          </cell>
          <cell r="J78">
            <v>156.19</v>
          </cell>
          <cell r="K78">
            <v>181.2</v>
          </cell>
          <cell r="L78">
            <v>164.79</v>
          </cell>
          <cell r="M78">
            <v>164.33</v>
          </cell>
          <cell r="N78">
            <v>173.38</v>
          </cell>
          <cell r="O78">
            <v>155.8</v>
          </cell>
          <cell r="P78">
            <v>155.37</v>
          </cell>
          <cell r="Q78">
            <v>165.86</v>
          </cell>
          <cell r="R78">
            <v>166.84</v>
          </cell>
          <cell r="S78">
            <v>159.44</v>
          </cell>
          <cell r="T78">
            <v>165.99</v>
          </cell>
          <cell r="U78">
            <v>168.64</v>
          </cell>
          <cell r="V78">
            <v>179.28</v>
          </cell>
          <cell r="W78">
            <v>160.32</v>
          </cell>
          <cell r="X78">
            <v>151.47</v>
          </cell>
          <cell r="Y78">
            <v>167.29</v>
          </cell>
          <cell r="Z78">
            <v>153.2</v>
          </cell>
          <cell r="AA78">
            <v>140.9</v>
          </cell>
          <cell r="AB78">
            <v>145.69</v>
          </cell>
          <cell r="AC78">
            <v>140.24</v>
          </cell>
          <cell r="AD78">
            <v>160.12</v>
          </cell>
          <cell r="AE78">
            <v>156.22</v>
          </cell>
          <cell r="AF78">
            <v>148.43</v>
          </cell>
          <cell r="AG78">
            <v>147.94</v>
          </cell>
          <cell r="AH78">
            <v>144.47</v>
          </cell>
          <cell r="AI78">
            <v>157.47</v>
          </cell>
          <cell r="AJ78">
            <v>142.33</v>
          </cell>
          <cell r="AK78">
            <v>152.11</v>
          </cell>
          <cell r="AL78">
            <v>137.49</v>
          </cell>
          <cell r="AM78">
            <v>124.19</v>
          </cell>
          <cell r="AN78">
            <v>140.69</v>
          </cell>
          <cell r="AO78">
            <v>130.72</v>
          </cell>
          <cell r="AP78">
            <v>132.19</v>
          </cell>
          <cell r="AQ78">
            <v>149.93</v>
          </cell>
          <cell r="AR78">
            <v>129.48</v>
          </cell>
          <cell r="AS78">
            <v>137.43</v>
          </cell>
          <cell r="AT78">
            <v>131.58</v>
          </cell>
          <cell r="AU78">
            <v>134.6</v>
          </cell>
          <cell r="AV78">
            <v>136.14</v>
          </cell>
          <cell r="AW78">
            <v>134.41</v>
          </cell>
          <cell r="AX78">
            <v>127.99</v>
          </cell>
          <cell r="AY78">
            <v>118.53</v>
          </cell>
          <cell r="AZ78">
            <v>130.55</v>
          </cell>
          <cell r="BA78">
            <v>117.17</v>
          </cell>
          <cell r="BB78">
            <v>117.91</v>
          </cell>
          <cell r="BC78">
            <v>142.46</v>
          </cell>
          <cell r="BD78">
            <v>114.83</v>
          </cell>
          <cell r="BE78">
            <v>132.83</v>
          </cell>
          <cell r="BF78">
            <v>123.95</v>
          </cell>
          <cell r="BG78">
            <v>124.51</v>
          </cell>
          <cell r="BH78">
            <v>122.86</v>
          </cell>
          <cell r="BI78">
            <v>123.32</v>
          </cell>
        </row>
      </sheetData>
      <sheetData sheetId="4" refreshError="1"/>
      <sheetData sheetId="5" refreshError="1">
        <row r="2">
          <cell r="A2" t="str">
            <v>Scenario</v>
          </cell>
          <cell r="B2" t="str">
            <v>SPS_012907_PNS</v>
          </cell>
        </row>
        <row r="4">
          <cell r="A4" t="str">
            <v>Sum of Gbtu</v>
          </cell>
          <cell r="B4" t="str">
            <v>Year</v>
          </cell>
          <cell r="C4" t="str">
            <v>Month</v>
          </cell>
        </row>
        <row r="5">
          <cell r="B5">
            <v>2007</v>
          </cell>
          <cell r="N5">
            <v>2008</v>
          </cell>
          <cell r="Z5">
            <v>2009</v>
          </cell>
          <cell r="AL5">
            <v>2010</v>
          </cell>
          <cell r="AX5">
            <v>2011</v>
          </cell>
        </row>
        <row r="6">
          <cell r="A6" t="str">
            <v>Source</v>
          </cell>
          <cell r="B6">
            <v>1</v>
          </cell>
          <cell r="C6">
            <v>2</v>
          </cell>
          <cell r="D6">
            <v>3</v>
          </cell>
          <cell r="E6">
            <v>4</v>
          </cell>
          <cell r="F6">
            <v>5</v>
          </cell>
          <cell r="G6">
            <v>6</v>
          </cell>
          <cell r="H6">
            <v>7</v>
          </cell>
          <cell r="I6">
            <v>8</v>
          </cell>
          <cell r="J6">
            <v>9</v>
          </cell>
          <cell r="K6">
            <v>10</v>
          </cell>
          <cell r="L6">
            <v>11</v>
          </cell>
          <cell r="M6">
            <v>12</v>
          </cell>
          <cell r="N6">
            <v>1</v>
          </cell>
          <cell r="O6">
            <v>2</v>
          </cell>
          <cell r="P6">
            <v>3</v>
          </cell>
          <cell r="Q6">
            <v>4</v>
          </cell>
          <cell r="R6">
            <v>5</v>
          </cell>
          <cell r="S6">
            <v>6</v>
          </cell>
          <cell r="T6">
            <v>7</v>
          </cell>
          <cell r="U6">
            <v>8</v>
          </cell>
          <cell r="V6">
            <v>9</v>
          </cell>
          <cell r="W6">
            <v>10</v>
          </cell>
          <cell r="X6">
            <v>11</v>
          </cell>
          <cell r="Y6">
            <v>12</v>
          </cell>
          <cell r="Z6">
            <v>1</v>
          </cell>
          <cell r="AA6">
            <v>2</v>
          </cell>
          <cell r="AB6">
            <v>3</v>
          </cell>
          <cell r="AC6">
            <v>4</v>
          </cell>
          <cell r="AD6">
            <v>5</v>
          </cell>
          <cell r="AE6">
            <v>6</v>
          </cell>
          <cell r="AF6">
            <v>7</v>
          </cell>
          <cell r="AG6">
            <v>8</v>
          </cell>
          <cell r="AH6">
            <v>9</v>
          </cell>
          <cell r="AI6">
            <v>10</v>
          </cell>
          <cell r="AJ6">
            <v>11</v>
          </cell>
          <cell r="AK6">
            <v>12</v>
          </cell>
          <cell r="AL6">
            <v>1</v>
          </cell>
          <cell r="AM6">
            <v>2</v>
          </cell>
          <cell r="AN6">
            <v>3</v>
          </cell>
          <cell r="AO6">
            <v>4</v>
          </cell>
          <cell r="AP6">
            <v>5</v>
          </cell>
          <cell r="AQ6">
            <v>6</v>
          </cell>
          <cell r="AR6">
            <v>7</v>
          </cell>
          <cell r="AS6">
            <v>8</v>
          </cell>
          <cell r="AT6">
            <v>9</v>
          </cell>
          <cell r="AU6">
            <v>10</v>
          </cell>
          <cell r="AV6">
            <v>11</v>
          </cell>
          <cell r="AW6">
            <v>12</v>
          </cell>
          <cell r="AX6">
            <v>1</v>
          </cell>
          <cell r="AY6">
            <v>2</v>
          </cell>
          <cell r="AZ6">
            <v>3</v>
          </cell>
          <cell r="BA6">
            <v>4</v>
          </cell>
          <cell r="BB6">
            <v>5</v>
          </cell>
          <cell r="BC6">
            <v>6</v>
          </cell>
          <cell r="BD6">
            <v>7</v>
          </cell>
          <cell r="BE6">
            <v>8</v>
          </cell>
          <cell r="BF6">
            <v>9</v>
          </cell>
          <cell r="BG6">
            <v>10</v>
          </cell>
          <cell r="BH6">
            <v>11</v>
          </cell>
          <cell r="BI6">
            <v>12</v>
          </cell>
        </row>
        <row r="7">
          <cell r="A7" t="str">
            <v>BLACKHAWK 1</v>
          </cell>
          <cell r="B7">
            <v>426.3803</v>
          </cell>
          <cell r="C7">
            <v>446.308</v>
          </cell>
          <cell r="D7">
            <v>440.6766</v>
          </cell>
          <cell r="E7">
            <v>452.6125</v>
          </cell>
          <cell r="F7">
            <v>448.6706</v>
          </cell>
          <cell r="G7">
            <v>436.4849</v>
          </cell>
          <cell r="H7">
            <v>467.2235</v>
          </cell>
          <cell r="I7">
            <v>460.8478</v>
          </cell>
          <cell r="J7">
            <v>431.3325</v>
          </cell>
          <cell r="K7">
            <v>260.3219</v>
          </cell>
          <cell r="L7">
            <v>408.3005</v>
          </cell>
          <cell r="M7">
            <v>405.2693</v>
          </cell>
          <cell r="N7">
            <v>423.2601</v>
          </cell>
          <cell r="O7">
            <v>417.1284</v>
          </cell>
          <cell r="P7">
            <v>458.5307</v>
          </cell>
          <cell r="Q7">
            <v>451.4807</v>
          </cell>
          <cell r="R7">
            <v>442.7691</v>
          </cell>
          <cell r="S7">
            <v>405.6604</v>
          </cell>
          <cell r="T7">
            <v>450.9911</v>
          </cell>
          <cell r="U7">
            <v>449.1093</v>
          </cell>
          <cell r="V7">
            <v>415.4259</v>
          </cell>
          <cell r="W7">
            <v>256.6722</v>
          </cell>
          <cell r="X7">
            <v>352.5571</v>
          </cell>
          <cell r="Y7">
            <v>270.1353</v>
          </cell>
          <cell r="Z7">
            <v>346.6248</v>
          </cell>
          <cell r="AA7">
            <v>411.8469</v>
          </cell>
          <cell r="AB7">
            <v>323.9407</v>
          </cell>
          <cell r="AC7">
            <v>416.1626</v>
          </cell>
          <cell r="AD7">
            <v>426.8445</v>
          </cell>
          <cell r="AE7">
            <v>427.4046</v>
          </cell>
          <cell r="AF7">
            <v>451.336</v>
          </cell>
          <cell r="AG7">
            <v>451.1234</v>
          </cell>
          <cell r="AH7">
            <v>419.652</v>
          </cell>
          <cell r="AI7">
            <v>214.2619</v>
          </cell>
          <cell r="AJ7">
            <v>210.5047</v>
          </cell>
          <cell r="AK7">
            <v>267.226</v>
          </cell>
          <cell r="AL7">
            <v>335.7774</v>
          </cell>
          <cell r="AM7">
            <v>363.7893</v>
          </cell>
          <cell r="AN7">
            <v>334.5066</v>
          </cell>
          <cell r="AO7">
            <v>400.3101</v>
          </cell>
          <cell r="AP7">
            <v>392.2424</v>
          </cell>
          <cell r="AQ7">
            <v>411.8241</v>
          </cell>
          <cell r="AR7">
            <v>447.8456</v>
          </cell>
          <cell r="AS7">
            <v>439.5282</v>
          </cell>
          <cell r="AT7">
            <v>421.8267</v>
          </cell>
          <cell r="AU7">
            <v>328.1305</v>
          </cell>
          <cell r="AV7">
            <v>346.2647</v>
          </cell>
          <cell r="AW7">
            <v>369.0067</v>
          </cell>
          <cell r="AX7">
            <v>378.4246</v>
          </cell>
          <cell r="AY7">
            <v>427.0725</v>
          </cell>
          <cell r="AZ7">
            <v>449.8234</v>
          </cell>
          <cell r="BA7">
            <v>448.045</v>
          </cell>
          <cell r="BB7">
            <v>420.2058</v>
          </cell>
          <cell r="BC7">
            <v>417.7867</v>
          </cell>
          <cell r="BD7">
            <v>454.1669</v>
          </cell>
          <cell r="BE7">
            <v>451.4873</v>
          </cell>
          <cell r="BF7">
            <v>435.3991</v>
          </cell>
          <cell r="BG7">
            <v>344.3072</v>
          </cell>
          <cell r="BH7">
            <v>350.1633</v>
          </cell>
          <cell r="BI7">
            <v>376.9363</v>
          </cell>
        </row>
        <row r="8">
          <cell r="A8" t="str">
            <v>BLACKHAWK 2</v>
          </cell>
          <cell r="B8">
            <v>436.9051</v>
          </cell>
          <cell r="C8">
            <v>447.8508</v>
          </cell>
          <cell r="D8">
            <v>423.5696</v>
          </cell>
          <cell r="E8">
            <v>364.0818</v>
          </cell>
          <cell r="F8">
            <v>444.5117</v>
          </cell>
          <cell r="G8">
            <v>430.5555</v>
          </cell>
          <cell r="H8">
            <v>447.2009</v>
          </cell>
          <cell r="I8">
            <v>449.8213</v>
          </cell>
          <cell r="J8">
            <v>425.3157</v>
          </cell>
          <cell r="K8">
            <v>452.9525</v>
          </cell>
          <cell r="L8">
            <v>426.6093</v>
          </cell>
          <cell r="M8">
            <v>434.0601</v>
          </cell>
          <cell r="N8">
            <v>434.9639</v>
          </cell>
          <cell r="O8">
            <v>417.9758</v>
          </cell>
          <cell r="P8">
            <v>461.5548</v>
          </cell>
          <cell r="Q8">
            <v>247.0412</v>
          </cell>
          <cell r="R8">
            <v>439.1031</v>
          </cell>
          <cell r="S8">
            <v>403.2159</v>
          </cell>
          <cell r="T8">
            <v>448.4343</v>
          </cell>
          <cell r="U8">
            <v>445.4344</v>
          </cell>
          <cell r="V8">
            <v>414.8256</v>
          </cell>
          <cell r="W8">
            <v>334.3311</v>
          </cell>
          <cell r="X8">
            <v>417.5165</v>
          </cell>
          <cell r="Y8">
            <v>411.4381</v>
          </cell>
          <cell r="Z8">
            <v>370.0631</v>
          </cell>
          <cell r="AA8">
            <v>405.7094</v>
          </cell>
          <cell r="AB8">
            <v>168.5289</v>
          </cell>
          <cell r="AC8">
            <v>334.367</v>
          </cell>
          <cell r="AD8">
            <v>412.7664</v>
          </cell>
          <cell r="AE8">
            <v>419.2752</v>
          </cell>
          <cell r="AF8">
            <v>447.7357</v>
          </cell>
          <cell r="AG8">
            <v>444.9584</v>
          </cell>
          <cell r="AH8">
            <v>415.7204</v>
          </cell>
          <cell r="AI8">
            <v>350.2352</v>
          </cell>
          <cell r="AJ8">
            <v>234.4819</v>
          </cell>
          <cell r="AK8">
            <v>284.9248</v>
          </cell>
          <cell r="AL8">
            <v>379.7544</v>
          </cell>
          <cell r="AM8">
            <v>367.8987</v>
          </cell>
          <cell r="AN8">
            <v>284.44</v>
          </cell>
          <cell r="AO8">
            <v>397.0963</v>
          </cell>
          <cell r="AP8">
            <v>370.4128</v>
          </cell>
          <cell r="AQ8">
            <v>402.2426</v>
          </cell>
          <cell r="AR8">
            <v>443.7021</v>
          </cell>
          <cell r="AS8">
            <v>444.5504</v>
          </cell>
          <cell r="AT8">
            <v>429.7501</v>
          </cell>
          <cell r="AU8">
            <v>327.2906</v>
          </cell>
          <cell r="AV8">
            <v>354.1412</v>
          </cell>
          <cell r="AW8">
            <v>374.1974</v>
          </cell>
          <cell r="AX8">
            <v>408.5826</v>
          </cell>
          <cell r="AY8">
            <v>430.0305</v>
          </cell>
          <cell r="AZ8">
            <v>435.1292</v>
          </cell>
          <cell r="BA8">
            <v>447.3966</v>
          </cell>
          <cell r="BB8">
            <v>406.1148</v>
          </cell>
          <cell r="BC8">
            <v>416.4101</v>
          </cell>
          <cell r="BD8">
            <v>445.8337</v>
          </cell>
          <cell r="BE8">
            <v>445.934</v>
          </cell>
          <cell r="BF8">
            <v>432.1688</v>
          </cell>
          <cell r="BG8">
            <v>342.9952</v>
          </cell>
          <cell r="BH8">
            <v>356.4102</v>
          </cell>
          <cell r="BI8">
            <v>394.6878</v>
          </cell>
        </row>
        <row r="9">
          <cell r="A9" t="str">
            <v>CARLS GT 5</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row>
        <row r="10">
          <cell r="A10" t="str">
            <v>CEL1GAS 1</v>
          </cell>
          <cell r="B10">
            <v>61.1156</v>
          </cell>
          <cell r="C10">
            <v>55.1715</v>
          </cell>
          <cell r="D10">
            <v>61.1156</v>
          </cell>
          <cell r="E10">
            <v>37.4228</v>
          </cell>
          <cell r="F10">
            <v>51.2366</v>
          </cell>
          <cell r="G10">
            <v>59.1063</v>
          </cell>
          <cell r="H10">
            <v>61.1156</v>
          </cell>
          <cell r="I10">
            <v>61.1156</v>
          </cell>
          <cell r="J10">
            <v>59.1063</v>
          </cell>
          <cell r="K10">
            <v>61.1156</v>
          </cell>
          <cell r="L10">
            <v>59.1063</v>
          </cell>
          <cell r="M10">
            <v>61.1156</v>
          </cell>
          <cell r="N10">
            <v>61.1156</v>
          </cell>
          <cell r="O10">
            <v>57.1807</v>
          </cell>
          <cell r="P10">
            <v>61.1156</v>
          </cell>
          <cell r="Q10">
            <v>45.2925</v>
          </cell>
          <cell r="R10">
            <v>51.2366</v>
          </cell>
          <cell r="S10">
            <v>59.1063</v>
          </cell>
          <cell r="T10">
            <v>61.1156</v>
          </cell>
          <cell r="U10">
            <v>61.1156</v>
          </cell>
          <cell r="V10">
            <v>59.1063</v>
          </cell>
          <cell r="W10">
            <v>61.1156</v>
          </cell>
          <cell r="X10">
            <v>59.1063</v>
          </cell>
          <cell r="Y10">
            <v>61.1156</v>
          </cell>
          <cell r="Z10">
            <v>61.1156</v>
          </cell>
          <cell r="AA10">
            <v>55.1715</v>
          </cell>
          <cell r="AB10">
            <v>61.1156</v>
          </cell>
          <cell r="AC10">
            <v>47.3018</v>
          </cell>
          <cell r="AD10">
            <v>45.2925</v>
          </cell>
          <cell r="AE10">
            <v>59.1063</v>
          </cell>
          <cell r="AF10">
            <v>61.1156</v>
          </cell>
          <cell r="AG10">
            <v>61.1156</v>
          </cell>
          <cell r="AH10">
            <v>59.1063</v>
          </cell>
          <cell r="AI10">
            <v>61.1156</v>
          </cell>
          <cell r="AJ10">
            <v>59.1063</v>
          </cell>
          <cell r="AK10">
            <v>61.1156</v>
          </cell>
          <cell r="AL10">
            <v>61.1156</v>
          </cell>
          <cell r="AM10">
            <v>55.1714</v>
          </cell>
          <cell r="AN10">
            <v>61.1156</v>
          </cell>
          <cell r="AO10">
            <v>49.2273</v>
          </cell>
          <cell r="AP10">
            <v>43.3669</v>
          </cell>
          <cell r="AQ10">
            <v>59.1063</v>
          </cell>
          <cell r="AR10">
            <v>61.1156</v>
          </cell>
          <cell r="AS10">
            <v>61.1156</v>
          </cell>
          <cell r="AT10">
            <v>59.1063</v>
          </cell>
          <cell r="AU10">
            <v>61.1156</v>
          </cell>
          <cell r="AV10">
            <v>59.1063</v>
          </cell>
          <cell r="AW10">
            <v>61.1156</v>
          </cell>
          <cell r="AX10">
            <v>61.1156</v>
          </cell>
          <cell r="AY10">
            <v>55.1715</v>
          </cell>
          <cell r="AZ10">
            <v>61.1156</v>
          </cell>
          <cell r="BA10">
            <v>40.6042</v>
          </cell>
          <cell r="BB10">
            <v>61.1156</v>
          </cell>
          <cell r="BC10">
            <v>59.1063</v>
          </cell>
          <cell r="BD10">
            <v>61.1156</v>
          </cell>
          <cell r="BE10">
            <v>61.1156</v>
          </cell>
          <cell r="BF10">
            <v>59.1063</v>
          </cell>
          <cell r="BG10">
            <v>61.1156</v>
          </cell>
          <cell r="BH10">
            <v>59.1063</v>
          </cell>
          <cell r="BI10">
            <v>61.1156</v>
          </cell>
        </row>
        <row r="11">
          <cell r="A11" t="str">
            <v>CEL2STM 1</v>
          </cell>
          <cell r="B11">
            <v>90.1056</v>
          </cell>
          <cell r="C11">
            <v>81.3696</v>
          </cell>
          <cell r="D11">
            <v>90.1056</v>
          </cell>
          <cell r="E11">
            <v>55.2864</v>
          </cell>
          <cell r="F11">
            <v>75.6288</v>
          </cell>
          <cell r="G11">
            <v>87.2352</v>
          </cell>
          <cell r="H11">
            <v>90.1056</v>
          </cell>
          <cell r="I11">
            <v>90.1056</v>
          </cell>
          <cell r="J11">
            <v>87.2352</v>
          </cell>
          <cell r="K11">
            <v>90.1056</v>
          </cell>
          <cell r="L11">
            <v>87.2352</v>
          </cell>
          <cell r="M11">
            <v>90.1056</v>
          </cell>
          <cell r="N11">
            <v>90.1056</v>
          </cell>
          <cell r="O11">
            <v>84.3648</v>
          </cell>
          <cell r="P11">
            <v>90.1056</v>
          </cell>
          <cell r="Q11">
            <v>66.8928</v>
          </cell>
          <cell r="R11">
            <v>75.6288</v>
          </cell>
          <cell r="S11">
            <v>87.2352</v>
          </cell>
          <cell r="T11">
            <v>90.1056</v>
          </cell>
          <cell r="U11">
            <v>90.1056</v>
          </cell>
          <cell r="V11">
            <v>87.2352</v>
          </cell>
          <cell r="W11">
            <v>90.1056</v>
          </cell>
          <cell r="X11">
            <v>87.2352</v>
          </cell>
          <cell r="Y11">
            <v>90.1056</v>
          </cell>
          <cell r="Z11">
            <v>90.1056</v>
          </cell>
          <cell r="AA11">
            <v>81.3696</v>
          </cell>
          <cell r="AB11">
            <v>90.1056</v>
          </cell>
          <cell r="AC11">
            <v>69.7632</v>
          </cell>
          <cell r="AD11">
            <v>66.8928</v>
          </cell>
          <cell r="AE11">
            <v>87.2352</v>
          </cell>
          <cell r="AF11">
            <v>90.1056</v>
          </cell>
          <cell r="AG11">
            <v>90.1056</v>
          </cell>
          <cell r="AH11">
            <v>87.2352</v>
          </cell>
          <cell r="AI11">
            <v>90.1056</v>
          </cell>
          <cell r="AJ11">
            <v>87.2352</v>
          </cell>
          <cell r="AK11">
            <v>90.1056</v>
          </cell>
          <cell r="AL11">
            <v>90.1056</v>
          </cell>
          <cell r="AM11">
            <v>81.3696</v>
          </cell>
          <cell r="AN11">
            <v>90.1056</v>
          </cell>
          <cell r="AO11">
            <v>72.6336</v>
          </cell>
          <cell r="AP11">
            <v>64.0224</v>
          </cell>
          <cell r="AQ11">
            <v>87.2352</v>
          </cell>
          <cell r="AR11">
            <v>90.1056</v>
          </cell>
          <cell r="AS11">
            <v>90.1056</v>
          </cell>
          <cell r="AT11">
            <v>87.2352</v>
          </cell>
          <cell r="AU11">
            <v>90.1056</v>
          </cell>
          <cell r="AV11">
            <v>87.2352</v>
          </cell>
          <cell r="AW11">
            <v>90.1056</v>
          </cell>
          <cell r="AX11">
            <v>90.1056</v>
          </cell>
          <cell r="AY11">
            <v>81.3696</v>
          </cell>
          <cell r="AZ11">
            <v>90.1056</v>
          </cell>
          <cell r="BA11">
            <v>59.904</v>
          </cell>
          <cell r="BB11">
            <v>90.1056</v>
          </cell>
          <cell r="BC11">
            <v>87.2352</v>
          </cell>
          <cell r="BD11">
            <v>90.1056</v>
          </cell>
          <cell r="BE11">
            <v>90.1056</v>
          </cell>
          <cell r="BF11">
            <v>87.2352</v>
          </cell>
          <cell r="BG11">
            <v>90.1056</v>
          </cell>
          <cell r="BH11">
            <v>87.2352</v>
          </cell>
          <cell r="BI11">
            <v>90.1056</v>
          </cell>
        </row>
        <row r="12">
          <cell r="A12" t="str">
            <v>CU GT 3</v>
          </cell>
          <cell r="B12">
            <v>0</v>
          </cell>
          <cell r="C12">
            <v>0</v>
          </cell>
          <cell r="D12">
            <v>0</v>
          </cell>
          <cell r="E12">
            <v>0</v>
          </cell>
          <cell r="F12">
            <v>0</v>
          </cell>
          <cell r="G12">
            <v>20.6664</v>
          </cell>
          <cell r="H12">
            <v>39.3638</v>
          </cell>
          <cell r="I12">
            <v>44.006</v>
          </cell>
          <cell r="J12">
            <v>0</v>
          </cell>
          <cell r="K12">
            <v>0</v>
          </cell>
          <cell r="L12">
            <v>0</v>
          </cell>
          <cell r="M12">
            <v>0</v>
          </cell>
          <cell r="N12">
            <v>0</v>
          </cell>
          <cell r="O12">
            <v>0</v>
          </cell>
          <cell r="P12">
            <v>0</v>
          </cell>
          <cell r="Q12">
            <v>5.2156</v>
          </cell>
          <cell r="R12">
            <v>0</v>
          </cell>
          <cell r="S12">
            <v>0</v>
          </cell>
          <cell r="T12">
            <v>17.8169</v>
          </cell>
          <cell r="U12">
            <v>11.866</v>
          </cell>
          <cell r="V12">
            <v>0</v>
          </cell>
          <cell r="W12">
            <v>0</v>
          </cell>
          <cell r="X12">
            <v>0</v>
          </cell>
          <cell r="Y12">
            <v>0</v>
          </cell>
          <cell r="Z12">
            <v>0</v>
          </cell>
          <cell r="AA12">
            <v>0</v>
          </cell>
          <cell r="AB12">
            <v>0</v>
          </cell>
          <cell r="AC12">
            <v>0</v>
          </cell>
          <cell r="AD12">
            <v>0</v>
          </cell>
          <cell r="AE12">
            <v>0</v>
          </cell>
          <cell r="AF12">
            <v>28.9327</v>
          </cell>
          <cell r="AG12">
            <v>16.9201</v>
          </cell>
          <cell r="AH12">
            <v>0</v>
          </cell>
          <cell r="AI12">
            <v>0</v>
          </cell>
          <cell r="AJ12">
            <v>0</v>
          </cell>
          <cell r="AK12">
            <v>0</v>
          </cell>
          <cell r="AL12">
            <v>0</v>
          </cell>
          <cell r="AM12">
            <v>0</v>
          </cell>
          <cell r="AN12">
            <v>0</v>
          </cell>
          <cell r="AO12">
            <v>0</v>
          </cell>
          <cell r="AP12">
            <v>0</v>
          </cell>
          <cell r="AQ12">
            <v>27.2042</v>
          </cell>
          <cell r="AR12">
            <v>25.9697</v>
          </cell>
          <cell r="AS12">
            <v>43.8919</v>
          </cell>
          <cell r="AT12">
            <v>3.3343</v>
          </cell>
          <cell r="AU12">
            <v>0</v>
          </cell>
          <cell r="AV12">
            <v>0</v>
          </cell>
          <cell r="AW12">
            <v>0</v>
          </cell>
          <cell r="AX12">
            <v>0</v>
          </cell>
          <cell r="AY12">
            <v>13.2261</v>
          </cell>
          <cell r="AZ12">
            <v>0</v>
          </cell>
          <cell r="BA12">
            <v>8.576</v>
          </cell>
          <cell r="BB12">
            <v>0</v>
          </cell>
          <cell r="BC12">
            <v>14.1961</v>
          </cell>
          <cell r="BD12">
            <v>19.6517</v>
          </cell>
          <cell r="BE12">
            <v>41.7865</v>
          </cell>
          <cell r="BF12">
            <v>0</v>
          </cell>
          <cell r="BG12">
            <v>5.6092</v>
          </cell>
          <cell r="BH12">
            <v>0</v>
          </cell>
          <cell r="BI12">
            <v>1.9083</v>
          </cell>
        </row>
        <row r="13">
          <cell r="A13" t="str">
            <v>CU GT 4</v>
          </cell>
          <cell r="B13">
            <v>0</v>
          </cell>
          <cell r="C13">
            <v>0</v>
          </cell>
          <cell r="D13">
            <v>0</v>
          </cell>
          <cell r="E13">
            <v>0</v>
          </cell>
          <cell r="F13">
            <v>0</v>
          </cell>
          <cell r="G13">
            <v>18.7289</v>
          </cell>
          <cell r="H13">
            <v>59.5453</v>
          </cell>
          <cell r="I13">
            <v>50.5875</v>
          </cell>
          <cell r="J13">
            <v>0</v>
          </cell>
          <cell r="K13">
            <v>0</v>
          </cell>
          <cell r="L13">
            <v>0</v>
          </cell>
          <cell r="M13">
            <v>0</v>
          </cell>
          <cell r="N13">
            <v>0</v>
          </cell>
          <cell r="O13">
            <v>0</v>
          </cell>
          <cell r="P13">
            <v>0</v>
          </cell>
          <cell r="Q13">
            <v>12.6663</v>
          </cell>
          <cell r="R13">
            <v>0</v>
          </cell>
          <cell r="S13">
            <v>0</v>
          </cell>
          <cell r="T13">
            <v>23.1838</v>
          </cell>
          <cell r="U13">
            <v>13.7139</v>
          </cell>
          <cell r="V13">
            <v>0</v>
          </cell>
          <cell r="W13">
            <v>0</v>
          </cell>
          <cell r="X13">
            <v>0</v>
          </cell>
          <cell r="Y13">
            <v>0</v>
          </cell>
          <cell r="Z13">
            <v>0</v>
          </cell>
          <cell r="AA13">
            <v>0</v>
          </cell>
          <cell r="AB13">
            <v>0</v>
          </cell>
          <cell r="AC13">
            <v>0</v>
          </cell>
          <cell r="AD13">
            <v>0</v>
          </cell>
          <cell r="AE13">
            <v>0</v>
          </cell>
          <cell r="AF13">
            <v>41.898</v>
          </cell>
          <cell r="AG13">
            <v>12.5997</v>
          </cell>
          <cell r="AH13">
            <v>0</v>
          </cell>
          <cell r="AI13">
            <v>0</v>
          </cell>
          <cell r="AJ13">
            <v>0</v>
          </cell>
          <cell r="AK13">
            <v>0</v>
          </cell>
          <cell r="AL13">
            <v>0</v>
          </cell>
          <cell r="AM13">
            <v>0</v>
          </cell>
          <cell r="AN13">
            <v>0</v>
          </cell>
          <cell r="AO13">
            <v>0</v>
          </cell>
          <cell r="AP13">
            <v>0</v>
          </cell>
          <cell r="AQ13">
            <v>39.9674</v>
          </cell>
          <cell r="AR13">
            <v>67.0891</v>
          </cell>
          <cell r="AS13">
            <v>64.6314</v>
          </cell>
          <cell r="AT13">
            <v>4.995</v>
          </cell>
          <cell r="AU13">
            <v>0</v>
          </cell>
          <cell r="AV13">
            <v>0</v>
          </cell>
          <cell r="AW13">
            <v>2.3945</v>
          </cell>
          <cell r="AX13">
            <v>0</v>
          </cell>
          <cell r="AY13">
            <v>28.5242</v>
          </cell>
          <cell r="AZ13">
            <v>12.2178</v>
          </cell>
          <cell r="BA13">
            <v>11.761</v>
          </cell>
          <cell r="BB13">
            <v>4.0711</v>
          </cell>
          <cell r="BC13">
            <v>24.8707</v>
          </cell>
          <cell r="BD13">
            <v>28.8531</v>
          </cell>
          <cell r="BE13">
            <v>50.555</v>
          </cell>
          <cell r="BF13">
            <v>5.1135</v>
          </cell>
          <cell r="BG13">
            <v>9.002</v>
          </cell>
          <cell r="BH13">
            <v>0</v>
          </cell>
          <cell r="BI13">
            <v>14.1827</v>
          </cell>
        </row>
        <row r="14">
          <cell r="A14" t="str">
            <v>CUNNINGHAM 1</v>
          </cell>
          <cell r="B14">
            <v>0</v>
          </cell>
          <cell r="C14">
            <v>80.1701</v>
          </cell>
          <cell r="D14">
            <v>60.8889</v>
          </cell>
          <cell r="E14">
            <v>213.0658</v>
          </cell>
          <cell r="F14">
            <v>254.3419</v>
          </cell>
          <cell r="G14">
            <v>305.3932</v>
          </cell>
          <cell r="H14">
            <v>365.9806</v>
          </cell>
          <cell r="I14">
            <v>358.2735</v>
          </cell>
          <cell r="J14">
            <v>259.3834</v>
          </cell>
          <cell r="K14">
            <v>81.5082</v>
          </cell>
          <cell r="L14">
            <v>0</v>
          </cell>
          <cell r="M14">
            <v>0</v>
          </cell>
          <cell r="N14">
            <v>61.8394</v>
          </cell>
          <cell r="O14">
            <v>89.0674</v>
          </cell>
          <cell r="P14">
            <v>31.1104</v>
          </cell>
          <cell r="Q14">
            <v>124.5064</v>
          </cell>
          <cell r="R14">
            <v>260.9964</v>
          </cell>
          <cell r="S14">
            <v>267.0713</v>
          </cell>
          <cell r="T14">
            <v>328.0914</v>
          </cell>
          <cell r="U14">
            <v>315.0178</v>
          </cell>
          <cell r="V14">
            <v>226.2364</v>
          </cell>
          <cell r="W14">
            <v>20.8995</v>
          </cell>
          <cell r="X14">
            <v>0</v>
          </cell>
          <cell r="Y14">
            <v>71.1638</v>
          </cell>
          <cell r="Z14">
            <v>0</v>
          </cell>
          <cell r="AA14">
            <v>28.495</v>
          </cell>
          <cell r="AB14">
            <v>0</v>
          </cell>
          <cell r="AC14">
            <v>17.4669</v>
          </cell>
          <cell r="AD14">
            <v>254.018</v>
          </cell>
          <cell r="AE14">
            <v>272.0632</v>
          </cell>
          <cell r="AF14">
            <v>339.5471</v>
          </cell>
          <cell r="AG14">
            <v>332.4875</v>
          </cell>
          <cell r="AH14">
            <v>241.6028</v>
          </cell>
          <cell r="AI14">
            <v>0</v>
          </cell>
          <cell r="AJ14">
            <v>35.8372</v>
          </cell>
          <cell r="AK14">
            <v>0</v>
          </cell>
          <cell r="AL14">
            <v>0</v>
          </cell>
          <cell r="AM14">
            <v>0</v>
          </cell>
          <cell r="AN14">
            <v>0</v>
          </cell>
          <cell r="AO14">
            <v>32.3322</v>
          </cell>
          <cell r="AP14">
            <v>288.8323</v>
          </cell>
          <cell r="AQ14">
            <v>310.8427</v>
          </cell>
          <cell r="AR14">
            <v>344.7562</v>
          </cell>
          <cell r="AS14">
            <v>346.2059</v>
          </cell>
          <cell r="AT14">
            <v>287.8212</v>
          </cell>
          <cell r="AU14">
            <v>90.9401</v>
          </cell>
          <cell r="AV14">
            <v>79.8312</v>
          </cell>
          <cell r="AW14">
            <v>69.508</v>
          </cell>
          <cell r="AX14">
            <v>97.4438</v>
          </cell>
          <cell r="AY14">
            <v>157.2481</v>
          </cell>
          <cell r="AZ14">
            <v>160.0376</v>
          </cell>
          <cell r="BA14">
            <v>132.4905</v>
          </cell>
          <cell r="BB14">
            <v>305.6078</v>
          </cell>
          <cell r="BC14">
            <v>306.2703</v>
          </cell>
          <cell r="BD14">
            <v>352.3854</v>
          </cell>
          <cell r="BE14">
            <v>337.4608</v>
          </cell>
          <cell r="BF14">
            <v>285.4494</v>
          </cell>
          <cell r="BG14">
            <v>44.2784</v>
          </cell>
          <cell r="BH14">
            <v>142.7374</v>
          </cell>
          <cell r="BI14">
            <v>89.4518</v>
          </cell>
        </row>
        <row r="15">
          <cell r="A15" t="str">
            <v>CUNNINGHAM 2</v>
          </cell>
          <cell r="B15">
            <v>610.6554</v>
          </cell>
          <cell r="C15">
            <v>928.8939</v>
          </cell>
          <cell r="D15">
            <v>505.8118</v>
          </cell>
          <cell r="E15">
            <v>0</v>
          </cell>
          <cell r="F15">
            <v>311.5648</v>
          </cell>
          <cell r="G15">
            <v>857.4503</v>
          </cell>
          <cell r="H15">
            <v>1024.2573</v>
          </cell>
          <cell r="I15">
            <v>1000.9002</v>
          </cell>
          <cell r="J15">
            <v>748.6114</v>
          </cell>
          <cell r="K15">
            <v>760.9393</v>
          </cell>
          <cell r="L15">
            <v>699.6433</v>
          </cell>
          <cell r="M15">
            <v>555.4911</v>
          </cell>
          <cell r="N15">
            <v>604.0576</v>
          </cell>
          <cell r="O15">
            <v>488.9901</v>
          </cell>
          <cell r="P15">
            <v>614.6458</v>
          </cell>
          <cell r="Q15">
            <v>820.1441</v>
          </cell>
          <cell r="R15">
            <v>808.8507</v>
          </cell>
          <cell r="S15">
            <v>789.2695</v>
          </cell>
          <cell r="T15">
            <v>925.6774</v>
          </cell>
          <cell r="U15">
            <v>900.199</v>
          </cell>
          <cell r="V15">
            <v>635.5389</v>
          </cell>
          <cell r="W15">
            <v>465.6259</v>
          </cell>
          <cell r="X15">
            <v>512.8558</v>
          </cell>
          <cell r="Y15">
            <v>510.3563</v>
          </cell>
          <cell r="Z15">
            <v>534.5709</v>
          </cell>
          <cell r="AA15">
            <v>569.423</v>
          </cell>
          <cell r="AB15">
            <v>273.5656</v>
          </cell>
          <cell r="AC15">
            <v>329.2294</v>
          </cell>
          <cell r="AD15">
            <v>770.4047</v>
          </cell>
          <cell r="AE15">
            <v>793.6844</v>
          </cell>
          <cell r="AF15">
            <v>938.6239</v>
          </cell>
          <cell r="AG15">
            <v>914.1986</v>
          </cell>
          <cell r="AH15">
            <v>674.8796</v>
          </cell>
          <cell r="AI15">
            <v>467.7718</v>
          </cell>
          <cell r="AJ15">
            <v>356.1828</v>
          </cell>
          <cell r="AK15">
            <v>497.7324</v>
          </cell>
          <cell r="AL15">
            <v>384.2328</v>
          </cell>
          <cell r="AM15">
            <v>547.8182</v>
          </cell>
          <cell r="AN15">
            <v>286.9683</v>
          </cell>
          <cell r="AO15">
            <v>340.9557</v>
          </cell>
          <cell r="AP15">
            <v>861.3244</v>
          </cell>
          <cell r="AQ15">
            <v>931.3574</v>
          </cell>
          <cell r="AR15">
            <v>1015.3992</v>
          </cell>
          <cell r="AS15">
            <v>994.963</v>
          </cell>
          <cell r="AT15">
            <v>895.9361</v>
          </cell>
          <cell r="AU15">
            <v>580.527</v>
          </cell>
          <cell r="AV15">
            <v>726.9385</v>
          </cell>
          <cell r="AW15">
            <v>743.4075</v>
          </cell>
          <cell r="AX15">
            <v>643.8741</v>
          </cell>
          <cell r="AY15">
            <v>891.9666</v>
          </cell>
          <cell r="AZ15">
            <v>806.3273</v>
          </cell>
          <cell r="BA15">
            <v>828.536</v>
          </cell>
          <cell r="BB15">
            <v>906.6717</v>
          </cell>
          <cell r="BC15">
            <v>922.5043</v>
          </cell>
          <cell r="BD15">
            <v>1025.0117</v>
          </cell>
          <cell r="BE15">
            <v>1003.5776</v>
          </cell>
          <cell r="BF15">
            <v>905.5015</v>
          </cell>
          <cell r="BG15">
            <v>742.9437</v>
          </cell>
          <cell r="BH15">
            <v>567.8881</v>
          </cell>
          <cell r="BI15">
            <v>676.7136</v>
          </cell>
        </row>
        <row r="16">
          <cell r="A16" t="str">
            <v>HARRINGTON 1</v>
          </cell>
          <cell r="B16">
            <v>2180.4263</v>
          </cell>
          <cell r="C16">
            <v>1984.0328</v>
          </cell>
          <cell r="D16">
            <v>2179.7017</v>
          </cell>
          <cell r="E16">
            <v>2105.2588</v>
          </cell>
          <cell r="F16">
            <v>2097.0125</v>
          </cell>
          <cell r="G16">
            <v>2050.895</v>
          </cell>
          <cell r="H16">
            <v>2180.1116</v>
          </cell>
          <cell r="I16">
            <v>2144.5647</v>
          </cell>
          <cell r="J16">
            <v>1958.2152</v>
          </cell>
          <cell r="K16">
            <v>0</v>
          </cell>
          <cell r="L16">
            <v>937.2836</v>
          </cell>
          <cell r="M16">
            <v>2145.0413</v>
          </cell>
          <cell r="N16">
            <v>2142.6575</v>
          </cell>
          <cell r="O16">
            <v>2035.519</v>
          </cell>
          <cell r="P16">
            <v>2150.3455</v>
          </cell>
          <cell r="Q16">
            <v>2089.9053</v>
          </cell>
          <cell r="R16">
            <v>1665.3971</v>
          </cell>
          <cell r="S16">
            <v>2096.2881</v>
          </cell>
          <cell r="T16">
            <v>2187.3357</v>
          </cell>
          <cell r="U16">
            <v>2175.7148</v>
          </cell>
          <cell r="V16">
            <v>2107.3682</v>
          </cell>
          <cell r="W16">
            <v>2178.864</v>
          </cell>
          <cell r="X16">
            <v>2125.9531</v>
          </cell>
          <cell r="Y16">
            <v>2187.1116</v>
          </cell>
          <cell r="Z16">
            <v>2166.6519</v>
          </cell>
          <cell r="AA16">
            <v>1972.6838</v>
          </cell>
          <cell r="AB16">
            <v>2188.6162</v>
          </cell>
          <cell r="AC16">
            <v>2122.0503</v>
          </cell>
          <cell r="AD16">
            <v>1688.6395</v>
          </cell>
          <cell r="AE16">
            <v>2113.3955</v>
          </cell>
          <cell r="AF16">
            <v>2190.8428</v>
          </cell>
          <cell r="AG16">
            <v>2192.0269</v>
          </cell>
          <cell r="AH16">
            <v>2120.9209</v>
          </cell>
          <cell r="AI16">
            <v>2193.8955</v>
          </cell>
          <cell r="AJ16">
            <v>2122.9878</v>
          </cell>
          <cell r="AK16">
            <v>2187.595</v>
          </cell>
          <cell r="AL16">
            <v>566.9077</v>
          </cell>
          <cell r="AM16">
            <v>635.5798</v>
          </cell>
          <cell r="AN16">
            <v>2185.9277</v>
          </cell>
          <cell r="AO16">
            <v>2091.2017</v>
          </cell>
          <cell r="AP16">
            <v>2154.8777</v>
          </cell>
          <cell r="AQ16">
            <v>2037.5442</v>
          </cell>
          <cell r="AR16">
            <v>2126.3291</v>
          </cell>
          <cell r="AS16">
            <v>2100.3726</v>
          </cell>
          <cell r="AT16">
            <v>2054.4929</v>
          </cell>
          <cell r="AU16">
            <v>2158.6318</v>
          </cell>
          <cell r="AV16">
            <v>2075.2788</v>
          </cell>
          <cell r="AW16">
            <v>2156.6514</v>
          </cell>
          <cell r="AX16">
            <v>2161.8831</v>
          </cell>
          <cell r="AY16">
            <v>1898.4391</v>
          </cell>
          <cell r="AZ16">
            <v>1525.7098</v>
          </cell>
          <cell r="BA16">
            <v>2088.9255</v>
          </cell>
          <cell r="BB16">
            <v>2171.917</v>
          </cell>
          <cell r="BC16">
            <v>2054.187</v>
          </cell>
          <cell r="BD16">
            <v>2139.6511</v>
          </cell>
          <cell r="BE16">
            <v>2111.3486</v>
          </cell>
          <cell r="BF16">
            <v>2066.8647</v>
          </cell>
          <cell r="BG16">
            <v>2169.5249</v>
          </cell>
          <cell r="BH16">
            <v>2076.6138</v>
          </cell>
          <cell r="BI16">
            <v>2159.8486</v>
          </cell>
        </row>
        <row r="17">
          <cell r="A17" t="str">
            <v>HARRINGTON 2</v>
          </cell>
          <cell r="B17">
            <v>2392.7209</v>
          </cell>
          <cell r="C17">
            <v>2159.6895</v>
          </cell>
          <cell r="D17">
            <v>2392.7212</v>
          </cell>
          <cell r="E17">
            <v>1769.3774</v>
          </cell>
          <cell r="F17">
            <v>2367.7</v>
          </cell>
          <cell r="G17">
            <v>2300.0933</v>
          </cell>
          <cell r="H17">
            <v>2392.7212</v>
          </cell>
          <cell r="I17">
            <v>2392.6189</v>
          </cell>
          <cell r="J17">
            <v>2313.9014</v>
          </cell>
          <cell r="K17">
            <v>2392.7212</v>
          </cell>
          <cell r="L17">
            <v>2312.5754</v>
          </cell>
          <cell r="M17">
            <v>2392.6138</v>
          </cell>
          <cell r="N17">
            <v>2381.6116</v>
          </cell>
          <cell r="O17">
            <v>2237.9312</v>
          </cell>
          <cell r="P17">
            <v>2391.9333</v>
          </cell>
          <cell r="Q17">
            <v>2312.9792</v>
          </cell>
          <cell r="R17">
            <v>2377.6599</v>
          </cell>
          <cell r="S17">
            <v>2310.8281</v>
          </cell>
          <cell r="T17">
            <v>2391.7937</v>
          </cell>
          <cell r="U17">
            <v>2391.9241</v>
          </cell>
          <cell r="V17">
            <v>2313.9014</v>
          </cell>
          <cell r="W17">
            <v>1851.2649</v>
          </cell>
          <cell r="X17">
            <v>0</v>
          </cell>
          <cell r="Y17">
            <v>1463.91</v>
          </cell>
          <cell r="Z17">
            <v>2391.3604</v>
          </cell>
          <cell r="AA17">
            <v>1615.1653</v>
          </cell>
          <cell r="AB17">
            <v>2392.7212</v>
          </cell>
          <cell r="AC17">
            <v>2313.9014</v>
          </cell>
          <cell r="AD17">
            <v>2391.8542</v>
          </cell>
          <cell r="AE17">
            <v>2312.0671</v>
          </cell>
          <cell r="AF17">
            <v>2392.4612</v>
          </cell>
          <cell r="AG17">
            <v>2392.7209</v>
          </cell>
          <cell r="AH17">
            <v>2313.6846</v>
          </cell>
          <cell r="AI17">
            <v>2392.7212</v>
          </cell>
          <cell r="AJ17">
            <v>2313.9014</v>
          </cell>
          <cell r="AK17">
            <v>2392.7209</v>
          </cell>
          <cell r="AL17">
            <v>2392.7212</v>
          </cell>
          <cell r="AM17">
            <v>2159.6895</v>
          </cell>
          <cell r="AN17">
            <v>1847.6476</v>
          </cell>
          <cell r="AO17">
            <v>2306.5845</v>
          </cell>
          <cell r="AP17">
            <v>2391.4583</v>
          </cell>
          <cell r="AQ17">
            <v>2294.4753</v>
          </cell>
          <cell r="AR17">
            <v>2379.4746</v>
          </cell>
          <cell r="AS17">
            <v>2358.3057</v>
          </cell>
          <cell r="AT17">
            <v>2297.7227</v>
          </cell>
          <cell r="AU17">
            <v>2390.4951</v>
          </cell>
          <cell r="AV17">
            <v>2306.7217</v>
          </cell>
          <cell r="AW17">
            <v>2387.8015</v>
          </cell>
          <cell r="AX17">
            <v>2390.8315</v>
          </cell>
          <cell r="AY17">
            <v>2150.8892</v>
          </cell>
          <cell r="AZ17">
            <v>2387.4849</v>
          </cell>
          <cell r="BA17">
            <v>608.683</v>
          </cell>
          <cell r="BB17">
            <v>1387.8862</v>
          </cell>
          <cell r="BC17">
            <v>2292.4475</v>
          </cell>
          <cell r="BD17">
            <v>2378.9104</v>
          </cell>
          <cell r="BE17">
            <v>2360.5278</v>
          </cell>
          <cell r="BF17">
            <v>2294.3809</v>
          </cell>
          <cell r="BG17">
            <v>2390.2595</v>
          </cell>
          <cell r="BH17">
            <v>2304.9971</v>
          </cell>
          <cell r="BI17">
            <v>2392.0276</v>
          </cell>
        </row>
        <row r="18">
          <cell r="A18" t="str">
            <v>HARRINGTON 3</v>
          </cell>
          <cell r="B18">
            <v>2350.1807</v>
          </cell>
          <cell r="C18">
            <v>2123.5193</v>
          </cell>
          <cell r="D18">
            <v>2347.4026</v>
          </cell>
          <cell r="E18">
            <v>2042.9041</v>
          </cell>
          <cell r="F18">
            <v>2009.5365</v>
          </cell>
          <cell r="G18">
            <v>2251.7051</v>
          </cell>
          <cell r="H18">
            <v>2346.3538</v>
          </cell>
          <cell r="I18">
            <v>2339.5112</v>
          </cell>
          <cell r="J18">
            <v>2270.696</v>
          </cell>
          <cell r="K18">
            <v>2342.1387</v>
          </cell>
          <cell r="L18">
            <v>2258.7996</v>
          </cell>
          <cell r="M18">
            <v>2339.5713</v>
          </cell>
          <cell r="N18">
            <v>2341.6045</v>
          </cell>
          <cell r="O18">
            <v>1664.6284</v>
          </cell>
          <cell r="P18">
            <v>2344.8081</v>
          </cell>
          <cell r="Q18">
            <v>2268.1946</v>
          </cell>
          <cell r="R18">
            <v>2339.937</v>
          </cell>
          <cell r="S18">
            <v>2268.6582</v>
          </cell>
          <cell r="T18">
            <v>2349.6433</v>
          </cell>
          <cell r="U18">
            <v>2346.0466</v>
          </cell>
          <cell r="V18">
            <v>2274.5225</v>
          </cell>
          <cell r="W18">
            <v>2283.0183</v>
          </cell>
          <cell r="X18">
            <v>2275.0859</v>
          </cell>
          <cell r="Y18">
            <v>2346.9336</v>
          </cell>
          <cell r="Z18">
            <v>2346.7942</v>
          </cell>
          <cell r="AA18">
            <v>2123.5198</v>
          </cell>
          <cell r="AB18">
            <v>2350.2346</v>
          </cell>
          <cell r="AC18">
            <v>757.3265</v>
          </cell>
          <cell r="AD18">
            <v>1736.6224</v>
          </cell>
          <cell r="AE18">
            <v>2268.7505</v>
          </cell>
          <cell r="AF18">
            <v>2349.8906</v>
          </cell>
          <cell r="AG18">
            <v>2349.9202</v>
          </cell>
          <cell r="AH18">
            <v>2263.0801</v>
          </cell>
          <cell r="AI18">
            <v>2350.3088</v>
          </cell>
          <cell r="AJ18">
            <v>2274.7219</v>
          </cell>
          <cell r="AK18">
            <v>2349.9431</v>
          </cell>
          <cell r="AL18">
            <v>2350.7847</v>
          </cell>
          <cell r="AM18">
            <v>2123.52</v>
          </cell>
          <cell r="AN18">
            <v>2349.6753</v>
          </cell>
          <cell r="AO18">
            <v>2260.5505</v>
          </cell>
          <cell r="AP18">
            <v>1809.9014</v>
          </cell>
          <cell r="AQ18">
            <v>2246.4536</v>
          </cell>
          <cell r="AR18">
            <v>2329.1973</v>
          </cell>
          <cell r="AS18">
            <v>2308.6934</v>
          </cell>
          <cell r="AT18">
            <v>2256.0869</v>
          </cell>
          <cell r="AU18">
            <v>2344.2437</v>
          </cell>
          <cell r="AV18">
            <v>2260.0491</v>
          </cell>
          <cell r="AW18">
            <v>2341.7039</v>
          </cell>
          <cell r="AX18">
            <v>2344.5212</v>
          </cell>
          <cell r="AY18">
            <v>2103.9087</v>
          </cell>
          <cell r="AZ18">
            <v>1885.3247</v>
          </cell>
          <cell r="BA18">
            <v>2031.2344</v>
          </cell>
          <cell r="BB18">
            <v>2349.6169</v>
          </cell>
          <cell r="BC18">
            <v>2246.3281</v>
          </cell>
          <cell r="BD18">
            <v>2329.5784</v>
          </cell>
          <cell r="BE18">
            <v>2307.0908</v>
          </cell>
          <cell r="BF18">
            <v>2251.7642</v>
          </cell>
          <cell r="BG18">
            <v>2344.6829</v>
          </cell>
          <cell r="BH18">
            <v>2266.3669</v>
          </cell>
          <cell r="BI18">
            <v>2347.1892</v>
          </cell>
        </row>
        <row r="19">
          <cell r="A19" t="str">
            <v>JONES 1</v>
          </cell>
          <cell r="B19">
            <v>373.5064</v>
          </cell>
          <cell r="C19">
            <v>1082.2312</v>
          </cell>
          <cell r="D19">
            <v>557.2217</v>
          </cell>
          <cell r="E19">
            <v>909.6104</v>
          </cell>
          <cell r="F19">
            <v>565.5958</v>
          </cell>
          <cell r="G19">
            <v>821.0541</v>
          </cell>
          <cell r="H19">
            <v>1173.5229</v>
          </cell>
          <cell r="I19">
            <v>1075.0151</v>
          </cell>
          <cell r="J19">
            <v>471.49</v>
          </cell>
          <cell r="K19">
            <v>783.5487</v>
          </cell>
          <cell r="L19">
            <v>604.1954</v>
          </cell>
          <cell r="M19">
            <v>450.3431</v>
          </cell>
          <cell r="N19">
            <v>357.226</v>
          </cell>
          <cell r="O19">
            <v>542.9222</v>
          </cell>
          <cell r="P19">
            <v>936.6585</v>
          </cell>
          <cell r="Q19">
            <v>1034.7205</v>
          </cell>
          <cell r="R19">
            <v>813.5211</v>
          </cell>
          <cell r="S19">
            <v>714.6091</v>
          </cell>
          <cell r="T19">
            <v>954.9598</v>
          </cell>
          <cell r="U19">
            <v>858.3768</v>
          </cell>
          <cell r="V19">
            <v>524.7449</v>
          </cell>
          <cell r="W19">
            <v>457.8819</v>
          </cell>
          <cell r="X19">
            <v>183.3038</v>
          </cell>
          <cell r="Y19">
            <v>250.6119</v>
          </cell>
          <cell r="Z19">
            <v>518.7828</v>
          </cell>
          <cell r="AA19">
            <v>483.9099</v>
          </cell>
          <cell r="AB19">
            <v>67.6385</v>
          </cell>
          <cell r="AC19">
            <v>528.9321</v>
          </cell>
          <cell r="AD19">
            <v>633.3183</v>
          </cell>
          <cell r="AE19">
            <v>748.3249</v>
          </cell>
          <cell r="AF19">
            <v>951.8546</v>
          </cell>
          <cell r="AG19">
            <v>906.4177</v>
          </cell>
          <cell r="AH19">
            <v>353.5435</v>
          </cell>
          <cell r="AI19">
            <v>0</v>
          </cell>
          <cell r="AJ19">
            <v>15.8149</v>
          </cell>
          <cell r="AK19">
            <v>391.9237</v>
          </cell>
          <cell r="AL19">
            <v>252.4141</v>
          </cell>
          <cell r="AM19">
            <v>392.4027</v>
          </cell>
          <cell r="AN19">
            <v>285.4283</v>
          </cell>
          <cell r="AO19">
            <v>558.249</v>
          </cell>
          <cell r="AP19">
            <v>732.132</v>
          </cell>
          <cell r="AQ19">
            <v>892.8687</v>
          </cell>
          <cell r="AR19">
            <v>1105.9606</v>
          </cell>
          <cell r="AS19">
            <v>1017.1431</v>
          </cell>
          <cell r="AT19">
            <v>787.2772</v>
          </cell>
          <cell r="AU19">
            <v>639.7297</v>
          </cell>
          <cell r="AV19">
            <v>581.1456</v>
          </cell>
          <cell r="AW19">
            <v>860.2825</v>
          </cell>
          <cell r="AX19">
            <v>635.4877</v>
          </cell>
          <cell r="AY19">
            <v>1046.3159</v>
          </cell>
          <cell r="AZ19">
            <v>870.6781</v>
          </cell>
          <cell r="BA19">
            <v>940.008</v>
          </cell>
          <cell r="BB19">
            <v>792.0446</v>
          </cell>
          <cell r="BC19">
            <v>904.1869</v>
          </cell>
          <cell r="BD19">
            <v>1016.4559</v>
          </cell>
          <cell r="BE19">
            <v>1012.8517</v>
          </cell>
          <cell r="BF19">
            <v>847.4598</v>
          </cell>
          <cell r="BG19">
            <v>695.4685</v>
          </cell>
          <cell r="BH19">
            <v>919.7129</v>
          </cell>
          <cell r="BI19">
            <v>871.4376</v>
          </cell>
        </row>
        <row r="20">
          <cell r="A20" t="str">
            <v>JONES 2</v>
          </cell>
          <cell r="B20">
            <v>529.2512</v>
          </cell>
          <cell r="C20">
            <v>1047.1302</v>
          </cell>
          <cell r="D20">
            <v>740.7321</v>
          </cell>
          <cell r="E20">
            <v>828.1314</v>
          </cell>
          <cell r="F20">
            <v>739.1393</v>
          </cell>
          <cell r="G20">
            <v>855.0148</v>
          </cell>
          <cell r="H20">
            <v>1127.6858</v>
          </cell>
          <cell r="I20">
            <v>1089.8099</v>
          </cell>
          <cell r="J20">
            <v>662.6831</v>
          </cell>
          <cell r="K20">
            <v>831.2246</v>
          </cell>
          <cell r="L20">
            <v>647.5434</v>
          </cell>
          <cell r="M20">
            <v>528.6428</v>
          </cell>
          <cell r="N20">
            <v>534.9497</v>
          </cell>
          <cell r="O20">
            <v>536.1198</v>
          </cell>
          <cell r="P20">
            <v>902.739</v>
          </cell>
          <cell r="Q20">
            <v>278.5087</v>
          </cell>
          <cell r="R20">
            <v>265.5857</v>
          </cell>
          <cell r="S20">
            <v>521.4262</v>
          </cell>
          <cell r="T20">
            <v>903.1605</v>
          </cell>
          <cell r="U20">
            <v>902.8888</v>
          </cell>
          <cell r="V20">
            <v>273.8761</v>
          </cell>
          <cell r="W20">
            <v>372.5001</v>
          </cell>
          <cell r="X20">
            <v>543.7539</v>
          </cell>
          <cell r="Y20">
            <v>536.1281</v>
          </cell>
          <cell r="Z20">
            <v>508.6151</v>
          </cell>
          <cell r="AA20">
            <v>516.5746</v>
          </cell>
          <cell r="AB20">
            <v>458.0961</v>
          </cell>
          <cell r="AC20">
            <v>308.2494</v>
          </cell>
          <cell r="AD20">
            <v>554.0193</v>
          </cell>
          <cell r="AE20">
            <v>586.1408</v>
          </cell>
          <cell r="AF20">
            <v>943.5121</v>
          </cell>
          <cell r="AG20">
            <v>857.6021</v>
          </cell>
          <cell r="AH20">
            <v>583.6459</v>
          </cell>
          <cell r="AI20">
            <v>613.9309</v>
          </cell>
          <cell r="AJ20">
            <v>587.7181</v>
          </cell>
          <cell r="AK20">
            <v>278.0838</v>
          </cell>
          <cell r="AL20">
            <v>651.8362</v>
          </cell>
          <cell r="AM20">
            <v>600.9677</v>
          </cell>
          <cell r="AN20">
            <v>438.4961</v>
          </cell>
          <cell r="AO20">
            <v>593.6685</v>
          </cell>
          <cell r="AP20">
            <v>811.9708</v>
          </cell>
          <cell r="AQ20">
            <v>899.6034</v>
          </cell>
          <cell r="AR20">
            <v>1066.0615</v>
          </cell>
          <cell r="AS20">
            <v>1072.8081</v>
          </cell>
          <cell r="AT20">
            <v>897.9717</v>
          </cell>
          <cell r="AU20">
            <v>851.127</v>
          </cell>
          <cell r="AV20">
            <v>727.7725</v>
          </cell>
          <cell r="AW20">
            <v>766.1475</v>
          </cell>
          <cell r="AX20">
            <v>843.8964</v>
          </cell>
          <cell r="AY20">
            <v>1078.7202</v>
          </cell>
          <cell r="AZ20">
            <v>1014.9038</v>
          </cell>
          <cell r="BA20">
            <v>980.1584</v>
          </cell>
          <cell r="BB20">
            <v>890.9105</v>
          </cell>
          <cell r="BC20">
            <v>959.0278</v>
          </cell>
          <cell r="BD20">
            <v>1112.9612</v>
          </cell>
          <cell r="BE20">
            <v>1041.2119</v>
          </cell>
          <cell r="BF20">
            <v>931.949</v>
          </cell>
          <cell r="BG20">
            <v>776.4637</v>
          </cell>
          <cell r="BH20">
            <v>122.4324</v>
          </cell>
          <cell r="BI20">
            <v>216.6069</v>
          </cell>
        </row>
        <row r="21">
          <cell r="A21" t="str">
            <v>MADDOX 1</v>
          </cell>
          <cell r="B21">
            <v>102.3277</v>
          </cell>
          <cell r="C21">
            <v>111.1468</v>
          </cell>
          <cell r="D21">
            <v>188.4704</v>
          </cell>
          <cell r="E21">
            <v>354.4679</v>
          </cell>
          <cell r="F21">
            <v>467.6811</v>
          </cell>
          <cell r="G21">
            <v>501.275</v>
          </cell>
          <cell r="H21">
            <v>585.5384</v>
          </cell>
          <cell r="I21">
            <v>575.0634</v>
          </cell>
          <cell r="J21">
            <v>416.1043</v>
          </cell>
          <cell r="K21">
            <v>173.0281</v>
          </cell>
          <cell r="L21">
            <v>61.1553</v>
          </cell>
          <cell r="M21">
            <v>112.0777</v>
          </cell>
          <cell r="N21">
            <v>0</v>
          </cell>
          <cell r="O21">
            <v>0</v>
          </cell>
          <cell r="P21">
            <v>242.5047</v>
          </cell>
          <cell r="Q21">
            <v>404.0907</v>
          </cell>
          <cell r="R21">
            <v>447.2181</v>
          </cell>
          <cell r="S21">
            <v>455.6934</v>
          </cell>
          <cell r="T21">
            <v>538.1527</v>
          </cell>
          <cell r="U21">
            <v>523.254</v>
          </cell>
          <cell r="V21">
            <v>367.3792</v>
          </cell>
          <cell r="W21">
            <v>198.1147</v>
          </cell>
          <cell r="X21">
            <v>124.292</v>
          </cell>
          <cell r="Y21">
            <v>0</v>
          </cell>
          <cell r="Z21">
            <v>190.3441</v>
          </cell>
          <cell r="AA21">
            <v>128.1568</v>
          </cell>
          <cell r="AB21">
            <v>181.2823</v>
          </cell>
          <cell r="AC21">
            <v>230.5833</v>
          </cell>
          <cell r="AD21">
            <v>426.8465</v>
          </cell>
          <cell r="AE21">
            <v>457.1104</v>
          </cell>
          <cell r="AF21">
            <v>545.8093</v>
          </cell>
          <cell r="AG21">
            <v>534.5198</v>
          </cell>
          <cell r="AH21">
            <v>393.226</v>
          </cell>
          <cell r="AI21">
            <v>147.2118</v>
          </cell>
          <cell r="AJ21">
            <v>216.8875</v>
          </cell>
          <cell r="AK21">
            <v>96.7848</v>
          </cell>
          <cell r="AL21">
            <v>231.8288</v>
          </cell>
          <cell r="AM21">
            <v>91.6743</v>
          </cell>
          <cell r="AN21">
            <v>251.8996</v>
          </cell>
          <cell r="AO21">
            <v>332.5195</v>
          </cell>
          <cell r="AP21">
            <v>481.4895</v>
          </cell>
          <cell r="AQ21">
            <v>525.1237</v>
          </cell>
          <cell r="AR21">
            <v>568.329</v>
          </cell>
          <cell r="AS21">
            <v>567.3797</v>
          </cell>
          <cell r="AT21">
            <v>515.0696</v>
          </cell>
          <cell r="AU21">
            <v>207.81</v>
          </cell>
          <cell r="AV21">
            <v>169.8585</v>
          </cell>
          <cell r="AW21">
            <v>207.0257</v>
          </cell>
          <cell r="AX21">
            <v>252.389</v>
          </cell>
          <cell r="AY21">
            <v>428.0671</v>
          </cell>
          <cell r="AZ21">
            <v>243.8889</v>
          </cell>
          <cell r="BA21">
            <v>386.5499</v>
          </cell>
          <cell r="BB21">
            <v>512.8339</v>
          </cell>
          <cell r="BC21">
            <v>515.0411</v>
          </cell>
          <cell r="BD21">
            <v>579.1081</v>
          </cell>
          <cell r="BE21">
            <v>569.788</v>
          </cell>
          <cell r="BF21">
            <v>497.7558</v>
          </cell>
          <cell r="BG21">
            <v>101.0681</v>
          </cell>
          <cell r="BH21">
            <v>249.7886</v>
          </cell>
          <cell r="BI21">
            <v>338.4105</v>
          </cell>
        </row>
        <row r="22">
          <cell r="A22" t="str">
            <v>MD GT 2</v>
          </cell>
          <cell r="B22">
            <v>0</v>
          </cell>
          <cell r="C22">
            <v>0</v>
          </cell>
          <cell r="D22">
            <v>0</v>
          </cell>
          <cell r="E22">
            <v>0</v>
          </cell>
          <cell r="F22">
            <v>3.7901</v>
          </cell>
          <cell r="G22">
            <v>17.4346</v>
          </cell>
          <cell r="H22">
            <v>30.321</v>
          </cell>
          <cell r="I22">
            <v>31.8371</v>
          </cell>
          <cell r="J22">
            <v>0</v>
          </cell>
          <cell r="K22">
            <v>0</v>
          </cell>
          <cell r="L22">
            <v>0</v>
          </cell>
          <cell r="M22">
            <v>0</v>
          </cell>
          <cell r="N22">
            <v>0</v>
          </cell>
          <cell r="O22">
            <v>0</v>
          </cell>
          <cell r="P22">
            <v>0</v>
          </cell>
          <cell r="Q22">
            <v>2.3198</v>
          </cell>
          <cell r="R22">
            <v>0</v>
          </cell>
          <cell r="S22">
            <v>0</v>
          </cell>
          <cell r="T22">
            <v>15.1605</v>
          </cell>
          <cell r="U22">
            <v>5.3062</v>
          </cell>
          <cell r="V22">
            <v>0</v>
          </cell>
          <cell r="W22">
            <v>0</v>
          </cell>
          <cell r="X22">
            <v>0</v>
          </cell>
          <cell r="Y22">
            <v>0</v>
          </cell>
          <cell r="Z22">
            <v>0</v>
          </cell>
          <cell r="AA22">
            <v>0</v>
          </cell>
          <cell r="AB22">
            <v>0</v>
          </cell>
          <cell r="AC22">
            <v>0</v>
          </cell>
          <cell r="AD22">
            <v>0</v>
          </cell>
          <cell r="AE22">
            <v>3.7901</v>
          </cell>
          <cell r="AF22">
            <v>3.0321</v>
          </cell>
          <cell r="AG22">
            <v>6.8222</v>
          </cell>
          <cell r="AH22">
            <v>0</v>
          </cell>
          <cell r="AI22">
            <v>0</v>
          </cell>
          <cell r="AJ22">
            <v>0</v>
          </cell>
          <cell r="AK22">
            <v>0</v>
          </cell>
          <cell r="AL22">
            <v>0</v>
          </cell>
          <cell r="AM22">
            <v>0</v>
          </cell>
          <cell r="AN22">
            <v>0</v>
          </cell>
          <cell r="AO22">
            <v>0</v>
          </cell>
          <cell r="AP22">
            <v>0</v>
          </cell>
          <cell r="AQ22">
            <v>18.9506</v>
          </cell>
          <cell r="AR22">
            <v>23.4988</v>
          </cell>
          <cell r="AS22">
            <v>37.9013</v>
          </cell>
          <cell r="AT22">
            <v>0</v>
          </cell>
          <cell r="AU22">
            <v>1.5161</v>
          </cell>
          <cell r="AV22">
            <v>0</v>
          </cell>
          <cell r="AW22">
            <v>3.093</v>
          </cell>
          <cell r="AX22">
            <v>0</v>
          </cell>
          <cell r="AY22">
            <v>8.5058</v>
          </cell>
          <cell r="AZ22">
            <v>2.3198</v>
          </cell>
          <cell r="BA22">
            <v>3.093</v>
          </cell>
          <cell r="BB22">
            <v>0</v>
          </cell>
          <cell r="BC22">
            <v>9.0963</v>
          </cell>
          <cell r="BD22">
            <v>21.9827</v>
          </cell>
          <cell r="BE22">
            <v>16.6766</v>
          </cell>
          <cell r="BF22">
            <v>3.0321</v>
          </cell>
          <cell r="BG22">
            <v>3.0321</v>
          </cell>
          <cell r="BH22">
            <v>0</v>
          </cell>
          <cell r="BI22">
            <v>0</v>
          </cell>
        </row>
        <row r="23">
          <cell r="A23" t="str">
            <v>MD GT 3</v>
          </cell>
          <cell r="B23">
            <v>0</v>
          </cell>
          <cell r="C23">
            <v>0</v>
          </cell>
          <cell r="D23">
            <v>0</v>
          </cell>
          <cell r="E23">
            <v>0</v>
          </cell>
          <cell r="F23">
            <v>0</v>
          </cell>
          <cell r="G23">
            <v>2.3226</v>
          </cell>
          <cell r="H23">
            <v>0.8933</v>
          </cell>
          <cell r="I23">
            <v>3.7519</v>
          </cell>
          <cell r="J23">
            <v>0</v>
          </cell>
          <cell r="K23">
            <v>0</v>
          </cell>
          <cell r="L23">
            <v>0</v>
          </cell>
          <cell r="M23">
            <v>0</v>
          </cell>
          <cell r="N23">
            <v>0</v>
          </cell>
          <cell r="O23">
            <v>0</v>
          </cell>
          <cell r="P23">
            <v>0</v>
          </cell>
          <cell r="Q23">
            <v>0</v>
          </cell>
          <cell r="R23">
            <v>0</v>
          </cell>
          <cell r="S23">
            <v>0</v>
          </cell>
          <cell r="T23">
            <v>0.804</v>
          </cell>
          <cell r="U23">
            <v>0</v>
          </cell>
          <cell r="V23">
            <v>0</v>
          </cell>
          <cell r="W23">
            <v>0</v>
          </cell>
          <cell r="X23">
            <v>0</v>
          </cell>
          <cell r="Y23">
            <v>0</v>
          </cell>
          <cell r="Z23">
            <v>0</v>
          </cell>
          <cell r="AA23">
            <v>0</v>
          </cell>
          <cell r="AB23">
            <v>0</v>
          </cell>
          <cell r="AC23">
            <v>0</v>
          </cell>
          <cell r="AD23">
            <v>0</v>
          </cell>
          <cell r="AE23">
            <v>0</v>
          </cell>
          <cell r="AF23">
            <v>3.4839</v>
          </cell>
          <cell r="AG23">
            <v>1.6079</v>
          </cell>
          <cell r="AH23">
            <v>0</v>
          </cell>
          <cell r="AI23">
            <v>0</v>
          </cell>
          <cell r="AJ23">
            <v>0</v>
          </cell>
          <cell r="AK23">
            <v>0</v>
          </cell>
          <cell r="AL23">
            <v>0</v>
          </cell>
          <cell r="AM23">
            <v>0</v>
          </cell>
          <cell r="AN23">
            <v>0</v>
          </cell>
          <cell r="AO23">
            <v>0</v>
          </cell>
          <cell r="AP23">
            <v>0</v>
          </cell>
          <cell r="AQ23">
            <v>1.8759</v>
          </cell>
          <cell r="AR23">
            <v>3.3052</v>
          </cell>
          <cell r="AS23">
            <v>4.9453</v>
          </cell>
          <cell r="AT23">
            <v>0</v>
          </cell>
          <cell r="AU23">
            <v>0</v>
          </cell>
          <cell r="AV23">
            <v>0</v>
          </cell>
          <cell r="AW23">
            <v>0</v>
          </cell>
          <cell r="AX23">
            <v>0</v>
          </cell>
          <cell r="AY23">
            <v>0.8933</v>
          </cell>
          <cell r="AZ23">
            <v>0</v>
          </cell>
          <cell r="BA23">
            <v>0</v>
          </cell>
          <cell r="BB23">
            <v>0</v>
          </cell>
          <cell r="BC23">
            <v>0.6499</v>
          </cell>
          <cell r="BD23">
            <v>0.7146</v>
          </cell>
          <cell r="BE23">
            <v>2.6799</v>
          </cell>
          <cell r="BF23">
            <v>0</v>
          </cell>
          <cell r="BG23">
            <v>0</v>
          </cell>
          <cell r="BH23">
            <v>0</v>
          </cell>
          <cell r="BI23">
            <v>0</v>
          </cell>
        </row>
        <row r="24">
          <cell r="A24" t="str">
            <v>MOORE CO</v>
          </cell>
          <cell r="B24">
            <v>0</v>
          </cell>
          <cell r="C24">
            <v>0</v>
          </cell>
          <cell r="D24">
            <v>0</v>
          </cell>
          <cell r="E24">
            <v>0</v>
          </cell>
          <cell r="F24">
            <v>0</v>
          </cell>
          <cell r="G24">
            <v>11.7914</v>
          </cell>
          <cell r="H24">
            <v>45.6855</v>
          </cell>
          <cell r="I24">
            <v>38.4146</v>
          </cell>
          <cell r="J24">
            <v>0</v>
          </cell>
          <cell r="K24">
            <v>0</v>
          </cell>
          <cell r="L24">
            <v>0</v>
          </cell>
          <cell r="M24">
            <v>0</v>
          </cell>
          <cell r="N24">
            <v>0</v>
          </cell>
          <cell r="O24">
            <v>0</v>
          </cell>
          <cell r="P24">
            <v>0</v>
          </cell>
          <cell r="Q24">
            <v>0</v>
          </cell>
          <cell r="R24">
            <v>0</v>
          </cell>
          <cell r="S24">
            <v>0</v>
          </cell>
          <cell r="T24">
            <v>22.279</v>
          </cell>
          <cell r="U24">
            <v>12.9512</v>
          </cell>
          <cell r="V24">
            <v>0</v>
          </cell>
          <cell r="W24">
            <v>0</v>
          </cell>
          <cell r="X24">
            <v>0</v>
          </cell>
          <cell r="Y24">
            <v>0</v>
          </cell>
          <cell r="Z24">
            <v>0</v>
          </cell>
          <cell r="AA24">
            <v>0</v>
          </cell>
          <cell r="AB24">
            <v>0</v>
          </cell>
          <cell r="AC24">
            <v>0</v>
          </cell>
          <cell r="AD24">
            <v>0</v>
          </cell>
          <cell r="AE24">
            <v>7.4414</v>
          </cell>
          <cell r="AF24">
            <v>23.8546</v>
          </cell>
          <cell r="AG24">
            <v>34.8802</v>
          </cell>
          <cell r="AH24">
            <v>0.9382</v>
          </cell>
          <cell r="AI24">
            <v>0</v>
          </cell>
          <cell r="AJ24">
            <v>0</v>
          </cell>
          <cell r="AK24">
            <v>0</v>
          </cell>
          <cell r="AL24">
            <v>0</v>
          </cell>
          <cell r="AM24">
            <v>0</v>
          </cell>
          <cell r="AN24">
            <v>0</v>
          </cell>
          <cell r="AO24">
            <v>0</v>
          </cell>
          <cell r="AP24">
            <v>0</v>
          </cell>
          <cell r="AQ24">
            <v>8.9774</v>
          </cell>
          <cell r="AR24">
            <v>18.18</v>
          </cell>
          <cell r="AS24">
            <v>23.5458</v>
          </cell>
          <cell r="AT24">
            <v>10.5813</v>
          </cell>
          <cell r="AU24">
            <v>0</v>
          </cell>
          <cell r="AV24">
            <v>0</v>
          </cell>
          <cell r="AW24">
            <v>0</v>
          </cell>
          <cell r="AX24">
            <v>0</v>
          </cell>
          <cell r="AY24">
            <v>0</v>
          </cell>
          <cell r="AZ24">
            <v>0</v>
          </cell>
          <cell r="BA24">
            <v>0</v>
          </cell>
          <cell r="BB24">
            <v>0</v>
          </cell>
          <cell r="BC24">
            <v>11.2561</v>
          </cell>
          <cell r="BD24">
            <v>21.3067</v>
          </cell>
          <cell r="BE24">
            <v>7.0739</v>
          </cell>
          <cell r="BF24">
            <v>0</v>
          </cell>
          <cell r="BG24">
            <v>0</v>
          </cell>
          <cell r="BH24">
            <v>0</v>
          </cell>
          <cell r="BI24">
            <v>0</v>
          </cell>
        </row>
        <row r="25">
          <cell r="A25" t="str">
            <v>MUSTANG CC 1</v>
          </cell>
          <cell r="B25">
            <v>1090.9902</v>
          </cell>
          <cell r="C25">
            <v>1050.7471</v>
          </cell>
          <cell r="D25">
            <v>1087.0458</v>
          </cell>
          <cell r="E25">
            <v>1069.0836</v>
          </cell>
          <cell r="F25">
            <v>1019.876</v>
          </cell>
          <cell r="G25">
            <v>1003.6795</v>
          </cell>
          <cell r="H25">
            <v>1099.0569</v>
          </cell>
          <cell r="I25">
            <v>1071.2079</v>
          </cell>
          <cell r="J25">
            <v>1024.459</v>
          </cell>
          <cell r="K25">
            <v>1066.5465</v>
          </cell>
          <cell r="L25">
            <v>1025.673</v>
          </cell>
          <cell r="M25">
            <v>1039.9186</v>
          </cell>
          <cell r="N25">
            <v>1045.245</v>
          </cell>
          <cell r="O25">
            <v>1014.0698</v>
          </cell>
          <cell r="P25">
            <v>1135.0221</v>
          </cell>
          <cell r="Q25">
            <v>1071.2434</v>
          </cell>
          <cell r="R25">
            <v>1011.4789</v>
          </cell>
          <cell r="S25">
            <v>891.5837</v>
          </cell>
          <cell r="T25">
            <v>1017.394</v>
          </cell>
          <cell r="U25">
            <v>1030.3579</v>
          </cell>
          <cell r="V25">
            <v>962.3103</v>
          </cell>
          <cell r="W25">
            <v>812.6892</v>
          </cell>
          <cell r="X25">
            <v>1064.3896</v>
          </cell>
          <cell r="Y25">
            <v>1078.9982</v>
          </cell>
          <cell r="Z25">
            <v>1117.4601</v>
          </cell>
          <cell r="AA25">
            <v>1034.5249</v>
          </cell>
          <cell r="AB25">
            <v>928.9683</v>
          </cell>
          <cell r="AC25">
            <v>949.9483</v>
          </cell>
          <cell r="AD25">
            <v>966.4268</v>
          </cell>
          <cell r="AE25">
            <v>962.4183</v>
          </cell>
          <cell r="AF25">
            <v>1067.8635</v>
          </cell>
          <cell r="AG25">
            <v>1051.8521</v>
          </cell>
          <cell r="AH25">
            <v>951.4918</v>
          </cell>
          <cell r="AI25">
            <v>914.3607</v>
          </cell>
          <cell r="AJ25">
            <v>1024.432</v>
          </cell>
          <cell r="AK25">
            <v>1073.3595</v>
          </cell>
          <cell r="AL25">
            <v>1106.5905</v>
          </cell>
          <cell r="AM25">
            <v>1027.4386</v>
          </cell>
          <cell r="AN25">
            <v>1095.3564</v>
          </cell>
          <cell r="AO25">
            <v>571.8024</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row>
        <row r="26">
          <cell r="A26" t="str">
            <v>MUSTANG CC 2</v>
          </cell>
          <cell r="B26">
            <v>1064.8761</v>
          </cell>
          <cell r="C26">
            <v>1050.0271</v>
          </cell>
          <cell r="D26">
            <v>1061.7542</v>
          </cell>
          <cell r="E26">
            <v>1054.7655</v>
          </cell>
          <cell r="F26">
            <v>937.7801</v>
          </cell>
          <cell r="G26">
            <v>885.1505</v>
          </cell>
          <cell r="H26">
            <v>1094.105</v>
          </cell>
          <cell r="I26">
            <v>1070.994</v>
          </cell>
          <cell r="J26">
            <v>1008.6371</v>
          </cell>
          <cell r="K26">
            <v>1044.5513</v>
          </cell>
          <cell r="L26">
            <v>981.9835</v>
          </cell>
          <cell r="M26">
            <v>1004.2312</v>
          </cell>
          <cell r="N26">
            <v>1021.5413</v>
          </cell>
          <cell r="O26">
            <v>997.4734</v>
          </cell>
          <cell r="P26">
            <v>1111.5354</v>
          </cell>
          <cell r="Q26">
            <v>1054.2563</v>
          </cell>
          <cell r="R26">
            <v>949.4658</v>
          </cell>
          <cell r="S26">
            <v>839.9757</v>
          </cell>
          <cell r="T26">
            <v>1005.5305</v>
          </cell>
          <cell r="U26">
            <v>963.6288</v>
          </cell>
          <cell r="V26">
            <v>804.1482</v>
          </cell>
          <cell r="W26">
            <v>467.1595</v>
          </cell>
          <cell r="X26">
            <v>1022.827</v>
          </cell>
          <cell r="Y26">
            <v>933.3064</v>
          </cell>
          <cell r="Z26">
            <v>1088.5059</v>
          </cell>
          <cell r="AA26">
            <v>1024.1345</v>
          </cell>
          <cell r="AB26">
            <v>657.1271</v>
          </cell>
          <cell r="AC26">
            <v>784.3604</v>
          </cell>
          <cell r="AD26">
            <v>873.827</v>
          </cell>
          <cell r="AE26">
            <v>857.0901</v>
          </cell>
          <cell r="AF26">
            <v>1053.355</v>
          </cell>
          <cell r="AG26">
            <v>1042.2023</v>
          </cell>
          <cell r="AH26">
            <v>845.465</v>
          </cell>
          <cell r="AI26">
            <v>476.0933</v>
          </cell>
          <cell r="AJ26">
            <v>681.7323</v>
          </cell>
          <cell r="AK26">
            <v>873.0259</v>
          </cell>
          <cell r="AL26">
            <v>1100.2115</v>
          </cell>
          <cell r="AM26">
            <v>1018.6098</v>
          </cell>
          <cell r="AN26">
            <v>1060.6433</v>
          </cell>
          <cell r="AO26">
            <v>450.9045</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row>
        <row r="27">
          <cell r="A27" t="str">
            <v>MUSTANG GT 1</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row>
        <row r="28">
          <cell r="A28" t="str">
            <v>MUSTANG GT 2</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row>
        <row r="29">
          <cell r="A29" t="str">
            <v>NICHOLS 1</v>
          </cell>
          <cell r="B29">
            <v>0</v>
          </cell>
          <cell r="C29">
            <v>0</v>
          </cell>
          <cell r="D29">
            <v>0</v>
          </cell>
          <cell r="E29">
            <v>0</v>
          </cell>
          <cell r="F29">
            <v>54.1804</v>
          </cell>
          <cell r="G29">
            <v>255.6707</v>
          </cell>
          <cell r="H29">
            <v>420.7616</v>
          </cell>
          <cell r="I29">
            <v>399.2211</v>
          </cell>
          <cell r="J29">
            <v>7.2764</v>
          </cell>
          <cell r="K29">
            <v>0</v>
          </cell>
          <cell r="L29">
            <v>0</v>
          </cell>
          <cell r="M29">
            <v>0</v>
          </cell>
          <cell r="N29">
            <v>0</v>
          </cell>
          <cell r="O29">
            <v>0</v>
          </cell>
          <cell r="P29">
            <v>0</v>
          </cell>
          <cell r="Q29">
            <v>52.334</v>
          </cell>
          <cell r="R29">
            <v>52.6333</v>
          </cell>
          <cell r="S29">
            <v>68.7484</v>
          </cell>
          <cell r="T29">
            <v>355.4742</v>
          </cell>
          <cell r="U29">
            <v>243.073</v>
          </cell>
          <cell r="V29">
            <v>0</v>
          </cell>
          <cell r="W29">
            <v>0</v>
          </cell>
          <cell r="X29">
            <v>51.6056</v>
          </cell>
          <cell r="Y29">
            <v>0</v>
          </cell>
          <cell r="Z29">
            <v>0</v>
          </cell>
          <cell r="AA29">
            <v>0</v>
          </cell>
          <cell r="AB29">
            <v>0</v>
          </cell>
          <cell r="AC29">
            <v>0</v>
          </cell>
          <cell r="AD29">
            <v>0</v>
          </cell>
          <cell r="AE29">
            <v>99.7484</v>
          </cell>
          <cell r="AF29">
            <v>353.3472</v>
          </cell>
          <cell r="AG29">
            <v>291.5772</v>
          </cell>
          <cell r="AH29">
            <v>0</v>
          </cell>
          <cell r="AI29">
            <v>0</v>
          </cell>
          <cell r="AJ29">
            <v>0</v>
          </cell>
          <cell r="AK29">
            <v>0</v>
          </cell>
          <cell r="AL29">
            <v>0</v>
          </cell>
          <cell r="AM29">
            <v>0</v>
          </cell>
          <cell r="AN29">
            <v>0</v>
          </cell>
          <cell r="AO29">
            <v>0</v>
          </cell>
          <cell r="AP29">
            <v>0</v>
          </cell>
          <cell r="AQ29">
            <v>186.4331</v>
          </cell>
          <cell r="AR29">
            <v>306.4346</v>
          </cell>
          <cell r="AS29">
            <v>242.3169</v>
          </cell>
          <cell r="AT29">
            <v>0</v>
          </cell>
          <cell r="AU29">
            <v>0</v>
          </cell>
          <cell r="AV29">
            <v>0</v>
          </cell>
          <cell r="AW29">
            <v>0</v>
          </cell>
          <cell r="AX29">
            <v>0</v>
          </cell>
          <cell r="AY29">
            <v>54.735</v>
          </cell>
          <cell r="AZ29">
            <v>0</v>
          </cell>
          <cell r="BA29">
            <v>4.0692</v>
          </cell>
          <cell r="BB29">
            <v>99.5395</v>
          </cell>
          <cell r="BC29">
            <v>164.4252</v>
          </cell>
          <cell r="BD29">
            <v>372.6833</v>
          </cell>
          <cell r="BE29">
            <v>342.0607</v>
          </cell>
          <cell r="BF29">
            <v>26.7196</v>
          </cell>
          <cell r="BG29">
            <v>0</v>
          </cell>
          <cell r="BH29">
            <v>0</v>
          </cell>
          <cell r="BI29">
            <v>0</v>
          </cell>
        </row>
        <row r="30">
          <cell r="A30" t="str">
            <v>NICHOLS 2</v>
          </cell>
          <cell r="B30">
            <v>0</v>
          </cell>
          <cell r="C30">
            <v>0</v>
          </cell>
          <cell r="D30">
            <v>0</v>
          </cell>
          <cell r="E30">
            <v>0</v>
          </cell>
          <cell r="F30">
            <v>17.434</v>
          </cell>
          <cell r="G30">
            <v>278.0026</v>
          </cell>
          <cell r="H30">
            <v>409.3292</v>
          </cell>
          <cell r="I30">
            <v>354.9609</v>
          </cell>
          <cell r="J30">
            <v>7.0986</v>
          </cell>
          <cell r="K30">
            <v>0</v>
          </cell>
          <cell r="L30">
            <v>0</v>
          </cell>
          <cell r="M30">
            <v>0</v>
          </cell>
          <cell r="N30">
            <v>0</v>
          </cell>
          <cell r="O30">
            <v>0</v>
          </cell>
          <cell r="P30">
            <v>0</v>
          </cell>
          <cell r="Q30">
            <v>29.9268</v>
          </cell>
          <cell r="R30">
            <v>52.2354</v>
          </cell>
          <cell r="S30">
            <v>183.573</v>
          </cell>
          <cell r="T30">
            <v>352.6543</v>
          </cell>
          <cell r="U30">
            <v>306.4533</v>
          </cell>
          <cell r="V30">
            <v>0</v>
          </cell>
          <cell r="W30">
            <v>0</v>
          </cell>
          <cell r="X30">
            <v>50.9655</v>
          </cell>
          <cell r="Y30">
            <v>0</v>
          </cell>
          <cell r="Z30">
            <v>0</v>
          </cell>
          <cell r="AA30">
            <v>0</v>
          </cell>
          <cell r="AB30">
            <v>0</v>
          </cell>
          <cell r="AC30">
            <v>0</v>
          </cell>
          <cell r="AD30">
            <v>51.5523</v>
          </cell>
          <cell r="AE30">
            <v>212.2976</v>
          </cell>
          <cell r="AF30">
            <v>364.412</v>
          </cell>
          <cell r="AG30">
            <v>349.6814</v>
          </cell>
          <cell r="AH30">
            <v>10.1523</v>
          </cell>
          <cell r="AI30">
            <v>0</v>
          </cell>
          <cell r="AJ30">
            <v>0</v>
          </cell>
          <cell r="AK30">
            <v>0</v>
          </cell>
          <cell r="AL30">
            <v>0</v>
          </cell>
          <cell r="AM30">
            <v>0</v>
          </cell>
          <cell r="AN30">
            <v>0</v>
          </cell>
          <cell r="AO30">
            <v>0</v>
          </cell>
          <cell r="AP30">
            <v>0</v>
          </cell>
          <cell r="AQ30">
            <v>237.4714</v>
          </cell>
          <cell r="AR30">
            <v>313.0513</v>
          </cell>
          <cell r="AS30">
            <v>354.0743</v>
          </cell>
          <cell r="AT30">
            <v>52.2031</v>
          </cell>
          <cell r="AU30">
            <v>0</v>
          </cell>
          <cell r="AV30">
            <v>0</v>
          </cell>
          <cell r="AW30">
            <v>0</v>
          </cell>
          <cell r="AX30">
            <v>0</v>
          </cell>
          <cell r="AY30">
            <v>54.8625</v>
          </cell>
          <cell r="AZ30">
            <v>0</v>
          </cell>
          <cell r="BA30">
            <v>7.0577</v>
          </cell>
          <cell r="BB30">
            <v>70.4127</v>
          </cell>
          <cell r="BC30">
            <v>222.6335</v>
          </cell>
          <cell r="BD30">
            <v>370.2561</v>
          </cell>
          <cell r="BE30">
            <v>380.2966</v>
          </cell>
          <cell r="BF30">
            <v>27.4263</v>
          </cell>
          <cell r="BG30">
            <v>0</v>
          </cell>
          <cell r="BH30">
            <v>0</v>
          </cell>
          <cell r="BI30">
            <v>0</v>
          </cell>
        </row>
        <row r="31">
          <cell r="A31" t="str">
            <v>NICHOLS 3</v>
          </cell>
          <cell r="B31">
            <v>238.7542</v>
          </cell>
          <cell r="C31">
            <v>417.4258</v>
          </cell>
          <cell r="D31">
            <v>289.6653</v>
          </cell>
          <cell r="E31">
            <v>400.6843</v>
          </cell>
          <cell r="F31">
            <v>338.7084</v>
          </cell>
          <cell r="G31">
            <v>447.7898</v>
          </cell>
          <cell r="H31">
            <v>726.3446</v>
          </cell>
          <cell r="I31">
            <v>627.1794</v>
          </cell>
          <cell r="J31">
            <v>309.947</v>
          </cell>
          <cell r="K31">
            <v>452.0421</v>
          </cell>
          <cell r="L31">
            <v>253.4807</v>
          </cell>
          <cell r="M31">
            <v>262.8756</v>
          </cell>
          <cell r="N31">
            <v>181.1765</v>
          </cell>
          <cell r="O31">
            <v>215.4299</v>
          </cell>
          <cell r="P31">
            <v>334.4405</v>
          </cell>
          <cell r="Q31">
            <v>488.7505</v>
          </cell>
          <cell r="R31">
            <v>293.8512</v>
          </cell>
          <cell r="S31">
            <v>362.1249</v>
          </cell>
          <cell r="T31">
            <v>593.2915</v>
          </cell>
          <cell r="U31">
            <v>457.7227</v>
          </cell>
          <cell r="V31">
            <v>26.6395</v>
          </cell>
          <cell r="W31">
            <v>22.8434</v>
          </cell>
          <cell r="X31">
            <v>178.7116</v>
          </cell>
          <cell r="Y31">
            <v>203.8781</v>
          </cell>
          <cell r="Z31">
            <v>271.3919</v>
          </cell>
          <cell r="AA31">
            <v>309.7975</v>
          </cell>
          <cell r="AB31">
            <v>72.2408</v>
          </cell>
          <cell r="AC31">
            <v>183.5723</v>
          </cell>
          <cell r="AD31">
            <v>305.6719</v>
          </cell>
          <cell r="AE31">
            <v>273.808</v>
          </cell>
          <cell r="AF31">
            <v>544.6028</v>
          </cell>
          <cell r="AG31">
            <v>534.4301</v>
          </cell>
          <cell r="AH31">
            <v>235.756</v>
          </cell>
          <cell r="AI31">
            <v>218.5685</v>
          </cell>
          <cell r="AJ31">
            <v>163.4322</v>
          </cell>
          <cell r="AK31">
            <v>170.0156</v>
          </cell>
          <cell r="AL31">
            <v>253.2302</v>
          </cell>
          <cell r="AM31">
            <v>215.716</v>
          </cell>
          <cell r="AN31">
            <v>0</v>
          </cell>
          <cell r="AO31">
            <v>73.489</v>
          </cell>
          <cell r="AP31">
            <v>387.9374</v>
          </cell>
          <cell r="AQ31">
            <v>449.6843</v>
          </cell>
          <cell r="AR31">
            <v>589.8201</v>
          </cell>
          <cell r="AS31">
            <v>546.1334</v>
          </cell>
          <cell r="AT31">
            <v>327.2555</v>
          </cell>
          <cell r="AU31">
            <v>363.0149</v>
          </cell>
          <cell r="AV31">
            <v>241.0219</v>
          </cell>
          <cell r="AW31">
            <v>369.2654</v>
          </cell>
          <cell r="AX31">
            <v>343.1751</v>
          </cell>
          <cell r="AY31">
            <v>425.5681</v>
          </cell>
          <cell r="AZ31">
            <v>348.4191</v>
          </cell>
          <cell r="BA31">
            <v>536.0459</v>
          </cell>
          <cell r="BB31">
            <v>428.0678</v>
          </cell>
          <cell r="BC31">
            <v>472.4609</v>
          </cell>
          <cell r="BD31">
            <v>562.8669</v>
          </cell>
          <cell r="BE31">
            <v>549.1179</v>
          </cell>
          <cell r="BF31">
            <v>355.9946</v>
          </cell>
          <cell r="BG31">
            <v>313.4708</v>
          </cell>
          <cell r="BH31">
            <v>352.4836</v>
          </cell>
          <cell r="BI31">
            <v>413.8311</v>
          </cell>
        </row>
        <row r="32">
          <cell r="A32" t="str">
            <v>PLANT X 1</v>
          </cell>
          <cell r="B32">
            <v>0</v>
          </cell>
          <cell r="C32">
            <v>33.4264</v>
          </cell>
          <cell r="D32">
            <v>24.0517</v>
          </cell>
          <cell r="E32">
            <v>37.8193</v>
          </cell>
          <cell r="F32">
            <v>39.8481</v>
          </cell>
          <cell r="G32">
            <v>65.3546</v>
          </cell>
          <cell r="H32">
            <v>138.7813</v>
          </cell>
          <cell r="I32">
            <v>131.093</v>
          </cell>
          <cell r="J32">
            <v>25.0628</v>
          </cell>
          <cell r="K32">
            <v>46.4806</v>
          </cell>
          <cell r="L32">
            <v>17.4862</v>
          </cell>
          <cell r="M32">
            <v>0</v>
          </cell>
          <cell r="N32">
            <v>0</v>
          </cell>
          <cell r="O32">
            <v>0</v>
          </cell>
          <cell r="P32">
            <v>21.564</v>
          </cell>
          <cell r="Q32">
            <v>47.6697</v>
          </cell>
          <cell r="R32">
            <v>31.0418</v>
          </cell>
          <cell r="S32">
            <v>23.1259</v>
          </cell>
          <cell r="T32">
            <v>63.8991</v>
          </cell>
          <cell r="U32">
            <v>54.3512</v>
          </cell>
          <cell r="V32">
            <v>0</v>
          </cell>
          <cell r="W32">
            <v>23.0198</v>
          </cell>
          <cell r="X32">
            <v>0</v>
          </cell>
          <cell r="Y32">
            <v>0</v>
          </cell>
          <cell r="Z32">
            <v>0</v>
          </cell>
          <cell r="AA32">
            <v>0</v>
          </cell>
          <cell r="AB32">
            <v>0</v>
          </cell>
          <cell r="AC32">
            <v>0</v>
          </cell>
          <cell r="AD32">
            <v>25.5352</v>
          </cell>
          <cell r="AE32">
            <v>35.2502</v>
          </cell>
          <cell r="AF32">
            <v>71.0702</v>
          </cell>
          <cell r="AG32">
            <v>88.3684</v>
          </cell>
          <cell r="AH32">
            <v>3.2635</v>
          </cell>
          <cell r="AI32">
            <v>0</v>
          </cell>
          <cell r="AJ32">
            <v>0</v>
          </cell>
          <cell r="AK32">
            <v>0</v>
          </cell>
          <cell r="AL32">
            <v>0</v>
          </cell>
          <cell r="AM32">
            <v>0</v>
          </cell>
          <cell r="AN32">
            <v>0</v>
          </cell>
          <cell r="AO32">
            <v>1.3866</v>
          </cell>
          <cell r="AP32">
            <v>74.6541</v>
          </cell>
          <cell r="AQ32">
            <v>98.927</v>
          </cell>
          <cell r="AR32">
            <v>113.9613</v>
          </cell>
          <cell r="AS32">
            <v>128.2093</v>
          </cell>
          <cell r="AT32">
            <v>58.9601</v>
          </cell>
          <cell r="AU32">
            <v>43.0367</v>
          </cell>
          <cell r="AV32">
            <v>29.8523</v>
          </cell>
          <cell r="AW32">
            <v>25.7588</v>
          </cell>
          <cell r="AX32">
            <v>32.095</v>
          </cell>
          <cell r="AY32">
            <v>81.3152</v>
          </cell>
          <cell r="AZ32">
            <v>51.7481</v>
          </cell>
          <cell r="BA32">
            <v>48.0529</v>
          </cell>
          <cell r="BB32">
            <v>80.4182</v>
          </cell>
          <cell r="BC32">
            <v>74.8898</v>
          </cell>
          <cell r="BD32">
            <v>111.3477</v>
          </cell>
          <cell r="BE32">
            <v>102.9733</v>
          </cell>
          <cell r="BF32">
            <v>35.1559</v>
          </cell>
          <cell r="BG32">
            <v>49.2979</v>
          </cell>
          <cell r="BH32">
            <v>0</v>
          </cell>
          <cell r="BI32">
            <v>55.9564</v>
          </cell>
        </row>
        <row r="33">
          <cell r="A33" t="str">
            <v>PLANT X 2</v>
          </cell>
          <cell r="B33">
            <v>17.7746</v>
          </cell>
          <cell r="C33">
            <v>82.9555</v>
          </cell>
          <cell r="D33">
            <v>46.042</v>
          </cell>
          <cell r="E33">
            <v>91.0131</v>
          </cell>
          <cell r="F33">
            <v>93.5774</v>
          </cell>
          <cell r="G33">
            <v>180.8145</v>
          </cell>
          <cell r="H33">
            <v>330.5596</v>
          </cell>
          <cell r="I33">
            <v>278.0178</v>
          </cell>
          <cell r="J33">
            <v>83.2489</v>
          </cell>
          <cell r="K33">
            <v>101.7703</v>
          </cell>
          <cell r="L33">
            <v>20.475</v>
          </cell>
          <cell r="M33">
            <v>43.5909</v>
          </cell>
          <cell r="N33">
            <v>0</v>
          </cell>
          <cell r="O33">
            <v>0</v>
          </cell>
          <cell r="P33">
            <v>102.4223</v>
          </cell>
          <cell r="Q33">
            <v>191.1856</v>
          </cell>
          <cell r="R33">
            <v>119.0463</v>
          </cell>
          <cell r="S33">
            <v>82.7314</v>
          </cell>
          <cell r="T33">
            <v>186.2168</v>
          </cell>
          <cell r="U33">
            <v>141.042</v>
          </cell>
          <cell r="V33">
            <v>0</v>
          </cell>
          <cell r="W33">
            <v>15.0701</v>
          </cell>
          <cell r="X33">
            <v>31.0186</v>
          </cell>
          <cell r="Y33">
            <v>0</v>
          </cell>
          <cell r="Z33">
            <v>56.0009</v>
          </cell>
          <cell r="AA33">
            <v>0</v>
          </cell>
          <cell r="AB33">
            <v>0</v>
          </cell>
          <cell r="AC33">
            <v>35.8361</v>
          </cell>
          <cell r="AD33">
            <v>75.1788</v>
          </cell>
          <cell r="AE33">
            <v>119.517</v>
          </cell>
          <cell r="AF33">
            <v>204.8406</v>
          </cell>
          <cell r="AG33">
            <v>252.9926</v>
          </cell>
          <cell r="AH33">
            <v>50.8744</v>
          </cell>
          <cell r="AI33">
            <v>38.1144</v>
          </cell>
          <cell r="AJ33">
            <v>21.2488</v>
          </cell>
          <cell r="AK33">
            <v>0</v>
          </cell>
          <cell r="AL33">
            <v>36.4241</v>
          </cell>
          <cell r="AM33">
            <v>38.8663</v>
          </cell>
          <cell r="AN33">
            <v>21.3204</v>
          </cell>
          <cell r="AO33">
            <v>87.1395</v>
          </cell>
          <cell r="AP33">
            <v>122.8035</v>
          </cell>
          <cell r="AQ33">
            <v>229.9037</v>
          </cell>
          <cell r="AR33">
            <v>307.6597</v>
          </cell>
          <cell r="AS33">
            <v>302.7472</v>
          </cell>
          <cell r="AT33">
            <v>126.2</v>
          </cell>
          <cell r="AU33">
            <v>149.2048</v>
          </cell>
          <cell r="AV33">
            <v>73.6484</v>
          </cell>
          <cell r="AW33">
            <v>110.98</v>
          </cell>
          <cell r="AX33">
            <v>93.0096</v>
          </cell>
          <cell r="AY33">
            <v>231.1302</v>
          </cell>
          <cell r="AZ33">
            <v>163.8686</v>
          </cell>
          <cell r="BA33">
            <v>179.2034</v>
          </cell>
          <cell r="BB33">
            <v>168.195</v>
          </cell>
          <cell r="BC33">
            <v>219.8398</v>
          </cell>
          <cell r="BD33">
            <v>298.7883</v>
          </cell>
          <cell r="BE33">
            <v>292.7479</v>
          </cell>
          <cell r="BF33">
            <v>96.0334</v>
          </cell>
          <cell r="BG33">
            <v>66.218</v>
          </cell>
          <cell r="BH33">
            <v>153.7514</v>
          </cell>
          <cell r="BI33">
            <v>172.5831</v>
          </cell>
        </row>
        <row r="34">
          <cell r="A34" t="str">
            <v>PLANT X 3</v>
          </cell>
          <cell r="B34">
            <v>60.0473</v>
          </cell>
          <cell r="C34">
            <v>249.0479</v>
          </cell>
          <cell r="D34">
            <v>69.2834</v>
          </cell>
          <cell r="E34">
            <v>135.7161</v>
          </cell>
          <cell r="F34">
            <v>120.8862</v>
          </cell>
          <cell r="G34">
            <v>223.7337</v>
          </cell>
          <cell r="H34">
            <v>383.9094</v>
          </cell>
          <cell r="I34">
            <v>345.4329</v>
          </cell>
          <cell r="J34">
            <v>107.6045</v>
          </cell>
          <cell r="K34">
            <v>192.74</v>
          </cell>
          <cell r="L34">
            <v>38.4019</v>
          </cell>
          <cell r="M34">
            <v>96.8012</v>
          </cell>
          <cell r="N34">
            <v>0</v>
          </cell>
          <cell r="O34">
            <v>0</v>
          </cell>
          <cell r="P34">
            <v>161.2626</v>
          </cell>
          <cell r="Q34">
            <v>301.5507</v>
          </cell>
          <cell r="R34">
            <v>143.4854</v>
          </cell>
          <cell r="S34">
            <v>101.1029</v>
          </cell>
          <cell r="T34">
            <v>182.2825</v>
          </cell>
          <cell r="U34">
            <v>191.5885</v>
          </cell>
          <cell r="V34">
            <v>0</v>
          </cell>
          <cell r="W34">
            <v>51.6865</v>
          </cell>
          <cell r="X34">
            <v>38.5647</v>
          </cell>
          <cell r="Y34">
            <v>29.9385</v>
          </cell>
          <cell r="Z34">
            <v>81.5704</v>
          </cell>
          <cell r="AA34">
            <v>91.6443</v>
          </cell>
          <cell r="AB34">
            <v>7.4634</v>
          </cell>
          <cell r="AC34">
            <v>28.1314</v>
          </cell>
          <cell r="AD34">
            <v>74.611</v>
          </cell>
          <cell r="AE34">
            <v>128.3875</v>
          </cell>
          <cell r="AF34">
            <v>260.1893</v>
          </cell>
          <cell r="AG34">
            <v>264.4931</v>
          </cell>
          <cell r="AH34">
            <v>65.3891</v>
          </cell>
          <cell r="AI34">
            <v>54.0065</v>
          </cell>
          <cell r="AJ34">
            <v>49.7998</v>
          </cell>
          <cell r="AK34">
            <v>25.5662</v>
          </cell>
          <cell r="AL34">
            <v>56.7429</v>
          </cell>
          <cell r="AM34">
            <v>95.0135</v>
          </cell>
          <cell r="AN34">
            <v>61.4249</v>
          </cell>
          <cell r="AO34">
            <v>72.4384</v>
          </cell>
          <cell r="AP34">
            <v>182.5064</v>
          </cell>
          <cell r="AQ34">
            <v>287.2127</v>
          </cell>
          <cell r="AR34">
            <v>356.5144</v>
          </cell>
          <cell r="AS34">
            <v>357.5813</v>
          </cell>
          <cell r="AT34">
            <v>194.9407</v>
          </cell>
          <cell r="AU34">
            <v>182.6739</v>
          </cell>
          <cell r="AV34">
            <v>122.4058</v>
          </cell>
          <cell r="AW34">
            <v>165.0077</v>
          </cell>
          <cell r="AX34">
            <v>180.7396</v>
          </cell>
          <cell r="AY34">
            <v>315.8736</v>
          </cell>
          <cell r="AZ34">
            <v>174.3291</v>
          </cell>
          <cell r="BA34">
            <v>257.3693</v>
          </cell>
          <cell r="BB34">
            <v>267.6844</v>
          </cell>
          <cell r="BC34">
            <v>242.9821</v>
          </cell>
          <cell r="BD34">
            <v>327.9191</v>
          </cell>
          <cell r="BE34">
            <v>332.4627</v>
          </cell>
          <cell r="BF34">
            <v>181.0627</v>
          </cell>
          <cell r="BG34">
            <v>186.5306</v>
          </cell>
          <cell r="BH34">
            <v>211.1157</v>
          </cell>
          <cell r="BI34">
            <v>230.8654</v>
          </cell>
        </row>
        <row r="35">
          <cell r="A35" t="str">
            <v>PLANT X 4</v>
          </cell>
          <cell r="B35">
            <v>361.2712</v>
          </cell>
          <cell r="C35">
            <v>780.3976</v>
          </cell>
          <cell r="D35">
            <v>608.1041</v>
          </cell>
          <cell r="E35">
            <v>806.1683</v>
          </cell>
          <cell r="F35">
            <v>522.3502</v>
          </cell>
          <cell r="G35">
            <v>729.8405</v>
          </cell>
          <cell r="H35">
            <v>973.3759</v>
          </cell>
          <cell r="I35">
            <v>945.0226</v>
          </cell>
          <cell r="J35">
            <v>804.724</v>
          </cell>
          <cell r="K35">
            <v>591.1257</v>
          </cell>
          <cell r="L35">
            <v>626.7291</v>
          </cell>
          <cell r="M35">
            <v>572.4228</v>
          </cell>
          <cell r="N35">
            <v>356.4262</v>
          </cell>
          <cell r="O35">
            <v>619.1456</v>
          </cell>
          <cell r="P35">
            <v>897.2176</v>
          </cell>
          <cell r="Q35">
            <v>924.1532</v>
          </cell>
          <cell r="R35">
            <v>577.2676</v>
          </cell>
          <cell r="S35">
            <v>343.196</v>
          </cell>
          <cell r="T35">
            <v>672.164</v>
          </cell>
          <cell r="U35">
            <v>616.3818</v>
          </cell>
          <cell r="V35">
            <v>259.3422</v>
          </cell>
          <cell r="W35">
            <v>146.0814</v>
          </cell>
          <cell r="X35">
            <v>243.247</v>
          </cell>
          <cell r="Y35">
            <v>263.4767</v>
          </cell>
          <cell r="Z35">
            <v>483.3776</v>
          </cell>
          <cell r="AA35">
            <v>660.4186</v>
          </cell>
          <cell r="AB35">
            <v>62.9089</v>
          </cell>
          <cell r="AC35">
            <v>309.3973</v>
          </cell>
          <cell r="AD35">
            <v>424.923</v>
          </cell>
          <cell r="AE35">
            <v>463.7833</v>
          </cell>
          <cell r="AF35">
            <v>772.0316</v>
          </cell>
          <cell r="AG35">
            <v>673.3073</v>
          </cell>
          <cell r="AH35">
            <v>234.7076</v>
          </cell>
          <cell r="AI35">
            <v>152.871</v>
          </cell>
          <cell r="AJ35">
            <v>183.699</v>
          </cell>
          <cell r="AK35">
            <v>189.7908</v>
          </cell>
          <cell r="AL35">
            <v>203.9226</v>
          </cell>
          <cell r="AM35">
            <v>0</v>
          </cell>
          <cell r="AN35">
            <v>139.8541</v>
          </cell>
          <cell r="AO35">
            <v>447.2841</v>
          </cell>
          <cell r="AP35">
            <v>617.2725</v>
          </cell>
          <cell r="AQ35">
            <v>723.8799</v>
          </cell>
          <cell r="AR35">
            <v>957.0186</v>
          </cell>
          <cell r="AS35">
            <v>872.1303</v>
          </cell>
          <cell r="AT35">
            <v>679.3955</v>
          </cell>
          <cell r="AU35">
            <v>520.5526</v>
          </cell>
          <cell r="AV35">
            <v>566.3748</v>
          </cell>
          <cell r="AW35">
            <v>601.9009</v>
          </cell>
          <cell r="AX35">
            <v>687.9621</v>
          </cell>
          <cell r="AY35">
            <v>965.9199</v>
          </cell>
          <cell r="AZ35">
            <v>829.3254</v>
          </cell>
          <cell r="BA35">
            <v>947.2396</v>
          </cell>
          <cell r="BB35">
            <v>734.5135</v>
          </cell>
          <cell r="BC35">
            <v>798.2921</v>
          </cell>
          <cell r="BD35">
            <v>958.4452</v>
          </cell>
          <cell r="BE35">
            <v>928.2371</v>
          </cell>
          <cell r="BF35">
            <v>749.8398</v>
          </cell>
          <cell r="BG35">
            <v>527.525</v>
          </cell>
          <cell r="BH35">
            <v>581.2839</v>
          </cell>
          <cell r="BI35">
            <v>621.0881</v>
          </cell>
        </row>
        <row r="36">
          <cell r="A36" t="str">
            <v>RIVER GT 1</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row>
        <row r="37">
          <cell r="A37" t="str">
            <v>TOLK 1</v>
          </cell>
          <cell r="B37">
            <v>3612.1682</v>
          </cell>
          <cell r="C37">
            <v>124.3981</v>
          </cell>
          <cell r="D37">
            <v>2157.1809</v>
          </cell>
          <cell r="E37">
            <v>3510.3474</v>
          </cell>
          <cell r="F37">
            <v>3444.2788</v>
          </cell>
          <cell r="G37">
            <v>3380.3833</v>
          </cell>
          <cell r="H37">
            <v>3634.8086</v>
          </cell>
          <cell r="I37">
            <v>3575.6345</v>
          </cell>
          <cell r="J37">
            <v>3493.7625</v>
          </cell>
          <cell r="K37">
            <v>3580.7024</v>
          </cell>
          <cell r="L37">
            <v>3449.5479</v>
          </cell>
          <cell r="M37">
            <v>3531.5535</v>
          </cell>
          <cell r="N37">
            <v>3521.9294</v>
          </cell>
          <cell r="O37">
            <v>3361.1877</v>
          </cell>
          <cell r="P37">
            <v>3680.6455</v>
          </cell>
          <cell r="Q37">
            <v>2451.2524</v>
          </cell>
          <cell r="R37">
            <v>3380.9829</v>
          </cell>
          <cell r="S37">
            <v>3445.1016</v>
          </cell>
          <cell r="T37">
            <v>3649.5107</v>
          </cell>
          <cell r="U37">
            <v>3591.6963</v>
          </cell>
          <cell r="V37">
            <v>3528.0667</v>
          </cell>
          <cell r="W37">
            <v>3544.6021</v>
          </cell>
          <cell r="X37">
            <v>3517.9304</v>
          </cell>
          <cell r="Y37">
            <v>3615.0176</v>
          </cell>
          <cell r="Z37">
            <v>1047.3907</v>
          </cell>
          <cell r="AA37">
            <v>939.3497</v>
          </cell>
          <cell r="AB37">
            <v>3550.4004</v>
          </cell>
          <cell r="AC37">
            <v>3477.8518</v>
          </cell>
          <cell r="AD37">
            <v>3575.3555</v>
          </cell>
          <cell r="AE37">
            <v>3488.0273</v>
          </cell>
          <cell r="AF37">
            <v>3664.2024</v>
          </cell>
          <cell r="AG37">
            <v>3632.3611</v>
          </cell>
          <cell r="AH37">
            <v>3500.47</v>
          </cell>
          <cell r="AI37">
            <v>3559.4912</v>
          </cell>
          <cell r="AJ37">
            <v>3476.3748</v>
          </cell>
          <cell r="AK37">
            <v>3598.7722</v>
          </cell>
          <cell r="AL37">
            <v>3654.345</v>
          </cell>
          <cell r="AM37">
            <v>3317.3586</v>
          </cell>
          <cell r="AN37">
            <v>2779.8101</v>
          </cell>
          <cell r="AO37">
            <v>3432.9785</v>
          </cell>
          <cell r="AP37">
            <v>3621.2625</v>
          </cell>
          <cell r="AQ37">
            <v>3573.405</v>
          </cell>
          <cell r="AR37">
            <v>3689.5208</v>
          </cell>
          <cell r="AS37">
            <v>3686.2388</v>
          </cell>
          <cell r="AT37">
            <v>3582.7329</v>
          </cell>
          <cell r="AU37">
            <v>3536.4307</v>
          </cell>
          <cell r="AV37">
            <v>3519.9053</v>
          </cell>
          <cell r="AW37">
            <v>3630.9338</v>
          </cell>
          <cell r="AX37">
            <v>3660.3391</v>
          </cell>
          <cell r="AY37">
            <v>3343.1985</v>
          </cell>
          <cell r="AZ37">
            <v>3680.2493</v>
          </cell>
          <cell r="BA37">
            <v>2498.0601</v>
          </cell>
          <cell r="BB37">
            <v>3650.6748</v>
          </cell>
          <cell r="BC37">
            <v>3582.0969</v>
          </cell>
          <cell r="BD37">
            <v>3694.4277</v>
          </cell>
          <cell r="BE37">
            <v>3695.4377</v>
          </cell>
          <cell r="BF37">
            <v>3582.7327</v>
          </cell>
          <cell r="BG37">
            <v>3595.4431</v>
          </cell>
          <cell r="BH37">
            <v>3540.605</v>
          </cell>
          <cell r="BI37">
            <v>3653.3269</v>
          </cell>
        </row>
        <row r="38">
          <cell r="A38" t="str">
            <v>TOLK 2</v>
          </cell>
          <cell r="B38">
            <v>3448.6865</v>
          </cell>
          <cell r="C38">
            <v>3130.73</v>
          </cell>
          <cell r="D38">
            <v>3447.9905</v>
          </cell>
          <cell r="E38">
            <v>2535.2278</v>
          </cell>
          <cell r="F38">
            <v>3313.2778</v>
          </cell>
          <cell r="G38">
            <v>3246.9578</v>
          </cell>
          <cell r="H38">
            <v>3447.0388</v>
          </cell>
          <cell r="I38">
            <v>3412.6968</v>
          </cell>
          <cell r="J38">
            <v>3331.8379</v>
          </cell>
          <cell r="K38">
            <v>3437.7595</v>
          </cell>
          <cell r="L38">
            <v>3286.6628</v>
          </cell>
          <cell r="M38">
            <v>3417.2754</v>
          </cell>
          <cell r="N38">
            <v>3363.7002</v>
          </cell>
          <cell r="O38">
            <v>3178.2195</v>
          </cell>
          <cell r="P38">
            <v>0</v>
          </cell>
          <cell r="Q38">
            <v>1319.1603</v>
          </cell>
          <cell r="R38">
            <v>3225.3601</v>
          </cell>
          <cell r="S38">
            <v>3320.6665</v>
          </cell>
          <cell r="T38">
            <v>3462.1453</v>
          </cell>
          <cell r="U38">
            <v>3437.7617</v>
          </cell>
          <cell r="V38">
            <v>3346.6414</v>
          </cell>
          <cell r="W38">
            <v>3393.2681</v>
          </cell>
          <cell r="X38">
            <v>3343.8777</v>
          </cell>
          <cell r="Y38">
            <v>3431.3323</v>
          </cell>
          <cell r="Z38">
            <v>3457.5803</v>
          </cell>
          <cell r="AA38">
            <v>3128.7065</v>
          </cell>
          <cell r="AB38">
            <v>3394.7651</v>
          </cell>
          <cell r="AC38">
            <v>3302.2881</v>
          </cell>
          <cell r="AD38">
            <v>2605.5261</v>
          </cell>
          <cell r="AE38">
            <v>3326.072</v>
          </cell>
          <cell r="AF38">
            <v>3461.957</v>
          </cell>
          <cell r="AG38">
            <v>3450.6562</v>
          </cell>
          <cell r="AH38">
            <v>3325.4807</v>
          </cell>
          <cell r="AI38">
            <v>3416.0132</v>
          </cell>
          <cell r="AJ38">
            <v>3309.3755</v>
          </cell>
          <cell r="AK38">
            <v>3421.4622</v>
          </cell>
          <cell r="AL38">
            <v>3458.6396</v>
          </cell>
          <cell r="AM38">
            <v>3122.6292</v>
          </cell>
          <cell r="AN38">
            <v>3435.4949</v>
          </cell>
          <cell r="AO38">
            <v>2500.9766</v>
          </cell>
          <cell r="AP38">
            <v>3414.6396</v>
          </cell>
          <cell r="AQ38">
            <v>3353.9956</v>
          </cell>
          <cell r="AR38">
            <v>3465.959</v>
          </cell>
          <cell r="AS38">
            <v>3466.1782</v>
          </cell>
          <cell r="AT38">
            <v>3354.5347</v>
          </cell>
          <cell r="AU38">
            <v>3379.3999</v>
          </cell>
          <cell r="AV38">
            <v>3339.4917</v>
          </cell>
          <cell r="AW38">
            <v>3445.4314</v>
          </cell>
          <cell r="AX38">
            <v>3460.0916</v>
          </cell>
          <cell r="AY38">
            <v>445.9684</v>
          </cell>
          <cell r="AZ38">
            <v>2232.0984</v>
          </cell>
          <cell r="BA38">
            <v>3354.5342</v>
          </cell>
          <cell r="BB38">
            <v>3448.7092</v>
          </cell>
          <cell r="BC38">
            <v>3354.5349</v>
          </cell>
          <cell r="BD38">
            <v>3466.2012</v>
          </cell>
          <cell r="BE38">
            <v>3466.2393</v>
          </cell>
          <cell r="BF38">
            <v>3354.5344</v>
          </cell>
          <cell r="BG38">
            <v>3443.658</v>
          </cell>
          <cell r="BH38">
            <v>3348.9749</v>
          </cell>
          <cell r="BI38">
            <v>3452.9995</v>
          </cell>
        </row>
        <row r="39">
          <cell r="A39" t="str">
            <v>TUCUMCAR 9</v>
          </cell>
          <cell r="B39">
            <v>0</v>
          </cell>
          <cell r="C39">
            <v>0</v>
          </cell>
          <cell r="D39">
            <v>0</v>
          </cell>
          <cell r="E39">
            <v>0</v>
          </cell>
          <cell r="F39">
            <v>0</v>
          </cell>
          <cell r="G39">
            <v>0.49</v>
          </cell>
          <cell r="H39">
            <v>0.21</v>
          </cell>
          <cell r="I39">
            <v>0.56</v>
          </cell>
          <cell r="J39">
            <v>0</v>
          </cell>
          <cell r="K39">
            <v>0</v>
          </cell>
          <cell r="L39">
            <v>0</v>
          </cell>
          <cell r="M39">
            <v>0</v>
          </cell>
          <cell r="N39">
            <v>0</v>
          </cell>
          <cell r="O39">
            <v>0</v>
          </cell>
          <cell r="P39">
            <v>0</v>
          </cell>
          <cell r="Q39">
            <v>0</v>
          </cell>
          <cell r="R39">
            <v>0</v>
          </cell>
          <cell r="S39">
            <v>0</v>
          </cell>
          <cell r="T39">
            <v>0.07</v>
          </cell>
          <cell r="U39">
            <v>0</v>
          </cell>
          <cell r="V39">
            <v>0</v>
          </cell>
          <cell r="W39">
            <v>0</v>
          </cell>
          <cell r="X39">
            <v>0</v>
          </cell>
          <cell r="Y39">
            <v>0</v>
          </cell>
          <cell r="Z39">
            <v>0</v>
          </cell>
          <cell r="AA39">
            <v>0</v>
          </cell>
          <cell r="AB39">
            <v>0</v>
          </cell>
          <cell r="AC39">
            <v>0</v>
          </cell>
          <cell r="AD39">
            <v>0</v>
          </cell>
          <cell r="AE39">
            <v>0</v>
          </cell>
          <cell r="AF39">
            <v>1.4</v>
          </cell>
          <cell r="AG39">
            <v>0.7</v>
          </cell>
          <cell r="AH39">
            <v>0</v>
          </cell>
          <cell r="AI39">
            <v>0</v>
          </cell>
          <cell r="AJ39">
            <v>0</v>
          </cell>
          <cell r="AK39">
            <v>0</v>
          </cell>
          <cell r="AL39">
            <v>0</v>
          </cell>
          <cell r="AM39">
            <v>0</v>
          </cell>
          <cell r="AN39">
            <v>0</v>
          </cell>
          <cell r="AO39">
            <v>0</v>
          </cell>
          <cell r="AP39">
            <v>0</v>
          </cell>
          <cell r="AQ39">
            <v>0.28</v>
          </cell>
          <cell r="AR39">
            <v>0.35</v>
          </cell>
          <cell r="AS39">
            <v>0.49</v>
          </cell>
          <cell r="AT39">
            <v>0</v>
          </cell>
          <cell r="AU39">
            <v>0</v>
          </cell>
          <cell r="AV39">
            <v>0</v>
          </cell>
          <cell r="AW39">
            <v>0</v>
          </cell>
          <cell r="AX39">
            <v>0</v>
          </cell>
          <cell r="AY39">
            <v>0.07</v>
          </cell>
          <cell r="AZ39">
            <v>0</v>
          </cell>
          <cell r="BA39">
            <v>0</v>
          </cell>
          <cell r="BB39">
            <v>0</v>
          </cell>
          <cell r="BC39">
            <v>0</v>
          </cell>
          <cell r="BD39">
            <v>0</v>
          </cell>
          <cell r="BE39">
            <v>0.42</v>
          </cell>
          <cell r="BF39">
            <v>0</v>
          </cell>
          <cell r="BG39">
            <v>0</v>
          </cell>
          <cell r="BH39">
            <v>0</v>
          </cell>
          <cell r="BI39">
            <v>0</v>
          </cell>
        </row>
        <row r="40">
          <cell r="A40" t="str">
            <v>PUR Llano Wind</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row>
        <row r="41">
          <cell r="A41" t="str">
            <v>DC Tie PUR</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row>
        <row r="42">
          <cell r="A42" t="str">
            <v>DC Tie SAL</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row>
        <row r="43">
          <cell r="A43" t="str">
            <v>Econ PUR_N</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row>
        <row r="44">
          <cell r="A44" t="str">
            <v>Econ SAL_N</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row>
        <row r="45">
          <cell r="A45" t="str">
            <v>PUR CapRock Wind</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row>
        <row r="46">
          <cell r="A46" t="str">
            <v>PUR LlanoC Wind</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row>
        <row r="47">
          <cell r="A47" t="str">
            <v>SPS_N MCP</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row>
        <row r="48">
          <cell r="A48" t="str">
            <v>SPS_S MCP</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row>
        <row r="49">
          <cell r="A49" t="str">
            <v>Econ PUR_BW</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row>
        <row r="50">
          <cell r="A50" t="str">
            <v>Econ PUR_EC</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row>
        <row r="51">
          <cell r="A51" t="str">
            <v>PUR AEOLUS Wind</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row>
        <row r="52">
          <cell r="A52" t="str">
            <v>PUR BRANDON1</v>
          </cell>
          <cell r="B52">
            <v>20.5412</v>
          </cell>
          <cell r="C52">
            <v>44.4296</v>
          </cell>
          <cell r="D52">
            <v>11.2873</v>
          </cell>
          <cell r="E52">
            <v>94.031</v>
          </cell>
          <cell r="F52">
            <v>94.6176</v>
          </cell>
          <cell r="G52">
            <v>110.972</v>
          </cell>
          <cell r="H52">
            <v>114.4519</v>
          </cell>
          <cell r="I52">
            <v>101.3946</v>
          </cell>
          <cell r="J52">
            <v>79.1153</v>
          </cell>
          <cell r="K52">
            <v>80.6771</v>
          </cell>
          <cell r="L52">
            <v>11.7336</v>
          </cell>
          <cell r="M52">
            <v>23.4297</v>
          </cell>
          <cell r="N52">
            <v>41.1234</v>
          </cell>
          <cell r="O52">
            <v>18.5809</v>
          </cell>
          <cell r="P52">
            <v>43.6694</v>
          </cell>
          <cell r="Q52">
            <v>79.553</v>
          </cell>
          <cell r="R52">
            <v>64.184</v>
          </cell>
          <cell r="S52">
            <v>99.6213</v>
          </cell>
          <cell r="T52">
            <v>111.5155</v>
          </cell>
          <cell r="U52">
            <v>110.9694</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row>
        <row r="53">
          <cell r="A53" t="str">
            <v>PUR COOKEGT1</v>
          </cell>
          <cell r="B53">
            <v>0</v>
          </cell>
          <cell r="C53">
            <v>0.543</v>
          </cell>
          <cell r="D53">
            <v>0</v>
          </cell>
          <cell r="E53">
            <v>1.81</v>
          </cell>
          <cell r="F53">
            <v>2.172</v>
          </cell>
          <cell r="G53">
            <v>7.421</v>
          </cell>
          <cell r="H53">
            <v>23.168</v>
          </cell>
          <cell r="I53">
            <v>13.394</v>
          </cell>
          <cell r="J53">
            <v>1.81</v>
          </cell>
          <cell r="K53">
            <v>0.724</v>
          </cell>
          <cell r="L53">
            <v>0</v>
          </cell>
          <cell r="M53">
            <v>0</v>
          </cell>
          <cell r="N53">
            <v>0.724</v>
          </cell>
          <cell r="O53">
            <v>0</v>
          </cell>
          <cell r="P53">
            <v>0</v>
          </cell>
          <cell r="Q53">
            <v>5.792</v>
          </cell>
          <cell r="R53">
            <v>3.077</v>
          </cell>
          <cell r="S53">
            <v>1.267</v>
          </cell>
          <cell r="T53">
            <v>15.7246</v>
          </cell>
          <cell r="U53">
            <v>6.697</v>
          </cell>
          <cell r="V53">
            <v>3.982</v>
          </cell>
          <cell r="W53">
            <v>0</v>
          </cell>
          <cell r="X53">
            <v>0</v>
          </cell>
          <cell r="Y53">
            <v>0</v>
          </cell>
          <cell r="Z53">
            <v>0</v>
          </cell>
          <cell r="AA53">
            <v>0</v>
          </cell>
          <cell r="AB53">
            <v>0</v>
          </cell>
          <cell r="AC53">
            <v>0.362</v>
          </cell>
          <cell r="AD53">
            <v>2.353</v>
          </cell>
          <cell r="AE53">
            <v>6.335</v>
          </cell>
          <cell r="AF53">
            <v>30.227</v>
          </cell>
          <cell r="AG53">
            <v>21.72</v>
          </cell>
          <cell r="AH53">
            <v>7.964</v>
          </cell>
          <cell r="AI53">
            <v>0</v>
          </cell>
          <cell r="AJ53">
            <v>1.267</v>
          </cell>
          <cell r="AK53">
            <v>0</v>
          </cell>
          <cell r="AL53">
            <v>0</v>
          </cell>
          <cell r="AM53">
            <v>0</v>
          </cell>
          <cell r="AN53">
            <v>0</v>
          </cell>
          <cell r="AO53">
            <v>0</v>
          </cell>
          <cell r="AP53">
            <v>1.991</v>
          </cell>
          <cell r="AQ53">
            <v>15.928</v>
          </cell>
          <cell r="AR53">
            <v>36.019</v>
          </cell>
          <cell r="AS53">
            <v>28.055</v>
          </cell>
          <cell r="AT53">
            <v>12.67</v>
          </cell>
          <cell r="AU53">
            <v>3.62</v>
          </cell>
          <cell r="AV53">
            <v>0</v>
          </cell>
          <cell r="AW53">
            <v>1.629</v>
          </cell>
          <cell r="AX53">
            <v>0.362</v>
          </cell>
          <cell r="AY53">
            <v>7.059</v>
          </cell>
          <cell r="AZ53">
            <v>3.982</v>
          </cell>
          <cell r="BA53">
            <v>4.706</v>
          </cell>
          <cell r="BB53">
            <v>4.344</v>
          </cell>
          <cell r="BC53">
            <v>20.272</v>
          </cell>
          <cell r="BD53">
            <v>38.3496</v>
          </cell>
          <cell r="BE53">
            <v>28.055</v>
          </cell>
          <cell r="BF53">
            <v>11.946</v>
          </cell>
          <cell r="BG53">
            <v>5.1883</v>
          </cell>
          <cell r="BH53">
            <v>0</v>
          </cell>
          <cell r="BI53">
            <v>5.2442</v>
          </cell>
        </row>
        <row r="54">
          <cell r="A54" t="str">
            <v>PUR COOKEGT2</v>
          </cell>
          <cell r="B54">
            <v>0.2158</v>
          </cell>
          <cell r="C54">
            <v>7.3369</v>
          </cell>
          <cell r="D54">
            <v>0.4316</v>
          </cell>
          <cell r="E54">
            <v>5.9175</v>
          </cell>
          <cell r="F54">
            <v>10.7392</v>
          </cell>
          <cell r="G54">
            <v>24.0219</v>
          </cell>
          <cell r="H54">
            <v>53.7737</v>
          </cell>
          <cell r="I54">
            <v>40.9914</v>
          </cell>
          <cell r="J54">
            <v>18.953</v>
          </cell>
          <cell r="K54">
            <v>8.8154</v>
          </cell>
          <cell r="L54">
            <v>3.0211</v>
          </cell>
          <cell r="M54">
            <v>11.8686</v>
          </cell>
          <cell r="N54">
            <v>2.1579</v>
          </cell>
          <cell r="O54">
            <v>1.079</v>
          </cell>
          <cell r="P54">
            <v>1.5105</v>
          </cell>
          <cell r="Q54">
            <v>14.6843</v>
          </cell>
          <cell r="R54">
            <v>9.2051</v>
          </cell>
          <cell r="S54">
            <v>24.9034</v>
          </cell>
          <cell r="T54">
            <v>49.5864</v>
          </cell>
          <cell r="U54">
            <v>38.3468</v>
          </cell>
          <cell r="V54">
            <v>30.413</v>
          </cell>
          <cell r="W54">
            <v>11.6804</v>
          </cell>
          <cell r="X54">
            <v>9.0633</v>
          </cell>
          <cell r="Y54">
            <v>15.9686</v>
          </cell>
          <cell r="Z54">
            <v>2.1579</v>
          </cell>
          <cell r="AA54">
            <v>3.8843</v>
          </cell>
          <cell r="AB54">
            <v>4.9632</v>
          </cell>
          <cell r="AC54">
            <v>12.9309</v>
          </cell>
          <cell r="AD54">
            <v>13.3692</v>
          </cell>
          <cell r="AE54">
            <v>39.4487</v>
          </cell>
          <cell r="AF54">
            <v>64.1317</v>
          </cell>
          <cell r="AG54">
            <v>58.1813</v>
          </cell>
          <cell r="AH54">
            <v>33.4984</v>
          </cell>
          <cell r="AI54">
            <v>15.6473</v>
          </cell>
          <cell r="AJ54">
            <v>11.437</v>
          </cell>
          <cell r="AK54">
            <v>23.0897</v>
          </cell>
          <cell r="AL54">
            <v>6.0422</v>
          </cell>
          <cell r="AM54">
            <v>3.2369</v>
          </cell>
          <cell r="AN54">
            <v>6.0422</v>
          </cell>
          <cell r="AO54">
            <v>10.9584</v>
          </cell>
          <cell r="AP54">
            <v>21.2593</v>
          </cell>
          <cell r="AQ54">
            <v>47.8233</v>
          </cell>
          <cell r="AR54">
            <v>67.4375</v>
          </cell>
          <cell r="AS54">
            <v>66.5559</v>
          </cell>
          <cell r="AT54">
            <v>40.5506</v>
          </cell>
          <cell r="AU54">
            <v>22.9199</v>
          </cell>
          <cell r="AV54">
            <v>19.2055</v>
          </cell>
          <cell r="AW54">
            <v>25.2477</v>
          </cell>
          <cell r="AX54">
            <v>7.3369</v>
          </cell>
          <cell r="AY54">
            <v>15.7528</v>
          </cell>
          <cell r="AZ54">
            <v>16.8318</v>
          </cell>
          <cell r="BA54">
            <v>20.3826</v>
          </cell>
          <cell r="BB54">
            <v>26.081</v>
          </cell>
          <cell r="BC54">
            <v>53.7737</v>
          </cell>
          <cell r="BD54">
            <v>72.0656</v>
          </cell>
          <cell r="BE54">
            <v>67.6579</v>
          </cell>
          <cell r="BF54">
            <v>46.0602</v>
          </cell>
          <cell r="BG54">
            <v>28.8703</v>
          </cell>
          <cell r="BH54">
            <v>21.795</v>
          </cell>
          <cell r="BI54">
            <v>29.7793</v>
          </cell>
        </row>
        <row r="55">
          <cell r="A55" t="str">
            <v>PUR COOKEGT3</v>
          </cell>
          <cell r="B55">
            <v>0</v>
          </cell>
          <cell r="C55">
            <v>2.0581</v>
          </cell>
          <cell r="D55">
            <v>0</v>
          </cell>
          <cell r="E55">
            <v>3.9742</v>
          </cell>
          <cell r="F55">
            <v>5.8288</v>
          </cell>
          <cell r="G55">
            <v>14.2052</v>
          </cell>
          <cell r="H55">
            <v>47.1719</v>
          </cell>
          <cell r="I55">
            <v>33.7708</v>
          </cell>
          <cell r="J55">
            <v>8.8447</v>
          </cell>
          <cell r="K55">
            <v>2.4122</v>
          </cell>
          <cell r="L55">
            <v>0</v>
          </cell>
          <cell r="M55">
            <v>0.5145</v>
          </cell>
          <cell r="N55">
            <v>1.029</v>
          </cell>
          <cell r="O55">
            <v>0.5145</v>
          </cell>
          <cell r="P55">
            <v>0</v>
          </cell>
          <cell r="Q55">
            <v>9.2731</v>
          </cell>
          <cell r="R55">
            <v>5.2989</v>
          </cell>
          <cell r="S55">
            <v>8.8447</v>
          </cell>
          <cell r="T55">
            <v>41.0074</v>
          </cell>
          <cell r="U55">
            <v>23.854</v>
          </cell>
          <cell r="V55">
            <v>18.2255</v>
          </cell>
          <cell r="W55">
            <v>4.5564</v>
          </cell>
          <cell r="X55">
            <v>0</v>
          </cell>
          <cell r="Y55">
            <v>0.7718</v>
          </cell>
          <cell r="Z55">
            <v>0</v>
          </cell>
          <cell r="AA55">
            <v>0</v>
          </cell>
          <cell r="AB55">
            <v>0</v>
          </cell>
          <cell r="AC55">
            <v>3.1793</v>
          </cell>
          <cell r="AD55">
            <v>6.3587</v>
          </cell>
          <cell r="AE55">
            <v>25.7301</v>
          </cell>
          <cell r="AF55">
            <v>59.7689</v>
          </cell>
          <cell r="AG55">
            <v>47.7079</v>
          </cell>
          <cell r="AH55">
            <v>23.854</v>
          </cell>
          <cell r="AI55">
            <v>8.3087</v>
          </cell>
          <cell r="AJ55">
            <v>3.6017</v>
          </cell>
          <cell r="AK55">
            <v>4.1162</v>
          </cell>
          <cell r="AL55">
            <v>0</v>
          </cell>
          <cell r="AM55">
            <v>0</v>
          </cell>
          <cell r="AN55">
            <v>0</v>
          </cell>
          <cell r="AO55">
            <v>4.769</v>
          </cell>
          <cell r="AP55">
            <v>7.6834</v>
          </cell>
          <cell r="AQ55">
            <v>39.9353</v>
          </cell>
          <cell r="AR55">
            <v>67.0055</v>
          </cell>
          <cell r="AS55">
            <v>62.9852</v>
          </cell>
          <cell r="AT55">
            <v>30.5545</v>
          </cell>
          <cell r="AU55">
            <v>12.329</v>
          </cell>
          <cell r="AV55">
            <v>0.7718</v>
          </cell>
          <cell r="AW55">
            <v>13.6348</v>
          </cell>
          <cell r="AX55">
            <v>0.5145</v>
          </cell>
          <cell r="AY55">
            <v>12.0913</v>
          </cell>
          <cell r="AZ55">
            <v>8.7469</v>
          </cell>
          <cell r="BA55">
            <v>14.572</v>
          </cell>
          <cell r="BB55">
            <v>18.5462</v>
          </cell>
          <cell r="BC55">
            <v>47.976</v>
          </cell>
          <cell r="BD55">
            <v>72.366</v>
          </cell>
          <cell r="BE55">
            <v>60.573</v>
          </cell>
          <cell r="BF55">
            <v>37.5231</v>
          </cell>
          <cell r="BG55">
            <v>16.0813</v>
          </cell>
          <cell r="BH55">
            <v>7.4606</v>
          </cell>
          <cell r="BI55">
            <v>21.8672</v>
          </cell>
        </row>
        <row r="56">
          <cell r="A56" t="str">
            <v>PUR COOKEST1</v>
          </cell>
          <cell r="B56">
            <v>0</v>
          </cell>
          <cell r="C56">
            <v>0</v>
          </cell>
          <cell r="D56">
            <v>0</v>
          </cell>
          <cell r="E56">
            <v>83.3549</v>
          </cell>
          <cell r="F56">
            <v>55.9053</v>
          </cell>
          <cell r="G56">
            <v>94.7188</v>
          </cell>
          <cell r="H56">
            <v>114.8457</v>
          </cell>
          <cell r="I56">
            <v>127.1672</v>
          </cell>
          <cell r="J56">
            <v>79.7698</v>
          </cell>
          <cell r="K56">
            <v>56.7423</v>
          </cell>
          <cell r="L56">
            <v>27.14</v>
          </cell>
          <cell r="M56">
            <v>4.153</v>
          </cell>
          <cell r="N56">
            <v>23.0364</v>
          </cell>
          <cell r="O56">
            <v>22.5631</v>
          </cell>
          <cell r="P56">
            <v>27.6778</v>
          </cell>
          <cell r="Q56">
            <v>86.736</v>
          </cell>
          <cell r="R56">
            <v>70.608</v>
          </cell>
          <cell r="S56">
            <v>93.0662</v>
          </cell>
          <cell r="T56">
            <v>104.4278</v>
          </cell>
          <cell r="U56">
            <v>102.3067</v>
          </cell>
          <cell r="V56">
            <v>93.4126</v>
          </cell>
          <cell r="W56">
            <v>68.3366</v>
          </cell>
          <cell r="X56">
            <v>0</v>
          </cell>
          <cell r="Y56">
            <v>42.2857</v>
          </cell>
          <cell r="Z56">
            <v>0</v>
          </cell>
          <cell r="AA56">
            <v>0</v>
          </cell>
          <cell r="AB56">
            <v>0</v>
          </cell>
          <cell r="AC56">
            <v>33.4132</v>
          </cell>
          <cell r="AD56">
            <v>74.1887</v>
          </cell>
          <cell r="AE56">
            <v>114.7795</v>
          </cell>
          <cell r="AF56">
            <v>133.1226</v>
          </cell>
          <cell r="AG56">
            <v>129.1501</v>
          </cell>
          <cell r="AH56">
            <v>106.0917</v>
          </cell>
          <cell r="AI56">
            <v>78.908</v>
          </cell>
          <cell r="AJ56">
            <v>59.4642</v>
          </cell>
          <cell r="AK56">
            <v>69.4693</v>
          </cell>
          <cell r="AL56">
            <v>22.653</v>
          </cell>
          <cell r="AM56">
            <v>22.653</v>
          </cell>
          <cell r="AN56">
            <v>0</v>
          </cell>
          <cell r="AO56">
            <v>42.852</v>
          </cell>
          <cell r="AP56">
            <v>93.4767</v>
          </cell>
          <cell r="AQ56">
            <v>122.3511</v>
          </cell>
          <cell r="AR56">
            <v>135.3707</v>
          </cell>
          <cell r="AS56">
            <v>133.0035</v>
          </cell>
          <cell r="AT56">
            <v>97.5953</v>
          </cell>
          <cell r="AU56">
            <v>96.0866</v>
          </cell>
          <cell r="AV56">
            <v>61.1631</v>
          </cell>
          <cell r="AW56">
            <v>101.0883</v>
          </cell>
          <cell r="AX56">
            <v>45.8724</v>
          </cell>
          <cell r="AY56">
            <v>80.0832</v>
          </cell>
          <cell r="AZ56">
            <v>66.7289</v>
          </cell>
          <cell r="BA56">
            <v>84.9602</v>
          </cell>
          <cell r="BB56">
            <v>108.1682</v>
          </cell>
          <cell r="BC56">
            <v>124.4277</v>
          </cell>
          <cell r="BD56">
            <v>130.8892</v>
          </cell>
          <cell r="BE56">
            <v>127.6795</v>
          </cell>
          <cell r="BF56">
            <v>109.5273</v>
          </cell>
          <cell r="BG56">
            <v>96.4641</v>
          </cell>
          <cell r="BH56">
            <v>98.7294</v>
          </cell>
          <cell r="BI56">
            <v>107.0356</v>
          </cell>
        </row>
        <row r="57">
          <cell r="A57" t="str">
            <v>PUR COOKEST2</v>
          </cell>
          <cell r="B57">
            <v>0</v>
          </cell>
          <cell r="C57">
            <v>10.5448</v>
          </cell>
          <cell r="D57">
            <v>1.7312</v>
          </cell>
          <cell r="E57">
            <v>19.7722</v>
          </cell>
          <cell r="F57">
            <v>18.2113</v>
          </cell>
          <cell r="G57">
            <v>30.6092</v>
          </cell>
          <cell r="H57">
            <v>57.8968</v>
          </cell>
          <cell r="I57">
            <v>49.3759</v>
          </cell>
          <cell r="J57">
            <v>22.3138</v>
          </cell>
          <cell r="K57">
            <v>14.6548</v>
          </cell>
          <cell r="L57">
            <v>2.4061</v>
          </cell>
          <cell r="M57">
            <v>5.0014</v>
          </cell>
          <cell r="N57">
            <v>1.9928</v>
          </cell>
          <cell r="O57">
            <v>6.0578</v>
          </cell>
          <cell r="P57">
            <v>1.5389</v>
          </cell>
          <cell r="Q57">
            <v>30.9287</v>
          </cell>
          <cell r="R57">
            <v>13.97</v>
          </cell>
          <cell r="S57">
            <v>29.2387</v>
          </cell>
          <cell r="T57">
            <v>53.2209</v>
          </cell>
          <cell r="U57">
            <v>45.9314</v>
          </cell>
          <cell r="V57">
            <v>32.5088</v>
          </cell>
          <cell r="W57">
            <v>16.9277</v>
          </cell>
          <cell r="X57">
            <v>5.0014</v>
          </cell>
          <cell r="Y57">
            <v>15.3888</v>
          </cell>
          <cell r="Z57">
            <v>0</v>
          </cell>
          <cell r="AA57">
            <v>0.9618</v>
          </cell>
          <cell r="AB57">
            <v>0</v>
          </cell>
          <cell r="AC57">
            <v>15.7832</v>
          </cell>
          <cell r="AD57">
            <v>18.4666</v>
          </cell>
          <cell r="AE57">
            <v>45.9741</v>
          </cell>
          <cell r="AF57">
            <v>70.1583</v>
          </cell>
          <cell r="AG57">
            <v>61.0236</v>
          </cell>
          <cell r="AH57">
            <v>41.7421</v>
          </cell>
          <cell r="AI57">
            <v>20.1978</v>
          </cell>
          <cell r="AJ57">
            <v>7.1173</v>
          </cell>
          <cell r="AK57">
            <v>23.0832</v>
          </cell>
          <cell r="AL57">
            <v>1.5389</v>
          </cell>
          <cell r="AM57">
            <v>2.5007</v>
          </cell>
          <cell r="AN57">
            <v>1.5389</v>
          </cell>
          <cell r="AO57">
            <v>11.3492</v>
          </cell>
          <cell r="AP57">
            <v>29.3907</v>
          </cell>
          <cell r="AQ57">
            <v>59.9028</v>
          </cell>
          <cell r="AR57">
            <v>76.2532</v>
          </cell>
          <cell r="AS57">
            <v>78.4721</v>
          </cell>
          <cell r="AT57">
            <v>42.1365</v>
          </cell>
          <cell r="AU57">
            <v>24.4297</v>
          </cell>
          <cell r="AV57">
            <v>16.3506</v>
          </cell>
          <cell r="AW57">
            <v>33.4707</v>
          </cell>
          <cell r="AX57">
            <v>4.6166</v>
          </cell>
          <cell r="AY57">
            <v>25.5422</v>
          </cell>
          <cell r="AZ57">
            <v>35.2867</v>
          </cell>
          <cell r="BA57">
            <v>23.8526</v>
          </cell>
          <cell r="BB57">
            <v>33.663</v>
          </cell>
          <cell r="BC57">
            <v>58.5522</v>
          </cell>
          <cell r="BD57">
            <v>79.3202</v>
          </cell>
          <cell r="BE57">
            <v>76.427</v>
          </cell>
          <cell r="BF57">
            <v>47.5811</v>
          </cell>
          <cell r="BG57">
            <v>34.4324</v>
          </cell>
          <cell r="BH57">
            <v>28.0846</v>
          </cell>
          <cell r="BI57">
            <v>45.397</v>
          </cell>
        </row>
        <row r="58">
          <cell r="A58" t="str">
            <v>PUR MASSENGALE6</v>
          </cell>
          <cell r="B58">
            <v>0</v>
          </cell>
          <cell r="C58">
            <v>3.8107</v>
          </cell>
          <cell r="D58">
            <v>0</v>
          </cell>
          <cell r="E58">
            <v>6.7052</v>
          </cell>
          <cell r="F58">
            <v>5.6435</v>
          </cell>
          <cell r="G58">
            <v>14.1096</v>
          </cell>
          <cell r="H58">
            <v>40.3482</v>
          </cell>
          <cell r="I58">
            <v>26.0509</v>
          </cell>
          <cell r="J58">
            <v>7.1868</v>
          </cell>
          <cell r="K58">
            <v>5.0139</v>
          </cell>
          <cell r="L58">
            <v>0</v>
          </cell>
          <cell r="M58">
            <v>0</v>
          </cell>
          <cell r="N58">
            <v>1.4374</v>
          </cell>
          <cell r="O58">
            <v>0</v>
          </cell>
          <cell r="P58">
            <v>0</v>
          </cell>
          <cell r="Q58">
            <v>9.9503</v>
          </cell>
          <cell r="R58">
            <v>4.5494</v>
          </cell>
          <cell r="S58">
            <v>3.0544</v>
          </cell>
          <cell r="T58">
            <v>36.0428</v>
          </cell>
          <cell r="U58">
            <v>20.6622</v>
          </cell>
          <cell r="V58">
            <v>13.2957</v>
          </cell>
          <cell r="W58">
            <v>2.8747</v>
          </cell>
          <cell r="X58">
            <v>0</v>
          </cell>
          <cell r="Y58">
            <v>0</v>
          </cell>
          <cell r="Z58">
            <v>0</v>
          </cell>
          <cell r="AA58">
            <v>0</v>
          </cell>
          <cell r="AB58">
            <v>0</v>
          </cell>
          <cell r="AC58">
            <v>1.4374</v>
          </cell>
          <cell r="AD58">
            <v>7.1868</v>
          </cell>
          <cell r="AE58">
            <v>19.7638</v>
          </cell>
          <cell r="AF58">
            <v>42.4191</v>
          </cell>
          <cell r="AG58">
            <v>37.0498</v>
          </cell>
          <cell r="AH58">
            <v>18.1468</v>
          </cell>
          <cell r="AI58">
            <v>7.1868</v>
          </cell>
          <cell r="AJ58">
            <v>1.9764</v>
          </cell>
          <cell r="AK58">
            <v>0</v>
          </cell>
          <cell r="AL58">
            <v>0</v>
          </cell>
          <cell r="AM58">
            <v>0</v>
          </cell>
          <cell r="AN58">
            <v>0</v>
          </cell>
          <cell r="AO58">
            <v>4.3121</v>
          </cell>
          <cell r="AP58">
            <v>7.1868</v>
          </cell>
          <cell r="AQ58">
            <v>34.8409</v>
          </cell>
          <cell r="AR58">
            <v>46.5592</v>
          </cell>
          <cell r="AS58">
            <v>49.1643</v>
          </cell>
          <cell r="AT58">
            <v>24.2556</v>
          </cell>
          <cell r="AU58">
            <v>13.116</v>
          </cell>
          <cell r="AV58">
            <v>0</v>
          </cell>
          <cell r="AW58">
            <v>6.8275</v>
          </cell>
          <cell r="AX58">
            <v>1.4374</v>
          </cell>
          <cell r="AY58">
            <v>12.9471</v>
          </cell>
          <cell r="AZ58">
            <v>10.7324</v>
          </cell>
          <cell r="BA58">
            <v>12.9363</v>
          </cell>
          <cell r="BB58">
            <v>16.5297</v>
          </cell>
          <cell r="BC58">
            <v>31.115</v>
          </cell>
          <cell r="BD58">
            <v>50.1432</v>
          </cell>
          <cell r="BE58">
            <v>48.054</v>
          </cell>
          <cell r="BF58">
            <v>27.6693</v>
          </cell>
          <cell r="BG58">
            <v>12.9363</v>
          </cell>
          <cell r="BH58">
            <v>1.7967</v>
          </cell>
          <cell r="BI58">
            <v>14.9127</v>
          </cell>
        </row>
        <row r="59">
          <cell r="A59" t="str">
            <v>PUR MASSENGALE78</v>
          </cell>
          <cell r="B59">
            <v>126.2101</v>
          </cell>
          <cell r="C59">
            <v>239.3237</v>
          </cell>
          <cell r="D59">
            <v>151.9316</v>
          </cell>
          <cell r="E59">
            <v>211.0711</v>
          </cell>
          <cell r="F59">
            <v>132.9693</v>
          </cell>
          <cell r="G59">
            <v>127.5581</v>
          </cell>
          <cell r="H59">
            <v>134.7177</v>
          </cell>
          <cell r="I59">
            <v>145.9955</v>
          </cell>
          <cell r="J59">
            <v>126.8027</v>
          </cell>
          <cell r="K59">
            <v>163.9938</v>
          </cell>
          <cell r="L59">
            <v>156.2682</v>
          </cell>
          <cell r="M59">
            <v>140.1576</v>
          </cell>
          <cell r="N59">
            <v>165.1211</v>
          </cell>
          <cell r="O59">
            <v>210.2773</v>
          </cell>
          <cell r="P59">
            <v>239.1955</v>
          </cell>
          <cell r="Q59">
            <v>214.8259</v>
          </cell>
          <cell r="R59">
            <v>136.5364</v>
          </cell>
          <cell r="S59">
            <v>124.5442</v>
          </cell>
          <cell r="T59">
            <v>132.4717</v>
          </cell>
          <cell r="U59">
            <v>132.9276</v>
          </cell>
          <cell r="V59">
            <v>122.2933</v>
          </cell>
          <cell r="W59">
            <v>110.9336</v>
          </cell>
          <cell r="X59">
            <v>96.4339</v>
          </cell>
          <cell r="Y59">
            <v>119.8591</v>
          </cell>
          <cell r="Z59">
            <v>142.1693</v>
          </cell>
          <cell r="AA59">
            <v>159.5926</v>
          </cell>
          <cell r="AB59">
            <v>83.0504</v>
          </cell>
          <cell r="AC59">
            <v>107.9513</v>
          </cell>
          <cell r="AD59">
            <v>113.0268</v>
          </cell>
          <cell r="AE59">
            <v>124.4821</v>
          </cell>
          <cell r="AF59">
            <v>152.879</v>
          </cell>
          <cell r="AG59">
            <v>133.1256</v>
          </cell>
          <cell r="AH59">
            <v>113.7224</v>
          </cell>
          <cell r="AI59">
            <v>119.2735</v>
          </cell>
          <cell r="AJ59">
            <v>97.9956</v>
          </cell>
          <cell r="AK59">
            <v>113.4172</v>
          </cell>
          <cell r="AL59">
            <v>88.4303</v>
          </cell>
          <cell r="AM59">
            <v>116.6604</v>
          </cell>
          <cell r="AN59">
            <v>119.9585</v>
          </cell>
          <cell r="AO59">
            <v>142.0047</v>
          </cell>
          <cell r="AP59">
            <v>122.201</v>
          </cell>
          <cell r="AQ59">
            <v>130.1167</v>
          </cell>
          <cell r="AR59">
            <v>155.9954</v>
          </cell>
          <cell r="AS59">
            <v>143.4945</v>
          </cell>
          <cell r="AT59">
            <v>130.1839</v>
          </cell>
          <cell r="AU59">
            <v>121.4835</v>
          </cell>
          <cell r="AV59">
            <v>101.7045</v>
          </cell>
          <cell r="AW59">
            <v>151.0101</v>
          </cell>
          <cell r="AX59">
            <v>112.5392</v>
          </cell>
          <cell r="AY59">
            <v>189.4386</v>
          </cell>
          <cell r="AZ59">
            <v>196.7974</v>
          </cell>
          <cell r="BA59">
            <v>153.6676</v>
          </cell>
          <cell r="BB59">
            <v>127.3718</v>
          </cell>
          <cell r="BC59">
            <v>138.479</v>
          </cell>
          <cell r="BD59">
            <v>164.6496</v>
          </cell>
          <cell r="BE59">
            <v>152.4744</v>
          </cell>
          <cell r="BF59">
            <v>122.6601</v>
          </cell>
          <cell r="BG59">
            <v>130.1654</v>
          </cell>
          <cell r="BH59">
            <v>107.3656</v>
          </cell>
          <cell r="BI59">
            <v>111.8879</v>
          </cell>
        </row>
        <row r="60">
          <cell r="A60" t="str">
            <v>SAL PNM2003</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row>
        <row r="61">
          <cell r="A61" t="str">
            <v>PUR Padoma Wind</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row>
        <row r="62">
          <cell r="A62" t="str">
            <v>Nichols_Coal</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row>
        <row r="63">
          <cell r="A63" t="str">
            <v>PUR ENERGEN</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row>
        <row r="64">
          <cell r="A64" t="str">
            <v>PUR ExelGr150</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row>
        <row r="65">
          <cell r="A65" t="str">
            <v>PUR ExelOK200</v>
          </cell>
          <cell r="B65">
            <v>656.6805</v>
          </cell>
          <cell r="C65">
            <v>627.085</v>
          </cell>
          <cell r="D65">
            <v>649.7831</v>
          </cell>
          <cell r="E65">
            <v>648.2596</v>
          </cell>
          <cell r="F65">
            <v>658.39</v>
          </cell>
          <cell r="G65">
            <v>907.4536</v>
          </cell>
          <cell r="H65">
            <v>981.1704</v>
          </cell>
          <cell r="I65">
            <v>970.6415</v>
          </cell>
          <cell r="J65">
            <v>919.445</v>
          </cell>
          <cell r="K65">
            <v>666.066</v>
          </cell>
          <cell r="L65">
            <v>611.7999</v>
          </cell>
          <cell r="M65">
            <v>624.1779</v>
          </cell>
          <cell r="N65">
            <v>637.8328</v>
          </cell>
          <cell r="O65">
            <v>605.9561</v>
          </cell>
          <cell r="P65">
            <v>654.5447</v>
          </cell>
          <cell r="Q65">
            <v>648.4811</v>
          </cell>
          <cell r="R65">
            <v>649.2961</v>
          </cell>
          <cell r="S65">
            <v>891.0064</v>
          </cell>
          <cell r="T65">
            <v>958.2511</v>
          </cell>
          <cell r="U65">
            <v>949.6826</v>
          </cell>
          <cell r="V65">
            <v>871.7953</v>
          </cell>
          <cell r="W65">
            <v>622.4446</v>
          </cell>
          <cell r="X65">
            <v>609.8498</v>
          </cell>
          <cell r="Y65">
            <v>615.6612</v>
          </cell>
          <cell r="Z65">
            <v>625.3891</v>
          </cell>
          <cell r="AA65">
            <v>597.3865</v>
          </cell>
          <cell r="AB65">
            <v>574.4631</v>
          </cell>
          <cell r="AC65">
            <v>549.1672</v>
          </cell>
          <cell r="AD65">
            <v>584.7662</v>
          </cell>
          <cell r="AE65">
            <v>773.8937</v>
          </cell>
          <cell r="AF65">
            <v>888.9636</v>
          </cell>
          <cell r="AG65">
            <v>866.6449</v>
          </cell>
          <cell r="AH65">
            <v>657.4969</v>
          </cell>
          <cell r="AI65">
            <v>545.4564</v>
          </cell>
          <cell r="AJ65">
            <v>551.5737</v>
          </cell>
          <cell r="AK65">
            <v>599.778</v>
          </cell>
          <cell r="AL65">
            <v>635.607</v>
          </cell>
          <cell r="AM65">
            <v>570.8162</v>
          </cell>
          <cell r="AN65">
            <v>577.0732</v>
          </cell>
          <cell r="AO65">
            <v>554.8642</v>
          </cell>
          <cell r="AP65">
            <v>598.6529</v>
          </cell>
          <cell r="AQ65">
            <v>852.5843</v>
          </cell>
          <cell r="AR65">
            <v>946.1573</v>
          </cell>
          <cell r="AS65">
            <v>936.8705</v>
          </cell>
          <cell r="AT65">
            <v>872.8967</v>
          </cell>
          <cell r="AU65">
            <v>626.8547</v>
          </cell>
          <cell r="AV65">
            <v>627.2574</v>
          </cell>
          <cell r="AW65">
            <v>634.8124</v>
          </cell>
          <cell r="AX65">
            <v>663.8995</v>
          </cell>
          <cell r="AY65">
            <v>598.8999</v>
          </cell>
          <cell r="AZ65">
            <v>663.0122</v>
          </cell>
          <cell r="BA65">
            <v>664.2319</v>
          </cell>
          <cell r="BB65">
            <v>649.5732</v>
          </cell>
          <cell r="BC65">
            <v>905.8531</v>
          </cell>
          <cell r="BD65">
            <v>976.6508</v>
          </cell>
          <cell r="BE65">
            <v>957.1382</v>
          </cell>
          <cell r="BF65">
            <v>934.0977</v>
          </cell>
          <cell r="BG65">
            <v>635.7548</v>
          </cell>
          <cell r="BH65">
            <v>617.9517</v>
          </cell>
          <cell r="BI65">
            <v>637.9853</v>
          </cell>
        </row>
        <row r="66">
          <cell r="A66" t="str">
            <v>PUR JDWind1 Wind</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row>
        <row r="67">
          <cell r="A67" t="str">
            <v>PUR JDWind2 Wind</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row>
        <row r="68">
          <cell r="A68" t="str">
            <v>PUR JDWind3 Wind</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row>
        <row r="69">
          <cell r="A69" t="str">
            <v>PUR JDWind4 Wind</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row>
        <row r="70">
          <cell r="A70" t="str">
            <v>PUR Natl Wind</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row>
        <row r="71">
          <cell r="A71" t="str">
            <v>PUR Wildrdo Wind</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row>
        <row r="72">
          <cell r="A72" t="str">
            <v>PUR Wind1N Wind</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row>
        <row r="73">
          <cell r="A73" t="str">
            <v>PUR Wind1S Wind</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row>
        <row r="74">
          <cell r="A74" t="str">
            <v>SAL GSEC PR</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row>
        <row r="75">
          <cell r="A75" t="str">
            <v>PUR CEM CC</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1497.4161</v>
          </cell>
          <cell r="T75">
            <v>1787.2769</v>
          </cell>
          <cell r="U75">
            <v>1719.248</v>
          </cell>
          <cell r="V75">
            <v>1482.8704</v>
          </cell>
          <cell r="W75">
            <v>1570.9038</v>
          </cell>
          <cell r="X75">
            <v>1630.0205</v>
          </cell>
          <cell r="Y75">
            <v>1563.1713</v>
          </cell>
          <cell r="Z75">
            <v>1682.9882</v>
          </cell>
          <cell r="AA75">
            <v>1807.0466</v>
          </cell>
          <cell r="AB75">
            <v>1398.2076</v>
          </cell>
          <cell r="AC75">
            <v>1709.9934</v>
          </cell>
          <cell r="AD75">
            <v>1626.9009</v>
          </cell>
          <cell r="AE75">
            <v>1589.8876</v>
          </cell>
          <cell r="AF75">
            <v>1877.7264</v>
          </cell>
          <cell r="AG75">
            <v>1764.0256</v>
          </cell>
          <cell r="AH75">
            <v>1542.8456</v>
          </cell>
          <cell r="AI75">
            <v>1563.5105</v>
          </cell>
          <cell r="AJ75">
            <v>1378.8625</v>
          </cell>
          <cell r="AK75">
            <v>1561.3368</v>
          </cell>
          <cell r="AL75">
            <v>1681.6313</v>
          </cell>
          <cell r="AM75">
            <v>1619.1696</v>
          </cell>
          <cell r="AN75">
            <v>1547.2631</v>
          </cell>
          <cell r="AO75">
            <v>1700.1094</v>
          </cell>
          <cell r="AP75">
            <v>1853.6232</v>
          </cell>
          <cell r="AQ75">
            <v>1896.6903</v>
          </cell>
          <cell r="AR75">
            <v>2039.8077</v>
          </cell>
          <cell r="AS75">
            <v>1990.5063</v>
          </cell>
          <cell r="AT75">
            <v>1959.7657</v>
          </cell>
          <cell r="AU75">
            <v>1700.9814</v>
          </cell>
          <cell r="AV75">
            <v>1763.4211</v>
          </cell>
          <cell r="AW75">
            <v>1916.2333</v>
          </cell>
          <cell r="AX75">
            <v>1879.5906</v>
          </cell>
          <cell r="AY75">
            <v>2047.6619</v>
          </cell>
          <cell r="AZ75">
            <v>1958.4208</v>
          </cell>
          <cell r="BA75">
            <v>2119.7527</v>
          </cell>
          <cell r="BB75">
            <v>1867.9327</v>
          </cell>
          <cell r="BC75">
            <v>1933.967</v>
          </cell>
          <cell r="BD75">
            <v>2059.6279</v>
          </cell>
          <cell r="BE75">
            <v>2028.972</v>
          </cell>
          <cell r="BF75">
            <v>1874.4872</v>
          </cell>
          <cell r="BG75">
            <v>1703.511</v>
          </cell>
          <cell r="BH75">
            <v>1757.141</v>
          </cell>
          <cell r="BI75">
            <v>1897.8756</v>
          </cell>
        </row>
        <row r="76">
          <cell r="A76" t="str">
            <v>PUR TEA20</v>
          </cell>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row>
        <row r="77">
          <cell r="A77" t="str">
            <v>PUR JDWind5 Wind</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row>
        <row r="78">
          <cell r="A78" t="str">
            <v>PUR JDWind6 Wind</v>
          </cell>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row>
      </sheetData>
      <sheetData sheetId="6" refreshError="1">
        <row r="2">
          <cell r="A2" t="str">
            <v>Scenario</v>
          </cell>
          <cell r="B2" t="str">
            <v>SPS_012907_PNS</v>
          </cell>
        </row>
        <row r="4">
          <cell r="A4" t="str">
            <v>Sum of PeakCap__peakhr</v>
          </cell>
          <cell r="B4" t="str">
            <v>Year</v>
          </cell>
          <cell r="C4" t="str">
            <v>Month</v>
          </cell>
        </row>
        <row r="5">
          <cell r="B5">
            <v>2007</v>
          </cell>
          <cell r="N5">
            <v>2008</v>
          </cell>
          <cell r="Z5">
            <v>2009</v>
          </cell>
          <cell r="AL5">
            <v>2010</v>
          </cell>
          <cell r="AX5">
            <v>2011</v>
          </cell>
        </row>
        <row r="6">
          <cell r="A6" t="str">
            <v>Source</v>
          </cell>
          <cell r="B6">
            <v>1</v>
          </cell>
          <cell r="C6">
            <v>2</v>
          </cell>
          <cell r="D6">
            <v>3</v>
          </cell>
          <cell r="E6">
            <v>4</v>
          </cell>
          <cell r="F6">
            <v>5</v>
          </cell>
          <cell r="G6">
            <v>6</v>
          </cell>
          <cell r="H6">
            <v>7</v>
          </cell>
          <cell r="I6">
            <v>8</v>
          </cell>
          <cell r="J6">
            <v>9</v>
          </cell>
          <cell r="K6">
            <v>10</v>
          </cell>
          <cell r="L6">
            <v>11</v>
          </cell>
          <cell r="M6">
            <v>12</v>
          </cell>
          <cell r="N6">
            <v>1</v>
          </cell>
          <cell r="O6">
            <v>2</v>
          </cell>
          <cell r="P6">
            <v>3</v>
          </cell>
          <cell r="Q6">
            <v>4</v>
          </cell>
          <cell r="R6">
            <v>5</v>
          </cell>
          <cell r="S6">
            <v>6</v>
          </cell>
          <cell r="T6">
            <v>7</v>
          </cell>
          <cell r="U6">
            <v>8</v>
          </cell>
          <cell r="V6">
            <v>9</v>
          </cell>
          <cell r="W6">
            <v>10</v>
          </cell>
          <cell r="X6">
            <v>11</v>
          </cell>
          <cell r="Y6">
            <v>12</v>
          </cell>
          <cell r="Z6">
            <v>1</v>
          </cell>
          <cell r="AA6">
            <v>2</v>
          </cell>
          <cell r="AB6">
            <v>3</v>
          </cell>
          <cell r="AC6">
            <v>4</v>
          </cell>
          <cell r="AD6">
            <v>5</v>
          </cell>
          <cell r="AE6">
            <v>6</v>
          </cell>
          <cell r="AF6">
            <v>7</v>
          </cell>
          <cell r="AG6">
            <v>8</v>
          </cell>
          <cell r="AH6">
            <v>9</v>
          </cell>
          <cell r="AI6">
            <v>10</v>
          </cell>
          <cell r="AJ6">
            <v>11</v>
          </cell>
          <cell r="AK6">
            <v>12</v>
          </cell>
          <cell r="AL6">
            <v>1</v>
          </cell>
          <cell r="AM6">
            <v>2</v>
          </cell>
          <cell r="AN6">
            <v>3</v>
          </cell>
          <cell r="AO6">
            <v>4</v>
          </cell>
          <cell r="AP6">
            <v>5</v>
          </cell>
          <cell r="AQ6">
            <v>6</v>
          </cell>
          <cell r="AR6">
            <v>7</v>
          </cell>
          <cell r="AS6">
            <v>8</v>
          </cell>
          <cell r="AT6">
            <v>9</v>
          </cell>
          <cell r="AU6">
            <v>10</v>
          </cell>
          <cell r="AV6">
            <v>11</v>
          </cell>
          <cell r="AW6">
            <v>12</v>
          </cell>
          <cell r="AX6">
            <v>1</v>
          </cell>
          <cell r="AY6">
            <v>2</v>
          </cell>
          <cell r="AZ6">
            <v>3</v>
          </cell>
          <cell r="BA6">
            <v>4</v>
          </cell>
          <cell r="BB6">
            <v>5</v>
          </cell>
          <cell r="BC6">
            <v>6</v>
          </cell>
          <cell r="BD6">
            <v>7</v>
          </cell>
          <cell r="BE6">
            <v>8</v>
          </cell>
          <cell r="BF6">
            <v>9</v>
          </cell>
          <cell r="BG6">
            <v>10</v>
          </cell>
          <cell r="BH6">
            <v>11</v>
          </cell>
          <cell r="BI6">
            <v>12</v>
          </cell>
        </row>
        <row r="7">
          <cell r="A7" t="str">
            <v>BLACKHAWK 1</v>
          </cell>
          <cell r="B7">
            <v>106</v>
          </cell>
          <cell r="C7">
            <v>106</v>
          </cell>
          <cell r="D7">
            <v>100</v>
          </cell>
          <cell r="E7">
            <v>101</v>
          </cell>
          <cell r="F7">
            <v>96</v>
          </cell>
          <cell r="G7">
            <v>95</v>
          </cell>
          <cell r="H7">
            <v>96</v>
          </cell>
          <cell r="I7">
            <v>95</v>
          </cell>
          <cell r="J7">
            <v>97</v>
          </cell>
          <cell r="K7">
            <v>98</v>
          </cell>
          <cell r="L7">
            <v>105</v>
          </cell>
          <cell r="M7">
            <v>104</v>
          </cell>
          <cell r="N7">
            <v>106</v>
          </cell>
          <cell r="O7">
            <v>106</v>
          </cell>
          <cell r="P7">
            <v>100</v>
          </cell>
          <cell r="Q7">
            <v>101</v>
          </cell>
          <cell r="R7">
            <v>96</v>
          </cell>
          <cell r="S7">
            <v>95</v>
          </cell>
          <cell r="T7">
            <v>96</v>
          </cell>
          <cell r="U7">
            <v>95</v>
          </cell>
          <cell r="V7">
            <v>97</v>
          </cell>
          <cell r="W7">
            <v>98</v>
          </cell>
          <cell r="X7">
            <v>105</v>
          </cell>
          <cell r="Y7">
            <v>104</v>
          </cell>
          <cell r="Z7">
            <v>106</v>
          </cell>
          <cell r="AA7">
            <v>106</v>
          </cell>
          <cell r="AB7">
            <v>100</v>
          </cell>
          <cell r="AC7">
            <v>101</v>
          </cell>
          <cell r="AD7">
            <v>96</v>
          </cell>
          <cell r="AE7">
            <v>95</v>
          </cell>
          <cell r="AF7">
            <v>96</v>
          </cell>
          <cell r="AG7">
            <v>95</v>
          </cell>
          <cell r="AH7">
            <v>97</v>
          </cell>
          <cell r="AI7">
            <v>98</v>
          </cell>
          <cell r="AJ7">
            <v>105</v>
          </cell>
          <cell r="AK7">
            <v>104</v>
          </cell>
          <cell r="AL7">
            <v>106</v>
          </cell>
          <cell r="AM7">
            <v>106</v>
          </cell>
          <cell r="AN7">
            <v>100</v>
          </cell>
          <cell r="AO7">
            <v>101</v>
          </cell>
          <cell r="AP7">
            <v>96</v>
          </cell>
          <cell r="AQ7">
            <v>95</v>
          </cell>
          <cell r="AR7">
            <v>96</v>
          </cell>
          <cell r="AS7">
            <v>95</v>
          </cell>
          <cell r="AT7">
            <v>97</v>
          </cell>
          <cell r="AU7">
            <v>98</v>
          </cell>
          <cell r="AV7">
            <v>105</v>
          </cell>
          <cell r="AW7">
            <v>104</v>
          </cell>
          <cell r="AX7">
            <v>106</v>
          </cell>
          <cell r="AY7">
            <v>106</v>
          </cell>
          <cell r="AZ7">
            <v>100</v>
          </cell>
          <cell r="BA7">
            <v>101</v>
          </cell>
          <cell r="BB7">
            <v>96</v>
          </cell>
          <cell r="BC7">
            <v>95</v>
          </cell>
          <cell r="BD7">
            <v>96</v>
          </cell>
          <cell r="BE7">
            <v>95</v>
          </cell>
          <cell r="BF7">
            <v>97</v>
          </cell>
          <cell r="BG7">
            <v>98</v>
          </cell>
          <cell r="BH7">
            <v>105</v>
          </cell>
          <cell r="BI7">
            <v>104</v>
          </cell>
        </row>
        <row r="8">
          <cell r="A8" t="str">
            <v>BLACKHAWK 2</v>
          </cell>
          <cell r="B8">
            <v>105</v>
          </cell>
          <cell r="C8">
            <v>107</v>
          </cell>
          <cell r="D8">
            <v>104</v>
          </cell>
          <cell r="E8">
            <v>100</v>
          </cell>
          <cell r="F8">
            <v>96</v>
          </cell>
          <cell r="G8">
            <v>93</v>
          </cell>
          <cell r="H8">
            <v>93</v>
          </cell>
          <cell r="I8">
            <v>93</v>
          </cell>
          <cell r="J8">
            <v>94</v>
          </cell>
          <cell r="K8">
            <v>95</v>
          </cell>
          <cell r="L8">
            <v>100</v>
          </cell>
          <cell r="M8">
            <v>100</v>
          </cell>
          <cell r="N8">
            <v>105</v>
          </cell>
          <cell r="O8">
            <v>107</v>
          </cell>
          <cell r="P8">
            <v>104</v>
          </cell>
          <cell r="Q8">
            <v>100</v>
          </cell>
          <cell r="R8">
            <v>96</v>
          </cell>
          <cell r="S8">
            <v>93</v>
          </cell>
          <cell r="T8">
            <v>93</v>
          </cell>
          <cell r="U8">
            <v>93</v>
          </cell>
          <cell r="V8">
            <v>94</v>
          </cell>
          <cell r="W8">
            <v>95</v>
          </cell>
          <cell r="X8">
            <v>100</v>
          </cell>
          <cell r="Y8">
            <v>100</v>
          </cell>
          <cell r="Z8">
            <v>105</v>
          </cell>
          <cell r="AA8">
            <v>107</v>
          </cell>
          <cell r="AB8">
            <v>104</v>
          </cell>
          <cell r="AC8">
            <v>100</v>
          </cell>
          <cell r="AD8">
            <v>96</v>
          </cell>
          <cell r="AE8">
            <v>93</v>
          </cell>
          <cell r="AF8">
            <v>93</v>
          </cell>
          <cell r="AG8">
            <v>93</v>
          </cell>
          <cell r="AH8">
            <v>94</v>
          </cell>
          <cell r="AI8">
            <v>95</v>
          </cell>
          <cell r="AJ8">
            <v>100</v>
          </cell>
          <cell r="AK8">
            <v>100</v>
          </cell>
          <cell r="AL8">
            <v>105</v>
          </cell>
          <cell r="AM8">
            <v>107</v>
          </cell>
          <cell r="AN8">
            <v>104</v>
          </cell>
          <cell r="AO8">
            <v>100</v>
          </cell>
          <cell r="AP8">
            <v>96</v>
          </cell>
          <cell r="AQ8">
            <v>93</v>
          </cell>
          <cell r="AR8">
            <v>93</v>
          </cell>
          <cell r="AS8">
            <v>93</v>
          </cell>
          <cell r="AT8">
            <v>94</v>
          </cell>
          <cell r="AU8">
            <v>95</v>
          </cell>
          <cell r="AV8">
            <v>100</v>
          </cell>
          <cell r="AW8">
            <v>100</v>
          </cell>
          <cell r="AX8">
            <v>105</v>
          </cell>
          <cell r="AY8">
            <v>107</v>
          </cell>
          <cell r="AZ8">
            <v>104</v>
          </cell>
          <cell r="BA8">
            <v>100</v>
          </cell>
          <cell r="BB8">
            <v>96</v>
          </cell>
          <cell r="BC8">
            <v>93</v>
          </cell>
          <cell r="BD8">
            <v>93</v>
          </cell>
          <cell r="BE8">
            <v>93</v>
          </cell>
          <cell r="BF8">
            <v>94</v>
          </cell>
          <cell r="BG8">
            <v>95</v>
          </cell>
          <cell r="BH8">
            <v>100</v>
          </cell>
          <cell r="BI8">
            <v>100</v>
          </cell>
        </row>
        <row r="9">
          <cell r="A9" t="str">
            <v>CARLS GT 5</v>
          </cell>
          <cell r="B9">
            <v>16</v>
          </cell>
          <cell r="C9">
            <v>16</v>
          </cell>
          <cell r="D9">
            <v>16</v>
          </cell>
          <cell r="E9">
            <v>16</v>
          </cell>
          <cell r="F9">
            <v>13</v>
          </cell>
          <cell r="G9">
            <v>13</v>
          </cell>
          <cell r="H9">
            <v>13</v>
          </cell>
          <cell r="I9">
            <v>13</v>
          </cell>
          <cell r="J9">
            <v>13</v>
          </cell>
          <cell r="K9">
            <v>13</v>
          </cell>
          <cell r="L9">
            <v>16</v>
          </cell>
          <cell r="M9">
            <v>16</v>
          </cell>
          <cell r="N9">
            <v>16</v>
          </cell>
          <cell r="O9">
            <v>16</v>
          </cell>
          <cell r="P9">
            <v>16</v>
          </cell>
          <cell r="Q9">
            <v>16</v>
          </cell>
          <cell r="R9">
            <v>13</v>
          </cell>
          <cell r="S9">
            <v>13</v>
          </cell>
          <cell r="T9">
            <v>13</v>
          </cell>
          <cell r="U9">
            <v>13</v>
          </cell>
          <cell r="V9">
            <v>13</v>
          </cell>
          <cell r="W9">
            <v>13</v>
          </cell>
          <cell r="X9">
            <v>16</v>
          </cell>
          <cell r="Y9">
            <v>16</v>
          </cell>
          <cell r="Z9">
            <v>16</v>
          </cell>
          <cell r="AA9">
            <v>16</v>
          </cell>
          <cell r="AB9">
            <v>16</v>
          </cell>
          <cell r="AC9">
            <v>16</v>
          </cell>
          <cell r="AD9">
            <v>13</v>
          </cell>
          <cell r="AE9">
            <v>13</v>
          </cell>
          <cell r="AF9">
            <v>13</v>
          </cell>
          <cell r="AG9">
            <v>13</v>
          </cell>
          <cell r="AH9">
            <v>13</v>
          </cell>
          <cell r="AI9">
            <v>13</v>
          </cell>
          <cell r="AJ9">
            <v>16</v>
          </cell>
          <cell r="AK9">
            <v>16</v>
          </cell>
          <cell r="AL9">
            <v>16</v>
          </cell>
          <cell r="AM9">
            <v>16</v>
          </cell>
          <cell r="AN9">
            <v>16</v>
          </cell>
          <cell r="AO9">
            <v>16</v>
          </cell>
          <cell r="AP9">
            <v>13</v>
          </cell>
          <cell r="AQ9">
            <v>13</v>
          </cell>
          <cell r="AR9">
            <v>13</v>
          </cell>
          <cell r="AS9">
            <v>13</v>
          </cell>
          <cell r="AT9">
            <v>13</v>
          </cell>
          <cell r="AU9">
            <v>13</v>
          </cell>
          <cell r="AV9">
            <v>16</v>
          </cell>
          <cell r="AW9">
            <v>16</v>
          </cell>
          <cell r="AX9">
            <v>16</v>
          </cell>
          <cell r="AY9">
            <v>16</v>
          </cell>
          <cell r="AZ9">
            <v>16</v>
          </cell>
          <cell r="BA9">
            <v>16</v>
          </cell>
          <cell r="BB9">
            <v>13</v>
          </cell>
          <cell r="BC9">
            <v>13</v>
          </cell>
          <cell r="BD9">
            <v>13</v>
          </cell>
          <cell r="BE9">
            <v>13</v>
          </cell>
          <cell r="BF9">
            <v>13</v>
          </cell>
          <cell r="BG9">
            <v>13</v>
          </cell>
          <cell r="BH9">
            <v>16</v>
          </cell>
          <cell r="BI9">
            <v>16</v>
          </cell>
        </row>
        <row r="10">
          <cell r="A10" t="str">
            <v>CEL1GAS 1</v>
          </cell>
          <cell r="B10">
            <v>13</v>
          </cell>
          <cell r="C10">
            <v>13</v>
          </cell>
          <cell r="D10">
            <v>13</v>
          </cell>
          <cell r="E10">
            <v>13</v>
          </cell>
          <cell r="F10">
            <v>13</v>
          </cell>
          <cell r="G10">
            <v>13</v>
          </cell>
          <cell r="H10">
            <v>13</v>
          </cell>
          <cell r="I10">
            <v>13</v>
          </cell>
          <cell r="J10">
            <v>13</v>
          </cell>
          <cell r="K10">
            <v>13</v>
          </cell>
          <cell r="L10">
            <v>13</v>
          </cell>
          <cell r="M10">
            <v>13</v>
          </cell>
          <cell r="N10">
            <v>13</v>
          </cell>
          <cell r="O10">
            <v>13</v>
          </cell>
          <cell r="P10">
            <v>13</v>
          </cell>
          <cell r="Q10">
            <v>13</v>
          </cell>
          <cell r="R10">
            <v>13</v>
          </cell>
          <cell r="S10">
            <v>13</v>
          </cell>
          <cell r="T10">
            <v>13</v>
          </cell>
          <cell r="U10">
            <v>13</v>
          </cell>
          <cell r="V10">
            <v>13</v>
          </cell>
          <cell r="W10">
            <v>13</v>
          </cell>
          <cell r="X10">
            <v>13</v>
          </cell>
          <cell r="Y10">
            <v>13</v>
          </cell>
          <cell r="Z10">
            <v>13</v>
          </cell>
          <cell r="AA10">
            <v>13</v>
          </cell>
          <cell r="AB10">
            <v>13</v>
          </cell>
          <cell r="AC10">
            <v>13</v>
          </cell>
          <cell r="AD10">
            <v>13</v>
          </cell>
          <cell r="AE10">
            <v>13</v>
          </cell>
          <cell r="AF10">
            <v>13</v>
          </cell>
          <cell r="AG10">
            <v>13</v>
          </cell>
          <cell r="AH10">
            <v>13</v>
          </cell>
          <cell r="AI10">
            <v>13</v>
          </cell>
          <cell r="AJ10">
            <v>13</v>
          </cell>
          <cell r="AK10">
            <v>13</v>
          </cell>
          <cell r="AL10">
            <v>13</v>
          </cell>
          <cell r="AM10">
            <v>13</v>
          </cell>
          <cell r="AN10">
            <v>13</v>
          </cell>
          <cell r="AO10">
            <v>13</v>
          </cell>
          <cell r="AP10">
            <v>13</v>
          </cell>
          <cell r="AQ10">
            <v>13</v>
          </cell>
          <cell r="AR10">
            <v>13</v>
          </cell>
          <cell r="AS10">
            <v>13</v>
          </cell>
          <cell r="AT10">
            <v>13</v>
          </cell>
          <cell r="AU10">
            <v>13</v>
          </cell>
          <cell r="AV10">
            <v>13</v>
          </cell>
          <cell r="AW10">
            <v>13</v>
          </cell>
          <cell r="AX10">
            <v>13</v>
          </cell>
          <cell r="AY10">
            <v>13</v>
          </cell>
          <cell r="AZ10">
            <v>13</v>
          </cell>
          <cell r="BA10">
            <v>13</v>
          </cell>
          <cell r="BB10">
            <v>13</v>
          </cell>
          <cell r="BC10">
            <v>13</v>
          </cell>
          <cell r="BD10">
            <v>13</v>
          </cell>
          <cell r="BE10">
            <v>13</v>
          </cell>
          <cell r="BF10">
            <v>13</v>
          </cell>
          <cell r="BG10">
            <v>13</v>
          </cell>
          <cell r="BH10">
            <v>13</v>
          </cell>
          <cell r="BI10">
            <v>13</v>
          </cell>
        </row>
        <row r="11">
          <cell r="A11" t="str">
            <v>CEL2STM 1</v>
          </cell>
          <cell r="B11">
            <v>26</v>
          </cell>
          <cell r="C11">
            <v>26</v>
          </cell>
          <cell r="D11">
            <v>26</v>
          </cell>
          <cell r="E11">
            <v>26</v>
          </cell>
          <cell r="F11">
            <v>26</v>
          </cell>
          <cell r="G11">
            <v>26</v>
          </cell>
          <cell r="H11">
            <v>26</v>
          </cell>
          <cell r="I11">
            <v>26</v>
          </cell>
          <cell r="J11">
            <v>26</v>
          </cell>
          <cell r="K11">
            <v>26</v>
          </cell>
          <cell r="L11">
            <v>26</v>
          </cell>
          <cell r="M11">
            <v>26</v>
          </cell>
          <cell r="N11">
            <v>26</v>
          </cell>
          <cell r="O11">
            <v>26</v>
          </cell>
          <cell r="P11">
            <v>26</v>
          </cell>
          <cell r="Q11">
            <v>26</v>
          </cell>
          <cell r="R11">
            <v>26</v>
          </cell>
          <cell r="S11">
            <v>26</v>
          </cell>
          <cell r="T11">
            <v>26</v>
          </cell>
          <cell r="U11">
            <v>26</v>
          </cell>
          <cell r="V11">
            <v>26</v>
          </cell>
          <cell r="W11">
            <v>26</v>
          </cell>
          <cell r="X11">
            <v>26</v>
          </cell>
          <cell r="Y11">
            <v>26</v>
          </cell>
          <cell r="Z11">
            <v>26</v>
          </cell>
          <cell r="AA11">
            <v>26</v>
          </cell>
          <cell r="AB11">
            <v>26</v>
          </cell>
          <cell r="AC11">
            <v>26</v>
          </cell>
          <cell r="AD11">
            <v>26</v>
          </cell>
          <cell r="AE11">
            <v>26</v>
          </cell>
          <cell r="AF11">
            <v>26</v>
          </cell>
          <cell r="AG11">
            <v>26</v>
          </cell>
          <cell r="AH11">
            <v>26</v>
          </cell>
          <cell r="AI11">
            <v>26</v>
          </cell>
          <cell r="AJ11">
            <v>26</v>
          </cell>
          <cell r="AK11">
            <v>26</v>
          </cell>
          <cell r="AL11">
            <v>26</v>
          </cell>
          <cell r="AM11">
            <v>26</v>
          </cell>
          <cell r="AN11">
            <v>26</v>
          </cell>
          <cell r="AO11">
            <v>26</v>
          </cell>
          <cell r="AP11">
            <v>26</v>
          </cell>
          <cell r="AQ11">
            <v>26</v>
          </cell>
          <cell r="AR11">
            <v>26</v>
          </cell>
          <cell r="AS11">
            <v>26</v>
          </cell>
          <cell r="AT11">
            <v>26</v>
          </cell>
          <cell r="AU11">
            <v>26</v>
          </cell>
          <cell r="AV11">
            <v>26</v>
          </cell>
          <cell r="AW11">
            <v>26</v>
          </cell>
          <cell r="AX11">
            <v>26</v>
          </cell>
          <cell r="AY11">
            <v>26</v>
          </cell>
          <cell r="AZ11">
            <v>26</v>
          </cell>
          <cell r="BA11">
            <v>26</v>
          </cell>
          <cell r="BB11">
            <v>26</v>
          </cell>
          <cell r="BC11">
            <v>26</v>
          </cell>
          <cell r="BD11">
            <v>26</v>
          </cell>
          <cell r="BE11">
            <v>26</v>
          </cell>
          <cell r="BF11">
            <v>26</v>
          </cell>
          <cell r="BG11">
            <v>26</v>
          </cell>
          <cell r="BH11">
            <v>26</v>
          </cell>
          <cell r="BI11">
            <v>26</v>
          </cell>
        </row>
        <row r="12">
          <cell r="A12" t="str">
            <v>CU GT 3</v>
          </cell>
          <cell r="B12">
            <v>122</v>
          </cell>
          <cell r="C12">
            <v>122</v>
          </cell>
          <cell r="D12">
            <v>122</v>
          </cell>
          <cell r="E12">
            <v>122</v>
          </cell>
          <cell r="F12">
            <v>110</v>
          </cell>
          <cell r="G12">
            <v>110</v>
          </cell>
          <cell r="H12">
            <v>110</v>
          </cell>
          <cell r="I12">
            <v>110</v>
          </cell>
          <cell r="J12">
            <v>110</v>
          </cell>
          <cell r="K12">
            <v>110</v>
          </cell>
          <cell r="L12">
            <v>122</v>
          </cell>
          <cell r="M12">
            <v>122</v>
          </cell>
          <cell r="N12">
            <v>122</v>
          </cell>
          <cell r="O12">
            <v>122</v>
          </cell>
          <cell r="P12">
            <v>122</v>
          </cell>
          <cell r="Q12">
            <v>122</v>
          </cell>
          <cell r="R12">
            <v>110</v>
          </cell>
          <cell r="S12">
            <v>110</v>
          </cell>
          <cell r="T12">
            <v>110</v>
          </cell>
          <cell r="U12">
            <v>110</v>
          </cell>
          <cell r="V12">
            <v>110</v>
          </cell>
          <cell r="W12">
            <v>110</v>
          </cell>
          <cell r="X12">
            <v>122</v>
          </cell>
          <cell r="Y12">
            <v>122</v>
          </cell>
          <cell r="Z12">
            <v>122</v>
          </cell>
          <cell r="AA12">
            <v>122</v>
          </cell>
          <cell r="AB12">
            <v>122</v>
          </cell>
          <cell r="AC12">
            <v>122</v>
          </cell>
          <cell r="AD12">
            <v>110</v>
          </cell>
          <cell r="AE12">
            <v>110</v>
          </cell>
          <cell r="AF12">
            <v>110</v>
          </cell>
          <cell r="AG12">
            <v>110</v>
          </cell>
          <cell r="AH12">
            <v>110</v>
          </cell>
          <cell r="AI12">
            <v>110</v>
          </cell>
          <cell r="AJ12">
            <v>122</v>
          </cell>
          <cell r="AK12">
            <v>122</v>
          </cell>
          <cell r="AL12">
            <v>122</v>
          </cell>
          <cell r="AM12">
            <v>122</v>
          </cell>
          <cell r="AN12">
            <v>122</v>
          </cell>
          <cell r="AO12">
            <v>122</v>
          </cell>
          <cell r="AP12">
            <v>110</v>
          </cell>
          <cell r="AQ12">
            <v>110</v>
          </cell>
          <cell r="AR12">
            <v>110</v>
          </cell>
          <cell r="AS12">
            <v>110</v>
          </cell>
          <cell r="AT12">
            <v>110</v>
          </cell>
          <cell r="AU12">
            <v>110</v>
          </cell>
          <cell r="AV12">
            <v>122</v>
          </cell>
          <cell r="AW12">
            <v>122</v>
          </cell>
          <cell r="AX12">
            <v>122</v>
          </cell>
          <cell r="AY12">
            <v>122</v>
          </cell>
          <cell r="AZ12">
            <v>122</v>
          </cell>
          <cell r="BA12">
            <v>122</v>
          </cell>
          <cell r="BB12">
            <v>110</v>
          </cell>
          <cell r="BC12">
            <v>110</v>
          </cell>
          <cell r="BD12">
            <v>110</v>
          </cell>
          <cell r="BE12">
            <v>110</v>
          </cell>
          <cell r="BF12">
            <v>110</v>
          </cell>
          <cell r="BG12">
            <v>110</v>
          </cell>
          <cell r="BH12">
            <v>122</v>
          </cell>
          <cell r="BI12">
            <v>122</v>
          </cell>
        </row>
        <row r="13">
          <cell r="A13" t="str">
            <v>CU GT 4</v>
          </cell>
          <cell r="B13">
            <v>122</v>
          </cell>
          <cell r="C13">
            <v>122</v>
          </cell>
          <cell r="D13">
            <v>122</v>
          </cell>
          <cell r="E13">
            <v>122</v>
          </cell>
          <cell r="F13">
            <v>110</v>
          </cell>
          <cell r="G13">
            <v>110</v>
          </cell>
          <cell r="H13">
            <v>110</v>
          </cell>
          <cell r="I13">
            <v>110</v>
          </cell>
          <cell r="J13">
            <v>110</v>
          </cell>
          <cell r="K13">
            <v>110</v>
          </cell>
          <cell r="L13">
            <v>122</v>
          </cell>
          <cell r="M13">
            <v>122</v>
          </cell>
          <cell r="N13">
            <v>122</v>
          </cell>
          <cell r="O13">
            <v>122</v>
          </cell>
          <cell r="P13">
            <v>122</v>
          </cell>
          <cell r="Q13">
            <v>122</v>
          </cell>
          <cell r="R13">
            <v>110</v>
          </cell>
          <cell r="S13">
            <v>110</v>
          </cell>
          <cell r="T13">
            <v>110</v>
          </cell>
          <cell r="U13">
            <v>110</v>
          </cell>
          <cell r="V13">
            <v>110</v>
          </cell>
          <cell r="W13">
            <v>110</v>
          </cell>
          <cell r="X13">
            <v>122</v>
          </cell>
          <cell r="Y13">
            <v>122</v>
          </cell>
          <cell r="Z13">
            <v>122</v>
          </cell>
          <cell r="AA13">
            <v>122</v>
          </cell>
          <cell r="AB13">
            <v>122</v>
          </cell>
          <cell r="AC13">
            <v>122</v>
          </cell>
          <cell r="AD13">
            <v>110</v>
          </cell>
          <cell r="AE13">
            <v>110</v>
          </cell>
          <cell r="AF13">
            <v>110</v>
          </cell>
          <cell r="AG13">
            <v>110</v>
          </cell>
          <cell r="AH13">
            <v>110</v>
          </cell>
          <cell r="AI13">
            <v>110</v>
          </cell>
          <cell r="AJ13">
            <v>122</v>
          </cell>
          <cell r="AK13">
            <v>122</v>
          </cell>
          <cell r="AL13">
            <v>122</v>
          </cell>
          <cell r="AM13">
            <v>122</v>
          </cell>
          <cell r="AN13">
            <v>122</v>
          </cell>
          <cell r="AO13">
            <v>122</v>
          </cell>
          <cell r="AP13">
            <v>110</v>
          </cell>
          <cell r="AQ13">
            <v>110</v>
          </cell>
          <cell r="AR13">
            <v>110</v>
          </cell>
          <cell r="AS13">
            <v>110</v>
          </cell>
          <cell r="AT13">
            <v>110</v>
          </cell>
          <cell r="AU13">
            <v>110</v>
          </cell>
          <cell r="AV13">
            <v>122</v>
          </cell>
          <cell r="AW13">
            <v>122</v>
          </cell>
          <cell r="AX13">
            <v>122</v>
          </cell>
          <cell r="AY13">
            <v>122</v>
          </cell>
          <cell r="AZ13">
            <v>122</v>
          </cell>
          <cell r="BA13">
            <v>122</v>
          </cell>
          <cell r="BB13">
            <v>110</v>
          </cell>
          <cell r="BC13">
            <v>110</v>
          </cell>
          <cell r="BD13">
            <v>110</v>
          </cell>
          <cell r="BE13">
            <v>110</v>
          </cell>
          <cell r="BF13">
            <v>110</v>
          </cell>
          <cell r="BG13">
            <v>110</v>
          </cell>
          <cell r="BH13">
            <v>122</v>
          </cell>
          <cell r="BI13">
            <v>122</v>
          </cell>
        </row>
        <row r="14">
          <cell r="A14" t="str">
            <v>CUNNINGHAM 1</v>
          </cell>
          <cell r="B14">
            <v>71</v>
          </cell>
          <cell r="C14">
            <v>71</v>
          </cell>
          <cell r="D14">
            <v>71</v>
          </cell>
          <cell r="E14">
            <v>71</v>
          </cell>
          <cell r="F14">
            <v>71</v>
          </cell>
          <cell r="G14">
            <v>71</v>
          </cell>
          <cell r="H14">
            <v>71</v>
          </cell>
          <cell r="I14">
            <v>71</v>
          </cell>
          <cell r="J14">
            <v>71</v>
          </cell>
          <cell r="K14">
            <v>71</v>
          </cell>
          <cell r="L14">
            <v>71</v>
          </cell>
          <cell r="M14">
            <v>71</v>
          </cell>
          <cell r="N14">
            <v>71</v>
          </cell>
          <cell r="O14">
            <v>71</v>
          </cell>
          <cell r="P14">
            <v>71</v>
          </cell>
          <cell r="Q14">
            <v>71</v>
          </cell>
          <cell r="R14">
            <v>71</v>
          </cell>
          <cell r="S14">
            <v>71</v>
          </cell>
          <cell r="T14">
            <v>71</v>
          </cell>
          <cell r="U14">
            <v>71</v>
          </cell>
          <cell r="V14">
            <v>71</v>
          </cell>
          <cell r="W14">
            <v>71</v>
          </cell>
          <cell r="X14">
            <v>71</v>
          </cell>
          <cell r="Y14">
            <v>71</v>
          </cell>
          <cell r="Z14">
            <v>71</v>
          </cell>
          <cell r="AA14">
            <v>71</v>
          </cell>
          <cell r="AB14">
            <v>71</v>
          </cell>
          <cell r="AC14">
            <v>71</v>
          </cell>
          <cell r="AD14">
            <v>71</v>
          </cell>
          <cell r="AE14">
            <v>71</v>
          </cell>
          <cell r="AF14">
            <v>71</v>
          </cell>
          <cell r="AG14">
            <v>71</v>
          </cell>
          <cell r="AH14">
            <v>71</v>
          </cell>
          <cell r="AI14">
            <v>71</v>
          </cell>
          <cell r="AJ14">
            <v>71</v>
          </cell>
          <cell r="AK14">
            <v>71</v>
          </cell>
          <cell r="AL14">
            <v>71</v>
          </cell>
          <cell r="AM14">
            <v>71</v>
          </cell>
          <cell r="AN14">
            <v>71</v>
          </cell>
          <cell r="AO14">
            <v>71</v>
          </cell>
          <cell r="AP14">
            <v>71</v>
          </cell>
          <cell r="AQ14">
            <v>71</v>
          </cell>
          <cell r="AR14">
            <v>71</v>
          </cell>
          <cell r="AS14">
            <v>71</v>
          </cell>
          <cell r="AT14">
            <v>71</v>
          </cell>
          <cell r="AU14">
            <v>71</v>
          </cell>
          <cell r="AV14">
            <v>71</v>
          </cell>
          <cell r="AW14">
            <v>71</v>
          </cell>
          <cell r="AX14">
            <v>71</v>
          </cell>
          <cell r="AY14">
            <v>71</v>
          </cell>
          <cell r="AZ14">
            <v>71</v>
          </cell>
          <cell r="BA14">
            <v>71</v>
          </cell>
          <cell r="BB14">
            <v>71</v>
          </cell>
          <cell r="BC14">
            <v>71</v>
          </cell>
          <cell r="BD14">
            <v>71</v>
          </cell>
          <cell r="BE14">
            <v>71</v>
          </cell>
          <cell r="BF14">
            <v>71</v>
          </cell>
          <cell r="BG14">
            <v>71</v>
          </cell>
          <cell r="BH14">
            <v>71</v>
          </cell>
          <cell r="BI14">
            <v>71</v>
          </cell>
        </row>
        <row r="15">
          <cell r="A15" t="str">
            <v>CUNNINGHAM 2</v>
          </cell>
          <cell r="B15">
            <v>196</v>
          </cell>
          <cell r="C15">
            <v>196</v>
          </cell>
          <cell r="D15">
            <v>196</v>
          </cell>
          <cell r="E15">
            <v>196</v>
          </cell>
          <cell r="F15">
            <v>196</v>
          </cell>
          <cell r="G15">
            <v>196</v>
          </cell>
          <cell r="H15">
            <v>196</v>
          </cell>
          <cell r="I15">
            <v>196</v>
          </cell>
          <cell r="J15">
            <v>196</v>
          </cell>
          <cell r="K15">
            <v>196</v>
          </cell>
          <cell r="L15">
            <v>196</v>
          </cell>
          <cell r="M15">
            <v>196</v>
          </cell>
          <cell r="N15">
            <v>196</v>
          </cell>
          <cell r="O15">
            <v>196</v>
          </cell>
          <cell r="P15">
            <v>196</v>
          </cell>
          <cell r="Q15">
            <v>196</v>
          </cell>
          <cell r="R15">
            <v>196</v>
          </cell>
          <cell r="S15">
            <v>196</v>
          </cell>
          <cell r="T15">
            <v>196</v>
          </cell>
          <cell r="U15">
            <v>196</v>
          </cell>
          <cell r="V15">
            <v>196</v>
          </cell>
          <cell r="W15">
            <v>196</v>
          </cell>
          <cell r="X15">
            <v>196</v>
          </cell>
          <cell r="Y15">
            <v>196</v>
          </cell>
          <cell r="Z15">
            <v>196</v>
          </cell>
          <cell r="AA15">
            <v>196</v>
          </cell>
          <cell r="AB15">
            <v>196</v>
          </cell>
          <cell r="AC15">
            <v>196</v>
          </cell>
          <cell r="AD15">
            <v>196</v>
          </cell>
          <cell r="AE15">
            <v>196</v>
          </cell>
          <cell r="AF15">
            <v>196</v>
          </cell>
          <cell r="AG15">
            <v>196</v>
          </cell>
          <cell r="AH15">
            <v>196</v>
          </cell>
          <cell r="AI15">
            <v>196</v>
          </cell>
          <cell r="AJ15">
            <v>196</v>
          </cell>
          <cell r="AK15">
            <v>196</v>
          </cell>
          <cell r="AL15">
            <v>196</v>
          </cell>
          <cell r="AM15">
            <v>196</v>
          </cell>
          <cell r="AN15">
            <v>196</v>
          </cell>
          <cell r="AO15">
            <v>196</v>
          </cell>
          <cell r="AP15">
            <v>196</v>
          </cell>
          <cell r="AQ15">
            <v>196</v>
          </cell>
          <cell r="AR15">
            <v>196</v>
          </cell>
          <cell r="AS15">
            <v>196</v>
          </cell>
          <cell r="AT15">
            <v>196</v>
          </cell>
          <cell r="AU15">
            <v>196</v>
          </cell>
          <cell r="AV15">
            <v>196</v>
          </cell>
          <cell r="AW15">
            <v>196</v>
          </cell>
          <cell r="AX15">
            <v>196</v>
          </cell>
          <cell r="AY15">
            <v>196</v>
          </cell>
          <cell r="AZ15">
            <v>196</v>
          </cell>
          <cell r="BA15">
            <v>196</v>
          </cell>
          <cell r="BB15">
            <v>196</v>
          </cell>
          <cell r="BC15">
            <v>196</v>
          </cell>
          <cell r="BD15">
            <v>196</v>
          </cell>
          <cell r="BE15">
            <v>196</v>
          </cell>
          <cell r="BF15">
            <v>196</v>
          </cell>
          <cell r="BG15">
            <v>196</v>
          </cell>
          <cell r="BH15">
            <v>196</v>
          </cell>
          <cell r="BI15">
            <v>196</v>
          </cell>
        </row>
        <row r="16">
          <cell r="A16" t="str">
            <v>HARRINGTON 1</v>
          </cell>
          <cell r="B16">
            <v>330</v>
          </cell>
          <cell r="C16">
            <v>330</v>
          </cell>
          <cell r="D16">
            <v>330</v>
          </cell>
          <cell r="E16">
            <v>330</v>
          </cell>
          <cell r="F16">
            <v>330</v>
          </cell>
          <cell r="G16">
            <v>330</v>
          </cell>
          <cell r="H16">
            <v>330</v>
          </cell>
          <cell r="I16">
            <v>330</v>
          </cell>
          <cell r="J16">
            <v>330</v>
          </cell>
          <cell r="K16">
            <v>330</v>
          </cell>
          <cell r="L16">
            <v>330</v>
          </cell>
          <cell r="M16">
            <v>330</v>
          </cell>
          <cell r="N16">
            <v>330</v>
          </cell>
          <cell r="O16">
            <v>330</v>
          </cell>
          <cell r="P16">
            <v>330</v>
          </cell>
          <cell r="Q16">
            <v>330</v>
          </cell>
          <cell r="R16">
            <v>330</v>
          </cell>
          <cell r="S16">
            <v>330</v>
          </cell>
          <cell r="T16">
            <v>330</v>
          </cell>
          <cell r="U16">
            <v>330</v>
          </cell>
          <cell r="V16">
            <v>330</v>
          </cell>
          <cell r="W16">
            <v>330</v>
          </cell>
          <cell r="X16">
            <v>330</v>
          </cell>
          <cell r="Y16">
            <v>330</v>
          </cell>
          <cell r="Z16">
            <v>330</v>
          </cell>
          <cell r="AA16">
            <v>330</v>
          </cell>
          <cell r="AB16">
            <v>330</v>
          </cell>
          <cell r="AC16">
            <v>330</v>
          </cell>
          <cell r="AD16">
            <v>330</v>
          </cell>
          <cell r="AE16">
            <v>330</v>
          </cell>
          <cell r="AF16">
            <v>330</v>
          </cell>
          <cell r="AG16">
            <v>330</v>
          </cell>
          <cell r="AH16">
            <v>330</v>
          </cell>
          <cell r="AI16">
            <v>330</v>
          </cell>
          <cell r="AJ16">
            <v>330</v>
          </cell>
          <cell r="AK16">
            <v>330</v>
          </cell>
          <cell r="AL16">
            <v>330</v>
          </cell>
          <cell r="AM16">
            <v>330</v>
          </cell>
          <cell r="AN16">
            <v>330</v>
          </cell>
          <cell r="AO16">
            <v>330</v>
          </cell>
          <cell r="AP16">
            <v>330</v>
          </cell>
          <cell r="AQ16">
            <v>330</v>
          </cell>
          <cell r="AR16">
            <v>330</v>
          </cell>
          <cell r="AS16">
            <v>330</v>
          </cell>
          <cell r="AT16">
            <v>330</v>
          </cell>
          <cell r="AU16">
            <v>330</v>
          </cell>
          <cell r="AV16">
            <v>330</v>
          </cell>
          <cell r="AW16">
            <v>330</v>
          </cell>
          <cell r="AX16">
            <v>330</v>
          </cell>
          <cell r="AY16">
            <v>330</v>
          </cell>
          <cell r="AZ16">
            <v>330</v>
          </cell>
          <cell r="BA16">
            <v>330</v>
          </cell>
          <cell r="BB16">
            <v>330</v>
          </cell>
          <cell r="BC16">
            <v>330</v>
          </cell>
          <cell r="BD16">
            <v>330</v>
          </cell>
          <cell r="BE16">
            <v>330</v>
          </cell>
          <cell r="BF16">
            <v>330</v>
          </cell>
          <cell r="BG16">
            <v>330</v>
          </cell>
          <cell r="BH16">
            <v>330</v>
          </cell>
          <cell r="BI16">
            <v>330</v>
          </cell>
        </row>
        <row r="17">
          <cell r="A17" t="str">
            <v>HARRINGTON 2</v>
          </cell>
          <cell r="B17">
            <v>340</v>
          </cell>
          <cell r="C17">
            <v>340</v>
          </cell>
          <cell r="D17">
            <v>340</v>
          </cell>
          <cell r="E17">
            <v>340</v>
          </cell>
          <cell r="F17">
            <v>340</v>
          </cell>
          <cell r="G17">
            <v>340</v>
          </cell>
          <cell r="H17">
            <v>340</v>
          </cell>
          <cell r="I17">
            <v>340</v>
          </cell>
          <cell r="J17">
            <v>340</v>
          </cell>
          <cell r="K17">
            <v>340</v>
          </cell>
          <cell r="L17">
            <v>340</v>
          </cell>
          <cell r="M17">
            <v>340</v>
          </cell>
          <cell r="N17">
            <v>340</v>
          </cell>
          <cell r="O17">
            <v>340</v>
          </cell>
          <cell r="P17">
            <v>340</v>
          </cell>
          <cell r="Q17">
            <v>340</v>
          </cell>
          <cell r="R17">
            <v>340</v>
          </cell>
          <cell r="S17">
            <v>340</v>
          </cell>
          <cell r="T17">
            <v>340</v>
          </cell>
          <cell r="U17">
            <v>340</v>
          </cell>
          <cell r="V17">
            <v>340</v>
          </cell>
          <cell r="W17">
            <v>340</v>
          </cell>
          <cell r="X17">
            <v>340</v>
          </cell>
          <cell r="Y17">
            <v>340</v>
          </cell>
          <cell r="Z17">
            <v>340</v>
          </cell>
          <cell r="AA17">
            <v>340</v>
          </cell>
          <cell r="AB17">
            <v>340</v>
          </cell>
          <cell r="AC17">
            <v>340</v>
          </cell>
          <cell r="AD17">
            <v>340</v>
          </cell>
          <cell r="AE17">
            <v>340</v>
          </cell>
          <cell r="AF17">
            <v>340</v>
          </cell>
          <cell r="AG17">
            <v>340</v>
          </cell>
          <cell r="AH17">
            <v>340</v>
          </cell>
          <cell r="AI17">
            <v>340</v>
          </cell>
          <cell r="AJ17">
            <v>340</v>
          </cell>
          <cell r="AK17">
            <v>340</v>
          </cell>
          <cell r="AL17">
            <v>340</v>
          </cell>
          <cell r="AM17">
            <v>340</v>
          </cell>
          <cell r="AN17">
            <v>340</v>
          </cell>
          <cell r="AO17">
            <v>340</v>
          </cell>
          <cell r="AP17">
            <v>340</v>
          </cell>
          <cell r="AQ17">
            <v>340</v>
          </cell>
          <cell r="AR17">
            <v>340</v>
          </cell>
          <cell r="AS17">
            <v>340</v>
          </cell>
          <cell r="AT17">
            <v>340</v>
          </cell>
          <cell r="AU17">
            <v>340</v>
          </cell>
          <cell r="AV17">
            <v>340</v>
          </cell>
          <cell r="AW17">
            <v>340</v>
          </cell>
          <cell r="AX17">
            <v>340</v>
          </cell>
          <cell r="AY17">
            <v>340</v>
          </cell>
          <cell r="AZ17">
            <v>340</v>
          </cell>
          <cell r="BA17">
            <v>340</v>
          </cell>
          <cell r="BB17">
            <v>340</v>
          </cell>
          <cell r="BC17">
            <v>340</v>
          </cell>
          <cell r="BD17">
            <v>340</v>
          </cell>
          <cell r="BE17">
            <v>340</v>
          </cell>
          <cell r="BF17">
            <v>340</v>
          </cell>
          <cell r="BG17">
            <v>340</v>
          </cell>
          <cell r="BH17">
            <v>340</v>
          </cell>
          <cell r="BI17">
            <v>340</v>
          </cell>
        </row>
        <row r="18">
          <cell r="A18" t="str">
            <v>HARRINGTON 3</v>
          </cell>
          <cell r="B18">
            <v>340</v>
          </cell>
          <cell r="C18">
            <v>340</v>
          </cell>
          <cell r="D18">
            <v>340</v>
          </cell>
          <cell r="E18">
            <v>340</v>
          </cell>
          <cell r="F18">
            <v>340</v>
          </cell>
          <cell r="G18">
            <v>340</v>
          </cell>
          <cell r="H18">
            <v>340</v>
          </cell>
          <cell r="I18">
            <v>340</v>
          </cell>
          <cell r="J18">
            <v>340</v>
          </cell>
          <cell r="K18">
            <v>340</v>
          </cell>
          <cell r="L18">
            <v>340</v>
          </cell>
          <cell r="M18">
            <v>340</v>
          </cell>
          <cell r="N18">
            <v>340</v>
          </cell>
          <cell r="O18">
            <v>340</v>
          </cell>
          <cell r="P18">
            <v>340</v>
          </cell>
          <cell r="Q18">
            <v>340</v>
          </cell>
          <cell r="R18">
            <v>340</v>
          </cell>
          <cell r="S18">
            <v>340</v>
          </cell>
          <cell r="T18">
            <v>340</v>
          </cell>
          <cell r="U18">
            <v>340</v>
          </cell>
          <cell r="V18">
            <v>340</v>
          </cell>
          <cell r="W18">
            <v>340</v>
          </cell>
          <cell r="X18">
            <v>340</v>
          </cell>
          <cell r="Y18">
            <v>340</v>
          </cell>
          <cell r="Z18">
            <v>340</v>
          </cell>
          <cell r="AA18">
            <v>340</v>
          </cell>
          <cell r="AB18">
            <v>340</v>
          </cell>
          <cell r="AC18">
            <v>340</v>
          </cell>
          <cell r="AD18">
            <v>340</v>
          </cell>
          <cell r="AE18">
            <v>340</v>
          </cell>
          <cell r="AF18">
            <v>340</v>
          </cell>
          <cell r="AG18">
            <v>340</v>
          </cell>
          <cell r="AH18">
            <v>340</v>
          </cell>
          <cell r="AI18">
            <v>340</v>
          </cell>
          <cell r="AJ18">
            <v>340</v>
          </cell>
          <cell r="AK18">
            <v>340</v>
          </cell>
          <cell r="AL18">
            <v>340</v>
          </cell>
          <cell r="AM18">
            <v>340</v>
          </cell>
          <cell r="AN18">
            <v>340</v>
          </cell>
          <cell r="AO18">
            <v>340</v>
          </cell>
          <cell r="AP18">
            <v>340</v>
          </cell>
          <cell r="AQ18">
            <v>340</v>
          </cell>
          <cell r="AR18">
            <v>340</v>
          </cell>
          <cell r="AS18">
            <v>340</v>
          </cell>
          <cell r="AT18">
            <v>340</v>
          </cell>
          <cell r="AU18">
            <v>340</v>
          </cell>
          <cell r="AV18">
            <v>340</v>
          </cell>
          <cell r="AW18">
            <v>340</v>
          </cell>
          <cell r="AX18">
            <v>340</v>
          </cell>
          <cell r="AY18">
            <v>340</v>
          </cell>
          <cell r="AZ18">
            <v>340</v>
          </cell>
          <cell r="BA18">
            <v>340</v>
          </cell>
          <cell r="BB18">
            <v>340</v>
          </cell>
          <cell r="BC18">
            <v>340</v>
          </cell>
          <cell r="BD18">
            <v>340</v>
          </cell>
          <cell r="BE18">
            <v>340</v>
          </cell>
          <cell r="BF18">
            <v>340</v>
          </cell>
          <cell r="BG18">
            <v>340</v>
          </cell>
          <cell r="BH18">
            <v>340</v>
          </cell>
          <cell r="BI18">
            <v>340</v>
          </cell>
        </row>
        <row r="19">
          <cell r="A19" t="str">
            <v>JONES 1</v>
          </cell>
          <cell r="B19">
            <v>243</v>
          </cell>
          <cell r="C19">
            <v>243</v>
          </cell>
          <cell r="D19">
            <v>243</v>
          </cell>
          <cell r="E19">
            <v>243</v>
          </cell>
          <cell r="F19">
            <v>243</v>
          </cell>
          <cell r="G19">
            <v>243</v>
          </cell>
          <cell r="H19">
            <v>243</v>
          </cell>
          <cell r="I19">
            <v>243</v>
          </cell>
          <cell r="J19">
            <v>243</v>
          </cell>
          <cell r="K19">
            <v>243</v>
          </cell>
          <cell r="L19">
            <v>243</v>
          </cell>
          <cell r="M19">
            <v>243</v>
          </cell>
          <cell r="N19">
            <v>243</v>
          </cell>
          <cell r="O19">
            <v>243</v>
          </cell>
          <cell r="P19">
            <v>243</v>
          </cell>
          <cell r="Q19">
            <v>243</v>
          </cell>
          <cell r="R19">
            <v>243</v>
          </cell>
          <cell r="S19">
            <v>243</v>
          </cell>
          <cell r="T19">
            <v>243</v>
          </cell>
          <cell r="U19">
            <v>243</v>
          </cell>
          <cell r="V19">
            <v>243</v>
          </cell>
          <cell r="W19">
            <v>243</v>
          </cell>
          <cell r="X19">
            <v>243</v>
          </cell>
          <cell r="Y19">
            <v>243</v>
          </cell>
          <cell r="Z19">
            <v>243</v>
          </cell>
          <cell r="AA19">
            <v>243</v>
          </cell>
          <cell r="AB19">
            <v>243</v>
          </cell>
          <cell r="AC19">
            <v>243</v>
          </cell>
          <cell r="AD19">
            <v>243</v>
          </cell>
          <cell r="AE19">
            <v>243</v>
          </cell>
          <cell r="AF19">
            <v>243</v>
          </cell>
          <cell r="AG19">
            <v>243</v>
          </cell>
          <cell r="AH19">
            <v>243</v>
          </cell>
          <cell r="AI19">
            <v>243</v>
          </cell>
          <cell r="AJ19">
            <v>243</v>
          </cell>
          <cell r="AK19">
            <v>243</v>
          </cell>
          <cell r="AL19">
            <v>243</v>
          </cell>
          <cell r="AM19">
            <v>243</v>
          </cell>
          <cell r="AN19">
            <v>243</v>
          </cell>
          <cell r="AO19">
            <v>243</v>
          </cell>
          <cell r="AP19">
            <v>243</v>
          </cell>
          <cell r="AQ19">
            <v>243</v>
          </cell>
          <cell r="AR19">
            <v>243</v>
          </cell>
          <cell r="AS19">
            <v>243</v>
          </cell>
          <cell r="AT19">
            <v>243</v>
          </cell>
          <cell r="AU19">
            <v>243</v>
          </cell>
          <cell r="AV19">
            <v>243</v>
          </cell>
          <cell r="AW19">
            <v>243</v>
          </cell>
          <cell r="AX19">
            <v>243</v>
          </cell>
          <cell r="AY19">
            <v>243</v>
          </cell>
          <cell r="AZ19">
            <v>243</v>
          </cell>
          <cell r="BA19">
            <v>243</v>
          </cell>
          <cell r="BB19">
            <v>243</v>
          </cell>
          <cell r="BC19">
            <v>243</v>
          </cell>
          <cell r="BD19">
            <v>243</v>
          </cell>
          <cell r="BE19">
            <v>243</v>
          </cell>
          <cell r="BF19">
            <v>243</v>
          </cell>
          <cell r="BG19">
            <v>243</v>
          </cell>
          <cell r="BH19">
            <v>243</v>
          </cell>
          <cell r="BI19">
            <v>243</v>
          </cell>
        </row>
        <row r="20">
          <cell r="A20" t="str">
            <v>JONES 2</v>
          </cell>
          <cell r="B20">
            <v>243</v>
          </cell>
          <cell r="C20">
            <v>243</v>
          </cell>
          <cell r="D20">
            <v>243</v>
          </cell>
          <cell r="E20">
            <v>243</v>
          </cell>
          <cell r="F20">
            <v>243</v>
          </cell>
          <cell r="G20">
            <v>243</v>
          </cell>
          <cell r="H20">
            <v>243</v>
          </cell>
          <cell r="I20">
            <v>243</v>
          </cell>
          <cell r="J20">
            <v>243</v>
          </cell>
          <cell r="K20">
            <v>243</v>
          </cell>
          <cell r="L20">
            <v>243</v>
          </cell>
          <cell r="M20">
            <v>243</v>
          </cell>
          <cell r="N20">
            <v>243</v>
          </cell>
          <cell r="O20">
            <v>243</v>
          </cell>
          <cell r="P20">
            <v>243</v>
          </cell>
          <cell r="Q20">
            <v>243</v>
          </cell>
          <cell r="R20">
            <v>243</v>
          </cell>
          <cell r="S20">
            <v>243</v>
          </cell>
          <cell r="T20">
            <v>243</v>
          </cell>
          <cell r="U20">
            <v>243</v>
          </cell>
          <cell r="V20">
            <v>243</v>
          </cell>
          <cell r="W20">
            <v>243</v>
          </cell>
          <cell r="X20">
            <v>243</v>
          </cell>
          <cell r="Y20">
            <v>243</v>
          </cell>
          <cell r="Z20">
            <v>243</v>
          </cell>
          <cell r="AA20">
            <v>243</v>
          </cell>
          <cell r="AB20">
            <v>243</v>
          </cell>
          <cell r="AC20">
            <v>243</v>
          </cell>
          <cell r="AD20">
            <v>243</v>
          </cell>
          <cell r="AE20">
            <v>243</v>
          </cell>
          <cell r="AF20">
            <v>243</v>
          </cell>
          <cell r="AG20">
            <v>243</v>
          </cell>
          <cell r="AH20">
            <v>243</v>
          </cell>
          <cell r="AI20">
            <v>243</v>
          </cell>
          <cell r="AJ20">
            <v>243</v>
          </cell>
          <cell r="AK20">
            <v>243</v>
          </cell>
          <cell r="AL20">
            <v>243</v>
          </cell>
          <cell r="AM20">
            <v>243</v>
          </cell>
          <cell r="AN20">
            <v>243</v>
          </cell>
          <cell r="AO20">
            <v>243</v>
          </cell>
          <cell r="AP20">
            <v>243</v>
          </cell>
          <cell r="AQ20">
            <v>243</v>
          </cell>
          <cell r="AR20">
            <v>243</v>
          </cell>
          <cell r="AS20">
            <v>243</v>
          </cell>
          <cell r="AT20">
            <v>243</v>
          </cell>
          <cell r="AU20">
            <v>243</v>
          </cell>
          <cell r="AV20">
            <v>243</v>
          </cell>
          <cell r="AW20">
            <v>243</v>
          </cell>
          <cell r="AX20">
            <v>243</v>
          </cell>
          <cell r="AY20">
            <v>243</v>
          </cell>
          <cell r="AZ20">
            <v>243</v>
          </cell>
          <cell r="BA20">
            <v>243</v>
          </cell>
          <cell r="BB20">
            <v>243</v>
          </cell>
          <cell r="BC20">
            <v>243</v>
          </cell>
          <cell r="BD20">
            <v>243</v>
          </cell>
          <cell r="BE20">
            <v>243</v>
          </cell>
          <cell r="BF20">
            <v>243</v>
          </cell>
          <cell r="BG20">
            <v>243</v>
          </cell>
          <cell r="BH20">
            <v>243</v>
          </cell>
          <cell r="BI20">
            <v>243</v>
          </cell>
        </row>
        <row r="21">
          <cell r="A21" t="str">
            <v>MADDOX 1</v>
          </cell>
          <cell r="B21">
            <v>118</v>
          </cell>
          <cell r="C21">
            <v>118</v>
          </cell>
          <cell r="D21">
            <v>118</v>
          </cell>
          <cell r="E21">
            <v>118</v>
          </cell>
          <cell r="F21">
            <v>118</v>
          </cell>
          <cell r="G21">
            <v>118</v>
          </cell>
          <cell r="H21">
            <v>118</v>
          </cell>
          <cell r="I21">
            <v>118</v>
          </cell>
          <cell r="J21">
            <v>118</v>
          </cell>
          <cell r="K21">
            <v>118</v>
          </cell>
          <cell r="L21">
            <v>118</v>
          </cell>
          <cell r="M21">
            <v>118</v>
          </cell>
          <cell r="N21">
            <v>118</v>
          </cell>
          <cell r="O21">
            <v>118</v>
          </cell>
          <cell r="P21">
            <v>118</v>
          </cell>
          <cell r="Q21">
            <v>118</v>
          </cell>
          <cell r="R21">
            <v>118</v>
          </cell>
          <cell r="S21">
            <v>118</v>
          </cell>
          <cell r="T21">
            <v>118</v>
          </cell>
          <cell r="U21">
            <v>118</v>
          </cell>
          <cell r="V21">
            <v>118</v>
          </cell>
          <cell r="W21">
            <v>118</v>
          </cell>
          <cell r="X21">
            <v>118</v>
          </cell>
          <cell r="Y21">
            <v>118</v>
          </cell>
          <cell r="Z21">
            <v>118</v>
          </cell>
          <cell r="AA21">
            <v>118</v>
          </cell>
          <cell r="AB21">
            <v>118</v>
          </cell>
          <cell r="AC21">
            <v>118</v>
          </cell>
          <cell r="AD21">
            <v>118</v>
          </cell>
          <cell r="AE21">
            <v>118</v>
          </cell>
          <cell r="AF21">
            <v>118</v>
          </cell>
          <cell r="AG21">
            <v>118</v>
          </cell>
          <cell r="AH21">
            <v>118</v>
          </cell>
          <cell r="AI21">
            <v>118</v>
          </cell>
          <cell r="AJ21">
            <v>118</v>
          </cell>
          <cell r="AK21">
            <v>118</v>
          </cell>
          <cell r="AL21">
            <v>118</v>
          </cell>
          <cell r="AM21">
            <v>118</v>
          </cell>
          <cell r="AN21">
            <v>118</v>
          </cell>
          <cell r="AO21">
            <v>118</v>
          </cell>
          <cell r="AP21">
            <v>118</v>
          </cell>
          <cell r="AQ21">
            <v>118</v>
          </cell>
          <cell r="AR21">
            <v>118</v>
          </cell>
          <cell r="AS21">
            <v>118</v>
          </cell>
          <cell r="AT21">
            <v>118</v>
          </cell>
          <cell r="AU21">
            <v>118</v>
          </cell>
          <cell r="AV21">
            <v>118</v>
          </cell>
          <cell r="AW21">
            <v>118</v>
          </cell>
          <cell r="AX21">
            <v>118</v>
          </cell>
          <cell r="AY21">
            <v>118</v>
          </cell>
          <cell r="AZ21">
            <v>118</v>
          </cell>
          <cell r="BA21">
            <v>118</v>
          </cell>
          <cell r="BB21">
            <v>118</v>
          </cell>
          <cell r="BC21">
            <v>118</v>
          </cell>
          <cell r="BD21">
            <v>118</v>
          </cell>
          <cell r="BE21">
            <v>118</v>
          </cell>
          <cell r="BF21">
            <v>118</v>
          </cell>
          <cell r="BG21">
            <v>118</v>
          </cell>
          <cell r="BH21">
            <v>118</v>
          </cell>
          <cell r="BI21">
            <v>118</v>
          </cell>
        </row>
        <row r="22">
          <cell r="A22" t="str">
            <v>MD GT 2</v>
          </cell>
          <cell r="B22">
            <v>66</v>
          </cell>
          <cell r="C22">
            <v>66</v>
          </cell>
          <cell r="D22">
            <v>66</v>
          </cell>
          <cell r="E22">
            <v>66</v>
          </cell>
          <cell r="F22">
            <v>64.7</v>
          </cell>
          <cell r="G22">
            <v>64.7</v>
          </cell>
          <cell r="H22">
            <v>64.7</v>
          </cell>
          <cell r="I22">
            <v>64.7</v>
          </cell>
          <cell r="J22">
            <v>64.7</v>
          </cell>
          <cell r="K22">
            <v>64.7</v>
          </cell>
          <cell r="L22">
            <v>66</v>
          </cell>
          <cell r="M22">
            <v>66</v>
          </cell>
          <cell r="N22">
            <v>66</v>
          </cell>
          <cell r="O22">
            <v>66</v>
          </cell>
          <cell r="P22">
            <v>66</v>
          </cell>
          <cell r="Q22">
            <v>66</v>
          </cell>
          <cell r="R22">
            <v>64.7</v>
          </cell>
          <cell r="S22">
            <v>64.7</v>
          </cell>
          <cell r="T22">
            <v>64.7</v>
          </cell>
          <cell r="U22">
            <v>64.7</v>
          </cell>
          <cell r="V22">
            <v>64.7</v>
          </cell>
          <cell r="W22">
            <v>64.7</v>
          </cell>
          <cell r="X22">
            <v>66</v>
          </cell>
          <cell r="Y22">
            <v>66</v>
          </cell>
          <cell r="Z22">
            <v>66</v>
          </cell>
          <cell r="AA22">
            <v>66</v>
          </cell>
          <cell r="AB22">
            <v>66</v>
          </cell>
          <cell r="AC22">
            <v>66</v>
          </cell>
          <cell r="AD22">
            <v>64.7</v>
          </cell>
          <cell r="AE22">
            <v>64.7</v>
          </cell>
          <cell r="AF22">
            <v>64.7</v>
          </cell>
          <cell r="AG22">
            <v>64.7</v>
          </cell>
          <cell r="AH22">
            <v>64.7</v>
          </cell>
          <cell r="AI22">
            <v>64.7</v>
          </cell>
          <cell r="AJ22">
            <v>66</v>
          </cell>
          <cell r="AK22">
            <v>66</v>
          </cell>
          <cell r="AL22">
            <v>66</v>
          </cell>
          <cell r="AM22">
            <v>66</v>
          </cell>
          <cell r="AN22">
            <v>66</v>
          </cell>
          <cell r="AO22">
            <v>66</v>
          </cell>
          <cell r="AP22">
            <v>64.7</v>
          </cell>
          <cell r="AQ22">
            <v>64.7</v>
          </cell>
          <cell r="AR22">
            <v>64.7</v>
          </cell>
          <cell r="AS22">
            <v>64.7</v>
          </cell>
          <cell r="AT22">
            <v>64.7</v>
          </cell>
          <cell r="AU22">
            <v>64.7</v>
          </cell>
          <cell r="AV22">
            <v>66</v>
          </cell>
          <cell r="AW22">
            <v>66</v>
          </cell>
          <cell r="AX22">
            <v>66</v>
          </cell>
          <cell r="AY22">
            <v>66</v>
          </cell>
          <cell r="AZ22">
            <v>66</v>
          </cell>
          <cell r="BA22">
            <v>66</v>
          </cell>
          <cell r="BB22">
            <v>64.7</v>
          </cell>
          <cell r="BC22">
            <v>64.7</v>
          </cell>
          <cell r="BD22">
            <v>64.7</v>
          </cell>
          <cell r="BE22">
            <v>64.7</v>
          </cell>
          <cell r="BF22">
            <v>64.7</v>
          </cell>
          <cell r="BG22">
            <v>64.7</v>
          </cell>
          <cell r="BH22">
            <v>66</v>
          </cell>
          <cell r="BI22">
            <v>66</v>
          </cell>
        </row>
        <row r="23">
          <cell r="A23" t="str">
            <v>MD GT 3</v>
          </cell>
          <cell r="B23">
            <v>10</v>
          </cell>
          <cell r="C23">
            <v>10</v>
          </cell>
          <cell r="D23">
            <v>10</v>
          </cell>
          <cell r="E23">
            <v>10</v>
          </cell>
          <cell r="F23">
            <v>10</v>
          </cell>
          <cell r="G23">
            <v>10</v>
          </cell>
          <cell r="H23">
            <v>10</v>
          </cell>
          <cell r="I23">
            <v>10</v>
          </cell>
          <cell r="J23">
            <v>10</v>
          </cell>
          <cell r="K23">
            <v>10</v>
          </cell>
          <cell r="L23">
            <v>10</v>
          </cell>
          <cell r="M23">
            <v>10</v>
          </cell>
          <cell r="N23">
            <v>10</v>
          </cell>
          <cell r="O23">
            <v>10</v>
          </cell>
          <cell r="P23">
            <v>10</v>
          </cell>
          <cell r="Q23">
            <v>10</v>
          </cell>
          <cell r="R23">
            <v>10</v>
          </cell>
          <cell r="S23">
            <v>10</v>
          </cell>
          <cell r="T23">
            <v>10</v>
          </cell>
          <cell r="U23">
            <v>10</v>
          </cell>
          <cell r="V23">
            <v>10</v>
          </cell>
          <cell r="W23">
            <v>10</v>
          </cell>
          <cell r="X23">
            <v>10</v>
          </cell>
          <cell r="Y23">
            <v>10</v>
          </cell>
          <cell r="Z23">
            <v>10</v>
          </cell>
          <cell r="AA23">
            <v>10</v>
          </cell>
          <cell r="AB23">
            <v>10</v>
          </cell>
          <cell r="AC23">
            <v>10</v>
          </cell>
          <cell r="AD23">
            <v>10</v>
          </cell>
          <cell r="AE23">
            <v>10</v>
          </cell>
          <cell r="AF23">
            <v>10</v>
          </cell>
          <cell r="AG23">
            <v>10</v>
          </cell>
          <cell r="AH23">
            <v>10</v>
          </cell>
          <cell r="AI23">
            <v>10</v>
          </cell>
          <cell r="AJ23">
            <v>10</v>
          </cell>
          <cell r="AK23">
            <v>10</v>
          </cell>
          <cell r="AL23">
            <v>10</v>
          </cell>
          <cell r="AM23">
            <v>10</v>
          </cell>
          <cell r="AN23">
            <v>10</v>
          </cell>
          <cell r="AO23">
            <v>10</v>
          </cell>
          <cell r="AP23">
            <v>10</v>
          </cell>
          <cell r="AQ23">
            <v>10</v>
          </cell>
          <cell r="AR23">
            <v>10</v>
          </cell>
          <cell r="AS23">
            <v>10</v>
          </cell>
          <cell r="AT23">
            <v>10</v>
          </cell>
          <cell r="AU23">
            <v>10</v>
          </cell>
          <cell r="AV23">
            <v>10</v>
          </cell>
          <cell r="AW23">
            <v>10</v>
          </cell>
          <cell r="AX23">
            <v>10</v>
          </cell>
          <cell r="AY23">
            <v>10</v>
          </cell>
          <cell r="AZ23">
            <v>10</v>
          </cell>
          <cell r="BA23">
            <v>10</v>
          </cell>
          <cell r="BB23">
            <v>10</v>
          </cell>
          <cell r="BC23">
            <v>10</v>
          </cell>
          <cell r="BD23">
            <v>10</v>
          </cell>
          <cell r="BE23">
            <v>10</v>
          </cell>
          <cell r="BF23">
            <v>10</v>
          </cell>
          <cell r="BG23">
            <v>10</v>
          </cell>
          <cell r="BH23">
            <v>10</v>
          </cell>
          <cell r="BI23">
            <v>10</v>
          </cell>
        </row>
        <row r="24">
          <cell r="A24" t="str">
            <v>MOORE CO</v>
          </cell>
          <cell r="B24">
            <v>0</v>
          </cell>
          <cell r="C24">
            <v>0</v>
          </cell>
          <cell r="D24">
            <v>0</v>
          </cell>
          <cell r="E24">
            <v>0</v>
          </cell>
          <cell r="F24">
            <v>0</v>
          </cell>
          <cell r="G24">
            <v>48</v>
          </cell>
          <cell r="H24">
            <v>48</v>
          </cell>
          <cell r="I24">
            <v>48</v>
          </cell>
          <cell r="J24">
            <v>48</v>
          </cell>
          <cell r="K24">
            <v>0</v>
          </cell>
          <cell r="L24">
            <v>0</v>
          </cell>
          <cell r="M24">
            <v>0</v>
          </cell>
          <cell r="N24">
            <v>0</v>
          </cell>
          <cell r="O24">
            <v>0</v>
          </cell>
          <cell r="P24">
            <v>0</v>
          </cell>
          <cell r="Q24">
            <v>0</v>
          </cell>
          <cell r="R24">
            <v>0</v>
          </cell>
          <cell r="S24">
            <v>48</v>
          </cell>
          <cell r="T24">
            <v>48</v>
          </cell>
          <cell r="U24">
            <v>48</v>
          </cell>
          <cell r="V24">
            <v>48</v>
          </cell>
          <cell r="W24">
            <v>0</v>
          </cell>
          <cell r="X24">
            <v>0</v>
          </cell>
          <cell r="Y24">
            <v>0</v>
          </cell>
          <cell r="Z24">
            <v>0</v>
          </cell>
          <cell r="AA24">
            <v>0</v>
          </cell>
          <cell r="AB24">
            <v>0</v>
          </cell>
          <cell r="AC24">
            <v>0</v>
          </cell>
          <cell r="AD24">
            <v>0</v>
          </cell>
          <cell r="AE24">
            <v>48</v>
          </cell>
          <cell r="AF24">
            <v>48</v>
          </cell>
          <cell r="AG24">
            <v>48</v>
          </cell>
          <cell r="AH24">
            <v>48</v>
          </cell>
          <cell r="AI24">
            <v>0</v>
          </cell>
          <cell r="AJ24">
            <v>0</v>
          </cell>
          <cell r="AK24">
            <v>0</v>
          </cell>
          <cell r="AL24">
            <v>0</v>
          </cell>
          <cell r="AM24">
            <v>0</v>
          </cell>
          <cell r="AN24">
            <v>0</v>
          </cell>
          <cell r="AO24">
            <v>0</v>
          </cell>
          <cell r="AP24">
            <v>0</v>
          </cell>
          <cell r="AQ24">
            <v>48</v>
          </cell>
          <cell r="AR24">
            <v>48</v>
          </cell>
          <cell r="AS24">
            <v>48</v>
          </cell>
          <cell r="AT24">
            <v>48</v>
          </cell>
          <cell r="AU24">
            <v>0</v>
          </cell>
          <cell r="AV24">
            <v>0</v>
          </cell>
          <cell r="AW24">
            <v>0</v>
          </cell>
          <cell r="AX24">
            <v>0</v>
          </cell>
          <cell r="AY24">
            <v>0</v>
          </cell>
          <cell r="AZ24">
            <v>0</v>
          </cell>
          <cell r="BA24">
            <v>0</v>
          </cell>
          <cell r="BB24">
            <v>0</v>
          </cell>
          <cell r="BC24">
            <v>48</v>
          </cell>
          <cell r="BD24">
            <v>48</v>
          </cell>
          <cell r="BE24">
            <v>48</v>
          </cell>
          <cell r="BF24">
            <v>48</v>
          </cell>
          <cell r="BG24">
            <v>0</v>
          </cell>
          <cell r="BH24">
            <v>0</v>
          </cell>
          <cell r="BI24">
            <v>0</v>
          </cell>
        </row>
        <row r="25">
          <cell r="A25" t="str">
            <v>MUSTANG CC 1</v>
          </cell>
          <cell r="B25">
            <v>224</v>
          </cell>
          <cell r="C25">
            <v>224</v>
          </cell>
          <cell r="D25">
            <v>224</v>
          </cell>
          <cell r="E25">
            <v>224</v>
          </cell>
          <cell r="F25">
            <v>238.75</v>
          </cell>
          <cell r="G25">
            <v>238.75</v>
          </cell>
          <cell r="H25">
            <v>238.75</v>
          </cell>
          <cell r="I25">
            <v>238.75</v>
          </cell>
          <cell r="J25">
            <v>238.75</v>
          </cell>
          <cell r="K25">
            <v>224</v>
          </cell>
          <cell r="L25">
            <v>224</v>
          </cell>
          <cell r="M25">
            <v>224</v>
          </cell>
          <cell r="N25">
            <v>224</v>
          </cell>
          <cell r="O25">
            <v>224</v>
          </cell>
          <cell r="P25">
            <v>224</v>
          </cell>
          <cell r="Q25">
            <v>224</v>
          </cell>
          <cell r="R25">
            <v>238.75</v>
          </cell>
          <cell r="S25">
            <v>238.75</v>
          </cell>
          <cell r="T25">
            <v>238.75</v>
          </cell>
          <cell r="U25">
            <v>238.75</v>
          </cell>
          <cell r="V25">
            <v>238.75</v>
          </cell>
          <cell r="W25">
            <v>224</v>
          </cell>
          <cell r="X25">
            <v>224</v>
          </cell>
          <cell r="Y25">
            <v>224</v>
          </cell>
          <cell r="Z25">
            <v>224</v>
          </cell>
          <cell r="AA25">
            <v>224</v>
          </cell>
          <cell r="AB25">
            <v>224</v>
          </cell>
          <cell r="AC25">
            <v>224</v>
          </cell>
          <cell r="AD25">
            <v>238.75</v>
          </cell>
          <cell r="AE25">
            <v>238.75</v>
          </cell>
          <cell r="AF25">
            <v>238.75</v>
          </cell>
          <cell r="AG25">
            <v>238.75</v>
          </cell>
          <cell r="AH25">
            <v>238.75</v>
          </cell>
          <cell r="AI25">
            <v>224</v>
          </cell>
          <cell r="AJ25">
            <v>224</v>
          </cell>
          <cell r="AK25">
            <v>224</v>
          </cell>
          <cell r="AL25">
            <v>224</v>
          </cell>
          <cell r="AM25">
            <v>224</v>
          </cell>
          <cell r="AN25">
            <v>224</v>
          </cell>
          <cell r="AO25">
            <v>224</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row>
        <row r="26">
          <cell r="A26" t="str">
            <v>MUSTANG CC 2</v>
          </cell>
          <cell r="B26">
            <v>224</v>
          </cell>
          <cell r="C26">
            <v>224</v>
          </cell>
          <cell r="D26">
            <v>224</v>
          </cell>
          <cell r="E26">
            <v>224</v>
          </cell>
          <cell r="F26">
            <v>238.75</v>
          </cell>
          <cell r="G26">
            <v>238.75</v>
          </cell>
          <cell r="H26">
            <v>238.75</v>
          </cell>
          <cell r="I26">
            <v>238.75</v>
          </cell>
          <cell r="J26">
            <v>238.75</v>
          </cell>
          <cell r="K26">
            <v>224</v>
          </cell>
          <cell r="L26">
            <v>224</v>
          </cell>
          <cell r="M26">
            <v>224</v>
          </cell>
          <cell r="N26">
            <v>224</v>
          </cell>
          <cell r="O26">
            <v>224</v>
          </cell>
          <cell r="P26">
            <v>224</v>
          </cell>
          <cell r="Q26">
            <v>224</v>
          </cell>
          <cell r="R26">
            <v>238.75</v>
          </cell>
          <cell r="S26">
            <v>238.75</v>
          </cell>
          <cell r="T26">
            <v>238.75</v>
          </cell>
          <cell r="U26">
            <v>238.75</v>
          </cell>
          <cell r="V26">
            <v>238.75</v>
          </cell>
          <cell r="W26">
            <v>224</v>
          </cell>
          <cell r="X26">
            <v>224</v>
          </cell>
          <cell r="Y26">
            <v>224</v>
          </cell>
          <cell r="Z26">
            <v>224</v>
          </cell>
          <cell r="AA26">
            <v>224</v>
          </cell>
          <cell r="AB26">
            <v>224</v>
          </cell>
          <cell r="AC26">
            <v>224</v>
          </cell>
          <cell r="AD26">
            <v>238.75</v>
          </cell>
          <cell r="AE26">
            <v>238.75</v>
          </cell>
          <cell r="AF26">
            <v>238.75</v>
          </cell>
          <cell r="AG26">
            <v>238.75</v>
          </cell>
          <cell r="AH26">
            <v>238.75</v>
          </cell>
          <cell r="AI26">
            <v>224</v>
          </cell>
          <cell r="AJ26">
            <v>224</v>
          </cell>
          <cell r="AK26">
            <v>224</v>
          </cell>
          <cell r="AL26">
            <v>224</v>
          </cell>
          <cell r="AM26">
            <v>224</v>
          </cell>
          <cell r="AN26">
            <v>224</v>
          </cell>
          <cell r="AO26">
            <v>224</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row>
        <row r="27">
          <cell r="A27" t="str">
            <v>NICHOLS 1</v>
          </cell>
          <cell r="B27">
            <v>107</v>
          </cell>
          <cell r="C27">
            <v>107</v>
          </cell>
          <cell r="D27">
            <v>107</v>
          </cell>
          <cell r="E27">
            <v>107</v>
          </cell>
          <cell r="F27">
            <v>107</v>
          </cell>
          <cell r="G27">
            <v>107</v>
          </cell>
          <cell r="H27">
            <v>107</v>
          </cell>
          <cell r="I27">
            <v>107</v>
          </cell>
          <cell r="J27">
            <v>107</v>
          </cell>
          <cell r="K27">
            <v>107</v>
          </cell>
          <cell r="L27">
            <v>107</v>
          </cell>
          <cell r="M27">
            <v>107</v>
          </cell>
          <cell r="N27">
            <v>107</v>
          </cell>
          <cell r="O27">
            <v>107</v>
          </cell>
          <cell r="P27">
            <v>107</v>
          </cell>
          <cell r="Q27">
            <v>107</v>
          </cell>
          <cell r="R27">
            <v>107</v>
          </cell>
          <cell r="S27">
            <v>107</v>
          </cell>
          <cell r="T27">
            <v>107</v>
          </cell>
          <cell r="U27">
            <v>107</v>
          </cell>
          <cell r="V27">
            <v>107</v>
          </cell>
          <cell r="W27">
            <v>107</v>
          </cell>
          <cell r="X27">
            <v>107</v>
          </cell>
          <cell r="Y27">
            <v>107</v>
          </cell>
          <cell r="Z27">
            <v>107</v>
          </cell>
          <cell r="AA27">
            <v>107</v>
          </cell>
          <cell r="AB27">
            <v>107</v>
          </cell>
          <cell r="AC27">
            <v>107</v>
          </cell>
          <cell r="AD27">
            <v>107</v>
          </cell>
          <cell r="AE27">
            <v>107</v>
          </cell>
          <cell r="AF27">
            <v>107</v>
          </cell>
          <cell r="AG27">
            <v>107</v>
          </cell>
          <cell r="AH27">
            <v>107</v>
          </cell>
          <cell r="AI27">
            <v>107</v>
          </cell>
          <cell r="AJ27">
            <v>107</v>
          </cell>
          <cell r="AK27">
            <v>107</v>
          </cell>
          <cell r="AL27">
            <v>107</v>
          </cell>
          <cell r="AM27">
            <v>107</v>
          </cell>
          <cell r="AN27">
            <v>107</v>
          </cell>
          <cell r="AO27">
            <v>107</v>
          </cell>
          <cell r="AP27">
            <v>107</v>
          </cell>
          <cell r="AQ27">
            <v>107</v>
          </cell>
          <cell r="AR27">
            <v>107</v>
          </cell>
          <cell r="AS27">
            <v>107</v>
          </cell>
          <cell r="AT27">
            <v>107</v>
          </cell>
          <cell r="AU27">
            <v>107</v>
          </cell>
          <cell r="AV27">
            <v>107</v>
          </cell>
          <cell r="AW27">
            <v>107</v>
          </cell>
          <cell r="AX27">
            <v>107</v>
          </cell>
          <cell r="AY27">
            <v>107</v>
          </cell>
          <cell r="AZ27">
            <v>107</v>
          </cell>
          <cell r="BA27">
            <v>107</v>
          </cell>
          <cell r="BB27">
            <v>107</v>
          </cell>
          <cell r="BC27">
            <v>107</v>
          </cell>
          <cell r="BD27">
            <v>107</v>
          </cell>
          <cell r="BE27">
            <v>107</v>
          </cell>
          <cell r="BF27">
            <v>107</v>
          </cell>
          <cell r="BG27">
            <v>107</v>
          </cell>
          <cell r="BH27">
            <v>107</v>
          </cell>
          <cell r="BI27">
            <v>107</v>
          </cell>
        </row>
        <row r="28">
          <cell r="A28" t="str">
            <v>NICHOLS 2</v>
          </cell>
          <cell r="B28">
            <v>106</v>
          </cell>
          <cell r="C28">
            <v>106</v>
          </cell>
          <cell r="D28">
            <v>106</v>
          </cell>
          <cell r="E28">
            <v>106</v>
          </cell>
          <cell r="F28">
            <v>106</v>
          </cell>
          <cell r="G28">
            <v>106</v>
          </cell>
          <cell r="H28">
            <v>106</v>
          </cell>
          <cell r="I28">
            <v>106</v>
          </cell>
          <cell r="J28">
            <v>106</v>
          </cell>
          <cell r="K28">
            <v>106</v>
          </cell>
          <cell r="L28">
            <v>106</v>
          </cell>
          <cell r="M28">
            <v>106</v>
          </cell>
          <cell r="N28">
            <v>106</v>
          </cell>
          <cell r="O28">
            <v>106</v>
          </cell>
          <cell r="P28">
            <v>106</v>
          </cell>
          <cell r="Q28">
            <v>106</v>
          </cell>
          <cell r="R28">
            <v>106</v>
          </cell>
          <cell r="S28">
            <v>106</v>
          </cell>
          <cell r="T28">
            <v>106</v>
          </cell>
          <cell r="U28">
            <v>106</v>
          </cell>
          <cell r="V28">
            <v>106</v>
          </cell>
          <cell r="W28">
            <v>106</v>
          </cell>
          <cell r="X28">
            <v>106</v>
          </cell>
          <cell r="Y28">
            <v>106</v>
          </cell>
          <cell r="Z28">
            <v>106</v>
          </cell>
          <cell r="AA28">
            <v>106</v>
          </cell>
          <cell r="AB28">
            <v>106</v>
          </cell>
          <cell r="AC28">
            <v>106</v>
          </cell>
          <cell r="AD28">
            <v>106</v>
          </cell>
          <cell r="AE28">
            <v>106</v>
          </cell>
          <cell r="AF28">
            <v>106</v>
          </cell>
          <cell r="AG28">
            <v>106</v>
          </cell>
          <cell r="AH28">
            <v>106</v>
          </cell>
          <cell r="AI28">
            <v>106</v>
          </cell>
          <cell r="AJ28">
            <v>106</v>
          </cell>
          <cell r="AK28">
            <v>106</v>
          </cell>
          <cell r="AL28">
            <v>106</v>
          </cell>
          <cell r="AM28">
            <v>106</v>
          </cell>
          <cell r="AN28">
            <v>106</v>
          </cell>
          <cell r="AO28">
            <v>106</v>
          </cell>
          <cell r="AP28">
            <v>106</v>
          </cell>
          <cell r="AQ28">
            <v>106</v>
          </cell>
          <cell r="AR28">
            <v>106</v>
          </cell>
          <cell r="AS28">
            <v>106</v>
          </cell>
          <cell r="AT28">
            <v>106</v>
          </cell>
          <cell r="AU28">
            <v>106</v>
          </cell>
          <cell r="AV28">
            <v>106</v>
          </cell>
          <cell r="AW28">
            <v>106</v>
          </cell>
          <cell r="AX28">
            <v>106</v>
          </cell>
          <cell r="AY28">
            <v>106</v>
          </cell>
          <cell r="AZ28">
            <v>106</v>
          </cell>
          <cell r="BA28">
            <v>106</v>
          </cell>
          <cell r="BB28">
            <v>106</v>
          </cell>
          <cell r="BC28">
            <v>106</v>
          </cell>
          <cell r="BD28">
            <v>106</v>
          </cell>
          <cell r="BE28">
            <v>106</v>
          </cell>
          <cell r="BF28">
            <v>106</v>
          </cell>
          <cell r="BG28">
            <v>106</v>
          </cell>
          <cell r="BH28">
            <v>106</v>
          </cell>
          <cell r="BI28">
            <v>106</v>
          </cell>
        </row>
        <row r="29">
          <cell r="A29" t="str">
            <v>NICHOLS 3</v>
          </cell>
          <cell r="B29">
            <v>244</v>
          </cell>
          <cell r="C29">
            <v>244</v>
          </cell>
          <cell r="D29">
            <v>244</v>
          </cell>
          <cell r="E29">
            <v>244</v>
          </cell>
          <cell r="F29">
            <v>244</v>
          </cell>
          <cell r="G29">
            <v>244</v>
          </cell>
          <cell r="H29">
            <v>244</v>
          </cell>
          <cell r="I29">
            <v>244</v>
          </cell>
          <cell r="J29">
            <v>244</v>
          </cell>
          <cell r="K29">
            <v>244</v>
          </cell>
          <cell r="L29">
            <v>244</v>
          </cell>
          <cell r="M29">
            <v>244</v>
          </cell>
          <cell r="N29">
            <v>244</v>
          </cell>
          <cell r="O29">
            <v>244</v>
          </cell>
          <cell r="P29">
            <v>244</v>
          </cell>
          <cell r="Q29">
            <v>244</v>
          </cell>
          <cell r="R29">
            <v>244</v>
          </cell>
          <cell r="S29">
            <v>244</v>
          </cell>
          <cell r="T29">
            <v>244</v>
          </cell>
          <cell r="U29">
            <v>244</v>
          </cell>
          <cell r="V29">
            <v>244</v>
          </cell>
          <cell r="W29">
            <v>244</v>
          </cell>
          <cell r="X29">
            <v>244</v>
          </cell>
          <cell r="Y29">
            <v>244</v>
          </cell>
          <cell r="Z29">
            <v>244</v>
          </cell>
          <cell r="AA29">
            <v>244</v>
          </cell>
          <cell r="AB29">
            <v>244</v>
          </cell>
          <cell r="AC29">
            <v>244</v>
          </cell>
          <cell r="AD29">
            <v>244</v>
          </cell>
          <cell r="AE29">
            <v>244</v>
          </cell>
          <cell r="AF29">
            <v>244</v>
          </cell>
          <cell r="AG29">
            <v>244</v>
          </cell>
          <cell r="AH29">
            <v>244</v>
          </cell>
          <cell r="AI29">
            <v>244</v>
          </cell>
          <cell r="AJ29">
            <v>244</v>
          </cell>
          <cell r="AK29">
            <v>244</v>
          </cell>
          <cell r="AL29">
            <v>244</v>
          </cell>
          <cell r="AM29">
            <v>244</v>
          </cell>
          <cell r="AN29">
            <v>244</v>
          </cell>
          <cell r="AO29">
            <v>244</v>
          </cell>
          <cell r="AP29">
            <v>244</v>
          </cell>
          <cell r="AQ29">
            <v>244</v>
          </cell>
          <cell r="AR29">
            <v>244</v>
          </cell>
          <cell r="AS29">
            <v>244</v>
          </cell>
          <cell r="AT29">
            <v>244</v>
          </cell>
          <cell r="AU29">
            <v>244</v>
          </cell>
          <cell r="AV29">
            <v>244</v>
          </cell>
          <cell r="AW29">
            <v>244</v>
          </cell>
          <cell r="AX29">
            <v>244</v>
          </cell>
          <cell r="AY29">
            <v>244</v>
          </cell>
          <cell r="AZ29">
            <v>244</v>
          </cell>
          <cell r="BA29">
            <v>244</v>
          </cell>
          <cell r="BB29">
            <v>244</v>
          </cell>
          <cell r="BC29">
            <v>244</v>
          </cell>
          <cell r="BD29">
            <v>244</v>
          </cell>
          <cell r="BE29">
            <v>244</v>
          </cell>
          <cell r="BF29">
            <v>244</v>
          </cell>
          <cell r="BG29">
            <v>244</v>
          </cell>
          <cell r="BH29">
            <v>244</v>
          </cell>
          <cell r="BI29">
            <v>244</v>
          </cell>
        </row>
        <row r="30">
          <cell r="A30" t="str">
            <v>PLANT X 1</v>
          </cell>
          <cell r="B30">
            <v>48</v>
          </cell>
          <cell r="C30">
            <v>48</v>
          </cell>
          <cell r="D30">
            <v>48</v>
          </cell>
          <cell r="E30">
            <v>48</v>
          </cell>
          <cell r="F30">
            <v>48</v>
          </cell>
          <cell r="G30">
            <v>48</v>
          </cell>
          <cell r="H30">
            <v>48</v>
          </cell>
          <cell r="I30">
            <v>48</v>
          </cell>
          <cell r="J30">
            <v>48</v>
          </cell>
          <cell r="K30">
            <v>48</v>
          </cell>
          <cell r="L30">
            <v>48</v>
          </cell>
          <cell r="M30">
            <v>48</v>
          </cell>
          <cell r="N30">
            <v>48</v>
          </cell>
          <cell r="O30">
            <v>48</v>
          </cell>
          <cell r="P30">
            <v>48</v>
          </cell>
          <cell r="Q30">
            <v>48</v>
          </cell>
          <cell r="R30">
            <v>48</v>
          </cell>
          <cell r="S30">
            <v>48</v>
          </cell>
          <cell r="T30">
            <v>48</v>
          </cell>
          <cell r="U30">
            <v>48</v>
          </cell>
          <cell r="V30">
            <v>48</v>
          </cell>
          <cell r="W30">
            <v>48</v>
          </cell>
          <cell r="X30">
            <v>48</v>
          </cell>
          <cell r="Y30">
            <v>48</v>
          </cell>
          <cell r="Z30">
            <v>48</v>
          </cell>
          <cell r="AA30">
            <v>48</v>
          </cell>
          <cell r="AB30">
            <v>48</v>
          </cell>
          <cell r="AC30">
            <v>48</v>
          </cell>
          <cell r="AD30">
            <v>48</v>
          </cell>
          <cell r="AE30">
            <v>48</v>
          </cell>
          <cell r="AF30">
            <v>48</v>
          </cell>
          <cell r="AG30">
            <v>48</v>
          </cell>
          <cell r="AH30">
            <v>48</v>
          </cell>
          <cell r="AI30">
            <v>48</v>
          </cell>
          <cell r="AJ30">
            <v>48</v>
          </cell>
          <cell r="AK30">
            <v>48</v>
          </cell>
          <cell r="AL30">
            <v>48</v>
          </cell>
          <cell r="AM30">
            <v>48</v>
          </cell>
          <cell r="AN30">
            <v>48</v>
          </cell>
          <cell r="AO30">
            <v>48</v>
          </cell>
          <cell r="AP30">
            <v>48</v>
          </cell>
          <cell r="AQ30">
            <v>48</v>
          </cell>
          <cell r="AR30">
            <v>48</v>
          </cell>
          <cell r="AS30">
            <v>48</v>
          </cell>
          <cell r="AT30">
            <v>48</v>
          </cell>
          <cell r="AU30">
            <v>48</v>
          </cell>
          <cell r="AV30">
            <v>48</v>
          </cell>
          <cell r="AW30">
            <v>48</v>
          </cell>
          <cell r="AX30">
            <v>48</v>
          </cell>
          <cell r="AY30">
            <v>48</v>
          </cell>
          <cell r="AZ30">
            <v>48</v>
          </cell>
          <cell r="BA30">
            <v>48</v>
          </cell>
          <cell r="BB30">
            <v>48</v>
          </cell>
          <cell r="BC30">
            <v>48</v>
          </cell>
          <cell r="BD30">
            <v>48</v>
          </cell>
          <cell r="BE30">
            <v>48</v>
          </cell>
          <cell r="BF30">
            <v>48</v>
          </cell>
          <cell r="BG30">
            <v>48</v>
          </cell>
          <cell r="BH30">
            <v>48</v>
          </cell>
          <cell r="BI30">
            <v>48</v>
          </cell>
        </row>
        <row r="31">
          <cell r="A31" t="str">
            <v>PLANT X 2</v>
          </cell>
          <cell r="B31">
            <v>102</v>
          </cell>
          <cell r="C31">
            <v>102</v>
          </cell>
          <cell r="D31">
            <v>102</v>
          </cell>
          <cell r="E31">
            <v>102</v>
          </cell>
          <cell r="F31">
            <v>102</v>
          </cell>
          <cell r="G31">
            <v>102</v>
          </cell>
          <cell r="H31">
            <v>102</v>
          </cell>
          <cell r="I31">
            <v>102</v>
          </cell>
          <cell r="J31">
            <v>102</v>
          </cell>
          <cell r="K31">
            <v>102</v>
          </cell>
          <cell r="L31">
            <v>102</v>
          </cell>
          <cell r="M31">
            <v>102</v>
          </cell>
          <cell r="N31">
            <v>102</v>
          </cell>
          <cell r="O31">
            <v>102</v>
          </cell>
          <cell r="P31">
            <v>102</v>
          </cell>
          <cell r="Q31">
            <v>102</v>
          </cell>
          <cell r="R31">
            <v>102</v>
          </cell>
          <cell r="S31">
            <v>102</v>
          </cell>
          <cell r="T31">
            <v>102</v>
          </cell>
          <cell r="U31">
            <v>102</v>
          </cell>
          <cell r="V31">
            <v>102</v>
          </cell>
          <cell r="W31">
            <v>102</v>
          </cell>
          <cell r="X31">
            <v>102</v>
          </cell>
          <cell r="Y31">
            <v>102</v>
          </cell>
          <cell r="Z31">
            <v>102</v>
          </cell>
          <cell r="AA31">
            <v>102</v>
          </cell>
          <cell r="AB31">
            <v>102</v>
          </cell>
          <cell r="AC31">
            <v>102</v>
          </cell>
          <cell r="AD31">
            <v>102</v>
          </cell>
          <cell r="AE31">
            <v>102</v>
          </cell>
          <cell r="AF31">
            <v>102</v>
          </cell>
          <cell r="AG31">
            <v>102</v>
          </cell>
          <cell r="AH31">
            <v>102</v>
          </cell>
          <cell r="AI31">
            <v>102</v>
          </cell>
          <cell r="AJ31">
            <v>102</v>
          </cell>
          <cell r="AK31">
            <v>102</v>
          </cell>
          <cell r="AL31">
            <v>102</v>
          </cell>
          <cell r="AM31">
            <v>102</v>
          </cell>
          <cell r="AN31">
            <v>102</v>
          </cell>
          <cell r="AO31">
            <v>102</v>
          </cell>
          <cell r="AP31">
            <v>102</v>
          </cell>
          <cell r="AQ31">
            <v>102</v>
          </cell>
          <cell r="AR31">
            <v>102</v>
          </cell>
          <cell r="AS31">
            <v>102</v>
          </cell>
          <cell r="AT31">
            <v>102</v>
          </cell>
          <cell r="AU31">
            <v>102</v>
          </cell>
          <cell r="AV31">
            <v>102</v>
          </cell>
          <cell r="AW31">
            <v>102</v>
          </cell>
          <cell r="AX31">
            <v>102</v>
          </cell>
          <cell r="AY31">
            <v>102</v>
          </cell>
          <cell r="AZ31">
            <v>102</v>
          </cell>
          <cell r="BA31">
            <v>102</v>
          </cell>
          <cell r="BB31">
            <v>102</v>
          </cell>
          <cell r="BC31">
            <v>102</v>
          </cell>
          <cell r="BD31">
            <v>102</v>
          </cell>
          <cell r="BE31">
            <v>102</v>
          </cell>
          <cell r="BF31">
            <v>102</v>
          </cell>
          <cell r="BG31">
            <v>102</v>
          </cell>
          <cell r="BH31">
            <v>102</v>
          </cell>
          <cell r="BI31">
            <v>102</v>
          </cell>
        </row>
        <row r="32">
          <cell r="A32" t="str">
            <v>PLANT X 3</v>
          </cell>
          <cell r="B32">
            <v>103</v>
          </cell>
          <cell r="C32">
            <v>103</v>
          </cell>
          <cell r="D32">
            <v>103</v>
          </cell>
          <cell r="E32">
            <v>103</v>
          </cell>
          <cell r="F32">
            <v>103</v>
          </cell>
          <cell r="G32">
            <v>103</v>
          </cell>
          <cell r="H32">
            <v>103</v>
          </cell>
          <cell r="I32">
            <v>103</v>
          </cell>
          <cell r="J32">
            <v>103</v>
          </cell>
          <cell r="K32">
            <v>103</v>
          </cell>
          <cell r="L32">
            <v>103</v>
          </cell>
          <cell r="M32">
            <v>103</v>
          </cell>
          <cell r="N32">
            <v>103</v>
          </cell>
          <cell r="O32">
            <v>103</v>
          </cell>
          <cell r="P32">
            <v>103</v>
          </cell>
          <cell r="Q32">
            <v>103</v>
          </cell>
          <cell r="R32">
            <v>103</v>
          </cell>
          <cell r="S32">
            <v>103</v>
          </cell>
          <cell r="T32">
            <v>103</v>
          </cell>
          <cell r="U32">
            <v>103</v>
          </cell>
          <cell r="V32">
            <v>103</v>
          </cell>
          <cell r="W32">
            <v>103</v>
          </cell>
          <cell r="X32">
            <v>103</v>
          </cell>
          <cell r="Y32">
            <v>103</v>
          </cell>
          <cell r="Z32">
            <v>103</v>
          </cell>
          <cell r="AA32">
            <v>103</v>
          </cell>
          <cell r="AB32">
            <v>103</v>
          </cell>
          <cell r="AC32">
            <v>103</v>
          </cell>
          <cell r="AD32">
            <v>103</v>
          </cell>
          <cell r="AE32">
            <v>103</v>
          </cell>
          <cell r="AF32">
            <v>103</v>
          </cell>
          <cell r="AG32">
            <v>103</v>
          </cell>
          <cell r="AH32">
            <v>103</v>
          </cell>
          <cell r="AI32">
            <v>103</v>
          </cell>
          <cell r="AJ32">
            <v>103</v>
          </cell>
          <cell r="AK32">
            <v>103</v>
          </cell>
          <cell r="AL32">
            <v>103</v>
          </cell>
          <cell r="AM32">
            <v>103</v>
          </cell>
          <cell r="AN32">
            <v>103</v>
          </cell>
          <cell r="AO32">
            <v>103</v>
          </cell>
          <cell r="AP32">
            <v>103</v>
          </cell>
          <cell r="AQ32">
            <v>103</v>
          </cell>
          <cell r="AR32">
            <v>103</v>
          </cell>
          <cell r="AS32">
            <v>103</v>
          </cell>
          <cell r="AT32">
            <v>103</v>
          </cell>
          <cell r="AU32">
            <v>103</v>
          </cell>
          <cell r="AV32">
            <v>103</v>
          </cell>
          <cell r="AW32">
            <v>103</v>
          </cell>
          <cell r="AX32">
            <v>103</v>
          </cell>
          <cell r="AY32">
            <v>103</v>
          </cell>
          <cell r="AZ32">
            <v>103</v>
          </cell>
          <cell r="BA32">
            <v>103</v>
          </cell>
          <cell r="BB32">
            <v>103</v>
          </cell>
          <cell r="BC32">
            <v>103</v>
          </cell>
          <cell r="BD32">
            <v>103</v>
          </cell>
          <cell r="BE32">
            <v>103</v>
          </cell>
          <cell r="BF32">
            <v>103</v>
          </cell>
          <cell r="BG32">
            <v>103</v>
          </cell>
          <cell r="BH32">
            <v>103</v>
          </cell>
          <cell r="BI32">
            <v>103</v>
          </cell>
        </row>
        <row r="33">
          <cell r="A33" t="str">
            <v>PLANT X 4</v>
          </cell>
          <cell r="B33">
            <v>135</v>
          </cell>
          <cell r="C33">
            <v>135</v>
          </cell>
          <cell r="D33">
            <v>135</v>
          </cell>
          <cell r="E33">
            <v>189</v>
          </cell>
          <cell r="F33">
            <v>189</v>
          </cell>
          <cell r="G33">
            <v>189</v>
          </cell>
          <cell r="H33">
            <v>189</v>
          </cell>
          <cell r="I33">
            <v>189</v>
          </cell>
          <cell r="J33">
            <v>189</v>
          </cell>
          <cell r="K33">
            <v>189</v>
          </cell>
          <cell r="L33">
            <v>189</v>
          </cell>
          <cell r="M33">
            <v>189</v>
          </cell>
          <cell r="N33">
            <v>189</v>
          </cell>
          <cell r="O33">
            <v>189</v>
          </cell>
          <cell r="P33">
            <v>189</v>
          </cell>
          <cell r="Q33">
            <v>189</v>
          </cell>
          <cell r="R33">
            <v>189</v>
          </cell>
          <cell r="S33">
            <v>189</v>
          </cell>
          <cell r="T33">
            <v>189</v>
          </cell>
          <cell r="U33">
            <v>189</v>
          </cell>
          <cell r="V33">
            <v>189</v>
          </cell>
          <cell r="W33">
            <v>189</v>
          </cell>
          <cell r="X33">
            <v>189</v>
          </cell>
          <cell r="Y33">
            <v>189</v>
          </cell>
          <cell r="Z33">
            <v>189</v>
          </cell>
          <cell r="AA33">
            <v>189</v>
          </cell>
          <cell r="AB33">
            <v>189</v>
          </cell>
          <cell r="AC33">
            <v>189</v>
          </cell>
          <cell r="AD33">
            <v>189</v>
          </cell>
          <cell r="AE33">
            <v>189</v>
          </cell>
          <cell r="AF33">
            <v>189</v>
          </cell>
          <cell r="AG33">
            <v>189</v>
          </cell>
          <cell r="AH33">
            <v>189</v>
          </cell>
          <cell r="AI33">
            <v>189</v>
          </cell>
          <cell r="AJ33">
            <v>189</v>
          </cell>
          <cell r="AK33">
            <v>189</v>
          </cell>
          <cell r="AL33">
            <v>189</v>
          </cell>
          <cell r="AM33">
            <v>189</v>
          </cell>
          <cell r="AN33">
            <v>189</v>
          </cell>
          <cell r="AO33">
            <v>189</v>
          </cell>
          <cell r="AP33">
            <v>189</v>
          </cell>
          <cell r="AQ33">
            <v>189</v>
          </cell>
          <cell r="AR33">
            <v>189</v>
          </cell>
          <cell r="AS33">
            <v>189</v>
          </cell>
          <cell r="AT33">
            <v>189</v>
          </cell>
          <cell r="AU33">
            <v>189</v>
          </cell>
          <cell r="AV33">
            <v>189</v>
          </cell>
          <cell r="AW33">
            <v>189</v>
          </cell>
          <cell r="AX33">
            <v>189</v>
          </cell>
          <cell r="AY33">
            <v>189</v>
          </cell>
          <cell r="AZ33">
            <v>189</v>
          </cell>
          <cell r="BA33">
            <v>189</v>
          </cell>
          <cell r="BB33">
            <v>189</v>
          </cell>
          <cell r="BC33">
            <v>189</v>
          </cell>
          <cell r="BD33">
            <v>189</v>
          </cell>
          <cell r="BE33">
            <v>189</v>
          </cell>
          <cell r="BF33">
            <v>189</v>
          </cell>
          <cell r="BG33">
            <v>189</v>
          </cell>
          <cell r="BH33">
            <v>189</v>
          </cell>
          <cell r="BI33">
            <v>189</v>
          </cell>
        </row>
        <row r="34">
          <cell r="A34" t="str">
            <v>RIVER GT 1</v>
          </cell>
          <cell r="B34">
            <v>25</v>
          </cell>
          <cell r="C34">
            <v>25</v>
          </cell>
          <cell r="D34">
            <v>25</v>
          </cell>
          <cell r="E34">
            <v>25</v>
          </cell>
          <cell r="F34">
            <v>23</v>
          </cell>
          <cell r="G34">
            <v>23</v>
          </cell>
          <cell r="H34">
            <v>23</v>
          </cell>
          <cell r="I34">
            <v>23</v>
          </cell>
          <cell r="J34">
            <v>23</v>
          </cell>
          <cell r="K34">
            <v>23</v>
          </cell>
          <cell r="L34">
            <v>25</v>
          </cell>
          <cell r="M34">
            <v>25</v>
          </cell>
          <cell r="N34">
            <v>25</v>
          </cell>
          <cell r="O34">
            <v>25</v>
          </cell>
          <cell r="P34">
            <v>25</v>
          </cell>
          <cell r="Q34">
            <v>25</v>
          </cell>
          <cell r="R34">
            <v>23</v>
          </cell>
          <cell r="S34">
            <v>23</v>
          </cell>
          <cell r="T34">
            <v>23</v>
          </cell>
          <cell r="U34">
            <v>23</v>
          </cell>
          <cell r="V34">
            <v>23</v>
          </cell>
          <cell r="W34">
            <v>23</v>
          </cell>
          <cell r="X34">
            <v>25</v>
          </cell>
          <cell r="Y34">
            <v>25</v>
          </cell>
          <cell r="Z34">
            <v>25</v>
          </cell>
          <cell r="AA34">
            <v>25</v>
          </cell>
          <cell r="AB34">
            <v>25</v>
          </cell>
          <cell r="AC34">
            <v>25</v>
          </cell>
          <cell r="AD34">
            <v>23</v>
          </cell>
          <cell r="AE34">
            <v>23</v>
          </cell>
          <cell r="AF34">
            <v>23</v>
          </cell>
          <cell r="AG34">
            <v>23</v>
          </cell>
          <cell r="AH34">
            <v>23</v>
          </cell>
          <cell r="AI34">
            <v>23</v>
          </cell>
          <cell r="AJ34">
            <v>25</v>
          </cell>
          <cell r="AK34">
            <v>25</v>
          </cell>
          <cell r="AL34">
            <v>25</v>
          </cell>
          <cell r="AM34">
            <v>25</v>
          </cell>
          <cell r="AN34">
            <v>25</v>
          </cell>
          <cell r="AO34">
            <v>25</v>
          </cell>
          <cell r="AP34">
            <v>23</v>
          </cell>
          <cell r="AQ34">
            <v>23</v>
          </cell>
          <cell r="AR34">
            <v>23</v>
          </cell>
          <cell r="AS34">
            <v>23</v>
          </cell>
          <cell r="AT34">
            <v>23</v>
          </cell>
          <cell r="AU34">
            <v>23</v>
          </cell>
          <cell r="AV34">
            <v>25</v>
          </cell>
          <cell r="AW34">
            <v>25</v>
          </cell>
          <cell r="AX34">
            <v>25</v>
          </cell>
          <cell r="AY34">
            <v>25</v>
          </cell>
          <cell r="AZ34">
            <v>25</v>
          </cell>
          <cell r="BA34">
            <v>25</v>
          </cell>
          <cell r="BB34">
            <v>23</v>
          </cell>
          <cell r="BC34">
            <v>23</v>
          </cell>
          <cell r="BD34">
            <v>23</v>
          </cell>
          <cell r="BE34">
            <v>23</v>
          </cell>
          <cell r="BF34">
            <v>23</v>
          </cell>
          <cell r="BG34">
            <v>23</v>
          </cell>
          <cell r="BH34">
            <v>25</v>
          </cell>
          <cell r="BI34">
            <v>25</v>
          </cell>
        </row>
        <row r="35">
          <cell r="A35" t="str">
            <v>TOLK 1</v>
          </cell>
          <cell r="B35">
            <v>516</v>
          </cell>
          <cell r="C35">
            <v>516</v>
          </cell>
          <cell r="D35">
            <v>516</v>
          </cell>
          <cell r="E35">
            <v>516</v>
          </cell>
          <cell r="F35">
            <v>516</v>
          </cell>
          <cell r="G35">
            <v>516</v>
          </cell>
          <cell r="H35">
            <v>516</v>
          </cell>
          <cell r="I35">
            <v>516</v>
          </cell>
          <cell r="J35">
            <v>516</v>
          </cell>
          <cell r="K35">
            <v>516</v>
          </cell>
          <cell r="L35">
            <v>516</v>
          </cell>
          <cell r="M35">
            <v>516</v>
          </cell>
          <cell r="N35">
            <v>516</v>
          </cell>
          <cell r="O35">
            <v>516</v>
          </cell>
          <cell r="P35">
            <v>516</v>
          </cell>
          <cell r="Q35">
            <v>516</v>
          </cell>
          <cell r="R35">
            <v>516</v>
          </cell>
          <cell r="S35">
            <v>516</v>
          </cell>
          <cell r="T35">
            <v>516</v>
          </cell>
          <cell r="U35">
            <v>516</v>
          </cell>
          <cell r="V35">
            <v>516</v>
          </cell>
          <cell r="W35">
            <v>516</v>
          </cell>
          <cell r="X35">
            <v>516</v>
          </cell>
          <cell r="Y35">
            <v>516</v>
          </cell>
          <cell r="Z35">
            <v>516</v>
          </cell>
          <cell r="AA35">
            <v>516</v>
          </cell>
          <cell r="AB35">
            <v>516</v>
          </cell>
          <cell r="AC35">
            <v>516</v>
          </cell>
          <cell r="AD35">
            <v>516</v>
          </cell>
          <cell r="AE35">
            <v>516</v>
          </cell>
          <cell r="AF35">
            <v>516</v>
          </cell>
          <cell r="AG35">
            <v>516</v>
          </cell>
          <cell r="AH35">
            <v>516</v>
          </cell>
          <cell r="AI35">
            <v>516</v>
          </cell>
          <cell r="AJ35">
            <v>516</v>
          </cell>
          <cell r="AK35">
            <v>516</v>
          </cell>
          <cell r="AL35">
            <v>516</v>
          </cell>
          <cell r="AM35">
            <v>516</v>
          </cell>
          <cell r="AN35">
            <v>516</v>
          </cell>
          <cell r="AO35">
            <v>516</v>
          </cell>
          <cell r="AP35">
            <v>516</v>
          </cell>
          <cell r="AQ35">
            <v>516</v>
          </cell>
          <cell r="AR35">
            <v>516</v>
          </cell>
          <cell r="AS35">
            <v>516</v>
          </cell>
          <cell r="AT35">
            <v>516</v>
          </cell>
          <cell r="AU35">
            <v>516</v>
          </cell>
          <cell r="AV35">
            <v>516</v>
          </cell>
          <cell r="AW35">
            <v>516</v>
          </cell>
          <cell r="AX35">
            <v>516</v>
          </cell>
          <cell r="AY35">
            <v>516</v>
          </cell>
          <cell r="AZ35">
            <v>516</v>
          </cell>
          <cell r="BA35">
            <v>516</v>
          </cell>
          <cell r="BB35">
            <v>516</v>
          </cell>
          <cell r="BC35">
            <v>516</v>
          </cell>
          <cell r="BD35">
            <v>516</v>
          </cell>
          <cell r="BE35">
            <v>516</v>
          </cell>
          <cell r="BF35">
            <v>516</v>
          </cell>
          <cell r="BG35">
            <v>516</v>
          </cell>
          <cell r="BH35">
            <v>516</v>
          </cell>
          <cell r="BI35">
            <v>516</v>
          </cell>
        </row>
        <row r="36">
          <cell r="A36" t="str">
            <v>TOLK 2</v>
          </cell>
          <cell r="B36">
            <v>516</v>
          </cell>
          <cell r="C36">
            <v>516</v>
          </cell>
          <cell r="D36">
            <v>516</v>
          </cell>
          <cell r="E36">
            <v>516</v>
          </cell>
          <cell r="F36">
            <v>516</v>
          </cell>
          <cell r="G36">
            <v>516</v>
          </cell>
          <cell r="H36">
            <v>516</v>
          </cell>
          <cell r="I36">
            <v>516</v>
          </cell>
          <cell r="J36">
            <v>516</v>
          </cell>
          <cell r="K36">
            <v>516</v>
          </cell>
          <cell r="L36">
            <v>516</v>
          </cell>
          <cell r="M36">
            <v>516</v>
          </cell>
          <cell r="N36">
            <v>516</v>
          </cell>
          <cell r="O36">
            <v>516</v>
          </cell>
          <cell r="P36">
            <v>516</v>
          </cell>
          <cell r="Q36">
            <v>516</v>
          </cell>
          <cell r="R36">
            <v>516</v>
          </cell>
          <cell r="S36">
            <v>516</v>
          </cell>
          <cell r="T36">
            <v>516</v>
          </cell>
          <cell r="U36">
            <v>516</v>
          </cell>
          <cell r="V36">
            <v>516</v>
          </cell>
          <cell r="W36">
            <v>516</v>
          </cell>
          <cell r="X36">
            <v>516</v>
          </cell>
          <cell r="Y36">
            <v>516</v>
          </cell>
          <cell r="Z36">
            <v>516</v>
          </cell>
          <cell r="AA36">
            <v>516</v>
          </cell>
          <cell r="AB36">
            <v>516</v>
          </cell>
          <cell r="AC36">
            <v>516</v>
          </cell>
          <cell r="AD36">
            <v>516</v>
          </cell>
          <cell r="AE36">
            <v>516</v>
          </cell>
          <cell r="AF36">
            <v>516</v>
          </cell>
          <cell r="AG36">
            <v>516</v>
          </cell>
          <cell r="AH36">
            <v>516</v>
          </cell>
          <cell r="AI36">
            <v>516</v>
          </cell>
          <cell r="AJ36">
            <v>516</v>
          </cell>
          <cell r="AK36">
            <v>516</v>
          </cell>
          <cell r="AL36">
            <v>516</v>
          </cell>
          <cell r="AM36">
            <v>516</v>
          </cell>
          <cell r="AN36">
            <v>516</v>
          </cell>
          <cell r="AO36">
            <v>516</v>
          </cell>
          <cell r="AP36">
            <v>516</v>
          </cell>
          <cell r="AQ36">
            <v>516</v>
          </cell>
          <cell r="AR36">
            <v>516</v>
          </cell>
          <cell r="AS36">
            <v>516</v>
          </cell>
          <cell r="AT36">
            <v>516</v>
          </cell>
          <cell r="AU36">
            <v>516</v>
          </cell>
          <cell r="AV36">
            <v>516</v>
          </cell>
          <cell r="AW36">
            <v>516</v>
          </cell>
          <cell r="AX36">
            <v>516</v>
          </cell>
          <cell r="AY36">
            <v>516</v>
          </cell>
          <cell r="AZ36">
            <v>516</v>
          </cell>
          <cell r="BA36">
            <v>516</v>
          </cell>
          <cell r="BB36">
            <v>516</v>
          </cell>
          <cell r="BC36">
            <v>516</v>
          </cell>
          <cell r="BD36">
            <v>516</v>
          </cell>
          <cell r="BE36">
            <v>516</v>
          </cell>
          <cell r="BF36">
            <v>516</v>
          </cell>
          <cell r="BG36">
            <v>516</v>
          </cell>
          <cell r="BH36">
            <v>516</v>
          </cell>
          <cell r="BI36">
            <v>516</v>
          </cell>
        </row>
        <row r="37">
          <cell r="A37" t="str">
            <v>TUCUMCAR 9</v>
          </cell>
          <cell r="B37">
            <v>5</v>
          </cell>
          <cell r="C37">
            <v>5</v>
          </cell>
          <cell r="D37">
            <v>5</v>
          </cell>
          <cell r="E37">
            <v>5</v>
          </cell>
          <cell r="F37">
            <v>5</v>
          </cell>
          <cell r="G37">
            <v>5</v>
          </cell>
          <cell r="H37">
            <v>5</v>
          </cell>
          <cell r="I37">
            <v>5</v>
          </cell>
          <cell r="J37">
            <v>5</v>
          </cell>
          <cell r="K37">
            <v>5</v>
          </cell>
          <cell r="L37">
            <v>5</v>
          </cell>
          <cell r="M37">
            <v>5</v>
          </cell>
          <cell r="N37">
            <v>5</v>
          </cell>
          <cell r="O37">
            <v>5</v>
          </cell>
          <cell r="P37">
            <v>5</v>
          </cell>
          <cell r="Q37">
            <v>5</v>
          </cell>
          <cell r="R37">
            <v>5</v>
          </cell>
          <cell r="S37">
            <v>5</v>
          </cell>
          <cell r="T37">
            <v>5</v>
          </cell>
          <cell r="U37">
            <v>5</v>
          </cell>
          <cell r="V37">
            <v>5</v>
          </cell>
          <cell r="W37">
            <v>5</v>
          </cell>
          <cell r="X37">
            <v>5</v>
          </cell>
          <cell r="Y37">
            <v>5</v>
          </cell>
          <cell r="Z37">
            <v>5</v>
          </cell>
          <cell r="AA37">
            <v>5</v>
          </cell>
          <cell r="AB37">
            <v>5</v>
          </cell>
          <cell r="AC37">
            <v>5</v>
          </cell>
          <cell r="AD37">
            <v>5</v>
          </cell>
          <cell r="AE37">
            <v>5</v>
          </cell>
          <cell r="AF37">
            <v>5</v>
          </cell>
          <cell r="AG37">
            <v>5</v>
          </cell>
          <cell r="AH37">
            <v>5</v>
          </cell>
          <cell r="AI37">
            <v>5</v>
          </cell>
          <cell r="AJ37">
            <v>5</v>
          </cell>
          <cell r="AK37">
            <v>5</v>
          </cell>
          <cell r="AL37">
            <v>5</v>
          </cell>
          <cell r="AM37">
            <v>5</v>
          </cell>
          <cell r="AN37">
            <v>5</v>
          </cell>
          <cell r="AO37">
            <v>5</v>
          </cell>
          <cell r="AP37">
            <v>5</v>
          </cell>
          <cell r="AQ37">
            <v>5</v>
          </cell>
          <cell r="AR37">
            <v>5</v>
          </cell>
          <cell r="AS37">
            <v>5</v>
          </cell>
          <cell r="AT37">
            <v>5</v>
          </cell>
          <cell r="AU37">
            <v>5</v>
          </cell>
          <cell r="AV37">
            <v>5</v>
          </cell>
          <cell r="AW37">
            <v>5</v>
          </cell>
          <cell r="AX37">
            <v>5</v>
          </cell>
          <cell r="AY37">
            <v>5</v>
          </cell>
          <cell r="AZ37">
            <v>5</v>
          </cell>
          <cell r="BA37">
            <v>5</v>
          </cell>
          <cell r="BB37">
            <v>5</v>
          </cell>
          <cell r="BC37">
            <v>5</v>
          </cell>
          <cell r="BD37">
            <v>5</v>
          </cell>
          <cell r="BE37">
            <v>5</v>
          </cell>
          <cell r="BF37">
            <v>5</v>
          </cell>
          <cell r="BG37">
            <v>5</v>
          </cell>
          <cell r="BH37">
            <v>5</v>
          </cell>
          <cell r="BI37">
            <v>5</v>
          </cell>
        </row>
        <row r="38">
          <cell r="A38" t="str">
            <v>PUR Llano Wind</v>
          </cell>
          <cell r="B38">
            <v>16.16</v>
          </cell>
          <cell r="C38">
            <v>76.72</v>
          </cell>
          <cell r="D38">
            <v>73.44</v>
          </cell>
          <cell r="E38">
            <v>0</v>
          </cell>
          <cell r="F38">
            <v>11.92</v>
          </cell>
          <cell r="G38">
            <v>14.32</v>
          </cell>
          <cell r="H38">
            <v>54.64</v>
          </cell>
          <cell r="I38">
            <v>0</v>
          </cell>
          <cell r="J38">
            <v>29.2</v>
          </cell>
          <cell r="K38">
            <v>61.52</v>
          </cell>
          <cell r="L38">
            <v>21.12</v>
          </cell>
          <cell r="M38">
            <v>0.8</v>
          </cell>
          <cell r="N38">
            <v>9.76</v>
          </cell>
          <cell r="O38">
            <v>78.64</v>
          </cell>
          <cell r="P38">
            <v>0</v>
          </cell>
          <cell r="Q38">
            <v>3.36</v>
          </cell>
          <cell r="R38">
            <v>78</v>
          </cell>
          <cell r="S38">
            <v>40.88</v>
          </cell>
          <cell r="T38">
            <v>16.16</v>
          </cell>
          <cell r="U38">
            <v>40.32</v>
          </cell>
          <cell r="V38">
            <v>4.8</v>
          </cell>
          <cell r="W38">
            <v>0</v>
          </cell>
          <cell r="X38">
            <v>0</v>
          </cell>
          <cell r="Y38">
            <v>22.56</v>
          </cell>
          <cell r="Z38">
            <v>0</v>
          </cell>
          <cell r="AA38">
            <v>9.68</v>
          </cell>
          <cell r="AB38">
            <v>63.68</v>
          </cell>
          <cell r="AC38">
            <v>16.8</v>
          </cell>
          <cell r="AD38">
            <v>60.08</v>
          </cell>
          <cell r="AE38">
            <v>0</v>
          </cell>
          <cell r="AF38">
            <v>24.24</v>
          </cell>
          <cell r="AG38">
            <v>5.12</v>
          </cell>
          <cell r="AH38">
            <v>45.28</v>
          </cell>
          <cell r="AI38">
            <v>0</v>
          </cell>
          <cell r="AJ38">
            <v>10.56</v>
          </cell>
          <cell r="AK38">
            <v>0</v>
          </cell>
          <cell r="AL38">
            <v>0</v>
          </cell>
          <cell r="AM38">
            <v>0.08</v>
          </cell>
          <cell r="AN38">
            <v>5.68</v>
          </cell>
          <cell r="AO38">
            <v>31.04</v>
          </cell>
          <cell r="AP38">
            <v>0.96</v>
          </cell>
          <cell r="AQ38">
            <v>0</v>
          </cell>
          <cell r="AR38">
            <v>9.6</v>
          </cell>
          <cell r="AS38">
            <v>13.04</v>
          </cell>
          <cell r="AT38">
            <v>17.04</v>
          </cell>
          <cell r="AU38">
            <v>0.08</v>
          </cell>
          <cell r="AV38">
            <v>16</v>
          </cell>
          <cell r="AW38">
            <v>0</v>
          </cell>
          <cell r="AX38">
            <v>0</v>
          </cell>
          <cell r="AY38">
            <v>4.4</v>
          </cell>
          <cell r="AZ38">
            <v>0</v>
          </cell>
          <cell r="BA38">
            <v>25.52</v>
          </cell>
          <cell r="BB38">
            <v>43.92</v>
          </cell>
          <cell r="BC38">
            <v>10.08</v>
          </cell>
          <cell r="BD38">
            <v>12.96</v>
          </cell>
          <cell r="BE38">
            <v>0</v>
          </cell>
          <cell r="BF38">
            <v>17.44</v>
          </cell>
          <cell r="BG38">
            <v>0.32</v>
          </cell>
          <cell r="BH38">
            <v>41.28</v>
          </cell>
          <cell r="BI38">
            <v>63.92</v>
          </cell>
        </row>
        <row r="39">
          <cell r="A39" t="str">
            <v>DC Tie PUR</v>
          </cell>
          <cell r="B39">
            <v>210</v>
          </cell>
          <cell r="C39">
            <v>210</v>
          </cell>
          <cell r="D39">
            <v>210</v>
          </cell>
          <cell r="E39">
            <v>210</v>
          </cell>
          <cell r="F39">
            <v>210</v>
          </cell>
          <cell r="G39">
            <v>210</v>
          </cell>
          <cell r="H39">
            <v>210</v>
          </cell>
          <cell r="I39">
            <v>210</v>
          </cell>
          <cell r="J39">
            <v>210</v>
          </cell>
          <cell r="K39">
            <v>210</v>
          </cell>
          <cell r="L39">
            <v>210</v>
          </cell>
          <cell r="M39">
            <v>210</v>
          </cell>
          <cell r="N39">
            <v>210</v>
          </cell>
          <cell r="O39">
            <v>210</v>
          </cell>
          <cell r="P39">
            <v>210</v>
          </cell>
          <cell r="Q39">
            <v>210</v>
          </cell>
          <cell r="R39">
            <v>210</v>
          </cell>
          <cell r="S39">
            <v>210</v>
          </cell>
          <cell r="T39">
            <v>210</v>
          </cell>
          <cell r="U39">
            <v>210</v>
          </cell>
          <cell r="V39">
            <v>210</v>
          </cell>
          <cell r="W39">
            <v>210</v>
          </cell>
          <cell r="X39">
            <v>210</v>
          </cell>
          <cell r="Y39">
            <v>210</v>
          </cell>
          <cell r="Z39">
            <v>210</v>
          </cell>
          <cell r="AA39">
            <v>210</v>
          </cell>
          <cell r="AB39">
            <v>210</v>
          </cell>
          <cell r="AC39">
            <v>210</v>
          </cell>
          <cell r="AD39">
            <v>210</v>
          </cell>
          <cell r="AE39">
            <v>210</v>
          </cell>
          <cell r="AF39">
            <v>210</v>
          </cell>
          <cell r="AG39">
            <v>210</v>
          </cell>
          <cell r="AH39">
            <v>210</v>
          </cell>
          <cell r="AI39">
            <v>210</v>
          </cell>
          <cell r="AJ39">
            <v>210</v>
          </cell>
          <cell r="AK39">
            <v>210</v>
          </cell>
          <cell r="AL39">
            <v>210</v>
          </cell>
          <cell r="AM39">
            <v>210</v>
          </cell>
          <cell r="AN39">
            <v>210</v>
          </cell>
          <cell r="AO39">
            <v>210</v>
          </cell>
          <cell r="AP39">
            <v>210</v>
          </cell>
          <cell r="AQ39">
            <v>210</v>
          </cell>
          <cell r="AR39">
            <v>210</v>
          </cell>
          <cell r="AS39">
            <v>210</v>
          </cell>
          <cell r="AT39">
            <v>210</v>
          </cell>
          <cell r="AU39">
            <v>210</v>
          </cell>
          <cell r="AV39">
            <v>210</v>
          </cell>
          <cell r="AW39">
            <v>210</v>
          </cell>
          <cell r="AX39">
            <v>210</v>
          </cell>
          <cell r="AY39">
            <v>210</v>
          </cell>
          <cell r="AZ39">
            <v>210</v>
          </cell>
          <cell r="BA39">
            <v>210</v>
          </cell>
          <cell r="BB39">
            <v>210</v>
          </cell>
          <cell r="BC39">
            <v>210</v>
          </cell>
          <cell r="BD39">
            <v>210</v>
          </cell>
          <cell r="BE39">
            <v>210</v>
          </cell>
          <cell r="BF39">
            <v>210</v>
          </cell>
          <cell r="BG39">
            <v>210</v>
          </cell>
          <cell r="BH39">
            <v>210</v>
          </cell>
          <cell r="BI39">
            <v>210</v>
          </cell>
        </row>
        <row r="40">
          <cell r="A40" t="str">
            <v>DC Tie SAL</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row>
        <row r="41">
          <cell r="A41" t="str">
            <v>Econ PUR_N</v>
          </cell>
          <cell r="B41">
            <v>250</v>
          </cell>
          <cell r="C41">
            <v>250</v>
          </cell>
          <cell r="D41">
            <v>300</v>
          </cell>
          <cell r="E41">
            <v>300</v>
          </cell>
          <cell r="F41">
            <v>200</v>
          </cell>
          <cell r="G41">
            <v>200</v>
          </cell>
          <cell r="H41">
            <v>200</v>
          </cell>
          <cell r="I41">
            <v>200</v>
          </cell>
          <cell r="J41">
            <v>200</v>
          </cell>
          <cell r="K41">
            <v>300</v>
          </cell>
          <cell r="L41">
            <v>300</v>
          </cell>
          <cell r="M41">
            <v>250</v>
          </cell>
          <cell r="N41">
            <v>250</v>
          </cell>
          <cell r="O41">
            <v>250</v>
          </cell>
          <cell r="P41">
            <v>300</v>
          </cell>
          <cell r="Q41">
            <v>300</v>
          </cell>
          <cell r="R41">
            <v>200</v>
          </cell>
          <cell r="S41">
            <v>200</v>
          </cell>
          <cell r="T41">
            <v>200</v>
          </cell>
          <cell r="U41">
            <v>200</v>
          </cell>
          <cell r="V41">
            <v>200</v>
          </cell>
          <cell r="W41">
            <v>300</v>
          </cell>
          <cell r="X41">
            <v>300</v>
          </cell>
          <cell r="Y41">
            <v>250</v>
          </cell>
          <cell r="Z41">
            <v>250</v>
          </cell>
          <cell r="AA41">
            <v>250</v>
          </cell>
          <cell r="AB41">
            <v>300</v>
          </cell>
          <cell r="AC41">
            <v>300</v>
          </cell>
          <cell r="AD41">
            <v>200</v>
          </cell>
          <cell r="AE41">
            <v>200</v>
          </cell>
          <cell r="AF41">
            <v>200</v>
          </cell>
          <cell r="AG41">
            <v>200</v>
          </cell>
          <cell r="AH41">
            <v>200</v>
          </cell>
          <cell r="AI41">
            <v>300</v>
          </cell>
          <cell r="AJ41">
            <v>300</v>
          </cell>
          <cell r="AK41">
            <v>250</v>
          </cell>
          <cell r="AL41">
            <v>250</v>
          </cell>
          <cell r="AM41">
            <v>250</v>
          </cell>
          <cell r="AN41">
            <v>300</v>
          </cell>
          <cell r="AO41">
            <v>300</v>
          </cell>
          <cell r="AP41">
            <v>200</v>
          </cell>
          <cell r="AQ41">
            <v>200</v>
          </cell>
          <cell r="AR41">
            <v>200</v>
          </cell>
          <cell r="AS41">
            <v>200</v>
          </cell>
          <cell r="AT41">
            <v>200</v>
          </cell>
          <cell r="AU41">
            <v>300</v>
          </cell>
          <cell r="AV41">
            <v>300</v>
          </cell>
          <cell r="AW41">
            <v>250</v>
          </cell>
          <cell r="AX41">
            <v>250</v>
          </cell>
          <cell r="AY41">
            <v>250</v>
          </cell>
          <cell r="AZ41">
            <v>300</v>
          </cell>
          <cell r="BA41">
            <v>300</v>
          </cell>
          <cell r="BB41">
            <v>200</v>
          </cell>
          <cell r="BC41">
            <v>200</v>
          </cell>
          <cell r="BD41">
            <v>200</v>
          </cell>
          <cell r="BE41">
            <v>200</v>
          </cell>
          <cell r="BF41">
            <v>200</v>
          </cell>
          <cell r="BG41">
            <v>300</v>
          </cell>
          <cell r="BH41">
            <v>300</v>
          </cell>
          <cell r="BI41">
            <v>250</v>
          </cell>
        </row>
        <row r="42">
          <cell r="A42" t="str">
            <v>Econ SAL_N</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row>
        <row r="43">
          <cell r="A43" t="str">
            <v>PUR CapRock Wind</v>
          </cell>
          <cell r="B43">
            <v>16.16</v>
          </cell>
          <cell r="C43">
            <v>76.72</v>
          </cell>
          <cell r="D43">
            <v>73.44</v>
          </cell>
          <cell r="E43">
            <v>0</v>
          </cell>
          <cell r="F43">
            <v>11.92</v>
          </cell>
          <cell r="G43">
            <v>14.32</v>
          </cell>
          <cell r="H43">
            <v>54.64</v>
          </cell>
          <cell r="I43">
            <v>0</v>
          </cell>
          <cell r="J43">
            <v>29.2</v>
          </cell>
          <cell r="K43">
            <v>61.52</v>
          </cell>
          <cell r="L43">
            <v>21.12</v>
          </cell>
          <cell r="M43">
            <v>0.8</v>
          </cell>
          <cell r="N43">
            <v>9.76</v>
          </cell>
          <cell r="O43">
            <v>78.64</v>
          </cell>
          <cell r="P43">
            <v>0</v>
          </cell>
          <cell r="Q43">
            <v>3.36</v>
          </cell>
          <cell r="R43">
            <v>78</v>
          </cell>
          <cell r="S43">
            <v>40.88</v>
          </cell>
          <cell r="T43">
            <v>16.16</v>
          </cell>
          <cell r="U43">
            <v>40.32</v>
          </cell>
          <cell r="V43">
            <v>4.8</v>
          </cell>
          <cell r="W43">
            <v>0</v>
          </cell>
          <cell r="X43">
            <v>0</v>
          </cell>
          <cell r="Y43">
            <v>22.56</v>
          </cell>
          <cell r="Z43">
            <v>0</v>
          </cell>
          <cell r="AA43">
            <v>9.68</v>
          </cell>
          <cell r="AB43">
            <v>63.68</v>
          </cell>
          <cell r="AC43">
            <v>16.8</v>
          </cell>
          <cell r="AD43">
            <v>60.08</v>
          </cell>
          <cell r="AE43">
            <v>0</v>
          </cell>
          <cell r="AF43">
            <v>24.24</v>
          </cell>
          <cell r="AG43">
            <v>5.12</v>
          </cell>
          <cell r="AH43">
            <v>45.28</v>
          </cell>
          <cell r="AI43">
            <v>0</v>
          </cell>
          <cell r="AJ43">
            <v>10.56</v>
          </cell>
          <cell r="AK43">
            <v>0</v>
          </cell>
          <cell r="AL43">
            <v>0</v>
          </cell>
          <cell r="AM43">
            <v>0.08</v>
          </cell>
          <cell r="AN43">
            <v>5.68</v>
          </cell>
          <cell r="AO43">
            <v>31.04</v>
          </cell>
          <cell r="AP43">
            <v>0.96</v>
          </cell>
          <cell r="AQ43">
            <v>0</v>
          </cell>
          <cell r="AR43">
            <v>9.6</v>
          </cell>
          <cell r="AS43">
            <v>13.04</v>
          </cell>
          <cell r="AT43">
            <v>17.04</v>
          </cell>
          <cell r="AU43">
            <v>0.08</v>
          </cell>
          <cell r="AV43">
            <v>16</v>
          </cell>
          <cell r="AW43">
            <v>0</v>
          </cell>
          <cell r="AX43">
            <v>0</v>
          </cell>
          <cell r="AY43">
            <v>4.4</v>
          </cell>
          <cell r="AZ43">
            <v>0</v>
          </cell>
          <cell r="BA43">
            <v>25.52</v>
          </cell>
          <cell r="BB43">
            <v>43.92</v>
          </cell>
          <cell r="BC43">
            <v>10.08</v>
          </cell>
          <cell r="BD43">
            <v>12.96</v>
          </cell>
          <cell r="BE43">
            <v>0</v>
          </cell>
          <cell r="BF43">
            <v>17.44</v>
          </cell>
          <cell r="BG43">
            <v>0.32</v>
          </cell>
          <cell r="BH43">
            <v>41.28</v>
          </cell>
          <cell r="BI43">
            <v>63.92</v>
          </cell>
        </row>
        <row r="44">
          <cell r="A44" t="str">
            <v>PUR LlanoC Wind</v>
          </cell>
          <cell r="B44">
            <v>1.98</v>
          </cell>
          <cell r="C44">
            <v>1.98</v>
          </cell>
          <cell r="D44">
            <v>1.98</v>
          </cell>
          <cell r="E44">
            <v>1.98</v>
          </cell>
          <cell r="F44">
            <v>1.98</v>
          </cell>
          <cell r="G44">
            <v>1.98</v>
          </cell>
          <cell r="H44">
            <v>1.98</v>
          </cell>
          <cell r="I44">
            <v>1.98</v>
          </cell>
          <cell r="J44">
            <v>1.98</v>
          </cell>
          <cell r="K44">
            <v>1.98</v>
          </cell>
          <cell r="L44">
            <v>1.98</v>
          </cell>
          <cell r="M44">
            <v>1.98</v>
          </cell>
          <cell r="N44">
            <v>1.98</v>
          </cell>
          <cell r="O44">
            <v>1.98</v>
          </cell>
          <cell r="P44">
            <v>1.98</v>
          </cell>
          <cell r="Q44">
            <v>1.98</v>
          </cell>
          <cell r="R44">
            <v>1.98</v>
          </cell>
          <cell r="S44">
            <v>1.98</v>
          </cell>
          <cell r="T44">
            <v>1.98</v>
          </cell>
          <cell r="U44">
            <v>1.98</v>
          </cell>
          <cell r="V44">
            <v>1.98</v>
          </cell>
          <cell r="W44">
            <v>1.98</v>
          </cell>
          <cell r="X44">
            <v>1.98</v>
          </cell>
          <cell r="Y44">
            <v>1.98</v>
          </cell>
          <cell r="Z44">
            <v>1.98</v>
          </cell>
          <cell r="AA44">
            <v>1.98</v>
          </cell>
          <cell r="AB44">
            <v>1.98</v>
          </cell>
          <cell r="AC44">
            <v>1.98</v>
          </cell>
          <cell r="AD44">
            <v>1.98</v>
          </cell>
          <cell r="AE44">
            <v>1.98</v>
          </cell>
          <cell r="AF44">
            <v>1.98</v>
          </cell>
          <cell r="AG44">
            <v>1.98</v>
          </cell>
          <cell r="AH44">
            <v>1.98</v>
          </cell>
          <cell r="AI44">
            <v>1.98</v>
          </cell>
          <cell r="AJ44">
            <v>1.98</v>
          </cell>
          <cell r="AK44">
            <v>1.98</v>
          </cell>
          <cell r="AL44">
            <v>1.98</v>
          </cell>
          <cell r="AM44">
            <v>1.98</v>
          </cell>
          <cell r="AN44">
            <v>1.98</v>
          </cell>
          <cell r="AO44">
            <v>1.98</v>
          </cell>
          <cell r="AP44">
            <v>1.98</v>
          </cell>
          <cell r="AQ44">
            <v>1.98</v>
          </cell>
          <cell r="AR44">
            <v>1.98</v>
          </cell>
          <cell r="AS44">
            <v>1.98</v>
          </cell>
          <cell r="AT44">
            <v>1.98</v>
          </cell>
          <cell r="AU44">
            <v>1.98</v>
          </cell>
          <cell r="AV44">
            <v>1.98</v>
          </cell>
          <cell r="AW44">
            <v>1.98</v>
          </cell>
          <cell r="AX44">
            <v>1.98</v>
          </cell>
          <cell r="AY44">
            <v>1.98</v>
          </cell>
          <cell r="AZ44">
            <v>1.98</v>
          </cell>
          <cell r="BA44">
            <v>1.98</v>
          </cell>
          <cell r="BB44">
            <v>1.98</v>
          </cell>
          <cell r="BC44">
            <v>1.98</v>
          </cell>
          <cell r="BD44">
            <v>1.98</v>
          </cell>
          <cell r="BE44">
            <v>1.98</v>
          </cell>
          <cell r="BF44">
            <v>1.98</v>
          </cell>
          <cell r="BG44">
            <v>1.98</v>
          </cell>
          <cell r="BH44">
            <v>1.98</v>
          </cell>
          <cell r="BI44">
            <v>1.98</v>
          </cell>
        </row>
        <row r="45">
          <cell r="A45" t="str">
            <v>SPS_N MCP</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1000</v>
          </cell>
          <cell r="O45">
            <v>1000</v>
          </cell>
          <cell r="P45">
            <v>1000</v>
          </cell>
          <cell r="Q45">
            <v>1000</v>
          </cell>
          <cell r="R45">
            <v>1000</v>
          </cell>
          <cell r="S45">
            <v>1000</v>
          </cell>
          <cell r="T45">
            <v>1000</v>
          </cell>
          <cell r="U45">
            <v>1000</v>
          </cell>
          <cell r="V45">
            <v>1000</v>
          </cell>
          <cell r="W45">
            <v>1000</v>
          </cell>
          <cell r="X45">
            <v>1000</v>
          </cell>
          <cell r="Y45">
            <v>1000</v>
          </cell>
          <cell r="Z45">
            <v>1000</v>
          </cell>
          <cell r="AA45">
            <v>1000</v>
          </cell>
          <cell r="AB45">
            <v>1000</v>
          </cell>
          <cell r="AC45">
            <v>1000</v>
          </cell>
          <cell r="AD45">
            <v>1000</v>
          </cell>
          <cell r="AE45">
            <v>1000</v>
          </cell>
          <cell r="AF45">
            <v>1000</v>
          </cell>
          <cell r="AG45">
            <v>1000</v>
          </cell>
          <cell r="AH45">
            <v>1000</v>
          </cell>
          <cell r="AI45">
            <v>1000</v>
          </cell>
          <cell r="AJ45">
            <v>1000</v>
          </cell>
          <cell r="AK45">
            <v>1000</v>
          </cell>
          <cell r="AL45">
            <v>1000</v>
          </cell>
          <cell r="AM45">
            <v>1000</v>
          </cell>
          <cell r="AN45">
            <v>1000</v>
          </cell>
          <cell r="AO45">
            <v>1000</v>
          </cell>
          <cell r="AP45">
            <v>1000</v>
          </cell>
          <cell r="AQ45">
            <v>1000</v>
          </cell>
          <cell r="AR45">
            <v>1000</v>
          </cell>
          <cell r="AS45">
            <v>1000</v>
          </cell>
          <cell r="AT45">
            <v>1000</v>
          </cell>
          <cell r="AU45">
            <v>1000</v>
          </cell>
          <cell r="AV45">
            <v>1000</v>
          </cell>
          <cell r="AW45">
            <v>1000</v>
          </cell>
          <cell r="AX45">
            <v>1000</v>
          </cell>
          <cell r="AY45">
            <v>1000</v>
          </cell>
          <cell r="AZ45">
            <v>1000</v>
          </cell>
          <cell r="BA45">
            <v>1000</v>
          </cell>
          <cell r="BB45">
            <v>1000</v>
          </cell>
          <cell r="BC45">
            <v>1000</v>
          </cell>
          <cell r="BD45">
            <v>1000</v>
          </cell>
          <cell r="BE45">
            <v>1000</v>
          </cell>
          <cell r="BF45">
            <v>1000</v>
          </cell>
          <cell r="BG45">
            <v>1000</v>
          </cell>
          <cell r="BH45">
            <v>1000</v>
          </cell>
          <cell r="BI45">
            <v>1000</v>
          </cell>
        </row>
        <row r="46">
          <cell r="A46" t="str">
            <v>SPS_S MCP</v>
          </cell>
          <cell r="B46">
            <v>1000</v>
          </cell>
          <cell r="C46">
            <v>1000</v>
          </cell>
          <cell r="D46">
            <v>1000</v>
          </cell>
          <cell r="E46">
            <v>1000</v>
          </cell>
          <cell r="F46">
            <v>1000</v>
          </cell>
          <cell r="G46">
            <v>1000</v>
          </cell>
          <cell r="H46">
            <v>1000</v>
          </cell>
          <cell r="I46">
            <v>1000</v>
          </cell>
          <cell r="J46">
            <v>1000</v>
          </cell>
          <cell r="K46">
            <v>1000</v>
          </cell>
          <cell r="L46">
            <v>1000</v>
          </cell>
          <cell r="M46">
            <v>1000</v>
          </cell>
          <cell r="N46">
            <v>1000</v>
          </cell>
          <cell r="O46">
            <v>1000</v>
          </cell>
          <cell r="P46">
            <v>1000</v>
          </cell>
          <cell r="Q46">
            <v>1000</v>
          </cell>
          <cell r="R46">
            <v>1000</v>
          </cell>
          <cell r="S46">
            <v>1000</v>
          </cell>
          <cell r="T46">
            <v>1000</v>
          </cell>
          <cell r="U46">
            <v>1000</v>
          </cell>
          <cell r="V46">
            <v>1000</v>
          </cell>
          <cell r="W46">
            <v>1000</v>
          </cell>
          <cell r="X46">
            <v>1000</v>
          </cell>
          <cell r="Y46">
            <v>1000</v>
          </cell>
          <cell r="Z46">
            <v>1000</v>
          </cell>
          <cell r="AA46">
            <v>1000</v>
          </cell>
          <cell r="AB46">
            <v>1000</v>
          </cell>
          <cell r="AC46">
            <v>1000</v>
          </cell>
          <cell r="AD46">
            <v>1000</v>
          </cell>
          <cell r="AE46">
            <v>1000</v>
          </cell>
          <cell r="AF46">
            <v>1000</v>
          </cell>
          <cell r="AG46">
            <v>1000</v>
          </cell>
          <cell r="AH46">
            <v>1000</v>
          </cell>
          <cell r="AI46">
            <v>1000</v>
          </cell>
          <cell r="AJ46">
            <v>1000</v>
          </cell>
          <cell r="AK46">
            <v>1000</v>
          </cell>
          <cell r="AL46">
            <v>1000</v>
          </cell>
          <cell r="AM46">
            <v>1000</v>
          </cell>
          <cell r="AN46">
            <v>1000</v>
          </cell>
          <cell r="AO46">
            <v>1000</v>
          </cell>
          <cell r="AP46">
            <v>1000</v>
          </cell>
          <cell r="AQ46">
            <v>1000</v>
          </cell>
          <cell r="AR46">
            <v>1000</v>
          </cell>
          <cell r="AS46">
            <v>1000</v>
          </cell>
          <cell r="AT46">
            <v>1000</v>
          </cell>
          <cell r="AU46">
            <v>1000</v>
          </cell>
          <cell r="AV46">
            <v>1000</v>
          </cell>
          <cell r="AW46">
            <v>1000</v>
          </cell>
          <cell r="AX46">
            <v>1000</v>
          </cell>
          <cell r="AY46">
            <v>1000</v>
          </cell>
          <cell r="AZ46">
            <v>1000</v>
          </cell>
          <cell r="BA46">
            <v>1000</v>
          </cell>
          <cell r="BB46">
            <v>1000</v>
          </cell>
          <cell r="BC46">
            <v>1000</v>
          </cell>
          <cell r="BD46">
            <v>1000</v>
          </cell>
          <cell r="BE46">
            <v>1000</v>
          </cell>
          <cell r="BF46">
            <v>1000</v>
          </cell>
          <cell r="BG46">
            <v>1000</v>
          </cell>
          <cell r="BH46">
            <v>1000</v>
          </cell>
          <cell r="BI46">
            <v>1000</v>
          </cell>
        </row>
        <row r="47">
          <cell r="A47" t="str">
            <v>Econ PUR_BW</v>
          </cell>
          <cell r="B47">
            <v>50</v>
          </cell>
          <cell r="C47">
            <v>50</v>
          </cell>
          <cell r="D47">
            <v>50</v>
          </cell>
          <cell r="E47">
            <v>50</v>
          </cell>
          <cell r="F47">
            <v>50</v>
          </cell>
          <cell r="G47">
            <v>50</v>
          </cell>
          <cell r="H47">
            <v>50</v>
          </cell>
          <cell r="I47">
            <v>50</v>
          </cell>
          <cell r="J47">
            <v>50</v>
          </cell>
          <cell r="K47">
            <v>50</v>
          </cell>
          <cell r="L47">
            <v>50</v>
          </cell>
          <cell r="M47">
            <v>50</v>
          </cell>
          <cell r="N47">
            <v>50</v>
          </cell>
          <cell r="O47">
            <v>50</v>
          </cell>
          <cell r="P47">
            <v>50</v>
          </cell>
          <cell r="Q47">
            <v>50</v>
          </cell>
          <cell r="R47">
            <v>50</v>
          </cell>
          <cell r="S47">
            <v>50</v>
          </cell>
          <cell r="T47">
            <v>50</v>
          </cell>
          <cell r="U47">
            <v>50</v>
          </cell>
          <cell r="V47">
            <v>50</v>
          </cell>
          <cell r="W47">
            <v>50</v>
          </cell>
          <cell r="X47">
            <v>50</v>
          </cell>
          <cell r="Y47">
            <v>50</v>
          </cell>
          <cell r="Z47">
            <v>50</v>
          </cell>
          <cell r="AA47">
            <v>50</v>
          </cell>
          <cell r="AB47">
            <v>50</v>
          </cell>
          <cell r="AC47">
            <v>50</v>
          </cell>
          <cell r="AD47">
            <v>50</v>
          </cell>
          <cell r="AE47">
            <v>50</v>
          </cell>
          <cell r="AF47">
            <v>50</v>
          </cell>
          <cell r="AG47">
            <v>50</v>
          </cell>
          <cell r="AH47">
            <v>50</v>
          </cell>
          <cell r="AI47">
            <v>50</v>
          </cell>
          <cell r="AJ47">
            <v>50</v>
          </cell>
          <cell r="AK47">
            <v>50</v>
          </cell>
          <cell r="AL47">
            <v>50</v>
          </cell>
          <cell r="AM47">
            <v>50</v>
          </cell>
          <cell r="AN47">
            <v>50</v>
          </cell>
          <cell r="AO47">
            <v>50</v>
          </cell>
          <cell r="AP47">
            <v>50</v>
          </cell>
          <cell r="AQ47">
            <v>50</v>
          </cell>
          <cell r="AR47">
            <v>50</v>
          </cell>
          <cell r="AS47">
            <v>50</v>
          </cell>
          <cell r="AT47">
            <v>50</v>
          </cell>
          <cell r="AU47">
            <v>50</v>
          </cell>
          <cell r="AV47">
            <v>50</v>
          </cell>
          <cell r="AW47">
            <v>50</v>
          </cell>
          <cell r="AX47">
            <v>50</v>
          </cell>
          <cell r="AY47">
            <v>50</v>
          </cell>
          <cell r="AZ47">
            <v>50</v>
          </cell>
          <cell r="BA47">
            <v>50</v>
          </cell>
          <cell r="BB47">
            <v>50</v>
          </cell>
          <cell r="BC47">
            <v>50</v>
          </cell>
          <cell r="BD47">
            <v>50</v>
          </cell>
          <cell r="BE47">
            <v>50</v>
          </cell>
          <cell r="BF47">
            <v>50</v>
          </cell>
          <cell r="BG47">
            <v>50</v>
          </cell>
          <cell r="BH47">
            <v>50</v>
          </cell>
          <cell r="BI47">
            <v>50</v>
          </cell>
        </row>
        <row r="48">
          <cell r="A48" t="str">
            <v>Econ PUR_EC</v>
          </cell>
          <cell r="B48">
            <v>50</v>
          </cell>
          <cell r="C48">
            <v>50</v>
          </cell>
          <cell r="D48">
            <v>50</v>
          </cell>
          <cell r="E48">
            <v>50</v>
          </cell>
          <cell r="F48">
            <v>50</v>
          </cell>
          <cell r="G48">
            <v>50</v>
          </cell>
          <cell r="H48">
            <v>50</v>
          </cell>
          <cell r="I48">
            <v>50</v>
          </cell>
          <cell r="J48">
            <v>50</v>
          </cell>
          <cell r="K48">
            <v>50</v>
          </cell>
          <cell r="L48">
            <v>50</v>
          </cell>
          <cell r="M48">
            <v>50</v>
          </cell>
          <cell r="N48">
            <v>50</v>
          </cell>
          <cell r="O48">
            <v>50</v>
          </cell>
          <cell r="P48">
            <v>50</v>
          </cell>
          <cell r="Q48">
            <v>50</v>
          </cell>
          <cell r="R48">
            <v>50</v>
          </cell>
          <cell r="S48">
            <v>50</v>
          </cell>
          <cell r="T48">
            <v>50</v>
          </cell>
          <cell r="U48">
            <v>50</v>
          </cell>
          <cell r="V48">
            <v>50</v>
          </cell>
          <cell r="W48">
            <v>50</v>
          </cell>
          <cell r="X48">
            <v>50</v>
          </cell>
          <cell r="Y48">
            <v>50</v>
          </cell>
          <cell r="Z48">
            <v>50</v>
          </cell>
          <cell r="AA48">
            <v>50</v>
          </cell>
          <cell r="AB48">
            <v>50</v>
          </cell>
          <cell r="AC48">
            <v>50</v>
          </cell>
          <cell r="AD48">
            <v>50</v>
          </cell>
          <cell r="AE48">
            <v>50</v>
          </cell>
          <cell r="AF48">
            <v>50</v>
          </cell>
          <cell r="AG48">
            <v>50</v>
          </cell>
          <cell r="AH48">
            <v>50</v>
          </cell>
          <cell r="AI48">
            <v>50</v>
          </cell>
          <cell r="AJ48">
            <v>50</v>
          </cell>
          <cell r="AK48">
            <v>50</v>
          </cell>
          <cell r="AL48">
            <v>50</v>
          </cell>
          <cell r="AM48">
            <v>50</v>
          </cell>
          <cell r="AN48">
            <v>50</v>
          </cell>
          <cell r="AO48">
            <v>50</v>
          </cell>
          <cell r="AP48">
            <v>50</v>
          </cell>
          <cell r="AQ48">
            <v>50</v>
          </cell>
          <cell r="AR48">
            <v>50</v>
          </cell>
          <cell r="AS48">
            <v>50</v>
          </cell>
          <cell r="AT48">
            <v>50</v>
          </cell>
          <cell r="AU48">
            <v>50</v>
          </cell>
          <cell r="AV48">
            <v>50</v>
          </cell>
          <cell r="AW48">
            <v>50</v>
          </cell>
          <cell r="AX48">
            <v>50</v>
          </cell>
          <cell r="AY48">
            <v>50</v>
          </cell>
          <cell r="AZ48">
            <v>50</v>
          </cell>
          <cell r="BA48">
            <v>50</v>
          </cell>
          <cell r="BB48">
            <v>50</v>
          </cell>
          <cell r="BC48">
            <v>50</v>
          </cell>
          <cell r="BD48">
            <v>50</v>
          </cell>
          <cell r="BE48">
            <v>50</v>
          </cell>
          <cell r="BF48">
            <v>50</v>
          </cell>
          <cell r="BG48">
            <v>50</v>
          </cell>
          <cell r="BH48">
            <v>50</v>
          </cell>
          <cell r="BI48">
            <v>50</v>
          </cell>
        </row>
        <row r="49">
          <cell r="A49" t="str">
            <v>PUR AEOLUS Wind</v>
          </cell>
          <cell r="B49">
            <v>3</v>
          </cell>
          <cell r="C49">
            <v>3</v>
          </cell>
          <cell r="D49">
            <v>3</v>
          </cell>
          <cell r="E49">
            <v>3</v>
          </cell>
          <cell r="F49">
            <v>3</v>
          </cell>
          <cell r="G49">
            <v>3</v>
          </cell>
          <cell r="H49">
            <v>3</v>
          </cell>
          <cell r="I49">
            <v>3</v>
          </cell>
          <cell r="J49">
            <v>3</v>
          </cell>
          <cell r="K49">
            <v>3</v>
          </cell>
          <cell r="L49">
            <v>3</v>
          </cell>
          <cell r="M49">
            <v>3</v>
          </cell>
          <cell r="N49">
            <v>3</v>
          </cell>
          <cell r="O49">
            <v>3</v>
          </cell>
          <cell r="P49">
            <v>3</v>
          </cell>
          <cell r="Q49">
            <v>3</v>
          </cell>
          <cell r="R49">
            <v>3</v>
          </cell>
          <cell r="S49">
            <v>3</v>
          </cell>
          <cell r="T49">
            <v>3</v>
          </cell>
          <cell r="U49">
            <v>3</v>
          </cell>
          <cell r="V49">
            <v>3</v>
          </cell>
          <cell r="W49">
            <v>3</v>
          </cell>
          <cell r="X49">
            <v>3</v>
          </cell>
          <cell r="Y49">
            <v>3</v>
          </cell>
          <cell r="Z49">
            <v>3</v>
          </cell>
          <cell r="AA49">
            <v>3</v>
          </cell>
          <cell r="AB49">
            <v>3</v>
          </cell>
          <cell r="AC49">
            <v>3</v>
          </cell>
          <cell r="AD49">
            <v>3</v>
          </cell>
          <cell r="AE49">
            <v>3</v>
          </cell>
          <cell r="AF49">
            <v>3</v>
          </cell>
          <cell r="AG49">
            <v>3</v>
          </cell>
          <cell r="AH49">
            <v>3</v>
          </cell>
          <cell r="AI49">
            <v>3</v>
          </cell>
          <cell r="AJ49">
            <v>3</v>
          </cell>
          <cell r="AK49">
            <v>3</v>
          </cell>
          <cell r="AL49">
            <v>3</v>
          </cell>
          <cell r="AM49">
            <v>3</v>
          </cell>
          <cell r="AN49">
            <v>3</v>
          </cell>
          <cell r="AO49">
            <v>3</v>
          </cell>
          <cell r="AP49">
            <v>3</v>
          </cell>
          <cell r="AQ49">
            <v>3</v>
          </cell>
          <cell r="AR49">
            <v>3</v>
          </cell>
          <cell r="AS49">
            <v>3</v>
          </cell>
          <cell r="AT49">
            <v>3</v>
          </cell>
          <cell r="AU49">
            <v>3</v>
          </cell>
          <cell r="AV49">
            <v>3</v>
          </cell>
          <cell r="AW49">
            <v>3</v>
          </cell>
          <cell r="AX49">
            <v>3</v>
          </cell>
          <cell r="AY49">
            <v>3</v>
          </cell>
          <cell r="AZ49">
            <v>3</v>
          </cell>
          <cell r="BA49">
            <v>3</v>
          </cell>
          <cell r="BB49">
            <v>3</v>
          </cell>
          <cell r="BC49">
            <v>3</v>
          </cell>
          <cell r="BD49">
            <v>3</v>
          </cell>
          <cell r="BE49">
            <v>3</v>
          </cell>
          <cell r="BF49">
            <v>3</v>
          </cell>
          <cell r="BG49">
            <v>3</v>
          </cell>
          <cell r="BH49">
            <v>3</v>
          </cell>
          <cell r="BI49">
            <v>3</v>
          </cell>
        </row>
        <row r="50">
          <cell r="A50" t="str">
            <v>PUR BRANDON1</v>
          </cell>
          <cell r="B50">
            <v>20</v>
          </cell>
          <cell r="C50">
            <v>20</v>
          </cell>
          <cell r="D50">
            <v>20</v>
          </cell>
          <cell r="E50">
            <v>20</v>
          </cell>
          <cell r="F50">
            <v>20</v>
          </cell>
          <cell r="G50">
            <v>20</v>
          </cell>
          <cell r="H50">
            <v>20</v>
          </cell>
          <cell r="I50">
            <v>20</v>
          </cell>
          <cell r="J50">
            <v>20</v>
          </cell>
          <cell r="K50">
            <v>20</v>
          </cell>
          <cell r="L50">
            <v>20</v>
          </cell>
          <cell r="M50">
            <v>20</v>
          </cell>
          <cell r="N50">
            <v>20</v>
          </cell>
          <cell r="O50">
            <v>20</v>
          </cell>
          <cell r="P50">
            <v>20</v>
          </cell>
          <cell r="Q50">
            <v>20</v>
          </cell>
          <cell r="R50">
            <v>20</v>
          </cell>
          <cell r="S50">
            <v>20</v>
          </cell>
          <cell r="T50">
            <v>20</v>
          </cell>
          <cell r="U50">
            <v>20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row>
        <row r="51">
          <cell r="A51" t="str">
            <v>PUR COOKEGT1</v>
          </cell>
          <cell r="B51">
            <v>10</v>
          </cell>
          <cell r="C51">
            <v>10</v>
          </cell>
          <cell r="D51">
            <v>10</v>
          </cell>
          <cell r="E51">
            <v>10</v>
          </cell>
          <cell r="F51">
            <v>10</v>
          </cell>
          <cell r="G51">
            <v>10</v>
          </cell>
          <cell r="H51">
            <v>10</v>
          </cell>
          <cell r="I51">
            <v>10</v>
          </cell>
          <cell r="J51">
            <v>10</v>
          </cell>
          <cell r="K51">
            <v>10</v>
          </cell>
          <cell r="L51">
            <v>10</v>
          </cell>
          <cell r="M51">
            <v>10</v>
          </cell>
          <cell r="N51">
            <v>10</v>
          </cell>
          <cell r="O51">
            <v>10</v>
          </cell>
          <cell r="P51">
            <v>10</v>
          </cell>
          <cell r="Q51">
            <v>10</v>
          </cell>
          <cell r="R51">
            <v>10</v>
          </cell>
          <cell r="S51">
            <v>10</v>
          </cell>
          <cell r="T51">
            <v>10</v>
          </cell>
          <cell r="U51">
            <v>10</v>
          </cell>
          <cell r="V51">
            <v>10</v>
          </cell>
          <cell r="W51">
            <v>10</v>
          </cell>
          <cell r="X51">
            <v>10</v>
          </cell>
          <cell r="Y51">
            <v>10</v>
          </cell>
          <cell r="Z51">
            <v>10</v>
          </cell>
          <cell r="AA51">
            <v>10</v>
          </cell>
          <cell r="AB51">
            <v>10</v>
          </cell>
          <cell r="AC51">
            <v>10</v>
          </cell>
          <cell r="AD51">
            <v>10</v>
          </cell>
          <cell r="AE51">
            <v>10</v>
          </cell>
          <cell r="AF51">
            <v>10</v>
          </cell>
          <cell r="AG51">
            <v>10</v>
          </cell>
          <cell r="AH51">
            <v>10</v>
          </cell>
          <cell r="AI51">
            <v>10</v>
          </cell>
          <cell r="AJ51">
            <v>10</v>
          </cell>
          <cell r="AK51">
            <v>10</v>
          </cell>
          <cell r="AL51">
            <v>10</v>
          </cell>
          <cell r="AM51">
            <v>10</v>
          </cell>
          <cell r="AN51">
            <v>10</v>
          </cell>
          <cell r="AO51">
            <v>10</v>
          </cell>
          <cell r="AP51">
            <v>10</v>
          </cell>
          <cell r="AQ51">
            <v>10</v>
          </cell>
          <cell r="AR51">
            <v>10</v>
          </cell>
          <cell r="AS51">
            <v>10</v>
          </cell>
          <cell r="AT51">
            <v>10</v>
          </cell>
          <cell r="AU51">
            <v>10</v>
          </cell>
          <cell r="AV51">
            <v>10</v>
          </cell>
          <cell r="AW51">
            <v>10</v>
          </cell>
          <cell r="AX51">
            <v>10</v>
          </cell>
          <cell r="AY51">
            <v>10</v>
          </cell>
          <cell r="AZ51">
            <v>10</v>
          </cell>
          <cell r="BA51">
            <v>10</v>
          </cell>
          <cell r="BB51">
            <v>10</v>
          </cell>
          <cell r="BC51">
            <v>10</v>
          </cell>
          <cell r="BD51">
            <v>10</v>
          </cell>
          <cell r="BE51">
            <v>10</v>
          </cell>
          <cell r="BF51">
            <v>10</v>
          </cell>
          <cell r="BG51">
            <v>10</v>
          </cell>
          <cell r="BH51">
            <v>10</v>
          </cell>
          <cell r="BI51">
            <v>10</v>
          </cell>
        </row>
        <row r="52">
          <cell r="A52" t="str">
            <v>PUR COOKEGT2</v>
          </cell>
          <cell r="B52">
            <v>16</v>
          </cell>
          <cell r="C52">
            <v>16</v>
          </cell>
          <cell r="D52">
            <v>16</v>
          </cell>
          <cell r="E52">
            <v>16</v>
          </cell>
          <cell r="F52">
            <v>16</v>
          </cell>
          <cell r="G52">
            <v>16</v>
          </cell>
          <cell r="H52">
            <v>16</v>
          </cell>
          <cell r="I52">
            <v>16</v>
          </cell>
          <cell r="J52">
            <v>16</v>
          </cell>
          <cell r="K52">
            <v>16</v>
          </cell>
          <cell r="L52">
            <v>16</v>
          </cell>
          <cell r="M52">
            <v>16</v>
          </cell>
          <cell r="N52">
            <v>16</v>
          </cell>
          <cell r="O52">
            <v>16</v>
          </cell>
          <cell r="P52">
            <v>16</v>
          </cell>
          <cell r="Q52">
            <v>16</v>
          </cell>
          <cell r="R52">
            <v>16</v>
          </cell>
          <cell r="S52">
            <v>16</v>
          </cell>
          <cell r="T52">
            <v>16</v>
          </cell>
          <cell r="U52">
            <v>16</v>
          </cell>
          <cell r="V52">
            <v>16</v>
          </cell>
          <cell r="W52">
            <v>16</v>
          </cell>
          <cell r="X52">
            <v>16</v>
          </cell>
          <cell r="Y52">
            <v>16</v>
          </cell>
          <cell r="Z52">
            <v>16</v>
          </cell>
          <cell r="AA52">
            <v>16</v>
          </cell>
          <cell r="AB52">
            <v>16</v>
          </cell>
          <cell r="AC52">
            <v>16</v>
          </cell>
          <cell r="AD52">
            <v>16</v>
          </cell>
          <cell r="AE52">
            <v>16</v>
          </cell>
          <cell r="AF52">
            <v>16</v>
          </cell>
          <cell r="AG52">
            <v>16</v>
          </cell>
          <cell r="AH52">
            <v>16</v>
          </cell>
          <cell r="AI52">
            <v>16</v>
          </cell>
          <cell r="AJ52">
            <v>16</v>
          </cell>
          <cell r="AK52">
            <v>16</v>
          </cell>
          <cell r="AL52">
            <v>16</v>
          </cell>
          <cell r="AM52">
            <v>16</v>
          </cell>
          <cell r="AN52">
            <v>16</v>
          </cell>
          <cell r="AO52">
            <v>16</v>
          </cell>
          <cell r="AP52">
            <v>16</v>
          </cell>
          <cell r="AQ52">
            <v>16</v>
          </cell>
          <cell r="AR52">
            <v>16</v>
          </cell>
          <cell r="AS52">
            <v>16</v>
          </cell>
          <cell r="AT52">
            <v>16</v>
          </cell>
          <cell r="AU52">
            <v>16</v>
          </cell>
          <cell r="AV52">
            <v>16</v>
          </cell>
          <cell r="AW52">
            <v>16</v>
          </cell>
          <cell r="AX52">
            <v>16</v>
          </cell>
          <cell r="AY52">
            <v>16</v>
          </cell>
          <cell r="AZ52">
            <v>16</v>
          </cell>
          <cell r="BA52">
            <v>16</v>
          </cell>
          <cell r="BB52">
            <v>16</v>
          </cell>
          <cell r="BC52">
            <v>16</v>
          </cell>
          <cell r="BD52">
            <v>16</v>
          </cell>
          <cell r="BE52">
            <v>16</v>
          </cell>
          <cell r="BF52">
            <v>16</v>
          </cell>
          <cell r="BG52">
            <v>16</v>
          </cell>
          <cell r="BH52">
            <v>16</v>
          </cell>
          <cell r="BI52">
            <v>16</v>
          </cell>
        </row>
        <row r="53">
          <cell r="A53" t="str">
            <v>PUR COOKEGT3</v>
          </cell>
          <cell r="B53">
            <v>17</v>
          </cell>
          <cell r="C53">
            <v>17</v>
          </cell>
          <cell r="D53">
            <v>17</v>
          </cell>
          <cell r="E53">
            <v>17</v>
          </cell>
          <cell r="F53">
            <v>17</v>
          </cell>
          <cell r="G53">
            <v>17</v>
          </cell>
          <cell r="H53">
            <v>17</v>
          </cell>
          <cell r="I53">
            <v>17</v>
          </cell>
          <cell r="J53">
            <v>17</v>
          </cell>
          <cell r="K53">
            <v>17</v>
          </cell>
          <cell r="L53">
            <v>17</v>
          </cell>
          <cell r="M53">
            <v>17</v>
          </cell>
          <cell r="N53">
            <v>17</v>
          </cell>
          <cell r="O53">
            <v>17</v>
          </cell>
          <cell r="P53">
            <v>17</v>
          </cell>
          <cell r="Q53">
            <v>17</v>
          </cell>
          <cell r="R53">
            <v>17</v>
          </cell>
          <cell r="S53">
            <v>17</v>
          </cell>
          <cell r="T53">
            <v>17</v>
          </cell>
          <cell r="U53">
            <v>17</v>
          </cell>
          <cell r="V53">
            <v>17</v>
          </cell>
          <cell r="W53">
            <v>17</v>
          </cell>
          <cell r="X53">
            <v>17</v>
          </cell>
          <cell r="Y53">
            <v>17</v>
          </cell>
          <cell r="Z53">
            <v>17</v>
          </cell>
          <cell r="AA53">
            <v>17</v>
          </cell>
          <cell r="AB53">
            <v>17</v>
          </cell>
          <cell r="AC53">
            <v>17</v>
          </cell>
          <cell r="AD53">
            <v>17</v>
          </cell>
          <cell r="AE53">
            <v>17</v>
          </cell>
          <cell r="AF53">
            <v>17</v>
          </cell>
          <cell r="AG53">
            <v>17</v>
          </cell>
          <cell r="AH53">
            <v>17</v>
          </cell>
          <cell r="AI53">
            <v>17</v>
          </cell>
          <cell r="AJ53">
            <v>17</v>
          </cell>
          <cell r="AK53">
            <v>17</v>
          </cell>
          <cell r="AL53">
            <v>17</v>
          </cell>
          <cell r="AM53">
            <v>17</v>
          </cell>
          <cell r="AN53">
            <v>17</v>
          </cell>
          <cell r="AO53">
            <v>17</v>
          </cell>
          <cell r="AP53">
            <v>17</v>
          </cell>
          <cell r="AQ53">
            <v>17</v>
          </cell>
          <cell r="AR53">
            <v>17</v>
          </cell>
          <cell r="AS53">
            <v>17</v>
          </cell>
          <cell r="AT53">
            <v>17</v>
          </cell>
          <cell r="AU53">
            <v>17</v>
          </cell>
          <cell r="AV53">
            <v>17</v>
          </cell>
          <cell r="AW53">
            <v>17</v>
          </cell>
          <cell r="AX53">
            <v>17</v>
          </cell>
          <cell r="AY53">
            <v>17</v>
          </cell>
          <cell r="AZ53">
            <v>17</v>
          </cell>
          <cell r="BA53">
            <v>17</v>
          </cell>
          <cell r="BB53">
            <v>17</v>
          </cell>
          <cell r="BC53">
            <v>17</v>
          </cell>
          <cell r="BD53">
            <v>17</v>
          </cell>
          <cell r="BE53">
            <v>17</v>
          </cell>
          <cell r="BF53">
            <v>17</v>
          </cell>
          <cell r="BG53">
            <v>17</v>
          </cell>
          <cell r="BH53">
            <v>17</v>
          </cell>
          <cell r="BI53">
            <v>17</v>
          </cell>
        </row>
        <row r="54">
          <cell r="A54" t="str">
            <v>PUR COOKEST1</v>
          </cell>
          <cell r="B54">
            <v>40</v>
          </cell>
          <cell r="C54">
            <v>40</v>
          </cell>
          <cell r="D54">
            <v>40</v>
          </cell>
          <cell r="E54">
            <v>40</v>
          </cell>
          <cell r="F54">
            <v>40</v>
          </cell>
          <cell r="G54">
            <v>40</v>
          </cell>
          <cell r="H54">
            <v>40</v>
          </cell>
          <cell r="I54">
            <v>40</v>
          </cell>
          <cell r="J54">
            <v>40</v>
          </cell>
          <cell r="K54">
            <v>40</v>
          </cell>
          <cell r="L54">
            <v>40</v>
          </cell>
          <cell r="M54">
            <v>40</v>
          </cell>
          <cell r="N54">
            <v>40</v>
          </cell>
          <cell r="O54">
            <v>40</v>
          </cell>
          <cell r="P54">
            <v>40</v>
          </cell>
          <cell r="Q54">
            <v>40</v>
          </cell>
          <cell r="R54">
            <v>40</v>
          </cell>
          <cell r="S54">
            <v>40</v>
          </cell>
          <cell r="T54">
            <v>40</v>
          </cell>
          <cell r="U54">
            <v>40</v>
          </cell>
          <cell r="V54">
            <v>40</v>
          </cell>
          <cell r="W54">
            <v>40</v>
          </cell>
          <cell r="X54">
            <v>40</v>
          </cell>
          <cell r="Y54">
            <v>40</v>
          </cell>
          <cell r="Z54">
            <v>40</v>
          </cell>
          <cell r="AA54">
            <v>40</v>
          </cell>
          <cell r="AB54">
            <v>40</v>
          </cell>
          <cell r="AC54">
            <v>40</v>
          </cell>
          <cell r="AD54">
            <v>40</v>
          </cell>
          <cell r="AE54">
            <v>40</v>
          </cell>
          <cell r="AF54">
            <v>40</v>
          </cell>
          <cell r="AG54">
            <v>40</v>
          </cell>
          <cell r="AH54">
            <v>40</v>
          </cell>
          <cell r="AI54">
            <v>40</v>
          </cell>
          <cell r="AJ54">
            <v>40</v>
          </cell>
          <cell r="AK54">
            <v>40</v>
          </cell>
          <cell r="AL54">
            <v>40</v>
          </cell>
          <cell r="AM54">
            <v>40</v>
          </cell>
          <cell r="AN54">
            <v>40</v>
          </cell>
          <cell r="AO54">
            <v>40</v>
          </cell>
          <cell r="AP54">
            <v>40</v>
          </cell>
          <cell r="AQ54">
            <v>40</v>
          </cell>
          <cell r="AR54">
            <v>40</v>
          </cell>
          <cell r="AS54">
            <v>40</v>
          </cell>
          <cell r="AT54">
            <v>40</v>
          </cell>
          <cell r="AU54">
            <v>40</v>
          </cell>
          <cell r="AV54">
            <v>40</v>
          </cell>
          <cell r="AW54">
            <v>40</v>
          </cell>
          <cell r="AX54">
            <v>40</v>
          </cell>
          <cell r="AY54">
            <v>40</v>
          </cell>
          <cell r="AZ54">
            <v>40</v>
          </cell>
          <cell r="BA54">
            <v>40</v>
          </cell>
          <cell r="BB54">
            <v>40</v>
          </cell>
          <cell r="BC54">
            <v>40</v>
          </cell>
          <cell r="BD54">
            <v>40</v>
          </cell>
          <cell r="BE54">
            <v>40</v>
          </cell>
          <cell r="BF54">
            <v>40</v>
          </cell>
          <cell r="BG54">
            <v>40</v>
          </cell>
          <cell r="BH54">
            <v>40</v>
          </cell>
          <cell r="BI54">
            <v>40</v>
          </cell>
        </row>
        <row r="55">
          <cell r="A55" t="str">
            <v>PUR COOKEST2</v>
          </cell>
          <cell r="B55">
            <v>45</v>
          </cell>
          <cell r="C55">
            <v>45</v>
          </cell>
          <cell r="D55">
            <v>45</v>
          </cell>
          <cell r="E55">
            <v>45</v>
          </cell>
          <cell r="F55">
            <v>45</v>
          </cell>
          <cell r="G55">
            <v>45</v>
          </cell>
          <cell r="H55">
            <v>45</v>
          </cell>
          <cell r="I55">
            <v>45</v>
          </cell>
          <cell r="J55">
            <v>45</v>
          </cell>
          <cell r="K55">
            <v>45</v>
          </cell>
          <cell r="L55">
            <v>45</v>
          </cell>
          <cell r="M55">
            <v>45</v>
          </cell>
          <cell r="N55">
            <v>45</v>
          </cell>
          <cell r="O55">
            <v>45</v>
          </cell>
          <cell r="P55">
            <v>45</v>
          </cell>
          <cell r="Q55">
            <v>45</v>
          </cell>
          <cell r="R55">
            <v>45</v>
          </cell>
          <cell r="S55">
            <v>45</v>
          </cell>
          <cell r="T55">
            <v>45</v>
          </cell>
          <cell r="U55">
            <v>45</v>
          </cell>
          <cell r="V55">
            <v>45</v>
          </cell>
          <cell r="W55">
            <v>45</v>
          </cell>
          <cell r="X55">
            <v>45</v>
          </cell>
          <cell r="Y55">
            <v>45</v>
          </cell>
          <cell r="Z55">
            <v>45</v>
          </cell>
          <cell r="AA55">
            <v>45</v>
          </cell>
          <cell r="AB55">
            <v>45</v>
          </cell>
          <cell r="AC55">
            <v>45</v>
          </cell>
          <cell r="AD55">
            <v>45</v>
          </cell>
          <cell r="AE55">
            <v>45</v>
          </cell>
          <cell r="AF55">
            <v>45</v>
          </cell>
          <cell r="AG55">
            <v>45</v>
          </cell>
          <cell r="AH55">
            <v>45</v>
          </cell>
          <cell r="AI55">
            <v>45</v>
          </cell>
          <cell r="AJ55">
            <v>45</v>
          </cell>
          <cell r="AK55">
            <v>45</v>
          </cell>
          <cell r="AL55">
            <v>45</v>
          </cell>
          <cell r="AM55">
            <v>45</v>
          </cell>
          <cell r="AN55">
            <v>45</v>
          </cell>
          <cell r="AO55">
            <v>45</v>
          </cell>
          <cell r="AP55">
            <v>45</v>
          </cell>
          <cell r="AQ55">
            <v>45</v>
          </cell>
          <cell r="AR55">
            <v>45</v>
          </cell>
          <cell r="AS55">
            <v>45</v>
          </cell>
          <cell r="AT55">
            <v>45</v>
          </cell>
          <cell r="AU55">
            <v>45</v>
          </cell>
          <cell r="AV55">
            <v>45</v>
          </cell>
          <cell r="AW55">
            <v>45</v>
          </cell>
          <cell r="AX55">
            <v>45</v>
          </cell>
          <cell r="AY55">
            <v>45</v>
          </cell>
          <cell r="AZ55">
            <v>45</v>
          </cell>
          <cell r="BA55">
            <v>45</v>
          </cell>
          <cell r="BB55">
            <v>45</v>
          </cell>
          <cell r="BC55">
            <v>45</v>
          </cell>
          <cell r="BD55">
            <v>45</v>
          </cell>
          <cell r="BE55">
            <v>45</v>
          </cell>
          <cell r="BF55">
            <v>45</v>
          </cell>
          <cell r="BG55">
            <v>45</v>
          </cell>
          <cell r="BH55">
            <v>45</v>
          </cell>
          <cell r="BI55">
            <v>45</v>
          </cell>
        </row>
        <row r="56">
          <cell r="A56" t="str">
            <v>PUR MASSENGALE6</v>
          </cell>
          <cell r="B56">
            <v>18</v>
          </cell>
          <cell r="C56">
            <v>18</v>
          </cell>
          <cell r="D56">
            <v>18</v>
          </cell>
          <cell r="E56">
            <v>18</v>
          </cell>
          <cell r="F56">
            <v>18</v>
          </cell>
          <cell r="G56">
            <v>18</v>
          </cell>
          <cell r="H56">
            <v>18</v>
          </cell>
          <cell r="I56">
            <v>18</v>
          </cell>
          <cell r="J56">
            <v>18</v>
          </cell>
          <cell r="K56">
            <v>18</v>
          </cell>
          <cell r="L56">
            <v>18</v>
          </cell>
          <cell r="M56">
            <v>18</v>
          </cell>
          <cell r="N56">
            <v>18</v>
          </cell>
          <cell r="O56">
            <v>18</v>
          </cell>
          <cell r="P56">
            <v>18</v>
          </cell>
          <cell r="Q56">
            <v>18</v>
          </cell>
          <cell r="R56">
            <v>18</v>
          </cell>
          <cell r="S56">
            <v>18</v>
          </cell>
          <cell r="T56">
            <v>18</v>
          </cell>
          <cell r="U56">
            <v>18</v>
          </cell>
          <cell r="V56">
            <v>18</v>
          </cell>
          <cell r="W56">
            <v>18</v>
          </cell>
          <cell r="X56">
            <v>18</v>
          </cell>
          <cell r="Y56">
            <v>18</v>
          </cell>
          <cell r="Z56">
            <v>18</v>
          </cell>
          <cell r="AA56">
            <v>18</v>
          </cell>
          <cell r="AB56">
            <v>18</v>
          </cell>
          <cell r="AC56">
            <v>18</v>
          </cell>
          <cell r="AD56">
            <v>18</v>
          </cell>
          <cell r="AE56">
            <v>18</v>
          </cell>
          <cell r="AF56">
            <v>18</v>
          </cell>
          <cell r="AG56">
            <v>18</v>
          </cell>
          <cell r="AH56">
            <v>18</v>
          </cell>
          <cell r="AI56">
            <v>18</v>
          </cell>
          <cell r="AJ56">
            <v>18</v>
          </cell>
          <cell r="AK56">
            <v>18</v>
          </cell>
          <cell r="AL56">
            <v>18</v>
          </cell>
          <cell r="AM56">
            <v>18</v>
          </cell>
          <cell r="AN56">
            <v>18</v>
          </cell>
          <cell r="AO56">
            <v>18</v>
          </cell>
          <cell r="AP56">
            <v>18</v>
          </cell>
          <cell r="AQ56">
            <v>18</v>
          </cell>
          <cell r="AR56">
            <v>18</v>
          </cell>
          <cell r="AS56">
            <v>18</v>
          </cell>
          <cell r="AT56">
            <v>18</v>
          </cell>
          <cell r="AU56">
            <v>18</v>
          </cell>
          <cell r="AV56">
            <v>18</v>
          </cell>
          <cell r="AW56">
            <v>18</v>
          </cell>
          <cell r="AX56">
            <v>18</v>
          </cell>
          <cell r="AY56">
            <v>18</v>
          </cell>
          <cell r="AZ56">
            <v>18</v>
          </cell>
          <cell r="BA56">
            <v>18</v>
          </cell>
          <cell r="BB56">
            <v>18</v>
          </cell>
          <cell r="BC56">
            <v>18</v>
          </cell>
          <cell r="BD56">
            <v>18</v>
          </cell>
          <cell r="BE56">
            <v>18</v>
          </cell>
          <cell r="BF56">
            <v>18</v>
          </cell>
          <cell r="BG56">
            <v>18</v>
          </cell>
          <cell r="BH56">
            <v>18</v>
          </cell>
          <cell r="BI56">
            <v>18</v>
          </cell>
        </row>
        <row r="57">
          <cell r="A57" t="str">
            <v>PUR MASSENGALE78</v>
          </cell>
          <cell r="B57">
            <v>54</v>
          </cell>
          <cell r="C57">
            <v>54</v>
          </cell>
          <cell r="D57">
            <v>54</v>
          </cell>
          <cell r="E57">
            <v>54</v>
          </cell>
          <cell r="F57">
            <v>54</v>
          </cell>
          <cell r="G57">
            <v>54</v>
          </cell>
          <cell r="H57">
            <v>54</v>
          </cell>
          <cell r="I57">
            <v>54</v>
          </cell>
          <cell r="J57">
            <v>54</v>
          </cell>
          <cell r="K57">
            <v>54</v>
          </cell>
          <cell r="L57">
            <v>54</v>
          </cell>
          <cell r="M57">
            <v>54</v>
          </cell>
          <cell r="N57">
            <v>54</v>
          </cell>
          <cell r="O57">
            <v>54</v>
          </cell>
          <cell r="P57">
            <v>54</v>
          </cell>
          <cell r="Q57">
            <v>54</v>
          </cell>
          <cell r="R57">
            <v>54</v>
          </cell>
          <cell r="S57">
            <v>54</v>
          </cell>
          <cell r="T57">
            <v>54</v>
          </cell>
          <cell r="U57">
            <v>54</v>
          </cell>
          <cell r="V57">
            <v>54</v>
          </cell>
          <cell r="W57">
            <v>54</v>
          </cell>
          <cell r="X57">
            <v>54</v>
          </cell>
          <cell r="Y57">
            <v>54</v>
          </cell>
          <cell r="Z57">
            <v>54</v>
          </cell>
          <cell r="AA57">
            <v>54</v>
          </cell>
          <cell r="AB57">
            <v>54</v>
          </cell>
          <cell r="AC57">
            <v>54</v>
          </cell>
          <cell r="AD57">
            <v>54</v>
          </cell>
          <cell r="AE57">
            <v>54</v>
          </cell>
          <cell r="AF57">
            <v>54</v>
          </cell>
          <cell r="AG57">
            <v>54</v>
          </cell>
          <cell r="AH57">
            <v>54</v>
          </cell>
          <cell r="AI57">
            <v>54</v>
          </cell>
          <cell r="AJ57">
            <v>54</v>
          </cell>
          <cell r="AK57">
            <v>54</v>
          </cell>
          <cell r="AL57">
            <v>54</v>
          </cell>
          <cell r="AM57">
            <v>54</v>
          </cell>
          <cell r="AN57">
            <v>54</v>
          </cell>
          <cell r="AO57">
            <v>54</v>
          </cell>
          <cell r="AP57">
            <v>54</v>
          </cell>
          <cell r="AQ57">
            <v>54</v>
          </cell>
          <cell r="AR57">
            <v>54</v>
          </cell>
          <cell r="AS57">
            <v>54</v>
          </cell>
          <cell r="AT57">
            <v>54</v>
          </cell>
          <cell r="AU57">
            <v>54</v>
          </cell>
          <cell r="AV57">
            <v>54</v>
          </cell>
          <cell r="AW57">
            <v>54</v>
          </cell>
          <cell r="AX57">
            <v>54</v>
          </cell>
          <cell r="AY57">
            <v>54</v>
          </cell>
          <cell r="AZ57">
            <v>54</v>
          </cell>
          <cell r="BA57">
            <v>54</v>
          </cell>
          <cell r="BB57">
            <v>54</v>
          </cell>
          <cell r="BC57">
            <v>54</v>
          </cell>
          <cell r="BD57">
            <v>54</v>
          </cell>
          <cell r="BE57">
            <v>54</v>
          </cell>
          <cell r="BF57">
            <v>54</v>
          </cell>
          <cell r="BG57">
            <v>54</v>
          </cell>
          <cell r="BH57">
            <v>54</v>
          </cell>
          <cell r="BI57">
            <v>54</v>
          </cell>
        </row>
        <row r="58">
          <cell r="A58" t="str">
            <v>SAL PNM2003</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row>
        <row r="59">
          <cell r="A59" t="str">
            <v>PUR Padoma Wind</v>
          </cell>
          <cell r="B59">
            <v>24.24</v>
          </cell>
          <cell r="C59">
            <v>115.08</v>
          </cell>
          <cell r="D59">
            <v>110.16</v>
          </cell>
          <cell r="E59">
            <v>0</v>
          </cell>
          <cell r="F59">
            <v>17.88</v>
          </cell>
          <cell r="G59">
            <v>21.48</v>
          </cell>
          <cell r="H59">
            <v>81.96</v>
          </cell>
          <cell r="I59">
            <v>0</v>
          </cell>
          <cell r="J59">
            <v>43.8</v>
          </cell>
          <cell r="K59">
            <v>92.28</v>
          </cell>
          <cell r="L59">
            <v>31.68</v>
          </cell>
          <cell r="M59">
            <v>1.2</v>
          </cell>
          <cell r="N59">
            <v>14.64</v>
          </cell>
          <cell r="O59">
            <v>117.96</v>
          </cell>
          <cell r="P59">
            <v>0</v>
          </cell>
          <cell r="Q59">
            <v>5.04</v>
          </cell>
          <cell r="R59">
            <v>117</v>
          </cell>
          <cell r="S59">
            <v>61.32</v>
          </cell>
          <cell r="T59">
            <v>24.24</v>
          </cell>
          <cell r="U59">
            <v>60.48</v>
          </cell>
          <cell r="V59">
            <v>7.2</v>
          </cell>
          <cell r="W59">
            <v>0</v>
          </cell>
          <cell r="X59">
            <v>0</v>
          </cell>
          <cell r="Y59">
            <v>33.84</v>
          </cell>
          <cell r="Z59">
            <v>0</v>
          </cell>
          <cell r="AA59">
            <v>14.52</v>
          </cell>
          <cell r="AB59">
            <v>95.52</v>
          </cell>
          <cell r="AC59">
            <v>25.2</v>
          </cell>
          <cell r="AD59">
            <v>90.12</v>
          </cell>
          <cell r="AE59">
            <v>0</v>
          </cell>
          <cell r="AF59">
            <v>36.36</v>
          </cell>
          <cell r="AG59">
            <v>7.68</v>
          </cell>
          <cell r="AH59">
            <v>67.92</v>
          </cell>
          <cell r="AI59">
            <v>0</v>
          </cell>
          <cell r="AJ59">
            <v>15.84</v>
          </cell>
          <cell r="AK59">
            <v>0</v>
          </cell>
          <cell r="AL59">
            <v>0</v>
          </cell>
          <cell r="AM59">
            <v>0.12</v>
          </cell>
          <cell r="AN59">
            <v>8.52</v>
          </cell>
          <cell r="AO59">
            <v>46.56</v>
          </cell>
          <cell r="AP59">
            <v>1.44</v>
          </cell>
          <cell r="AQ59">
            <v>0</v>
          </cell>
          <cell r="AR59">
            <v>14.4</v>
          </cell>
          <cell r="AS59">
            <v>19.56</v>
          </cell>
          <cell r="AT59">
            <v>25.56</v>
          </cell>
          <cell r="AU59">
            <v>0.12</v>
          </cell>
          <cell r="AV59">
            <v>24</v>
          </cell>
          <cell r="AW59">
            <v>0</v>
          </cell>
          <cell r="AX59">
            <v>0</v>
          </cell>
          <cell r="AY59">
            <v>6.6</v>
          </cell>
          <cell r="AZ59">
            <v>0</v>
          </cell>
          <cell r="BA59">
            <v>38.28</v>
          </cell>
          <cell r="BB59">
            <v>65.88</v>
          </cell>
          <cell r="BC59">
            <v>15.12</v>
          </cell>
          <cell r="BD59">
            <v>19.44</v>
          </cell>
          <cell r="BE59">
            <v>0</v>
          </cell>
          <cell r="BF59">
            <v>26.16</v>
          </cell>
          <cell r="BG59">
            <v>0.48</v>
          </cell>
          <cell r="BH59">
            <v>61.92</v>
          </cell>
          <cell r="BI59">
            <v>95.88</v>
          </cell>
        </row>
        <row r="60">
          <cell r="A60" t="str">
            <v>Nichols_Coal</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row>
        <row r="61">
          <cell r="A61" t="str">
            <v>PUR ENERGEN</v>
          </cell>
          <cell r="B61">
            <v>3</v>
          </cell>
          <cell r="C61">
            <v>3</v>
          </cell>
          <cell r="D61">
            <v>3</v>
          </cell>
          <cell r="E61">
            <v>3</v>
          </cell>
          <cell r="F61">
            <v>3</v>
          </cell>
          <cell r="G61">
            <v>3</v>
          </cell>
          <cell r="H61">
            <v>3</v>
          </cell>
          <cell r="I61">
            <v>3</v>
          </cell>
          <cell r="J61">
            <v>3</v>
          </cell>
          <cell r="K61">
            <v>3</v>
          </cell>
          <cell r="L61">
            <v>3</v>
          </cell>
          <cell r="M61">
            <v>3</v>
          </cell>
          <cell r="N61">
            <v>3</v>
          </cell>
          <cell r="O61">
            <v>3</v>
          </cell>
          <cell r="P61">
            <v>3</v>
          </cell>
          <cell r="Q61">
            <v>3</v>
          </cell>
          <cell r="R61">
            <v>3</v>
          </cell>
          <cell r="S61">
            <v>3</v>
          </cell>
          <cell r="T61">
            <v>3</v>
          </cell>
          <cell r="U61">
            <v>3</v>
          </cell>
          <cell r="V61">
            <v>3</v>
          </cell>
          <cell r="W61">
            <v>3</v>
          </cell>
          <cell r="X61">
            <v>3</v>
          </cell>
          <cell r="Y61">
            <v>3</v>
          </cell>
          <cell r="Z61">
            <v>3</v>
          </cell>
          <cell r="AA61">
            <v>3</v>
          </cell>
          <cell r="AB61">
            <v>3</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row>
        <row r="62">
          <cell r="A62" t="str">
            <v>PUR ExelGr150</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row>
        <row r="63">
          <cell r="A63" t="str">
            <v>PUR ExelOK200</v>
          </cell>
          <cell r="B63">
            <v>200</v>
          </cell>
          <cell r="C63">
            <v>200</v>
          </cell>
          <cell r="D63">
            <v>200</v>
          </cell>
          <cell r="E63">
            <v>200</v>
          </cell>
          <cell r="F63">
            <v>200</v>
          </cell>
          <cell r="G63">
            <v>200</v>
          </cell>
          <cell r="H63">
            <v>200</v>
          </cell>
          <cell r="I63">
            <v>200</v>
          </cell>
          <cell r="J63">
            <v>200</v>
          </cell>
          <cell r="K63">
            <v>200</v>
          </cell>
          <cell r="L63">
            <v>200</v>
          </cell>
          <cell r="M63">
            <v>200</v>
          </cell>
          <cell r="N63">
            <v>200</v>
          </cell>
          <cell r="O63">
            <v>200</v>
          </cell>
          <cell r="P63">
            <v>200</v>
          </cell>
          <cell r="Q63">
            <v>200</v>
          </cell>
          <cell r="R63">
            <v>200</v>
          </cell>
          <cell r="S63">
            <v>200</v>
          </cell>
          <cell r="T63">
            <v>200</v>
          </cell>
          <cell r="U63">
            <v>200</v>
          </cell>
          <cell r="V63">
            <v>200</v>
          </cell>
          <cell r="W63">
            <v>200</v>
          </cell>
          <cell r="X63">
            <v>200</v>
          </cell>
          <cell r="Y63">
            <v>200</v>
          </cell>
          <cell r="Z63">
            <v>200</v>
          </cell>
          <cell r="AA63">
            <v>200</v>
          </cell>
          <cell r="AB63">
            <v>200</v>
          </cell>
          <cell r="AC63">
            <v>200</v>
          </cell>
          <cell r="AD63">
            <v>200</v>
          </cell>
          <cell r="AE63">
            <v>200</v>
          </cell>
          <cell r="AF63">
            <v>200</v>
          </cell>
          <cell r="AG63">
            <v>200</v>
          </cell>
          <cell r="AH63">
            <v>200</v>
          </cell>
          <cell r="AI63">
            <v>200</v>
          </cell>
          <cell r="AJ63">
            <v>200</v>
          </cell>
          <cell r="AK63">
            <v>200</v>
          </cell>
          <cell r="AL63">
            <v>200</v>
          </cell>
          <cell r="AM63">
            <v>200</v>
          </cell>
          <cell r="AN63">
            <v>200</v>
          </cell>
          <cell r="AO63">
            <v>200</v>
          </cell>
          <cell r="AP63">
            <v>200</v>
          </cell>
          <cell r="AQ63">
            <v>200</v>
          </cell>
          <cell r="AR63">
            <v>200</v>
          </cell>
          <cell r="AS63">
            <v>200</v>
          </cell>
          <cell r="AT63">
            <v>200</v>
          </cell>
          <cell r="AU63">
            <v>200</v>
          </cell>
          <cell r="AV63">
            <v>200</v>
          </cell>
          <cell r="AW63">
            <v>200</v>
          </cell>
          <cell r="AX63">
            <v>200</v>
          </cell>
          <cell r="AY63">
            <v>200</v>
          </cell>
          <cell r="AZ63">
            <v>200</v>
          </cell>
          <cell r="BA63">
            <v>200</v>
          </cell>
          <cell r="BB63">
            <v>200</v>
          </cell>
          <cell r="BC63">
            <v>200</v>
          </cell>
          <cell r="BD63">
            <v>200</v>
          </cell>
          <cell r="BE63">
            <v>200</v>
          </cell>
          <cell r="BF63">
            <v>200</v>
          </cell>
          <cell r="BG63">
            <v>200</v>
          </cell>
          <cell r="BH63">
            <v>200</v>
          </cell>
          <cell r="BI63">
            <v>200</v>
          </cell>
        </row>
        <row r="64">
          <cell r="A64" t="str">
            <v>PUR JDWind1 Wind</v>
          </cell>
          <cell r="B64">
            <v>10</v>
          </cell>
          <cell r="C64">
            <v>10</v>
          </cell>
          <cell r="D64">
            <v>10</v>
          </cell>
          <cell r="E64">
            <v>10</v>
          </cell>
          <cell r="F64">
            <v>10</v>
          </cell>
          <cell r="G64">
            <v>10</v>
          </cell>
          <cell r="H64">
            <v>10</v>
          </cell>
          <cell r="I64">
            <v>10</v>
          </cell>
          <cell r="J64">
            <v>10</v>
          </cell>
          <cell r="K64">
            <v>10</v>
          </cell>
          <cell r="L64">
            <v>10</v>
          </cell>
          <cell r="M64">
            <v>10</v>
          </cell>
          <cell r="N64">
            <v>10</v>
          </cell>
          <cell r="O64">
            <v>10</v>
          </cell>
          <cell r="P64">
            <v>10</v>
          </cell>
          <cell r="Q64">
            <v>10</v>
          </cell>
          <cell r="R64">
            <v>10</v>
          </cell>
          <cell r="S64">
            <v>10</v>
          </cell>
          <cell r="T64">
            <v>10</v>
          </cell>
          <cell r="U64">
            <v>10</v>
          </cell>
          <cell r="V64">
            <v>10</v>
          </cell>
          <cell r="W64">
            <v>10</v>
          </cell>
          <cell r="X64">
            <v>10</v>
          </cell>
          <cell r="Y64">
            <v>10</v>
          </cell>
          <cell r="Z64">
            <v>10</v>
          </cell>
          <cell r="AA64">
            <v>10</v>
          </cell>
          <cell r="AB64">
            <v>10</v>
          </cell>
          <cell r="AC64">
            <v>10</v>
          </cell>
          <cell r="AD64">
            <v>10</v>
          </cell>
          <cell r="AE64">
            <v>10</v>
          </cell>
          <cell r="AF64">
            <v>10</v>
          </cell>
          <cell r="AG64">
            <v>10</v>
          </cell>
          <cell r="AH64">
            <v>10</v>
          </cell>
          <cell r="AI64">
            <v>10</v>
          </cell>
          <cell r="AJ64">
            <v>10</v>
          </cell>
          <cell r="AK64">
            <v>10</v>
          </cell>
          <cell r="AL64">
            <v>10</v>
          </cell>
          <cell r="AM64">
            <v>10</v>
          </cell>
          <cell r="AN64">
            <v>10</v>
          </cell>
          <cell r="AO64">
            <v>10</v>
          </cell>
          <cell r="AP64">
            <v>10</v>
          </cell>
          <cell r="AQ64">
            <v>10</v>
          </cell>
          <cell r="AR64">
            <v>10</v>
          </cell>
          <cell r="AS64">
            <v>10</v>
          </cell>
          <cell r="AT64">
            <v>10</v>
          </cell>
          <cell r="AU64">
            <v>10</v>
          </cell>
          <cell r="AV64">
            <v>10</v>
          </cell>
          <cell r="AW64">
            <v>10</v>
          </cell>
          <cell r="AX64">
            <v>10</v>
          </cell>
          <cell r="AY64">
            <v>10</v>
          </cell>
          <cell r="AZ64">
            <v>10</v>
          </cell>
          <cell r="BA64">
            <v>10</v>
          </cell>
          <cell r="BB64">
            <v>10</v>
          </cell>
          <cell r="BC64">
            <v>10</v>
          </cell>
          <cell r="BD64">
            <v>10</v>
          </cell>
          <cell r="BE64">
            <v>10</v>
          </cell>
          <cell r="BF64">
            <v>10</v>
          </cell>
          <cell r="BG64">
            <v>10</v>
          </cell>
          <cell r="BH64">
            <v>10</v>
          </cell>
          <cell r="BI64">
            <v>10</v>
          </cell>
        </row>
        <row r="65">
          <cell r="A65" t="str">
            <v>PUR JDWind2 Wind</v>
          </cell>
          <cell r="B65">
            <v>10</v>
          </cell>
          <cell r="C65">
            <v>10</v>
          </cell>
          <cell r="D65">
            <v>10</v>
          </cell>
          <cell r="E65">
            <v>10</v>
          </cell>
          <cell r="F65">
            <v>10</v>
          </cell>
          <cell r="G65">
            <v>10</v>
          </cell>
          <cell r="H65">
            <v>10</v>
          </cell>
          <cell r="I65">
            <v>10</v>
          </cell>
          <cell r="J65">
            <v>10</v>
          </cell>
          <cell r="K65">
            <v>10</v>
          </cell>
          <cell r="L65">
            <v>10</v>
          </cell>
          <cell r="M65">
            <v>10</v>
          </cell>
          <cell r="N65">
            <v>10</v>
          </cell>
          <cell r="O65">
            <v>10</v>
          </cell>
          <cell r="P65">
            <v>10</v>
          </cell>
          <cell r="Q65">
            <v>10</v>
          </cell>
          <cell r="R65">
            <v>10</v>
          </cell>
          <cell r="S65">
            <v>10</v>
          </cell>
          <cell r="T65">
            <v>10</v>
          </cell>
          <cell r="U65">
            <v>10</v>
          </cell>
          <cell r="V65">
            <v>10</v>
          </cell>
          <cell r="W65">
            <v>10</v>
          </cell>
          <cell r="X65">
            <v>10</v>
          </cell>
          <cell r="Y65">
            <v>10</v>
          </cell>
          <cell r="Z65">
            <v>10</v>
          </cell>
          <cell r="AA65">
            <v>10</v>
          </cell>
          <cell r="AB65">
            <v>10</v>
          </cell>
          <cell r="AC65">
            <v>10</v>
          </cell>
          <cell r="AD65">
            <v>10</v>
          </cell>
          <cell r="AE65">
            <v>10</v>
          </cell>
          <cell r="AF65">
            <v>10</v>
          </cell>
          <cell r="AG65">
            <v>10</v>
          </cell>
          <cell r="AH65">
            <v>10</v>
          </cell>
          <cell r="AI65">
            <v>10</v>
          </cell>
          <cell r="AJ65">
            <v>10</v>
          </cell>
          <cell r="AK65">
            <v>10</v>
          </cell>
          <cell r="AL65">
            <v>10</v>
          </cell>
          <cell r="AM65">
            <v>10</v>
          </cell>
          <cell r="AN65">
            <v>10</v>
          </cell>
          <cell r="AO65">
            <v>10</v>
          </cell>
          <cell r="AP65">
            <v>10</v>
          </cell>
          <cell r="AQ65">
            <v>10</v>
          </cell>
          <cell r="AR65">
            <v>10</v>
          </cell>
          <cell r="AS65">
            <v>10</v>
          </cell>
          <cell r="AT65">
            <v>10</v>
          </cell>
          <cell r="AU65">
            <v>10</v>
          </cell>
          <cell r="AV65">
            <v>10</v>
          </cell>
          <cell r="AW65">
            <v>10</v>
          </cell>
          <cell r="AX65">
            <v>10</v>
          </cell>
          <cell r="AY65">
            <v>10</v>
          </cell>
          <cell r="AZ65">
            <v>10</v>
          </cell>
          <cell r="BA65">
            <v>10</v>
          </cell>
          <cell r="BB65">
            <v>10</v>
          </cell>
          <cell r="BC65">
            <v>10</v>
          </cell>
          <cell r="BD65">
            <v>10</v>
          </cell>
          <cell r="BE65">
            <v>10</v>
          </cell>
          <cell r="BF65">
            <v>10</v>
          </cell>
          <cell r="BG65">
            <v>10</v>
          </cell>
          <cell r="BH65">
            <v>10</v>
          </cell>
          <cell r="BI65">
            <v>10</v>
          </cell>
        </row>
        <row r="66">
          <cell r="A66" t="str">
            <v>PUR JDWind3 Wind</v>
          </cell>
          <cell r="B66">
            <v>10</v>
          </cell>
          <cell r="C66">
            <v>10</v>
          </cell>
          <cell r="D66">
            <v>10</v>
          </cell>
          <cell r="E66">
            <v>10</v>
          </cell>
          <cell r="F66">
            <v>10</v>
          </cell>
          <cell r="G66">
            <v>10</v>
          </cell>
          <cell r="H66">
            <v>10</v>
          </cell>
          <cell r="I66">
            <v>10</v>
          </cell>
          <cell r="J66">
            <v>10</v>
          </cell>
          <cell r="K66">
            <v>10</v>
          </cell>
          <cell r="L66">
            <v>10</v>
          </cell>
          <cell r="M66">
            <v>10</v>
          </cell>
          <cell r="N66">
            <v>10</v>
          </cell>
          <cell r="O66">
            <v>10</v>
          </cell>
          <cell r="P66">
            <v>10</v>
          </cell>
          <cell r="Q66">
            <v>10</v>
          </cell>
          <cell r="R66">
            <v>10</v>
          </cell>
          <cell r="S66">
            <v>10</v>
          </cell>
          <cell r="T66">
            <v>10</v>
          </cell>
          <cell r="U66">
            <v>10</v>
          </cell>
          <cell r="V66">
            <v>10</v>
          </cell>
          <cell r="W66">
            <v>10</v>
          </cell>
          <cell r="X66">
            <v>10</v>
          </cell>
          <cell r="Y66">
            <v>10</v>
          </cell>
          <cell r="Z66">
            <v>10</v>
          </cell>
          <cell r="AA66">
            <v>10</v>
          </cell>
          <cell r="AB66">
            <v>10</v>
          </cell>
          <cell r="AC66">
            <v>10</v>
          </cell>
          <cell r="AD66">
            <v>10</v>
          </cell>
          <cell r="AE66">
            <v>10</v>
          </cell>
          <cell r="AF66">
            <v>10</v>
          </cell>
          <cell r="AG66">
            <v>10</v>
          </cell>
          <cell r="AH66">
            <v>10</v>
          </cell>
          <cell r="AI66">
            <v>10</v>
          </cell>
          <cell r="AJ66">
            <v>10</v>
          </cell>
          <cell r="AK66">
            <v>10</v>
          </cell>
          <cell r="AL66">
            <v>10</v>
          </cell>
          <cell r="AM66">
            <v>10</v>
          </cell>
          <cell r="AN66">
            <v>10</v>
          </cell>
          <cell r="AO66">
            <v>10</v>
          </cell>
          <cell r="AP66">
            <v>10</v>
          </cell>
          <cell r="AQ66">
            <v>10</v>
          </cell>
          <cell r="AR66">
            <v>10</v>
          </cell>
          <cell r="AS66">
            <v>10</v>
          </cell>
          <cell r="AT66">
            <v>10</v>
          </cell>
          <cell r="AU66">
            <v>10</v>
          </cell>
          <cell r="AV66">
            <v>10</v>
          </cell>
          <cell r="AW66">
            <v>10</v>
          </cell>
          <cell r="AX66">
            <v>10</v>
          </cell>
          <cell r="AY66">
            <v>10</v>
          </cell>
          <cell r="AZ66">
            <v>10</v>
          </cell>
          <cell r="BA66">
            <v>10</v>
          </cell>
          <cell r="BB66">
            <v>10</v>
          </cell>
          <cell r="BC66">
            <v>10</v>
          </cell>
          <cell r="BD66">
            <v>10</v>
          </cell>
          <cell r="BE66">
            <v>10</v>
          </cell>
          <cell r="BF66">
            <v>10</v>
          </cell>
          <cell r="BG66">
            <v>10</v>
          </cell>
          <cell r="BH66">
            <v>10</v>
          </cell>
          <cell r="BI66">
            <v>10</v>
          </cell>
        </row>
        <row r="67">
          <cell r="A67" t="str">
            <v>PUR JDWind4 Wind</v>
          </cell>
          <cell r="B67">
            <v>80</v>
          </cell>
          <cell r="C67">
            <v>80</v>
          </cell>
          <cell r="D67">
            <v>80</v>
          </cell>
          <cell r="E67">
            <v>80</v>
          </cell>
          <cell r="F67">
            <v>80</v>
          </cell>
          <cell r="G67">
            <v>80</v>
          </cell>
          <cell r="H67">
            <v>80</v>
          </cell>
          <cell r="I67">
            <v>80</v>
          </cell>
          <cell r="J67">
            <v>80</v>
          </cell>
          <cell r="K67">
            <v>80</v>
          </cell>
          <cell r="L67">
            <v>80</v>
          </cell>
          <cell r="M67">
            <v>80</v>
          </cell>
          <cell r="N67">
            <v>80</v>
          </cell>
          <cell r="O67">
            <v>80</v>
          </cell>
          <cell r="P67">
            <v>80</v>
          </cell>
          <cell r="Q67">
            <v>80</v>
          </cell>
          <cell r="R67">
            <v>80</v>
          </cell>
          <cell r="S67">
            <v>80</v>
          </cell>
          <cell r="T67">
            <v>80</v>
          </cell>
          <cell r="U67">
            <v>80</v>
          </cell>
          <cell r="V67">
            <v>80</v>
          </cell>
          <cell r="W67">
            <v>80</v>
          </cell>
          <cell r="X67">
            <v>80</v>
          </cell>
          <cell r="Y67">
            <v>80</v>
          </cell>
          <cell r="Z67">
            <v>80</v>
          </cell>
          <cell r="AA67">
            <v>80</v>
          </cell>
          <cell r="AB67">
            <v>80</v>
          </cell>
          <cell r="AC67">
            <v>80</v>
          </cell>
          <cell r="AD67">
            <v>80</v>
          </cell>
          <cell r="AE67">
            <v>80</v>
          </cell>
          <cell r="AF67">
            <v>80</v>
          </cell>
          <cell r="AG67">
            <v>80</v>
          </cell>
          <cell r="AH67">
            <v>80</v>
          </cell>
          <cell r="AI67">
            <v>80</v>
          </cell>
          <cell r="AJ67">
            <v>80</v>
          </cell>
          <cell r="AK67">
            <v>80</v>
          </cell>
          <cell r="AL67">
            <v>80</v>
          </cell>
          <cell r="AM67">
            <v>80</v>
          </cell>
          <cell r="AN67">
            <v>80</v>
          </cell>
          <cell r="AO67">
            <v>80</v>
          </cell>
          <cell r="AP67">
            <v>80</v>
          </cell>
          <cell r="AQ67">
            <v>80</v>
          </cell>
          <cell r="AR67">
            <v>80</v>
          </cell>
          <cell r="AS67">
            <v>80</v>
          </cell>
          <cell r="AT67">
            <v>80</v>
          </cell>
          <cell r="AU67">
            <v>80</v>
          </cell>
          <cell r="AV67">
            <v>80</v>
          </cell>
          <cell r="AW67">
            <v>80</v>
          </cell>
          <cell r="AX67">
            <v>80</v>
          </cell>
          <cell r="AY67">
            <v>80</v>
          </cell>
          <cell r="AZ67">
            <v>80</v>
          </cell>
          <cell r="BA67">
            <v>80</v>
          </cell>
          <cell r="BB67">
            <v>80</v>
          </cell>
          <cell r="BC67">
            <v>80</v>
          </cell>
          <cell r="BD67">
            <v>80</v>
          </cell>
          <cell r="BE67">
            <v>80</v>
          </cell>
          <cell r="BF67">
            <v>80</v>
          </cell>
          <cell r="BG67">
            <v>80</v>
          </cell>
          <cell r="BH67">
            <v>80</v>
          </cell>
          <cell r="BI67">
            <v>80</v>
          </cell>
        </row>
        <row r="68">
          <cell r="A68" t="str">
            <v>PUR Natl Wind</v>
          </cell>
          <cell r="B68">
            <v>0.66</v>
          </cell>
          <cell r="C68">
            <v>0.66</v>
          </cell>
          <cell r="D68">
            <v>0.66</v>
          </cell>
          <cell r="E68">
            <v>0.66</v>
          </cell>
          <cell r="F68">
            <v>0.66</v>
          </cell>
          <cell r="G68">
            <v>0.66</v>
          </cell>
          <cell r="H68">
            <v>0.66</v>
          </cell>
          <cell r="I68">
            <v>0.66</v>
          </cell>
          <cell r="J68">
            <v>0.66</v>
          </cell>
          <cell r="K68">
            <v>0.66</v>
          </cell>
          <cell r="L68">
            <v>0.66</v>
          </cell>
          <cell r="M68">
            <v>0.66</v>
          </cell>
          <cell r="N68">
            <v>0.66</v>
          </cell>
          <cell r="O68">
            <v>0.66</v>
          </cell>
          <cell r="P68">
            <v>0.66</v>
          </cell>
          <cell r="Q68">
            <v>0.66</v>
          </cell>
          <cell r="R68">
            <v>0.66</v>
          </cell>
          <cell r="S68">
            <v>0.66</v>
          </cell>
          <cell r="T68">
            <v>0.66</v>
          </cell>
          <cell r="U68">
            <v>0.66</v>
          </cell>
          <cell r="V68">
            <v>0.66</v>
          </cell>
          <cell r="W68">
            <v>0.66</v>
          </cell>
          <cell r="X68">
            <v>0.66</v>
          </cell>
          <cell r="Y68">
            <v>0.66</v>
          </cell>
          <cell r="Z68">
            <v>0.66</v>
          </cell>
          <cell r="AA68">
            <v>0.66</v>
          </cell>
          <cell r="AB68">
            <v>0.66</v>
          </cell>
          <cell r="AC68">
            <v>0.66</v>
          </cell>
          <cell r="AD68">
            <v>0.66</v>
          </cell>
          <cell r="AE68">
            <v>0.66</v>
          </cell>
          <cell r="AF68">
            <v>0.66</v>
          </cell>
          <cell r="AG68">
            <v>0.66</v>
          </cell>
          <cell r="AH68">
            <v>0.66</v>
          </cell>
          <cell r="AI68">
            <v>0.66</v>
          </cell>
          <cell r="AJ68">
            <v>0.66</v>
          </cell>
          <cell r="AK68">
            <v>0.66</v>
          </cell>
          <cell r="AL68">
            <v>0.66</v>
          </cell>
          <cell r="AM68">
            <v>0.66</v>
          </cell>
          <cell r="AN68">
            <v>0.66</v>
          </cell>
          <cell r="AO68">
            <v>0.66</v>
          </cell>
          <cell r="AP68">
            <v>0.66</v>
          </cell>
          <cell r="AQ68">
            <v>0.66</v>
          </cell>
          <cell r="AR68">
            <v>0.66</v>
          </cell>
          <cell r="AS68">
            <v>0.66</v>
          </cell>
          <cell r="AT68">
            <v>0.66</v>
          </cell>
          <cell r="AU68">
            <v>0.66</v>
          </cell>
          <cell r="AV68">
            <v>0.66</v>
          </cell>
          <cell r="AW68">
            <v>0.66</v>
          </cell>
          <cell r="AX68">
            <v>0.66</v>
          </cell>
          <cell r="AY68">
            <v>0.66</v>
          </cell>
          <cell r="AZ68">
            <v>0.66</v>
          </cell>
          <cell r="BA68">
            <v>0.66</v>
          </cell>
          <cell r="BB68">
            <v>0.66</v>
          </cell>
          <cell r="BC68">
            <v>0.66</v>
          </cell>
          <cell r="BD68">
            <v>0.66</v>
          </cell>
          <cell r="BE68">
            <v>0.66</v>
          </cell>
          <cell r="BF68">
            <v>0.66</v>
          </cell>
          <cell r="BG68">
            <v>0.66</v>
          </cell>
          <cell r="BH68">
            <v>0.66</v>
          </cell>
          <cell r="BI68">
            <v>0.66</v>
          </cell>
        </row>
        <row r="69">
          <cell r="A69" t="str">
            <v>PUR Wildrdo Wind</v>
          </cell>
          <cell r="B69">
            <v>0</v>
          </cell>
          <cell r="C69">
            <v>0</v>
          </cell>
          <cell r="D69">
            <v>0</v>
          </cell>
          <cell r="E69">
            <v>0</v>
          </cell>
          <cell r="F69">
            <v>23.84</v>
          </cell>
          <cell r="G69">
            <v>28.64</v>
          </cell>
          <cell r="H69">
            <v>109.28</v>
          </cell>
          <cell r="I69">
            <v>0</v>
          </cell>
          <cell r="J69">
            <v>58.4</v>
          </cell>
          <cell r="K69">
            <v>123.04</v>
          </cell>
          <cell r="L69">
            <v>42.24</v>
          </cell>
          <cell r="M69">
            <v>1.6</v>
          </cell>
          <cell r="N69">
            <v>19.52</v>
          </cell>
          <cell r="O69">
            <v>157.28</v>
          </cell>
          <cell r="P69">
            <v>0</v>
          </cell>
          <cell r="Q69">
            <v>6.72</v>
          </cell>
          <cell r="R69">
            <v>156</v>
          </cell>
          <cell r="S69">
            <v>81.76</v>
          </cell>
          <cell r="T69">
            <v>32.32</v>
          </cell>
          <cell r="U69">
            <v>80.64</v>
          </cell>
          <cell r="V69">
            <v>9.6</v>
          </cell>
          <cell r="W69">
            <v>0</v>
          </cell>
          <cell r="X69">
            <v>0</v>
          </cell>
          <cell r="Y69">
            <v>45.12</v>
          </cell>
          <cell r="Z69">
            <v>0</v>
          </cell>
          <cell r="AA69">
            <v>19.36</v>
          </cell>
          <cell r="AB69">
            <v>127.36</v>
          </cell>
          <cell r="AC69">
            <v>33.6</v>
          </cell>
          <cell r="AD69">
            <v>120.16</v>
          </cell>
          <cell r="AE69">
            <v>0</v>
          </cell>
          <cell r="AF69">
            <v>48.48</v>
          </cell>
          <cell r="AG69">
            <v>10.24</v>
          </cell>
          <cell r="AH69">
            <v>90.56</v>
          </cell>
          <cell r="AI69">
            <v>0</v>
          </cell>
          <cell r="AJ69">
            <v>21.12</v>
          </cell>
          <cell r="AK69">
            <v>0</v>
          </cell>
          <cell r="AL69">
            <v>0</v>
          </cell>
          <cell r="AM69">
            <v>0.16</v>
          </cell>
          <cell r="AN69">
            <v>11.36</v>
          </cell>
          <cell r="AO69">
            <v>62.08</v>
          </cell>
          <cell r="AP69">
            <v>1.92</v>
          </cell>
          <cell r="AQ69">
            <v>0</v>
          </cell>
          <cell r="AR69">
            <v>19.2</v>
          </cell>
          <cell r="AS69">
            <v>26.08</v>
          </cell>
          <cell r="AT69">
            <v>34.08</v>
          </cell>
          <cell r="AU69">
            <v>0.16</v>
          </cell>
          <cell r="AV69">
            <v>32</v>
          </cell>
          <cell r="AW69">
            <v>0</v>
          </cell>
          <cell r="AX69">
            <v>0</v>
          </cell>
          <cell r="AY69">
            <v>8.8</v>
          </cell>
          <cell r="AZ69">
            <v>0</v>
          </cell>
          <cell r="BA69">
            <v>51.04</v>
          </cell>
          <cell r="BB69">
            <v>87.84</v>
          </cell>
          <cell r="BC69">
            <v>20.16</v>
          </cell>
          <cell r="BD69">
            <v>25.92</v>
          </cell>
          <cell r="BE69">
            <v>0</v>
          </cell>
          <cell r="BF69">
            <v>34.88</v>
          </cell>
          <cell r="BG69">
            <v>0.64</v>
          </cell>
          <cell r="BH69">
            <v>82.56</v>
          </cell>
          <cell r="BI69">
            <v>127.84</v>
          </cell>
        </row>
        <row r="70">
          <cell r="A70" t="str">
            <v>PUR Wind1N Wind</v>
          </cell>
          <cell r="B70">
            <v>0</v>
          </cell>
          <cell r="C70">
            <v>0</v>
          </cell>
          <cell r="D70">
            <v>0</v>
          </cell>
          <cell r="E70">
            <v>0</v>
          </cell>
          <cell r="F70">
            <v>0</v>
          </cell>
          <cell r="G70">
            <v>0</v>
          </cell>
          <cell r="H70">
            <v>0</v>
          </cell>
          <cell r="I70">
            <v>0</v>
          </cell>
          <cell r="J70">
            <v>0</v>
          </cell>
          <cell r="K70">
            <v>0</v>
          </cell>
          <cell r="L70">
            <v>0</v>
          </cell>
          <cell r="M70">
            <v>0</v>
          </cell>
          <cell r="N70">
            <v>9.76</v>
          </cell>
          <cell r="O70">
            <v>78.64</v>
          </cell>
          <cell r="P70">
            <v>0</v>
          </cell>
          <cell r="Q70">
            <v>3.36</v>
          </cell>
          <cell r="R70">
            <v>78</v>
          </cell>
          <cell r="S70">
            <v>40.88</v>
          </cell>
          <cell r="T70">
            <v>16.16</v>
          </cell>
          <cell r="U70">
            <v>40.32</v>
          </cell>
          <cell r="V70">
            <v>4.8</v>
          </cell>
          <cell r="W70">
            <v>0</v>
          </cell>
          <cell r="X70">
            <v>0</v>
          </cell>
          <cell r="Y70">
            <v>22.56</v>
          </cell>
          <cell r="Z70">
            <v>0</v>
          </cell>
          <cell r="AA70">
            <v>9.68</v>
          </cell>
          <cell r="AB70">
            <v>63.68</v>
          </cell>
          <cell r="AC70">
            <v>16.8</v>
          </cell>
          <cell r="AD70">
            <v>60.08</v>
          </cell>
          <cell r="AE70">
            <v>0</v>
          </cell>
          <cell r="AF70">
            <v>24.24</v>
          </cell>
          <cell r="AG70">
            <v>5.12</v>
          </cell>
          <cell r="AH70">
            <v>45.28</v>
          </cell>
          <cell r="AI70">
            <v>0</v>
          </cell>
          <cell r="AJ70">
            <v>10.56</v>
          </cell>
          <cell r="AK70">
            <v>0</v>
          </cell>
          <cell r="AL70">
            <v>0</v>
          </cell>
          <cell r="AM70">
            <v>0.08</v>
          </cell>
          <cell r="AN70">
            <v>5.68</v>
          </cell>
          <cell r="AO70">
            <v>31.04</v>
          </cell>
          <cell r="AP70">
            <v>0.96</v>
          </cell>
          <cell r="AQ70">
            <v>0</v>
          </cell>
          <cell r="AR70">
            <v>9.6</v>
          </cell>
          <cell r="AS70">
            <v>13.04</v>
          </cell>
          <cell r="AT70">
            <v>17.04</v>
          </cell>
          <cell r="AU70">
            <v>0.08</v>
          </cell>
          <cell r="AV70">
            <v>16</v>
          </cell>
          <cell r="AW70">
            <v>0</v>
          </cell>
          <cell r="AX70">
            <v>0</v>
          </cell>
          <cell r="AY70">
            <v>4.4</v>
          </cell>
          <cell r="AZ70">
            <v>0</v>
          </cell>
          <cell r="BA70">
            <v>25.52</v>
          </cell>
          <cell r="BB70">
            <v>43.92</v>
          </cell>
          <cell r="BC70">
            <v>10.08</v>
          </cell>
          <cell r="BD70">
            <v>12.96</v>
          </cell>
          <cell r="BE70">
            <v>0</v>
          </cell>
          <cell r="BF70">
            <v>17.44</v>
          </cell>
          <cell r="BG70">
            <v>0.32</v>
          </cell>
          <cell r="BH70">
            <v>41.28</v>
          </cell>
          <cell r="BI70">
            <v>63.92</v>
          </cell>
        </row>
        <row r="71">
          <cell r="A71" t="str">
            <v>PUR Wind1S Wind</v>
          </cell>
          <cell r="B71">
            <v>0</v>
          </cell>
          <cell r="C71">
            <v>0</v>
          </cell>
          <cell r="D71">
            <v>0</v>
          </cell>
          <cell r="E71">
            <v>0</v>
          </cell>
          <cell r="F71">
            <v>0</v>
          </cell>
          <cell r="G71">
            <v>0</v>
          </cell>
          <cell r="H71">
            <v>0</v>
          </cell>
          <cell r="I71">
            <v>0</v>
          </cell>
          <cell r="J71">
            <v>0</v>
          </cell>
          <cell r="K71">
            <v>0</v>
          </cell>
          <cell r="L71">
            <v>0</v>
          </cell>
          <cell r="M71">
            <v>0</v>
          </cell>
          <cell r="N71">
            <v>9.76</v>
          </cell>
          <cell r="O71">
            <v>78.64</v>
          </cell>
          <cell r="P71">
            <v>0</v>
          </cell>
          <cell r="Q71">
            <v>3.36</v>
          </cell>
          <cell r="R71">
            <v>78</v>
          </cell>
          <cell r="S71">
            <v>40.88</v>
          </cell>
          <cell r="T71">
            <v>16.16</v>
          </cell>
          <cell r="U71">
            <v>40.32</v>
          </cell>
          <cell r="V71">
            <v>4.8</v>
          </cell>
          <cell r="W71">
            <v>0</v>
          </cell>
          <cell r="X71">
            <v>0</v>
          </cell>
          <cell r="Y71">
            <v>22.56</v>
          </cell>
          <cell r="Z71">
            <v>0</v>
          </cell>
          <cell r="AA71">
            <v>9.68</v>
          </cell>
          <cell r="AB71">
            <v>63.68</v>
          </cell>
          <cell r="AC71">
            <v>16.8</v>
          </cell>
          <cell r="AD71">
            <v>60.08</v>
          </cell>
          <cell r="AE71">
            <v>0</v>
          </cell>
          <cell r="AF71">
            <v>24.24</v>
          </cell>
          <cell r="AG71">
            <v>5.12</v>
          </cell>
          <cell r="AH71">
            <v>45.28</v>
          </cell>
          <cell r="AI71">
            <v>0</v>
          </cell>
          <cell r="AJ71">
            <v>10.56</v>
          </cell>
          <cell r="AK71">
            <v>0</v>
          </cell>
          <cell r="AL71">
            <v>0</v>
          </cell>
          <cell r="AM71">
            <v>0.08</v>
          </cell>
          <cell r="AN71">
            <v>5.68</v>
          </cell>
          <cell r="AO71">
            <v>31.04</v>
          </cell>
          <cell r="AP71">
            <v>0.96</v>
          </cell>
          <cell r="AQ71">
            <v>0</v>
          </cell>
          <cell r="AR71">
            <v>9.6</v>
          </cell>
          <cell r="AS71">
            <v>13.04</v>
          </cell>
          <cell r="AT71">
            <v>17.04</v>
          </cell>
          <cell r="AU71">
            <v>0.08</v>
          </cell>
          <cell r="AV71">
            <v>16</v>
          </cell>
          <cell r="AW71">
            <v>0</v>
          </cell>
          <cell r="AX71">
            <v>0</v>
          </cell>
          <cell r="AY71">
            <v>4.4</v>
          </cell>
          <cell r="AZ71">
            <v>0</v>
          </cell>
          <cell r="BA71">
            <v>25.52</v>
          </cell>
          <cell r="BB71">
            <v>43.92</v>
          </cell>
          <cell r="BC71">
            <v>10.08</v>
          </cell>
          <cell r="BD71">
            <v>12.96</v>
          </cell>
          <cell r="BE71">
            <v>0</v>
          </cell>
          <cell r="BF71">
            <v>17.44</v>
          </cell>
          <cell r="BG71">
            <v>0.32</v>
          </cell>
          <cell r="BH71">
            <v>41.28</v>
          </cell>
          <cell r="BI71">
            <v>63.92</v>
          </cell>
        </row>
        <row r="72">
          <cell r="A72" t="str">
            <v>SAL GSEC PR</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-468</v>
          </cell>
          <cell r="AQ72">
            <v>-488</v>
          </cell>
          <cell r="AR72">
            <v>-488</v>
          </cell>
          <cell r="AS72">
            <v>-488</v>
          </cell>
          <cell r="AT72">
            <v>-488</v>
          </cell>
          <cell r="AU72">
            <v>-488</v>
          </cell>
          <cell r="AV72">
            <v>-488</v>
          </cell>
          <cell r="AW72">
            <v>-488</v>
          </cell>
          <cell r="AX72">
            <v>-488</v>
          </cell>
          <cell r="AY72">
            <v>-488</v>
          </cell>
          <cell r="AZ72">
            <v>-488</v>
          </cell>
          <cell r="BA72">
            <v>-488</v>
          </cell>
          <cell r="BB72">
            <v>-488</v>
          </cell>
          <cell r="BC72">
            <v>-508</v>
          </cell>
          <cell r="BD72">
            <v>-508</v>
          </cell>
          <cell r="BE72">
            <v>-508</v>
          </cell>
          <cell r="BF72">
            <v>-508</v>
          </cell>
          <cell r="BG72">
            <v>-508</v>
          </cell>
          <cell r="BH72">
            <v>-508</v>
          </cell>
          <cell r="BI72">
            <v>-508</v>
          </cell>
        </row>
        <row r="73">
          <cell r="A73" t="str">
            <v>PUR CEM CC</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502</v>
          </cell>
          <cell r="T73">
            <v>502</v>
          </cell>
          <cell r="U73">
            <v>502</v>
          </cell>
          <cell r="V73">
            <v>502</v>
          </cell>
          <cell r="W73">
            <v>604</v>
          </cell>
          <cell r="X73">
            <v>604</v>
          </cell>
          <cell r="Y73">
            <v>604</v>
          </cell>
          <cell r="Z73">
            <v>604</v>
          </cell>
          <cell r="AA73">
            <v>604</v>
          </cell>
          <cell r="AB73">
            <v>604</v>
          </cell>
          <cell r="AC73">
            <v>604</v>
          </cell>
          <cell r="AD73">
            <v>502</v>
          </cell>
          <cell r="AE73">
            <v>502</v>
          </cell>
          <cell r="AF73">
            <v>502</v>
          </cell>
          <cell r="AG73">
            <v>502</v>
          </cell>
          <cell r="AH73">
            <v>502</v>
          </cell>
          <cell r="AI73">
            <v>604</v>
          </cell>
          <cell r="AJ73">
            <v>604</v>
          </cell>
          <cell r="AK73">
            <v>604</v>
          </cell>
          <cell r="AL73">
            <v>604</v>
          </cell>
          <cell r="AM73">
            <v>604</v>
          </cell>
          <cell r="AN73">
            <v>604</v>
          </cell>
          <cell r="AO73">
            <v>604</v>
          </cell>
          <cell r="AP73">
            <v>502</v>
          </cell>
          <cell r="AQ73">
            <v>502</v>
          </cell>
          <cell r="AR73">
            <v>502</v>
          </cell>
          <cell r="AS73">
            <v>502</v>
          </cell>
          <cell r="AT73">
            <v>502</v>
          </cell>
          <cell r="AU73">
            <v>604</v>
          </cell>
          <cell r="AV73">
            <v>604</v>
          </cell>
          <cell r="AW73">
            <v>604</v>
          </cell>
          <cell r="AX73">
            <v>604</v>
          </cell>
          <cell r="AY73">
            <v>604</v>
          </cell>
          <cell r="AZ73">
            <v>604</v>
          </cell>
          <cell r="BA73">
            <v>604</v>
          </cell>
          <cell r="BB73">
            <v>502</v>
          </cell>
          <cell r="BC73">
            <v>502</v>
          </cell>
          <cell r="BD73">
            <v>502</v>
          </cell>
          <cell r="BE73">
            <v>502</v>
          </cell>
          <cell r="BF73">
            <v>502</v>
          </cell>
          <cell r="BG73">
            <v>604</v>
          </cell>
          <cell r="BH73">
            <v>604</v>
          </cell>
          <cell r="BI73">
            <v>604</v>
          </cell>
        </row>
        <row r="74">
          <cell r="A74" t="str">
            <v>PUR TEA20</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row>
        <row r="75">
          <cell r="A75" t="str">
            <v>PUR JDWind5 Wind</v>
          </cell>
          <cell r="B75">
            <v>10</v>
          </cell>
          <cell r="C75">
            <v>10</v>
          </cell>
          <cell r="D75">
            <v>10</v>
          </cell>
          <cell r="E75">
            <v>10</v>
          </cell>
          <cell r="F75">
            <v>10</v>
          </cell>
          <cell r="G75">
            <v>10</v>
          </cell>
          <cell r="H75">
            <v>10</v>
          </cell>
          <cell r="I75">
            <v>10</v>
          </cell>
          <cell r="J75">
            <v>10</v>
          </cell>
          <cell r="K75">
            <v>10</v>
          </cell>
          <cell r="L75">
            <v>10</v>
          </cell>
          <cell r="M75">
            <v>10</v>
          </cell>
          <cell r="N75">
            <v>10</v>
          </cell>
          <cell r="O75">
            <v>10</v>
          </cell>
          <cell r="P75">
            <v>10</v>
          </cell>
          <cell r="Q75">
            <v>10</v>
          </cell>
          <cell r="R75">
            <v>10</v>
          </cell>
          <cell r="S75">
            <v>10</v>
          </cell>
          <cell r="T75">
            <v>10</v>
          </cell>
          <cell r="U75">
            <v>10</v>
          </cell>
          <cell r="V75">
            <v>10</v>
          </cell>
          <cell r="W75">
            <v>10</v>
          </cell>
          <cell r="X75">
            <v>10</v>
          </cell>
          <cell r="Y75">
            <v>10</v>
          </cell>
          <cell r="Z75">
            <v>10</v>
          </cell>
          <cell r="AA75">
            <v>10</v>
          </cell>
          <cell r="AB75">
            <v>10</v>
          </cell>
          <cell r="AC75">
            <v>10</v>
          </cell>
          <cell r="AD75">
            <v>10</v>
          </cell>
          <cell r="AE75">
            <v>10</v>
          </cell>
          <cell r="AF75">
            <v>10</v>
          </cell>
          <cell r="AG75">
            <v>10</v>
          </cell>
          <cell r="AH75">
            <v>10</v>
          </cell>
          <cell r="AI75">
            <v>10</v>
          </cell>
          <cell r="AJ75">
            <v>10</v>
          </cell>
          <cell r="AK75">
            <v>10</v>
          </cell>
          <cell r="AL75">
            <v>10</v>
          </cell>
          <cell r="AM75">
            <v>10</v>
          </cell>
          <cell r="AN75">
            <v>10</v>
          </cell>
          <cell r="AO75">
            <v>10</v>
          </cell>
          <cell r="AP75">
            <v>10</v>
          </cell>
          <cell r="AQ75">
            <v>10</v>
          </cell>
          <cell r="AR75">
            <v>10</v>
          </cell>
          <cell r="AS75">
            <v>10</v>
          </cell>
          <cell r="AT75">
            <v>10</v>
          </cell>
          <cell r="AU75">
            <v>10</v>
          </cell>
          <cell r="AV75">
            <v>10</v>
          </cell>
          <cell r="AW75">
            <v>10</v>
          </cell>
          <cell r="AX75">
            <v>10</v>
          </cell>
          <cell r="AY75">
            <v>10</v>
          </cell>
          <cell r="AZ75">
            <v>10</v>
          </cell>
          <cell r="BA75">
            <v>10</v>
          </cell>
          <cell r="BB75">
            <v>10</v>
          </cell>
          <cell r="BC75">
            <v>10</v>
          </cell>
          <cell r="BD75">
            <v>10</v>
          </cell>
          <cell r="BE75">
            <v>10</v>
          </cell>
          <cell r="BF75">
            <v>10</v>
          </cell>
          <cell r="BG75">
            <v>10</v>
          </cell>
          <cell r="BH75">
            <v>10</v>
          </cell>
          <cell r="BI75">
            <v>10</v>
          </cell>
        </row>
        <row r="76">
          <cell r="A76" t="str">
            <v>PUR JDWind6 Wind</v>
          </cell>
          <cell r="B76">
            <v>10</v>
          </cell>
          <cell r="C76">
            <v>10</v>
          </cell>
          <cell r="D76">
            <v>10</v>
          </cell>
          <cell r="E76">
            <v>10</v>
          </cell>
          <cell r="F76">
            <v>10</v>
          </cell>
          <cell r="G76">
            <v>10</v>
          </cell>
          <cell r="H76">
            <v>10</v>
          </cell>
          <cell r="I76">
            <v>10</v>
          </cell>
          <cell r="J76">
            <v>10</v>
          </cell>
          <cell r="K76">
            <v>10</v>
          </cell>
          <cell r="L76">
            <v>10</v>
          </cell>
          <cell r="M76">
            <v>10</v>
          </cell>
          <cell r="N76">
            <v>10</v>
          </cell>
          <cell r="O76">
            <v>10</v>
          </cell>
          <cell r="P76">
            <v>10</v>
          </cell>
          <cell r="Q76">
            <v>10</v>
          </cell>
          <cell r="R76">
            <v>10</v>
          </cell>
          <cell r="S76">
            <v>10</v>
          </cell>
          <cell r="T76">
            <v>10</v>
          </cell>
          <cell r="U76">
            <v>10</v>
          </cell>
          <cell r="V76">
            <v>10</v>
          </cell>
          <cell r="W76">
            <v>10</v>
          </cell>
          <cell r="X76">
            <v>10</v>
          </cell>
          <cell r="Y76">
            <v>10</v>
          </cell>
          <cell r="Z76">
            <v>10</v>
          </cell>
          <cell r="AA76">
            <v>10</v>
          </cell>
          <cell r="AB76">
            <v>10</v>
          </cell>
          <cell r="AC76">
            <v>10</v>
          </cell>
          <cell r="AD76">
            <v>10</v>
          </cell>
          <cell r="AE76">
            <v>10</v>
          </cell>
          <cell r="AF76">
            <v>10</v>
          </cell>
          <cell r="AG76">
            <v>10</v>
          </cell>
          <cell r="AH76">
            <v>10</v>
          </cell>
          <cell r="AI76">
            <v>10</v>
          </cell>
          <cell r="AJ76">
            <v>10</v>
          </cell>
          <cell r="AK76">
            <v>10</v>
          </cell>
          <cell r="AL76">
            <v>10</v>
          </cell>
          <cell r="AM76">
            <v>10</v>
          </cell>
          <cell r="AN76">
            <v>10</v>
          </cell>
          <cell r="AO76">
            <v>10</v>
          </cell>
          <cell r="AP76">
            <v>10</v>
          </cell>
          <cell r="AQ76">
            <v>10</v>
          </cell>
          <cell r="AR76">
            <v>10</v>
          </cell>
          <cell r="AS76">
            <v>10</v>
          </cell>
          <cell r="AT76">
            <v>10</v>
          </cell>
          <cell r="AU76">
            <v>10</v>
          </cell>
          <cell r="AV76">
            <v>10</v>
          </cell>
          <cell r="AW76">
            <v>10</v>
          </cell>
          <cell r="AX76">
            <v>10</v>
          </cell>
          <cell r="AY76">
            <v>10</v>
          </cell>
          <cell r="AZ76">
            <v>10</v>
          </cell>
          <cell r="BA76">
            <v>10</v>
          </cell>
          <cell r="BB76">
            <v>10</v>
          </cell>
          <cell r="BC76">
            <v>10</v>
          </cell>
          <cell r="BD76">
            <v>10</v>
          </cell>
          <cell r="BE76">
            <v>10</v>
          </cell>
          <cell r="BF76">
            <v>10</v>
          </cell>
          <cell r="BG76">
            <v>10</v>
          </cell>
          <cell r="BH76">
            <v>10</v>
          </cell>
          <cell r="BI76">
            <v>10</v>
          </cell>
        </row>
      </sheetData>
      <sheetData sheetId="7" refreshError="1">
        <row r="2">
          <cell r="A2" t="str">
            <v>Scenario</v>
          </cell>
          <cell r="B2" t="str">
            <v>(All)</v>
          </cell>
        </row>
        <row r="4">
          <cell r="A4" t="str">
            <v>Sum of GWH</v>
          </cell>
          <cell r="B4" t="str">
            <v>Year</v>
          </cell>
          <cell r="C4" t="str">
            <v>Month</v>
          </cell>
        </row>
        <row r="5">
          <cell r="B5">
            <v>2007</v>
          </cell>
          <cell r="N5">
            <v>2008</v>
          </cell>
          <cell r="Z5">
            <v>2009</v>
          </cell>
          <cell r="AL5">
            <v>2010</v>
          </cell>
          <cell r="AX5">
            <v>2011</v>
          </cell>
        </row>
        <row r="6">
          <cell r="A6" t="str">
            <v>Source</v>
          </cell>
          <cell r="B6">
            <v>1</v>
          </cell>
          <cell r="C6">
            <v>2</v>
          </cell>
          <cell r="D6">
            <v>3</v>
          </cell>
          <cell r="E6">
            <v>4</v>
          </cell>
          <cell r="F6">
            <v>5</v>
          </cell>
          <cell r="G6">
            <v>6</v>
          </cell>
          <cell r="H6">
            <v>7</v>
          </cell>
          <cell r="I6">
            <v>8</v>
          </cell>
          <cell r="J6">
            <v>9</v>
          </cell>
          <cell r="K6">
            <v>10</v>
          </cell>
          <cell r="L6">
            <v>11</v>
          </cell>
          <cell r="M6">
            <v>12</v>
          </cell>
          <cell r="N6">
            <v>1</v>
          </cell>
          <cell r="O6">
            <v>2</v>
          </cell>
          <cell r="P6">
            <v>3</v>
          </cell>
          <cell r="Q6">
            <v>4</v>
          </cell>
          <cell r="R6">
            <v>5</v>
          </cell>
          <cell r="S6">
            <v>6</v>
          </cell>
          <cell r="T6">
            <v>7</v>
          </cell>
          <cell r="U6">
            <v>8</v>
          </cell>
          <cell r="V6">
            <v>9</v>
          </cell>
          <cell r="W6">
            <v>10</v>
          </cell>
          <cell r="X6">
            <v>11</v>
          </cell>
          <cell r="Y6">
            <v>12</v>
          </cell>
          <cell r="Z6">
            <v>1</v>
          </cell>
          <cell r="AA6">
            <v>2</v>
          </cell>
          <cell r="AB6">
            <v>3</v>
          </cell>
          <cell r="AC6">
            <v>4</v>
          </cell>
          <cell r="AD6">
            <v>5</v>
          </cell>
          <cell r="AE6">
            <v>6</v>
          </cell>
          <cell r="AF6">
            <v>7</v>
          </cell>
          <cell r="AG6">
            <v>8</v>
          </cell>
          <cell r="AH6">
            <v>9</v>
          </cell>
          <cell r="AI6">
            <v>10</v>
          </cell>
          <cell r="AJ6">
            <v>11</v>
          </cell>
          <cell r="AK6">
            <v>12</v>
          </cell>
          <cell r="AL6">
            <v>1</v>
          </cell>
          <cell r="AM6">
            <v>2</v>
          </cell>
          <cell r="AN6">
            <v>3</v>
          </cell>
          <cell r="AO6">
            <v>4</v>
          </cell>
          <cell r="AP6">
            <v>5</v>
          </cell>
          <cell r="AQ6">
            <v>6</v>
          </cell>
          <cell r="AR6">
            <v>7</v>
          </cell>
          <cell r="AS6">
            <v>8</v>
          </cell>
          <cell r="AT6">
            <v>9</v>
          </cell>
          <cell r="AU6">
            <v>10</v>
          </cell>
          <cell r="AV6">
            <v>11</v>
          </cell>
          <cell r="AW6">
            <v>12</v>
          </cell>
          <cell r="AX6">
            <v>1</v>
          </cell>
          <cell r="AY6">
            <v>2</v>
          </cell>
          <cell r="AZ6">
            <v>3</v>
          </cell>
          <cell r="BA6">
            <v>4</v>
          </cell>
          <cell r="BB6">
            <v>5</v>
          </cell>
          <cell r="BC6">
            <v>6</v>
          </cell>
          <cell r="BD6">
            <v>7</v>
          </cell>
          <cell r="BE6">
            <v>8</v>
          </cell>
          <cell r="BF6">
            <v>9</v>
          </cell>
          <cell r="BG6">
            <v>10</v>
          </cell>
          <cell r="BH6">
            <v>11</v>
          </cell>
          <cell r="BI6">
            <v>12</v>
          </cell>
        </row>
        <row r="7">
          <cell r="A7" t="str">
            <v>BLACKHAWK 1</v>
          </cell>
          <cell r="B7">
            <v>60.6</v>
          </cell>
          <cell r="C7">
            <v>62.57</v>
          </cell>
          <cell r="D7">
            <v>62.55</v>
          </cell>
          <cell r="E7">
            <v>63.85</v>
          </cell>
          <cell r="F7">
            <v>63.64</v>
          </cell>
          <cell r="G7">
            <v>61.89</v>
          </cell>
          <cell r="H7">
            <v>66.01</v>
          </cell>
          <cell r="I7">
            <v>65.22</v>
          </cell>
          <cell r="J7">
            <v>61.23</v>
          </cell>
          <cell r="K7">
            <v>36.83</v>
          </cell>
          <cell r="L7">
            <v>57.82</v>
          </cell>
          <cell r="M7">
            <v>57.6</v>
          </cell>
          <cell r="N7">
            <v>60.06</v>
          </cell>
          <cell r="O7">
            <v>59.17</v>
          </cell>
          <cell r="P7">
            <v>64.85</v>
          </cell>
          <cell r="Q7">
            <v>63.68</v>
          </cell>
          <cell r="R7">
            <v>62.84</v>
          </cell>
          <cell r="S7">
            <v>57.57</v>
          </cell>
          <cell r="T7">
            <v>63.82</v>
          </cell>
          <cell r="U7">
            <v>63.66</v>
          </cell>
          <cell r="V7">
            <v>59.16</v>
          </cell>
          <cell r="W7">
            <v>36.51</v>
          </cell>
          <cell r="X7">
            <v>49.98</v>
          </cell>
          <cell r="Y7">
            <v>38.29</v>
          </cell>
          <cell r="Z7">
            <v>49.04</v>
          </cell>
          <cell r="AA7">
            <v>58.25</v>
          </cell>
          <cell r="AB7">
            <v>46.32</v>
          </cell>
          <cell r="AC7">
            <v>59.19</v>
          </cell>
          <cell r="AD7">
            <v>60.63</v>
          </cell>
          <cell r="AE7">
            <v>60.72</v>
          </cell>
          <cell r="AF7">
            <v>63.9</v>
          </cell>
          <cell r="AG7">
            <v>63.95</v>
          </cell>
          <cell r="AH7">
            <v>59.71</v>
          </cell>
          <cell r="AI7">
            <v>30.45</v>
          </cell>
          <cell r="AJ7">
            <v>29.83</v>
          </cell>
          <cell r="AK7">
            <v>37.99</v>
          </cell>
          <cell r="AL7">
            <v>47.51</v>
          </cell>
          <cell r="AM7">
            <v>51.52</v>
          </cell>
          <cell r="AN7">
            <v>47.66</v>
          </cell>
          <cell r="AO7">
            <v>56.96</v>
          </cell>
          <cell r="AP7">
            <v>55.6</v>
          </cell>
          <cell r="AQ7">
            <v>58.39</v>
          </cell>
          <cell r="AR7">
            <v>63.35</v>
          </cell>
          <cell r="AS7">
            <v>62.27</v>
          </cell>
          <cell r="AT7">
            <v>59.78</v>
          </cell>
          <cell r="AU7">
            <v>46.39</v>
          </cell>
          <cell r="AV7">
            <v>49</v>
          </cell>
          <cell r="AW7">
            <v>52.03</v>
          </cell>
          <cell r="AX7">
            <v>53.36</v>
          </cell>
          <cell r="AY7">
            <v>60.01</v>
          </cell>
          <cell r="AZ7">
            <v>63.57</v>
          </cell>
          <cell r="BA7">
            <v>63.12</v>
          </cell>
          <cell r="BB7">
            <v>59.51</v>
          </cell>
          <cell r="BC7">
            <v>59.23</v>
          </cell>
          <cell r="BD7">
            <v>64.26</v>
          </cell>
          <cell r="BE7">
            <v>63.96</v>
          </cell>
          <cell r="BF7">
            <v>61.67</v>
          </cell>
          <cell r="BG7">
            <v>48.69</v>
          </cell>
          <cell r="BH7">
            <v>49.37</v>
          </cell>
          <cell r="BI7">
            <v>53.16</v>
          </cell>
        </row>
        <row r="8">
          <cell r="A8" t="str">
            <v>BLACKHAWK 2</v>
          </cell>
          <cell r="B8">
            <v>62.09</v>
          </cell>
          <cell r="C8">
            <v>62.74</v>
          </cell>
          <cell r="D8">
            <v>60.01</v>
          </cell>
          <cell r="E8">
            <v>51.33</v>
          </cell>
          <cell r="F8">
            <v>63.06</v>
          </cell>
          <cell r="G8">
            <v>61.17</v>
          </cell>
          <cell r="H8">
            <v>63.38</v>
          </cell>
          <cell r="I8">
            <v>63.8</v>
          </cell>
          <cell r="J8">
            <v>60.46</v>
          </cell>
          <cell r="K8">
            <v>64.21</v>
          </cell>
          <cell r="L8">
            <v>60.51</v>
          </cell>
          <cell r="M8">
            <v>61.75</v>
          </cell>
          <cell r="N8">
            <v>61.76</v>
          </cell>
          <cell r="O8">
            <v>59.26</v>
          </cell>
          <cell r="P8">
            <v>65.19</v>
          </cell>
          <cell r="Q8">
            <v>34.91</v>
          </cell>
          <cell r="R8">
            <v>62.31</v>
          </cell>
          <cell r="S8">
            <v>57.32</v>
          </cell>
          <cell r="T8">
            <v>63.66</v>
          </cell>
          <cell r="U8">
            <v>63.27</v>
          </cell>
          <cell r="V8">
            <v>59.12</v>
          </cell>
          <cell r="W8">
            <v>47.57</v>
          </cell>
          <cell r="X8">
            <v>59.37</v>
          </cell>
          <cell r="Y8">
            <v>58.56</v>
          </cell>
          <cell r="Z8">
            <v>52.36</v>
          </cell>
          <cell r="AA8">
            <v>57.38</v>
          </cell>
          <cell r="AB8">
            <v>24.06</v>
          </cell>
          <cell r="AC8">
            <v>47.5</v>
          </cell>
          <cell r="AD8">
            <v>58.62</v>
          </cell>
          <cell r="AE8">
            <v>59.65</v>
          </cell>
          <cell r="AF8">
            <v>63.58</v>
          </cell>
          <cell r="AG8">
            <v>63.21</v>
          </cell>
          <cell r="AH8">
            <v>59.24</v>
          </cell>
          <cell r="AI8">
            <v>49.89</v>
          </cell>
          <cell r="AJ8">
            <v>33.32</v>
          </cell>
          <cell r="AK8">
            <v>40.52</v>
          </cell>
          <cell r="AL8">
            <v>53.76</v>
          </cell>
          <cell r="AM8">
            <v>52.1</v>
          </cell>
          <cell r="AN8">
            <v>40.44</v>
          </cell>
          <cell r="AO8">
            <v>56.51</v>
          </cell>
          <cell r="AP8">
            <v>52.47</v>
          </cell>
          <cell r="AQ8">
            <v>57.12</v>
          </cell>
          <cell r="AR8">
            <v>62.97</v>
          </cell>
          <cell r="AS8">
            <v>63.12</v>
          </cell>
          <cell r="AT8">
            <v>61.04</v>
          </cell>
          <cell r="AU8">
            <v>46.38</v>
          </cell>
          <cell r="AV8">
            <v>50.21</v>
          </cell>
          <cell r="AW8">
            <v>52.88</v>
          </cell>
          <cell r="AX8">
            <v>57.68</v>
          </cell>
          <cell r="AY8">
            <v>60.41</v>
          </cell>
          <cell r="AZ8">
            <v>61.36</v>
          </cell>
          <cell r="BA8">
            <v>63.06</v>
          </cell>
          <cell r="BB8">
            <v>57.5</v>
          </cell>
          <cell r="BC8">
            <v>59.15</v>
          </cell>
          <cell r="BD8">
            <v>63.27</v>
          </cell>
          <cell r="BE8">
            <v>63.31</v>
          </cell>
          <cell r="BF8">
            <v>61.35</v>
          </cell>
          <cell r="BG8">
            <v>48.6</v>
          </cell>
          <cell r="BH8">
            <v>50.43</v>
          </cell>
          <cell r="BI8">
            <v>55.79</v>
          </cell>
        </row>
        <row r="9">
          <cell r="A9" t="str">
            <v>CARLS GT 5</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row>
        <row r="10">
          <cell r="A10" t="str">
            <v>CEL1GAS 1</v>
          </cell>
          <cell r="B10">
            <v>9.49</v>
          </cell>
          <cell r="C10">
            <v>8.57</v>
          </cell>
          <cell r="D10">
            <v>9.49</v>
          </cell>
          <cell r="E10">
            <v>5.81</v>
          </cell>
          <cell r="F10">
            <v>7.96</v>
          </cell>
          <cell r="G10">
            <v>9.18</v>
          </cell>
          <cell r="H10">
            <v>9.49</v>
          </cell>
          <cell r="I10">
            <v>9.49</v>
          </cell>
          <cell r="J10">
            <v>9.18</v>
          </cell>
          <cell r="K10">
            <v>9.49</v>
          </cell>
          <cell r="L10">
            <v>9.18</v>
          </cell>
          <cell r="M10">
            <v>9.49</v>
          </cell>
          <cell r="N10">
            <v>9.49</v>
          </cell>
          <cell r="O10">
            <v>8.88</v>
          </cell>
          <cell r="P10">
            <v>9.49</v>
          </cell>
          <cell r="Q10">
            <v>7.03</v>
          </cell>
          <cell r="R10">
            <v>7.96</v>
          </cell>
          <cell r="S10">
            <v>9.18</v>
          </cell>
          <cell r="T10">
            <v>9.49</v>
          </cell>
          <cell r="U10">
            <v>9.49</v>
          </cell>
          <cell r="V10">
            <v>9.18</v>
          </cell>
          <cell r="W10">
            <v>9.49</v>
          </cell>
          <cell r="X10">
            <v>9.18</v>
          </cell>
          <cell r="Y10">
            <v>9.49</v>
          </cell>
          <cell r="Z10">
            <v>9.49</v>
          </cell>
          <cell r="AA10">
            <v>8.57</v>
          </cell>
          <cell r="AB10">
            <v>9.49</v>
          </cell>
          <cell r="AC10">
            <v>7.35</v>
          </cell>
          <cell r="AD10">
            <v>7.03</v>
          </cell>
          <cell r="AE10">
            <v>9.18</v>
          </cell>
          <cell r="AF10">
            <v>9.49</v>
          </cell>
          <cell r="AG10">
            <v>9.49</v>
          </cell>
          <cell r="AH10">
            <v>9.18</v>
          </cell>
          <cell r="AI10">
            <v>9.49</v>
          </cell>
          <cell r="AJ10">
            <v>9.18</v>
          </cell>
          <cell r="AK10">
            <v>9.49</v>
          </cell>
          <cell r="AL10">
            <v>9.49</v>
          </cell>
          <cell r="AM10">
            <v>8.57</v>
          </cell>
          <cell r="AN10">
            <v>9.49</v>
          </cell>
          <cell r="AO10">
            <v>7.64</v>
          </cell>
          <cell r="AP10">
            <v>6.73</v>
          </cell>
          <cell r="AQ10">
            <v>9.18</v>
          </cell>
          <cell r="AR10">
            <v>9.49</v>
          </cell>
          <cell r="AS10">
            <v>9.49</v>
          </cell>
          <cell r="AT10">
            <v>9.18</v>
          </cell>
          <cell r="AU10">
            <v>9.49</v>
          </cell>
          <cell r="AV10">
            <v>9.18</v>
          </cell>
          <cell r="AW10">
            <v>9.49</v>
          </cell>
          <cell r="AX10">
            <v>9.49</v>
          </cell>
          <cell r="AY10">
            <v>8.57</v>
          </cell>
          <cell r="AZ10">
            <v>9.49</v>
          </cell>
          <cell r="BA10">
            <v>6.31</v>
          </cell>
          <cell r="BB10">
            <v>9.49</v>
          </cell>
          <cell r="BC10">
            <v>9.18</v>
          </cell>
          <cell r="BD10">
            <v>9.49</v>
          </cell>
          <cell r="BE10">
            <v>9.49</v>
          </cell>
          <cell r="BF10">
            <v>9.18</v>
          </cell>
          <cell r="BG10">
            <v>9.49</v>
          </cell>
          <cell r="BH10">
            <v>9.18</v>
          </cell>
          <cell r="BI10">
            <v>9.49</v>
          </cell>
        </row>
        <row r="11">
          <cell r="A11" t="str">
            <v>CEL2STM 1</v>
          </cell>
          <cell r="B11">
            <v>18.77</v>
          </cell>
          <cell r="C11">
            <v>16.95</v>
          </cell>
          <cell r="D11">
            <v>18.77</v>
          </cell>
          <cell r="E11">
            <v>11.52</v>
          </cell>
          <cell r="F11">
            <v>15.76</v>
          </cell>
          <cell r="G11">
            <v>18.17</v>
          </cell>
          <cell r="H11">
            <v>18.77</v>
          </cell>
          <cell r="I11">
            <v>18.77</v>
          </cell>
          <cell r="J11">
            <v>18.17</v>
          </cell>
          <cell r="K11">
            <v>18.77</v>
          </cell>
          <cell r="L11">
            <v>18.17</v>
          </cell>
          <cell r="M11">
            <v>18.77</v>
          </cell>
          <cell r="N11">
            <v>18.77</v>
          </cell>
          <cell r="O11">
            <v>17.58</v>
          </cell>
          <cell r="P11">
            <v>18.77</v>
          </cell>
          <cell r="Q11">
            <v>13.94</v>
          </cell>
          <cell r="R11">
            <v>15.76</v>
          </cell>
          <cell r="S11">
            <v>18.17</v>
          </cell>
          <cell r="T11">
            <v>18.77</v>
          </cell>
          <cell r="U11">
            <v>18.77</v>
          </cell>
          <cell r="V11">
            <v>18.17</v>
          </cell>
          <cell r="W11">
            <v>18.77</v>
          </cell>
          <cell r="X11">
            <v>18.17</v>
          </cell>
          <cell r="Y11">
            <v>18.77</v>
          </cell>
          <cell r="Z11">
            <v>18.77</v>
          </cell>
          <cell r="AA11">
            <v>16.95</v>
          </cell>
          <cell r="AB11">
            <v>18.77</v>
          </cell>
          <cell r="AC11">
            <v>14.53</v>
          </cell>
          <cell r="AD11">
            <v>13.94</v>
          </cell>
          <cell r="AE11">
            <v>18.17</v>
          </cell>
          <cell r="AF11">
            <v>18.77</v>
          </cell>
          <cell r="AG11">
            <v>18.77</v>
          </cell>
          <cell r="AH11">
            <v>18.17</v>
          </cell>
          <cell r="AI11">
            <v>18.77</v>
          </cell>
          <cell r="AJ11">
            <v>18.17</v>
          </cell>
          <cell r="AK11">
            <v>18.77</v>
          </cell>
          <cell r="AL11">
            <v>18.77</v>
          </cell>
          <cell r="AM11">
            <v>16.95</v>
          </cell>
          <cell r="AN11">
            <v>18.77</v>
          </cell>
          <cell r="AO11">
            <v>15.13</v>
          </cell>
          <cell r="AP11">
            <v>13.34</v>
          </cell>
          <cell r="AQ11">
            <v>18.17</v>
          </cell>
          <cell r="AR11">
            <v>18.77</v>
          </cell>
          <cell r="AS11">
            <v>18.77</v>
          </cell>
          <cell r="AT11">
            <v>18.17</v>
          </cell>
          <cell r="AU11">
            <v>18.77</v>
          </cell>
          <cell r="AV11">
            <v>18.17</v>
          </cell>
          <cell r="AW11">
            <v>18.77</v>
          </cell>
          <cell r="AX11">
            <v>18.77</v>
          </cell>
          <cell r="AY11">
            <v>16.95</v>
          </cell>
          <cell r="AZ11">
            <v>18.77</v>
          </cell>
          <cell r="BA11">
            <v>12.48</v>
          </cell>
          <cell r="BB11">
            <v>18.77</v>
          </cell>
          <cell r="BC11">
            <v>18.17</v>
          </cell>
          <cell r="BD11">
            <v>18.77</v>
          </cell>
          <cell r="BE11">
            <v>18.77</v>
          </cell>
          <cell r="BF11">
            <v>18.17</v>
          </cell>
          <cell r="BG11">
            <v>18.77</v>
          </cell>
          <cell r="BH11">
            <v>18.17</v>
          </cell>
          <cell r="BI11">
            <v>18.77</v>
          </cell>
        </row>
        <row r="12">
          <cell r="A12" t="str">
            <v>CU GT 3</v>
          </cell>
          <cell r="B12">
            <v>0</v>
          </cell>
          <cell r="C12">
            <v>0</v>
          </cell>
          <cell r="D12">
            <v>0</v>
          </cell>
          <cell r="E12">
            <v>0</v>
          </cell>
          <cell r="F12">
            <v>0</v>
          </cell>
          <cell r="G12">
            <v>1.8</v>
          </cell>
          <cell r="H12">
            <v>3.42</v>
          </cell>
          <cell r="I12">
            <v>3.82</v>
          </cell>
          <cell r="J12">
            <v>0</v>
          </cell>
          <cell r="K12">
            <v>0</v>
          </cell>
          <cell r="L12">
            <v>0</v>
          </cell>
          <cell r="M12">
            <v>0</v>
          </cell>
          <cell r="N12">
            <v>0</v>
          </cell>
          <cell r="O12">
            <v>0</v>
          </cell>
          <cell r="P12">
            <v>0</v>
          </cell>
          <cell r="Q12">
            <v>0.45</v>
          </cell>
          <cell r="R12">
            <v>0</v>
          </cell>
          <cell r="S12">
            <v>0</v>
          </cell>
          <cell r="T12">
            <v>1.55</v>
          </cell>
          <cell r="U12">
            <v>1.03</v>
          </cell>
          <cell r="V12">
            <v>0</v>
          </cell>
          <cell r="W12">
            <v>0</v>
          </cell>
          <cell r="X12">
            <v>0</v>
          </cell>
          <cell r="Y12">
            <v>0</v>
          </cell>
          <cell r="Z12">
            <v>0</v>
          </cell>
          <cell r="AA12">
            <v>0</v>
          </cell>
          <cell r="AB12">
            <v>0</v>
          </cell>
          <cell r="AC12">
            <v>0</v>
          </cell>
          <cell r="AD12">
            <v>0</v>
          </cell>
          <cell r="AE12">
            <v>0</v>
          </cell>
          <cell r="AF12">
            <v>2.53</v>
          </cell>
          <cell r="AG12">
            <v>1.47</v>
          </cell>
          <cell r="AH12">
            <v>0</v>
          </cell>
          <cell r="AI12">
            <v>0</v>
          </cell>
          <cell r="AJ12">
            <v>0</v>
          </cell>
          <cell r="AK12">
            <v>0</v>
          </cell>
          <cell r="AL12">
            <v>0</v>
          </cell>
          <cell r="AM12">
            <v>0</v>
          </cell>
          <cell r="AN12">
            <v>0</v>
          </cell>
          <cell r="AO12">
            <v>0</v>
          </cell>
          <cell r="AP12">
            <v>0</v>
          </cell>
          <cell r="AQ12">
            <v>2.35</v>
          </cell>
          <cell r="AR12">
            <v>2.23</v>
          </cell>
          <cell r="AS12">
            <v>3.81</v>
          </cell>
          <cell r="AT12">
            <v>0.29</v>
          </cell>
          <cell r="AU12">
            <v>0</v>
          </cell>
          <cell r="AV12">
            <v>0</v>
          </cell>
          <cell r="AW12">
            <v>0</v>
          </cell>
          <cell r="AX12">
            <v>0</v>
          </cell>
          <cell r="AY12">
            <v>1.16</v>
          </cell>
          <cell r="AZ12">
            <v>0</v>
          </cell>
          <cell r="BA12">
            <v>0.74</v>
          </cell>
          <cell r="BB12">
            <v>0</v>
          </cell>
          <cell r="BC12">
            <v>1.23</v>
          </cell>
          <cell r="BD12">
            <v>1.69</v>
          </cell>
          <cell r="BE12">
            <v>3.63</v>
          </cell>
          <cell r="BF12">
            <v>0</v>
          </cell>
          <cell r="BG12">
            <v>0.49</v>
          </cell>
          <cell r="BH12">
            <v>0</v>
          </cell>
          <cell r="BI12">
            <v>0.16</v>
          </cell>
        </row>
        <row r="13">
          <cell r="A13" t="str">
            <v>CU GT 4</v>
          </cell>
          <cell r="B13">
            <v>0</v>
          </cell>
          <cell r="C13">
            <v>0</v>
          </cell>
          <cell r="D13">
            <v>0</v>
          </cell>
          <cell r="E13">
            <v>0</v>
          </cell>
          <cell r="F13">
            <v>0</v>
          </cell>
          <cell r="G13">
            <v>1.62</v>
          </cell>
          <cell r="H13">
            <v>5.2</v>
          </cell>
          <cell r="I13">
            <v>4.44</v>
          </cell>
          <cell r="J13">
            <v>0</v>
          </cell>
          <cell r="K13">
            <v>0</v>
          </cell>
          <cell r="L13">
            <v>0</v>
          </cell>
          <cell r="M13">
            <v>0</v>
          </cell>
          <cell r="N13">
            <v>0</v>
          </cell>
          <cell r="O13">
            <v>0</v>
          </cell>
          <cell r="P13">
            <v>0</v>
          </cell>
          <cell r="Q13">
            <v>1.09</v>
          </cell>
          <cell r="R13">
            <v>0</v>
          </cell>
          <cell r="S13">
            <v>0</v>
          </cell>
          <cell r="T13">
            <v>2.03</v>
          </cell>
          <cell r="U13">
            <v>1.2</v>
          </cell>
          <cell r="V13">
            <v>0</v>
          </cell>
          <cell r="W13">
            <v>0</v>
          </cell>
          <cell r="X13">
            <v>0</v>
          </cell>
          <cell r="Y13">
            <v>0</v>
          </cell>
          <cell r="Z13">
            <v>0</v>
          </cell>
          <cell r="AA13">
            <v>0</v>
          </cell>
          <cell r="AB13">
            <v>0</v>
          </cell>
          <cell r="AC13">
            <v>0</v>
          </cell>
          <cell r="AD13">
            <v>0</v>
          </cell>
          <cell r="AE13">
            <v>0</v>
          </cell>
          <cell r="AF13">
            <v>3.69</v>
          </cell>
          <cell r="AG13">
            <v>1.1</v>
          </cell>
          <cell r="AH13">
            <v>0</v>
          </cell>
          <cell r="AI13">
            <v>0</v>
          </cell>
          <cell r="AJ13">
            <v>0</v>
          </cell>
          <cell r="AK13">
            <v>0</v>
          </cell>
          <cell r="AL13">
            <v>0</v>
          </cell>
          <cell r="AM13">
            <v>0</v>
          </cell>
          <cell r="AN13">
            <v>0</v>
          </cell>
          <cell r="AO13">
            <v>0</v>
          </cell>
          <cell r="AP13">
            <v>0</v>
          </cell>
          <cell r="AQ13">
            <v>3.49</v>
          </cell>
          <cell r="AR13">
            <v>5.78</v>
          </cell>
          <cell r="AS13">
            <v>5.65</v>
          </cell>
          <cell r="AT13">
            <v>0.43</v>
          </cell>
          <cell r="AU13">
            <v>0</v>
          </cell>
          <cell r="AV13">
            <v>0</v>
          </cell>
          <cell r="AW13">
            <v>0.21</v>
          </cell>
          <cell r="AX13">
            <v>0</v>
          </cell>
          <cell r="AY13">
            <v>2.48</v>
          </cell>
          <cell r="AZ13">
            <v>1.02</v>
          </cell>
          <cell r="BA13">
            <v>1.02</v>
          </cell>
          <cell r="BB13">
            <v>0.35</v>
          </cell>
          <cell r="BC13">
            <v>2.17</v>
          </cell>
          <cell r="BD13">
            <v>2.49</v>
          </cell>
          <cell r="BE13">
            <v>4.42</v>
          </cell>
          <cell r="BF13">
            <v>0.42</v>
          </cell>
          <cell r="BG13">
            <v>0.79</v>
          </cell>
          <cell r="BH13">
            <v>0</v>
          </cell>
          <cell r="BI13">
            <v>1.21</v>
          </cell>
        </row>
        <row r="14">
          <cell r="A14" t="str">
            <v>CUNNINGHAM 1</v>
          </cell>
          <cell r="B14">
            <v>0</v>
          </cell>
          <cell r="C14">
            <v>7.11</v>
          </cell>
          <cell r="D14">
            <v>5.23</v>
          </cell>
          <cell r="E14">
            <v>18.63</v>
          </cell>
          <cell r="F14">
            <v>21.93</v>
          </cell>
          <cell r="G14">
            <v>26.8</v>
          </cell>
          <cell r="H14">
            <v>32.49</v>
          </cell>
          <cell r="I14">
            <v>31.76</v>
          </cell>
          <cell r="J14">
            <v>22.41</v>
          </cell>
          <cell r="K14">
            <v>7.15</v>
          </cell>
          <cell r="L14">
            <v>0</v>
          </cell>
          <cell r="M14">
            <v>0</v>
          </cell>
          <cell r="N14">
            <v>5.3</v>
          </cell>
          <cell r="O14">
            <v>7.66</v>
          </cell>
          <cell r="P14">
            <v>2.72</v>
          </cell>
          <cell r="Q14">
            <v>11</v>
          </cell>
          <cell r="R14">
            <v>22.5</v>
          </cell>
          <cell r="S14">
            <v>23.16</v>
          </cell>
          <cell r="T14">
            <v>28.88</v>
          </cell>
          <cell r="U14">
            <v>27.64</v>
          </cell>
          <cell r="V14">
            <v>19.26</v>
          </cell>
          <cell r="W14">
            <v>1.79</v>
          </cell>
          <cell r="X14">
            <v>0</v>
          </cell>
          <cell r="Y14">
            <v>6.06</v>
          </cell>
          <cell r="Z14">
            <v>0</v>
          </cell>
          <cell r="AA14">
            <v>2.47</v>
          </cell>
          <cell r="AB14">
            <v>0</v>
          </cell>
          <cell r="AC14">
            <v>1.48</v>
          </cell>
          <cell r="AD14">
            <v>21.83</v>
          </cell>
          <cell r="AE14">
            <v>23.63</v>
          </cell>
          <cell r="AF14">
            <v>29.97</v>
          </cell>
          <cell r="AG14">
            <v>29.3</v>
          </cell>
          <cell r="AH14">
            <v>20.72</v>
          </cell>
          <cell r="AI14">
            <v>0</v>
          </cell>
          <cell r="AJ14">
            <v>3.17</v>
          </cell>
          <cell r="AK14">
            <v>0</v>
          </cell>
          <cell r="AL14">
            <v>0</v>
          </cell>
          <cell r="AM14">
            <v>0</v>
          </cell>
          <cell r="AN14">
            <v>0</v>
          </cell>
          <cell r="AO14">
            <v>2.84</v>
          </cell>
          <cell r="AP14">
            <v>25.18</v>
          </cell>
          <cell r="AQ14">
            <v>27.32</v>
          </cell>
          <cell r="AR14">
            <v>30.47</v>
          </cell>
          <cell r="AS14">
            <v>30.61</v>
          </cell>
          <cell r="AT14">
            <v>25.13</v>
          </cell>
          <cell r="AU14">
            <v>7.95</v>
          </cell>
          <cell r="AV14">
            <v>6.98</v>
          </cell>
          <cell r="AW14">
            <v>6.13</v>
          </cell>
          <cell r="AX14">
            <v>8.51</v>
          </cell>
          <cell r="AY14">
            <v>14.06</v>
          </cell>
          <cell r="AZ14">
            <v>14.17</v>
          </cell>
          <cell r="BA14">
            <v>11.72</v>
          </cell>
          <cell r="BB14">
            <v>26.74</v>
          </cell>
          <cell r="BC14">
            <v>26.89</v>
          </cell>
          <cell r="BD14">
            <v>31.2</v>
          </cell>
          <cell r="BE14">
            <v>29.78</v>
          </cell>
          <cell r="BF14">
            <v>24.9</v>
          </cell>
          <cell r="BG14">
            <v>3.95</v>
          </cell>
          <cell r="BH14">
            <v>12.48</v>
          </cell>
          <cell r="BI14">
            <v>7.89</v>
          </cell>
        </row>
        <row r="15">
          <cell r="A15" t="str">
            <v>CUNNINGHAM 2</v>
          </cell>
          <cell r="B15">
            <v>58.91</v>
          </cell>
          <cell r="C15">
            <v>92.73</v>
          </cell>
          <cell r="D15">
            <v>49.68</v>
          </cell>
          <cell r="E15">
            <v>0</v>
          </cell>
          <cell r="F15">
            <v>30.12</v>
          </cell>
          <cell r="G15">
            <v>83.98</v>
          </cell>
          <cell r="H15">
            <v>101.41</v>
          </cell>
          <cell r="I15">
            <v>98.89</v>
          </cell>
          <cell r="J15">
            <v>72.73</v>
          </cell>
          <cell r="K15">
            <v>74.68</v>
          </cell>
          <cell r="L15">
            <v>67.81</v>
          </cell>
          <cell r="M15">
            <v>53.5</v>
          </cell>
          <cell r="N15">
            <v>58.32</v>
          </cell>
          <cell r="O15">
            <v>47.45</v>
          </cell>
          <cell r="P15">
            <v>60.54</v>
          </cell>
          <cell r="Q15">
            <v>81.12</v>
          </cell>
          <cell r="R15">
            <v>78.73</v>
          </cell>
          <cell r="S15">
            <v>76.79</v>
          </cell>
          <cell r="T15">
            <v>90.93</v>
          </cell>
          <cell r="U15">
            <v>88.23</v>
          </cell>
          <cell r="V15">
            <v>60.7</v>
          </cell>
          <cell r="W15">
            <v>44.8</v>
          </cell>
          <cell r="X15">
            <v>49.13</v>
          </cell>
          <cell r="Y15">
            <v>49.04</v>
          </cell>
          <cell r="Z15">
            <v>52.22</v>
          </cell>
          <cell r="AA15">
            <v>55.53</v>
          </cell>
          <cell r="AB15">
            <v>25.27</v>
          </cell>
          <cell r="AC15">
            <v>31.92</v>
          </cell>
          <cell r="AD15">
            <v>74.61</v>
          </cell>
          <cell r="AE15">
            <v>77.22</v>
          </cell>
          <cell r="AF15">
            <v>92.26</v>
          </cell>
          <cell r="AG15">
            <v>89.67</v>
          </cell>
          <cell r="AH15">
            <v>64.72</v>
          </cell>
          <cell r="AI15">
            <v>44.64</v>
          </cell>
          <cell r="AJ15">
            <v>34.04</v>
          </cell>
          <cell r="AK15">
            <v>47.39</v>
          </cell>
          <cell r="AL15">
            <v>37.22</v>
          </cell>
          <cell r="AM15">
            <v>52.86</v>
          </cell>
          <cell r="AN15">
            <v>26.99</v>
          </cell>
          <cell r="AO15">
            <v>33.74</v>
          </cell>
          <cell r="AP15">
            <v>84.24</v>
          </cell>
          <cell r="AQ15">
            <v>91.84</v>
          </cell>
          <cell r="AR15">
            <v>100.54</v>
          </cell>
          <cell r="AS15">
            <v>98.29</v>
          </cell>
          <cell r="AT15">
            <v>88.2</v>
          </cell>
          <cell r="AU15">
            <v>56.78</v>
          </cell>
          <cell r="AV15">
            <v>71.02</v>
          </cell>
          <cell r="AW15">
            <v>73.11</v>
          </cell>
          <cell r="AX15">
            <v>63.57</v>
          </cell>
          <cell r="AY15">
            <v>88.79</v>
          </cell>
          <cell r="AZ15">
            <v>79.76</v>
          </cell>
          <cell r="BA15">
            <v>82.26</v>
          </cell>
          <cell r="BB15">
            <v>89.04</v>
          </cell>
          <cell r="BC15">
            <v>90.92</v>
          </cell>
          <cell r="BD15">
            <v>101.51</v>
          </cell>
          <cell r="BE15">
            <v>99.25</v>
          </cell>
          <cell r="BF15">
            <v>89.34</v>
          </cell>
          <cell r="BG15">
            <v>72.62</v>
          </cell>
          <cell r="BH15">
            <v>55.71</v>
          </cell>
          <cell r="BI15">
            <v>66.71</v>
          </cell>
        </row>
        <row r="16">
          <cell r="A16" t="str">
            <v>HARRINGTON 1</v>
          </cell>
          <cell r="B16">
            <v>221.17</v>
          </cell>
          <cell r="C16">
            <v>201.06</v>
          </cell>
          <cell r="D16">
            <v>221.12</v>
          </cell>
          <cell r="E16">
            <v>213.57</v>
          </cell>
          <cell r="F16">
            <v>213.4</v>
          </cell>
          <cell r="G16">
            <v>208.59</v>
          </cell>
          <cell r="H16">
            <v>221.13</v>
          </cell>
          <cell r="I16">
            <v>217.75</v>
          </cell>
          <cell r="J16">
            <v>198.72</v>
          </cell>
          <cell r="K16">
            <v>0</v>
          </cell>
          <cell r="L16">
            <v>95.47</v>
          </cell>
          <cell r="M16">
            <v>217.95</v>
          </cell>
          <cell r="N16">
            <v>217.7</v>
          </cell>
          <cell r="O16">
            <v>206.5</v>
          </cell>
          <cell r="P16">
            <v>218.39</v>
          </cell>
          <cell r="Q16">
            <v>212.13</v>
          </cell>
          <cell r="R16">
            <v>169.16</v>
          </cell>
          <cell r="S16">
            <v>212.71</v>
          </cell>
          <cell r="T16">
            <v>221.75</v>
          </cell>
          <cell r="U16">
            <v>220.71</v>
          </cell>
          <cell r="V16">
            <v>213.76</v>
          </cell>
          <cell r="W16">
            <v>220.94</v>
          </cell>
          <cell r="X16">
            <v>215.46</v>
          </cell>
          <cell r="Y16">
            <v>221.74</v>
          </cell>
          <cell r="Z16">
            <v>219.88</v>
          </cell>
          <cell r="AA16">
            <v>200.03</v>
          </cell>
          <cell r="AB16">
            <v>221.89</v>
          </cell>
          <cell r="AC16">
            <v>215.08</v>
          </cell>
          <cell r="AD16">
            <v>171.24</v>
          </cell>
          <cell r="AE16">
            <v>214.3</v>
          </cell>
          <cell r="AF16">
            <v>222.09</v>
          </cell>
          <cell r="AG16">
            <v>222.2</v>
          </cell>
          <cell r="AH16">
            <v>214.99</v>
          </cell>
          <cell r="AI16">
            <v>222.37</v>
          </cell>
          <cell r="AJ16">
            <v>215.19</v>
          </cell>
          <cell r="AK16">
            <v>221.8</v>
          </cell>
          <cell r="AL16">
            <v>57.45</v>
          </cell>
          <cell r="AM16">
            <v>64.41</v>
          </cell>
          <cell r="AN16">
            <v>221.65</v>
          </cell>
          <cell r="AO16">
            <v>212.27</v>
          </cell>
          <cell r="AP16">
            <v>218.77</v>
          </cell>
          <cell r="AQ16">
            <v>207.32</v>
          </cell>
          <cell r="AR16">
            <v>216.14</v>
          </cell>
          <cell r="AS16">
            <v>213.7</v>
          </cell>
          <cell r="AT16">
            <v>208.9</v>
          </cell>
          <cell r="AU16">
            <v>219.14</v>
          </cell>
          <cell r="AV16">
            <v>210.8</v>
          </cell>
          <cell r="AW16">
            <v>218.95</v>
          </cell>
          <cell r="AX16">
            <v>219.43</v>
          </cell>
          <cell r="AY16">
            <v>193.19</v>
          </cell>
          <cell r="AZ16">
            <v>154.91</v>
          </cell>
          <cell r="BA16">
            <v>212.04</v>
          </cell>
          <cell r="BB16">
            <v>220.37</v>
          </cell>
          <cell r="BC16">
            <v>208.84</v>
          </cell>
          <cell r="BD16">
            <v>217.39</v>
          </cell>
          <cell r="BE16">
            <v>214.72</v>
          </cell>
          <cell r="BF16">
            <v>210.02</v>
          </cell>
          <cell r="BG16">
            <v>220.06</v>
          </cell>
          <cell r="BH16">
            <v>210.93</v>
          </cell>
          <cell r="BI16">
            <v>219.26</v>
          </cell>
        </row>
        <row r="17">
          <cell r="A17" t="str">
            <v>HARRINGTON 2</v>
          </cell>
          <cell r="B17">
            <v>237.36</v>
          </cell>
          <cell r="C17">
            <v>214.24</v>
          </cell>
          <cell r="D17">
            <v>237.36</v>
          </cell>
          <cell r="E17">
            <v>175.5</v>
          </cell>
          <cell r="F17">
            <v>234.9</v>
          </cell>
          <cell r="G17">
            <v>228.19</v>
          </cell>
          <cell r="H17">
            <v>237.36</v>
          </cell>
          <cell r="I17">
            <v>237.35</v>
          </cell>
          <cell r="J17">
            <v>229.54</v>
          </cell>
          <cell r="K17">
            <v>237.36</v>
          </cell>
          <cell r="L17">
            <v>229.41</v>
          </cell>
          <cell r="M17">
            <v>237.35</v>
          </cell>
          <cell r="N17">
            <v>236.26</v>
          </cell>
          <cell r="O17">
            <v>222</v>
          </cell>
          <cell r="P17">
            <v>237.28</v>
          </cell>
          <cell r="Q17">
            <v>229.45</v>
          </cell>
          <cell r="R17">
            <v>235.87</v>
          </cell>
          <cell r="S17">
            <v>229.24</v>
          </cell>
          <cell r="T17">
            <v>237.27</v>
          </cell>
          <cell r="U17">
            <v>237.28</v>
          </cell>
          <cell r="V17">
            <v>229.54</v>
          </cell>
          <cell r="W17">
            <v>183.64</v>
          </cell>
          <cell r="X17">
            <v>0</v>
          </cell>
          <cell r="Y17">
            <v>145.21</v>
          </cell>
          <cell r="Z17">
            <v>237.23</v>
          </cell>
          <cell r="AA17">
            <v>160.2</v>
          </cell>
          <cell r="AB17">
            <v>237.36</v>
          </cell>
          <cell r="AC17">
            <v>229.54</v>
          </cell>
          <cell r="AD17">
            <v>237.28</v>
          </cell>
          <cell r="AE17">
            <v>229.36</v>
          </cell>
          <cell r="AF17">
            <v>237.33</v>
          </cell>
          <cell r="AG17">
            <v>237.36</v>
          </cell>
          <cell r="AH17">
            <v>229.52</v>
          </cell>
          <cell r="AI17">
            <v>237.36</v>
          </cell>
          <cell r="AJ17">
            <v>229.54</v>
          </cell>
          <cell r="AK17">
            <v>237.36</v>
          </cell>
          <cell r="AL17">
            <v>237.36</v>
          </cell>
          <cell r="AM17">
            <v>214.24</v>
          </cell>
          <cell r="AN17">
            <v>183.27</v>
          </cell>
          <cell r="AO17">
            <v>228.82</v>
          </cell>
          <cell r="AP17">
            <v>237.24</v>
          </cell>
          <cell r="AQ17">
            <v>227.64</v>
          </cell>
          <cell r="AR17">
            <v>236.06</v>
          </cell>
          <cell r="AS17">
            <v>233.99</v>
          </cell>
          <cell r="AT17">
            <v>227.96</v>
          </cell>
          <cell r="AU17">
            <v>237.14</v>
          </cell>
          <cell r="AV17">
            <v>228.84</v>
          </cell>
          <cell r="AW17">
            <v>236.88</v>
          </cell>
          <cell r="AX17">
            <v>237.18</v>
          </cell>
          <cell r="AY17">
            <v>213.38</v>
          </cell>
          <cell r="AZ17">
            <v>236.85</v>
          </cell>
          <cell r="BA17">
            <v>60.39</v>
          </cell>
          <cell r="BB17">
            <v>137.67</v>
          </cell>
          <cell r="BC17">
            <v>227.44</v>
          </cell>
          <cell r="BD17">
            <v>236.01</v>
          </cell>
          <cell r="BE17">
            <v>234.21</v>
          </cell>
          <cell r="BF17">
            <v>227.63</v>
          </cell>
          <cell r="BG17">
            <v>237.12</v>
          </cell>
          <cell r="BH17">
            <v>228.66</v>
          </cell>
          <cell r="BI17">
            <v>237.29</v>
          </cell>
        </row>
        <row r="18">
          <cell r="A18" t="str">
            <v>HARRINGTON 3</v>
          </cell>
          <cell r="B18">
            <v>232.2</v>
          </cell>
          <cell r="C18">
            <v>209.8</v>
          </cell>
          <cell r="D18">
            <v>231.91</v>
          </cell>
          <cell r="E18">
            <v>201.85</v>
          </cell>
          <cell r="F18">
            <v>198.59</v>
          </cell>
          <cell r="G18">
            <v>222.52</v>
          </cell>
          <cell r="H18">
            <v>231.83</v>
          </cell>
          <cell r="I18">
            <v>231.17</v>
          </cell>
          <cell r="J18">
            <v>224.36</v>
          </cell>
          <cell r="K18">
            <v>231.43</v>
          </cell>
          <cell r="L18">
            <v>223.21</v>
          </cell>
          <cell r="M18">
            <v>231.18</v>
          </cell>
          <cell r="N18">
            <v>231.38</v>
          </cell>
          <cell r="O18">
            <v>164.46</v>
          </cell>
          <cell r="P18">
            <v>231.66</v>
          </cell>
          <cell r="Q18">
            <v>224.12</v>
          </cell>
          <cell r="R18">
            <v>231.2</v>
          </cell>
          <cell r="S18">
            <v>224.16</v>
          </cell>
          <cell r="T18">
            <v>232.15</v>
          </cell>
          <cell r="U18">
            <v>231.8</v>
          </cell>
          <cell r="V18">
            <v>224.73</v>
          </cell>
          <cell r="W18">
            <v>225.21</v>
          </cell>
          <cell r="X18">
            <v>224.78</v>
          </cell>
          <cell r="Y18">
            <v>231.87</v>
          </cell>
          <cell r="Z18">
            <v>231.88</v>
          </cell>
          <cell r="AA18">
            <v>209.8</v>
          </cell>
          <cell r="AB18">
            <v>232.21</v>
          </cell>
          <cell r="AC18">
            <v>74.82</v>
          </cell>
          <cell r="AD18">
            <v>171.56</v>
          </cell>
          <cell r="AE18">
            <v>224.16</v>
          </cell>
          <cell r="AF18">
            <v>232.17</v>
          </cell>
          <cell r="AG18">
            <v>232.18</v>
          </cell>
          <cell r="AH18">
            <v>223.6</v>
          </cell>
          <cell r="AI18">
            <v>232.21</v>
          </cell>
          <cell r="AJ18">
            <v>224.74</v>
          </cell>
          <cell r="AK18">
            <v>232.18</v>
          </cell>
          <cell r="AL18">
            <v>232.26</v>
          </cell>
          <cell r="AM18">
            <v>209.8</v>
          </cell>
          <cell r="AN18">
            <v>232.15</v>
          </cell>
          <cell r="AO18">
            <v>223.36</v>
          </cell>
          <cell r="AP18">
            <v>178.81</v>
          </cell>
          <cell r="AQ18">
            <v>222</v>
          </cell>
          <cell r="AR18">
            <v>230.16</v>
          </cell>
          <cell r="AS18">
            <v>228.15</v>
          </cell>
          <cell r="AT18">
            <v>222.94</v>
          </cell>
          <cell r="AU18">
            <v>231.63</v>
          </cell>
          <cell r="AV18">
            <v>223.31</v>
          </cell>
          <cell r="AW18">
            <v>231.38</v>
          </cell>
          <cell r="AX18">
            <v>231.66</v>
          </cell>
          <cell r="AY18">
            <v>207.91</v>
          </cell>
          <cell r="AZ18">
            <v>186.28</v>
          </cell>
          <cell r="BA18">
            <v>200.7</v>
          </cell>
          <cell r="BB18">
            <v>232.15</v>
          </cell>
          <cell r="BC18">
            <v>221.97</v>
          </cell>
          <cell r="BD18">
            <v>230.18</v>
          </cell>
          <cell r="BE18">
            <v>227.98</v>
          </cell>
          <cell r="BF18">
            <v>222.52</v>
          </cell>
          <cell r="BG18">
            <v>231.65</v>
          </cell>
          <cell r="BH18">
            <v>223.94</v>
          </cell>
          <cell r="BI18">
            <v>231.91</v>
          </cell>
        </row>
        <row r="19">
          <cell r="A19" t="str">
            <v>JONES 1</v>
          </cell>
          <cell r="B19">
            <v>34.24</v>
          </cell>
          <cell r="C19">
            <v>105.91</v>
          </cell>
          <cell r="D19">
            <v>53.63</v>
          </cell>
          <cell r="E19">
            <v>87.82</v>
          </cell>
          <cell r="F19">
            <v>54.41</v>
          </cell>
          <cell r="G19">
            <v>79</v>
          </cell>
          <cell r="H19">
            <v>114.18</v>
          </cell>
          <cell r="I19">
            <v>104.58</v>
          </cell>
          <cell r="J19">
            <v>44.5</v>
          </cell>
          <cell r="K19">
            <v>75.66</v>
          </cell>
          <cell r="L19">
            <v>57.34</v>
          </cell>
          <cell r="M19">
            <v>42.25</v>
          </cell>
          <cell r="N19">
            <v>33.25</v>
          </cell>
          <cell r="O19">
            <v>51.02</v>
          </cell>
          <cell r="P19">
            <v>90.35</v>
          </cell>
          <cell r="Q19">
            <v>99.78</v>
          </cell>
          <cell r="R19">
            <v>76.91</v>
          </cell>
          <cell r="S19">
            <v>67.78</v>
          </cell>
          <cell r="T19">
            <v>92.2</v>
          </cell>
          <cell r="U19">
            <v>82.56</v>
          </cell>
          <cell r="V19">
            <v>47.67</v>
          </cell>
          <cell r="W19">
            <v>42.5</v>
          </cell>
          <cell r="X19">
            <v>16.98</v>
          </cell>
          <cell r="Y19">
            <v>23.14</v>
          </cell>
          <cell r="Z19">
            <v>49.2</v>
          </cell>
          <cell r="AA19">
            <v>45.42</v>
          </cell>
          <cell r="AB19">
            <v>5.67</v>
          </cell>
          <cell r="AC19">
            <v>48.34</v>
          </cell>
          <cell r="AD19">
            <v>59.22</v>
          </cell>
          <cell r="AE19">
            <v>70.76</v>
          </cell>
          <cell r="AF19">
            <v>91.98</v>
          </cell>
          <cell r="AG19">
            <v>87.45</v>
          </cell>
          <cell r="AH19">
            <v>33.7</v>
          </cell>
          <cell r="AI19">
            <v>0</v>
          </cell>
          <cell r="AJ19">
            <v>1.3</v>
          </cell>
          <cell r="AK19">
            <v>34.72</v>
          </cell>
          <cell r="AL19">
            <v>24.22</v>
          </cell>
          <cell r="AM19">
            <v>36.63</v>
          </cell>
          <cell r="AN19">
            <v>25.92</v>
          </cell>
          <cell r="AO19">
            <v>52.76</v>
          </cell>
          <cell r="AP19">
            <v>70.36</v>
          </cell>
          <cell r="AQ19">
            <v>86.8</v>
          </cell>
          <cell r="AR19">
            <v>107.94</v>
          </cell>
          <cell r="AS19">
            <v>98.94</v>
          </cell>
          <cell r="AT19">
            <v>76.35</v>
          </cell>
          <cell r="AU19">
            <v>61.44</v>
          </cell>
          <cell r="AV19">
            <v>55.66</v>
          </cell>
          <cell r="AW19">
            <v>82.68</v>
          </cell>
          <cell r="AX19">
            <v>61.44</v>
          </cell>
          <cell r="AY19">
            <v>102.6</v>
          </cell>
          <cell r="AZ19">
            <v>85.08</v>
          </cell>
          <cell r="BA19">
            <v>91.4</v>
          </cell>
          <cell r="BB19">
            <v>76.64</v>
          </cell>
          <cell r="BC19">
            <v>87.78</v>
          </cell>
          <cell r="BD19">
            <v>99.29</v>
          </cell>
          <cell r="BE19">
            <v>98.67</v>
          </cell>
          <cell r="BF19">
            <v>82.38</v>
          </cell>
          <cell r="BG19">
            <v>66.7</v>
          </cell>
          <cell r="BH19">
            <v>87.65</v>
          </cell>
          <cell r="BI19">
            <v>83.5</v>
          </cell>
        </row>
        <row r="20">
          <cell r="A20" t="str">
            <v>JONES 2</v>
          </cell>
          <cell r="B20">
            <v>50.46</v>
          </cell>
          <cell r="C20">
            <v>102.62</v>
          </cell>
          <cell r="D20">
            <v>70.53</v>
          </cell>
          <cell r="E20">
            <v>80.15</v>
          </cell>
          <cell r="F20">
            <v>70.71</v>
          </cell>
          <cell r="G20">
            <v>82.44</v>
          </cell>
          <cell r="H20">
            <v>109.76</v>
          </cell>
          <cell r="I20">
            <v>105.74</v>
          </cell>
          <cell r="J20">
            <v>63.23</v>
          </cell>
          <cell r="K20">
            <v>80.01</v>
          </cell>
          <cell r="L20">
            <v>61.54</v>
          </cell>
          <cell r="M20">
            <v>49.77</v>
          </cell>
          <cell r="N20">
            <v>50.54</v>
          </cell>
          <cell r="O20">
            <v>51.01</v>
          </cell>
          <cell r="P20">
            <v>86.97</v>
          </cell>
          <cell r="Q20">
            <v>26.99</v>
          </cell>
          <cell r="R20">
            <v>25.45</v>
          </cell>
          <cell r="S20">
            <v>50.01</v>
          </cell>
          <cell r="T20">
            <v>87.23</v>
          </cell>
          <cell r="U20">
            <v>86.82</v>
          </cell>
          <cell r="V20">
            <v>25.68</v>
          </cell>
          <cell r="W20">
            <v>34.59</v>
          </cell>
          <cell r="X20">
            <v>50.57</v>
          </cell>
          <cell r="Y20">
            <v>49.47</v>
          </cell>
          <cell r="Z20">
            <v>48.22</v>
          </cell>
          <cell r="AA20">
            <v>49.56</v>
          </cell>
          <cell r="AB20">
            <v>40.81</v>
          </cell>
          <cell r="AC20">
            <v>29.39</v>
          </cell>
          <cell r="AD20">
            <v>53.22</v>
          </cell>
          <cell r="AE20">
            <v>56.54</v>
          </cell>
          <cell r="AF20">
            <v>91.36</v>
          </cell>
          <cell r="AG20">
            <v>82.82</v>
          </cell>
          <cell r="AH20">
            <v>54.43</v>
          </cell>
          <cell r="AI20">
            <v>56.44</v>
          </cell>
          <cell r="AJ20">
            <v>53.75</v>
          </cell>
          <cell r="AK20">
            <v>25.98</v>
          </cell>
          <cell r="AL20">
            <v>61.03</v>
          </cell>
          <cell r="AM20">
            <v>56.93</v>
          </cell>
          <cell r="AN20">
            <v>40.28</v>
          </cell>
          <cell r="AO20">
            <v>56.35</v>
          </cell>
          <cell r="AP20">
            <v>77.9</v>
          </cell>
          <cell r="AQ20">
            <v>87.17</v>
          </cell>
          <cell r="AR20">
            <v>103.72</v>
          </cell>
          <cell r="AS20">
            <v>104.25</v>
          </cell>
          <cell r="AT20">
            <v>87.07</v>
          </cell>
          <cell r="AU20">
            <v>81.65</v>
          </cell>
          <cell r="AV20">
            <v>69.77</v>
          </cell>
          <cell r="AW20">
            <v>73.8</v>
          </cell>
          <cell r="AX20">
            <v>81.26</v>
          </cell>
          <cell r="AY20">
            <v>105.23</v>
          </cell>
          <cell r="AZ20">
            <v>98.4</v>
          </cell>
          <cell r="BA20">
            <v>95.54</v>
          </cell>
          <cell r="BB20">
            <v>85.99</v>
          </cell>
          <cell r="BC20">
            <v>92.8</v>
          </cell>
          <cell r="BD20">
            <v>108.25</v>
          </cell>
          <cell r="BE20">
            <v>101.11</v>
          </cell>
          <cell r="BF20">
            <v>90.33</v>
          </cell>
          <cell r="BG20">
            <v>74.41</v>
          </cell>
          <cell r="BH20">
            <v>11.79</v>
          </cell>
          <cell r="BI20">
            <v>20.77</v>
          </cell>
        </row>
        <row r="21">
          <cell r="A21" t="str">
            <v>MADDOX 1</v>
          </cell>
          <cell r="B21">
            <v>9.95</v>
          </cell>
          <cell r="C21">
            <v>10.98</v>
          </cell>
          <cell r="D21">
            <v>18.21</v>
          </cell>
          <cell r="E21">
            <v>34.72</v>
          </cell>
          <cell r="F21">
            <v>45.45</v>
          </cell>
          <cell r="G21">
            <v>48.86</v>
          </cell>
          <cell r="H21">
            <v>57.42</v>
          </cell>
          <cell r="I21">
            <v>56.33</v>
          </cell>
          <cell r="J21">
            <v>40.19</v>
          </cell>
          <cell r="K21">
            <v>16.94</v>
          </cell>
          <cell r="L21">
            <v>6.01</v>
          </cell>
          <cell r="M21">
            <v>10.8</v>
          </cell>
          <cell r="N21">
            <v>0</v>
          </cell>
          <cell r="O21">
            <v>0</v>
          </cell>
          <cell r="P21">
            <v>23.72</v>
          </cell>
          <cell r="Q21">
            <v>39.54</v>
          </cell>
          <cell r="R21">
            <v>43.34</v>
          </cell>
          <cell r="S21">
            <v>44.22</v>
          </cell>
          <cell r="T21">
            <v>52.55</v>
          </cell>
          <cell r="U21">
            <v>51.03</v>
          </cell>
          <cell r="V21">
            <v>35.21</v>
          </cell>
          <cell r="W21">
            <v>18.99</v>
          </cell>
          <cell r="X21">
            <v>11.94</v>
          </cell>
          <cell r="Y21">
            <v>0</v>
          </cell>
          <cell r="Z21">
            <v>18.34</v>
          </cell>
          <cell r="AA21">
            <v>12.44</v>
          </cell>
          <cell r="AB21">
            <v>17.13</v>
          </cell>
          <cell r="AC21">
            <v>22.18</v>
          </cell>
          <cell r="AD21">
            <v>41.21</v>
          </cell>
          <cell r="AE21">
            <v>44.35</v>
          </cell>
          <cell r="AF21">
            <v>53.32</v>
          </cell>
          <cell r="AG21">
            <v>52.16</v>
          </cell>
          <cell r="AH21">
            <v>37.81</v>
          </cell>
          <cell r="AI21">
            <v>14.04</v>
          </cell>
          <cell r="AJ21">
            <v>20.69</v>
          </cell>
          <cell r="AK21">
            <v>9.17</v>
          </cell>
          <cell r="AL21">
            <v>22.34</v>
          </cell>
          <cell r="AM21">
            <v>8.93</v>
          </cell>
          <cell r="AN21">
            <v>24.17</v>
          </cell>
          <cell r="AO21">
            <v>31.98</v>
          </cell>
          <cell r="AP21">
            <v>46.81</v>
          </cell>
          <cell r="AQ21">
            <v>51.36</v>
          </cell>
          <cell r="AR21">
            <v>55.69</v>
          </cell>
          <cell r="AS21">
            <v>55.57</v>
          </cell>
          <cell r="AT21">
            <v>50.38</v>
          </cell>
          <cell r="AU21">
            <v>20.34</v>
          </cell>
          <cell r="AV21">
            <v>16.61</v>
          </cell>
          <cell r="AW21">
            <v>20.18</v>
          </cell>
          <cell r="AX21">
            <v>24.62</v>
          </cell>
          <cell r="AY21">
            <v>42.15</v>
          </cell>
          <cell r="AZ21">
            <v>24.01</v>
          </cell>
          <cell r="BA21">
            <v>37.99</v>
          </cell>
          <cell r="BB21">
            <v>50.03</v>
          </cell>
          <cell r="BC21">
            <v>50.32</v>
          </cell>
          <cell r="BD21">
            <v>56.78</v>
          </cell>
          <cell r="BE21">
            <v>55.82</v>
          </cell>
          <cell r="BF21">
            <v>48.61</v>
          </cell>
          <cell r="BG21">
            <v>9.85</v>
          </cell>
          <cell r="BH21">
            <v>24.29</v>
          </cell>
          <cell r="BI21">
            <v>33.07</v>
          </cell>
        </row>
        <row r="22">
          <cell r="A22" t="str">
            <v>MD GT 2</v>
          </cell>
          <cell r="B22">
            <v>0</v>
          </cell>
          <cell r="C22">
            <v>0</v>
          </cell>
          <cell r="D22">
            <v>0</v>
          </cell>
          <cell r="E22">
            <v>0</v>
          </cell>
          <cell r="F22">
            <v>0.32</v>
          </cell>
          <cell r="G22">
            <v>1.49</v>
          </cell>
          <cell r="H22">
            <v>2.59</v>
          </cell>
          <cell r="I22">
            <v>2.72</v>
          </cell>
          <cell r="J22">
            <v>0</v>
          </cell>
          <cell r="K22">
            <v>0</v>
          </cell>
          <cell r="L22">
            <v>0</v>
          </cell>
          <cell r="M22">
            <v>0</v>
          </cell>
          <cell r="N22">
            <v>0</v>
          </cell>
          <cell r="O22">
            <v>0</v>
          </cell>
          <cell r="P22">
            <v>0</v>
          </cell>
          <cell r="Q22">
            <v>0.2</v>
          </cell>
          <cell r="R22">
            <v>0</v>
          </cell>
          <cell r="S22">
            <v>0</v>
          </cell>
          <cell r="T22">
            <v>1.29</v>
          </cell>
          <cell r="U22">
            <v>0.45</v>
          </cell>
          <cell r="V22">
            <v>0</v>
          </cell>
          <cell r="W22">
            <v>0</v>
          </cell>
          <cell r="X22">
            <v>0</v>
          </cell>
          <cell r="Y22">
            <v>0</v>
          </cell>
          <cell r="Z22">
            <v>0</v>
          </cell>
          <cell r="AA22">
            <v>0</v>
          </cell>
          <cell r="AB22">
            <v>0</v>
          </cell>
          <cell r="AC22">
            <v>0</v>
          </cell>
          <cell r="AD22">
            <v>0</v>
          </cell>
          <cell r="AE22">
            <v>0.32</v>
          </cell>
          <cell r="AF22">
            <v>0.26</v>
          </cell>
          <cell r="AG22">
            <v>0.58</v>
          </cell>
          <cell r="AH22">
            <v>0</v>
          </cell>
          <cell r="AI22">
            <v>0</v>
          </cell>
          <cell r="AJ22">
            <v>0</v>
          </cell>
          <cell r="AK22">
            <v>0</v>
          </cell>
          <cell r="AL22">
            <v>0</v>
          </cell>
          <cell r="AM22">
            <v>0</v>
          </cell>
          <cell r="AN22">
            <v>0</v>
          </cell>
          <cell r="AO22">
            <v>0</v>
          </cell>
          <cell r="AP22">
            <v>0</v>
          </cell>
          <cell r="AQ22">
            <v>1.62</v>
          </cell>
          <cell r="AR22">
            <v>2.01</v>
          </cell>
          <cell r="AS22">
            <v>3.24</v>
          </cell>
          <cell r="AT22">
            <v>0</v>
          </cell>
          <cell r="AU22">
            <v>0.13</v>
          </cell>
          <cell r="AV22">
            <v>0</v>
          </cell>
          <cell r="AW22">
            <v>0.26</v>
          </cell>
          <cell r="AX22">
            <v>0</v>
          </cell>
          <cell r="AY22">
            <v>0.73</v>
          </cell>
          <cell r="AZ22">
            <v>0.2</v>
          </cell>
          <cell r="BA22">
            <v>0.26</v>
          </cell>
          <cell r="BB22">
            <v>0</v>
          </cell>
          <cell r="BC22">
            <v>0.78</v>
          </cell>
          <cell r="BD22">
            <v>1.88</v>
          </cell>
          <cell r="BE22">
            <v>1.42</v>
          </cell>
          <cell r="BF22">
            <v>0.26</v>
          </cell>
          <cell r="BG22">
            <v>0.26</v>
          </cell>
          <cell r="BH22">
            <v>0</v>
          </cell>
          <cell r="BI22">
            <v>0</v>
          </cell>
        </row>
        <row r="23">
          <cell r="A23" t="str">
            <v>MD GT 3</v>
          </cell>
          <cell r="B23">
            <v>0</v>
          </cell>
          <cell r="C23">
            <v>0</v>
          </cell>
          <cell r="D23">
            <v>0</v>
          </cell>
          <cell r="E23">
            <v>0</v>
          </cell>
          <cell r="F23">
            <v>0</v>
          </cell>
          <cell r="G23">
            <v>0.13</v>
          </cell>
          <cell r="H23">
            <v>0.05</v>
          </cell>
          <cell r="I23">
            <v>0.21</v>
          </cell>
          <cell r="J23">
            <v>0</v>
          </cell>
          <cell r="K23">
            <v>0</v>
          </cell>
          <cell r="L23">
            <v>0</v>
          </cell>
          <cell r="M23">
            <v>0</v>
          </cell>
          <cell r="N23">
            <v>0</v>
          </cell>
          <cell r="O23">
            <v>0</v>
          </cell>
          <cell r="P23">
            <v>0</v>
          </cell>
          <cell r="Q23">
            <v>0</v>
          </cell>
          <cell r="R23">
            <v>0</v>
          </cell>
          <cell r="S23">
            <v>0</v>
          </cell>
          <cell r="T23">
            <v>0.05</v>
          </cell>
          <cell r="U23">
            <v>0</v>
          </cell>
          <cell r="V23">
            <v>0</v>
          </cell>
          <cell r="W23">
            <v>0</v>
          </cell>
          <cell r="X23">
            <v>0</v>
          </cell>
          <cell r="Y23">
            <v>0</v>
          </cell>
          <cell r="Z23">
            <v>0</v>
          </cell>
          <cell r="AA23">
            <v>0</v>
          </cell>
          <cell r="AB23">
            <v>0</v>
          </cell>
          <cell r="AC23">
            <v>0</v>
          </cell>
          <cell r="AD23">
            <v>0</v>
          </cell>
          <cell r="AE23">
            <v>0</v>
          </cell>
          <cell r="AF23">
            <v>0.2</v>
          </cell>
          <cell r="AG23">
            <v>0.09</v>
          </cell>
          <cell r="AH23">
            <v>0</v>
          </cell>
          <cell r="AI23">
            <v>0</v>
          </cell>
          <cell r="AJ23">
            <v>0</v>
          </cell>
          <cell r="AK23">
            <v>0</v>
          </cell>
          <cell r="AL23">
            <v>0</v>
          </cell>
          <cell r="AM23">
            <v>0</v>
          </cell>
          <cell r="AN23">
            <v>0</v>
          </cell>
          <cell r="AO23">
            <v>0</v>
          </cell>
          <cell r="AP23">
            <v>0</v>
          </cell>
          <cell r="AQ23">
            <v>0.11</v>
          </cell>
          <cell r="AR23">
            <v>0.19</v>
          </cell>
          <cell r="AS23">
            <v>0.28</v>
          </cell>
          <cell r="AT23">
            <v>0</v>
          </cell>
          <cell r="AU23">
            <v>0</v>
          </cell>
          <cell r="AV23">
            <v>0</v>
          </cell>
          <cell r="AW23">
            <v>0</v>
          </cell>
          <cell r="AX23">
            <v>0</v>
          </cell>
          <cell r="AY23">
            <v>0.05</v>
          </cell>
          <cell r="AZ23">
            <v>0</v>
          </cell>
          <cell r="BA23">
            <v>0</v>
          </cell>
          <cell r="BB23">
            <v>0</v>
          </cell>
          <cell r="BC23">
            <v>0.04</v>
          </cell>
          <cell r="BD23">
            <v>0.04</v>
          </cell>
          <cell r="BE23">
            <v>0.15</v>
          </cell>
          <cell r="BF23">
            <v>0</v>
          </cell>
          <cell r="BG23">
            <v>0</v>
          </cell>
          <cell r="BH23">
            <v>0</v>
          </cell>
          <cell r="BI23">
            <v>0</v>
          </cell>
        </row>
        <row r="24">
          <cell r="A24" t="str">
            <v>MOORE CO</v>
          </cell>
          <cell r="B24">
            <v>0</v>
          </cell>
          <cell r="C24">
            <v>0</v>
          </cell>
          <cell r="D24">
            <v>0</v>
          </cell>
          <cell r="E24">
            <v>0</v>
          </cell>
          <cell r="F24">
            <v>0</v>
          </cell>
          <cell r="G24">
            <v>1.03</v>
          </cell>
          <cell r="H24">
            <v>3.95</v>
          </cell>
          <cell r="I24">
            <v>3.34</v>
          </cell>
          <cell r="J24">
            <v>0</v>
          </cell>
          <cell r="K24">
            <v>0</v>
          </cell>
          <cell r="L24">
            <v>0</v>
          </cell>
          <cell r="M24">
            <v>0</v>
          </cell>
          <cell r="N24">
            <v>0</v>
          </cell>
          <cell r="O24">
            <v>0</v>
          </cell>
          <cell r="P24">
            <v>0</v>
          </cell>
          <cell r="Q24">
            <v>0</v>
          </cell>
          <cell r="R24">
            <v>0</v>
          </cell>
          <cell r="S24">
            <v>0</v>
          </cell>
          <cell r="T24">
            <v>1.91</v>
          </cell>
          <cell r="U24">
            <v>1.12</v>
          </cell>
          <cell r="V24">
            <v>0</v>
          </cell>
          <cell r="W24">
            <v>0</v>
          </cell>
          <cell r="X24">
            <v>0</v>
          </cell>
          <cell r="Y24">
            <v>0</v>
          </cell>
          <cell r="Z24">
            <v>0</v>
          </cell>
          <cell r="AA24">
            <v>0</v>
          </cell>
          <cell r="AB24">
            <v>0</v>
          </cell>
          <cell r="AC24">
            <v>0</v>
          </cell>
          <cell r="AD24">
            <v>0</v>
          </cell>
          <cell r="AE24">
            <v>0.63</v>
          </cell>
          <cell r="AF24">
            <v>2.1</v>
          </cell>
          <cell r="AG24">
            <v>3</v>
          </cell>
          <cell r="AH24">
            <v>0.08</v>
          </cell>
          <cell r="AI24">
            <v>0</v>
          </cell>
          <cell r="AJ24">
            <v>0</v>
          </cell>
          <cell r="AK24">
            <v>0</v>
          </cell>
          <cell r="AL24">
            <v>0</v>
          </cell>
          <cell r="AM24">
            <v>0</v>
          </cell>
          <cell r="AN24">
            <v>0</v>
          </cell>
          <cell r="AO24">
            <v>0</v>
          </cell>
          <cell r="AP24">
            <v>0</v>
          </cell>
          <cell r="AQ24">
            <v>0.79</v>
          </cell>
          <cell r="AR24">
            <v>1.57</v>
          </cell>
          <cell r="AS24">
            <v>2.03</v>
          </cell>
          <cell r="AT24">
            <v>0.91</v>
          </cell>
          <cell r="AU24">
            <v>0</v>
          </cell>
          <cell r="AV24">
            <v>0</v>
          </cell>
          <cell r="AW24">
            <v>0</v>
          </cell>
          <cell r="AX24">
            <v>0</v>
          </cell>
          <cell r="AY24">
            <v>0</v>
          </cell>
          <cell r="AZ24">
            <v>0</v>
          </cell>
          <cell r="BA24">
            <v>0</v>
          </cell>
          <cell r="BB24">
            <v>0</v>
          </cell>
          <cell r="BC24">
            <v>0.97</v>
          </cell>
          <cell r="BD24">
            <v>1.84</v>
          </cell>
          <cell r="BE24">
            <v>0.62</v>
          </cell>
          <cell r="BF24">
            <v>0</v>
          </cell>
          <cell r="BG24">
            <v>0</v>
          </cell>
          <cell r="BH24">
            <v>0</v>
          </cell>
          <cell r="BI24">
            <v>0</v>
          </cell>
        </row>
        <row r="25">
          <cell r="A25" t="str">
            <v>MUSTANG CC 1</v>
          </cell>
          <cell r="B25">
            <v>147.06</v>
          </cell>
          <cell r="C25">
            <v>142.91</v>
          </cell>
          <cell r="D25">
            <v>146.42</v>
          </cell>
          <cell r="E25">
            <v>144.66</v>
          </cell>
          <cell r="F25">
            <v>136.48</v>
          </cell>
          <cell r="G25">
            <v>134.43</v>
          </cell>
          <cell r="H25">
            <v>148.64</v>
          </cell>
          <cell r="I25">
            <v>144.26</v>
          </cell>
          <cell r="J25">
            <v>138.04</v>
          </cell>
          <cell r="K25">
            <v>143.31</v>
          </cell>
          <cell r="L25">
            <v>137.84</v>
          </cell>
          <cell r="M25">
            <v>139.37</v>
          </cell>
          <cell r="N25">
            <v>140.16</v>
          </cell>
          <cell r="O25">
            <v>136.75</v>
          </cell>
          <cell r="P25">
            <v>153.73</v>
          </cell>
          <cell r="Q25">
            <v>145.01</v>
          </cell>
          <cell r="R25">
            <v>135.12</v>
          </cell>
          <cell r="S25">
            <v>119.37</v>
          </cell>
          <cell r="T25">
            <v>137.03</v>
          </cell>
          <cell r="U25">
            <v>138.29</v>
          </cell>
          <cell r="V25">
            <v>128.55</v>
          </cell>
          <cell r="W25">
            <v>109.73</v>
          </cell>
          <cell r="X25">
            <v>143.9</v>
          </cell>
          <cell r="Y25">
            <v>145.89</v>
          </cell>
          <cell r="Z25">
            <v>151.15</v>
          </cell>
          <cell r="AA25">
            <v>140.4</v>
          </cell>
          <cell r="AB25">
            <v>125.22</v>
          </cell>
          <cell r="AC25">
            <v>127.06</v>
          </cell>
          <cell r="AD25">
            <v>129.26</v>
          </cell>
          <cell r="AE25">
            <v>128.92</v>
          </cell>
          <cell r="AF25">
            <v>143.91</v>
          </cell>
          <cell r="AG25">
            <v>141.39</v>
          </cell>
          <cell r="AH25">
            <v>127.04</v>
          </cell>
          <cell r="AI25">
            <v>123.08</v>
          </cell>
          <cell r="AJ25">
            <v>137.94</v>
          </cell>
          <cell r="AK25">
            <v>144.67</v>
          </cell>
          <cell r="AL25">
            <v>149.7</v>
          </cell>
          <cell r="AM25">
            <v>139.44</v>
          </cell>
          <cell r="AN25">
            <v>147.72</v>
          </cell>
          <cell r="AO25">
            <v>75.76</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row>
        <row r="26">
          <cell r="A26" t="str">
            <v>MUSTANG CC 2</v>
          </cell>
          <cell r="B26">
            <v>143.01</v>
          </cell>
          <cell r="C26">
            <v>142.79</v>
          </cell>
          <cell r="D26">
            <v>142.63</v>
          </cell>
          <cell r="E26">
            <v>142.68</v>
          </cell>
          <cell r="F26">
            <v>125.73</v>
          </cell>
          <cell r="G26">
            <v>118.94</v>
          </cell>
          <cell r="H26">
            <v>147.89</v>
          </cell>
          <cell r="I26">
            <v>144.24</v>
          </cell>
          <cell r="J26">
            <v>135.62</v>
          </cell>
          <cell r="K26">
            <v>139.9</v>
          </cell>
          <cell r="L26">
            <v>131.23</v>
          </cell>
          <cell r="M26">
            <v>133.79</v>
          </cell>
          <cell r="N26">
            <v>136.22</v>
          </cell>
          <cell r="O26">
            <v>133.93</v>
          </cell>
          <cell r="P26">
            <v>150.2</v>
          </cell>
          <cell r="Q26">
            <v>142.41</v>
          </cell>
          <cell r="R26">
            <v>126.98</v>
          </cell>
          <cell r="S26">
            <v>112.42</v>
          </cell>
          <cell r="T26">
            <v>135.25</v>
          </cell>
          <cell r="U26">
            <v>129.34</v>
          </cell>
          <cell r="V26">
            <v>107.64</v>
          </cell>
          <cell r="W26">
            <v>63.07</v>
          </cell>
          <cell r="X26">
            <v>138.06</v>
          </cell>
          <cell r="Y26">
            <v>126.07</v>
          </cell>
          <cell r="Z26">
            <v>147.01</v>
          </cell>
          <cell r="AA26">
            <v>138.79</v>
          </cell>
          <cell r="AB26">
            <v>88.37</v>
          </cell>
          <cell r="AC26">
            <v>105.24</v>
          </cell>
          <cell r="AD26">
            <v>116.96</v>
          </cell>
          <cell r="AE26">
            <v>114.87</v>
          </cell>
          <cell r="AF26">
            <v>141.8</v>
          </cell>
          <cell r="AG26">
            <v>139.92</v>
          </cell>
          <cell r="AH26">
            <v>112.78</v>
          </cell>
          <cell r="AI26">
            <v>64.17</v>
          </cell>
          <cell r="AJ26">
            <v>92.09</v>
          </cell>
          <cell r="AK26">
            <v>117.72</v>
          </cell>
          <cell r="AL26">
            <v>148.57</v>
          </cell>
          <cell r="AM26">
            <v>137.98</v>
          </cell>
          <cell r="AN26">
            <v>142.53</v>
          </cell>
          <cell r="AO26">
            <v>60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row>
        <row r="27">
          <cell r="A27" t="str">
            <v>NICHOLS 1</v>
          </cell>
          <cell r="B27">
            <v>0</v>
          </cell>
          <cell r="C27">
            <v>0</v>
          </cell>
          <cell r="D27">
            <v>0</v>
          </cell>
          <cell r="E27">
            <v>0</v>
          </cell>
          <cell r="F27">
            <v>4.85</v>
          </cell>
          <cell r="G27">
            <v>24.34</v>
          </cell>
          <cell r="H27">
            <v>40.8</v>
          </cell>
          <cell r="I27">
            <v>38.45</v>
          </cell>
          <cell r="J27">
            <v>0.69</v>
          </cell>
          <cell r="K27">
            <v>0</v>
          </cell>
          <cell r="L27">
            <v>0</v>
          </cell>
          <cell r="M27">
            <v>0</v>
          </cell>
          <cell r="N27">
            <v>0</v>
          </cell>
          <cell r="O27">
            <v>0</v>
          </cell>
          <cell r="P27">
            <v>0</v>
          </cell>
          <cell r="Q27">
            <v>4.64</v>
          </cell>
          <cell r="R27">
            <v>4.68</v>
          </cell>
          <cell r="S27">
            <v>6.5</v>
          </cell>
          <cell r="T27">
            <v>34.19</v>
          </cell>
          <cell r="U27">
            <v>23.31</v>
          </cell>
          <cell r="V27">
            <v>0</v>
          </cell>
          <cell r="W27">
            <v>0</v>
          </cell>
          <cell r="X27">
            <v>4.56</v>
          </cell>
          <cell r="Y27">
            <v>0</v>
          </cell>
          <cell r="Z27">
            <v>0</v>
          </cell>
          <cell r="AA27">
            <v>0</v>
          </cell>
          <cell r="AB27">
            <v>0</v>
          </cell>
          <cell r="AC27">
            <v>0</v>
          </cell>
          <cell r="AD27">
            <v>0</v>
          </cell>
          <cell r="AE27">
            <v>9.55</v>
          </cell>
          <cell r="AF27">
            <v>33.97</v>
          </cell>
          <cell r="AG27">
            <v>27.95</v>
          </cell>
          <cell r="AH27">
            <v>0</v>
          </cell>
          <cell r="AI27">
            <v>0</v>
          </cell>
          <cell r="AJ27">
            <v>0</v>
          </cell>
          <cell r="AK27">
            <v>0</v>
          </cell>
          <cell r="AL27">
            <v>0</v>
          </cell>
          <cell r="AM27">
            <v>0</v>
          </cell>
          <cell r="AN27">
            <v>0</v>
          </cell>
          <cell r="AO27">
            <v>0</v>
          </cell>
          <cell r="AP27">
            <v>0</v>
          </cell>
          <cell r="AQ27">
            <v>17.84</v>
          </cell>
          <cell r="AR27">
            <v>29.25</v>
          </cell>
          <cell r="AS27">
            <v>23.18</v>
          </cell>
          <cell r="AT27">
            <v>0</v>
          </cell>
          <cell r="AU27">
            <v>0</v>
          </cell>
          <cell r="AV27">
            <v>0</v>
          </cell>
          <cell r="AW27">
            <v>0</v>
          </cell>
          <cell r="AX27">
            <v>0</v>
          </cell>
          <cell r="AY27">
            <v>4.91</v>
          </cell>
          <cell r="AZ27">
            <v>0</v>
          </cell>
          <cell r="BA27">
            <v>0.37</v>
          </cell>
          <cell r="BB27">
            <v>8.8</v>
          </cell>
          <cell r="BC27">
            <v>15.76</v>
          </cell>
          <cell r="BD27">
            <v>36.04</v>
          </cell>
          <cell r="BE27">
            <v>32.78</v>
          </cell>
          <cell r="BF27">
            <v>2.62</v>
          </cell>
          <cell r="BG27">
            <v>0</v>
          </cell>
          <cell r="BH27">
            <v>0</v>
          </cell>
          <cell r="BI27">
            <v>0</v>
          </cell>
        </row>
        <row r="28">
          <cell r="A28" t="str">
            <v>NICHOLS 2</v>
          </cell>
          <cell r="B28">
            <v>0</v>
          </cell>
          <cell r="C28">
            <v>0</v>
          </cell>
          <cell r="D28">
            <v>0</v>
          </cell>
          <cell r="E28">
            <v>0</v>
          </cell>
          <cell r="F28">
            <v>1.64</v>
          </cell>
          <cell r="G28">
            <v>26.77</v>
          </cell>
          <cell r="H28">
            <v>40.36</v>
          </cell>
          <cell r="I28">
            <v>34.82</v>
          </cell>
          <cell r="J28">
            <v>0.67</v>
          </cell>
          <cell r="K28">
            <v>0</v>
          </cell>
          <cell r="L28">
            <v>0</v>
          </cell>
          <cell r="M28">
            <v>0</v>
          </cell>
          <cell r="N28">
            <v>0</v>
          </cell>
          <cell r="O28">
            <v>0</v>
          </cell>
          <cell r="P28">
            <v>0</v>
          </cell>
          <cell r="Q28">
            <v>2.69</v>
          </cell>
          <cell r="R28">
            <v>4.7</v>
          </cell>
          <cell r="S28">
            <v>17.47</v>
          </cell>
          <cell r="T28">
            <v>34.33</v>
          </cell>
          <cell r="U28">
            <v>29.69</v>
          </cell>
          <cell r="V28">
            <v>0</v>
          </cell>
          <cell r="W28">
            <v>0</v>
          </cell>
          <cell r="X28">
            <v>4.56</v>
          </cell>
          <cell r="Y28">
            <v>0</v>
          </cell>
          <cell r="Z28">
            <v>0</v>
          </cell>
          <cell r="AA28">
            <v>0</v>
          </cell>
          <cell r="AB28">
            <v>0</v>
          </cell>
          <cell r="AC28">
            <v>0</v>
          </cell>
          <cell r="AD28">
            <v>4.63</v>
          </cell>
          <cell r="AE28">
            <v>20.38</v>
          </cell>
          <cell r="AF28">
            <v>35.58</v>
          </cell>
          <cell r="AG28">
            <v>33.93</v>
          </cell>
          <cell r="AH28">
            <v>0.99</v>
          </cell>
          <cell r="AI28">
            <v>0</v>
          </cell>
          <cell r="AJ28">
            <v>0</v>
          </cell>
          <cell r="AK28">
            <v>0</v>
          </cell>
          <cell r="AL28">
            <v>0</v>
          </cell>
          <cell r="AM28">
            <v>0</v>
          </cell>
          <cell r="AN28">
            <v>0</v>
          </cell>
          <cell r="AO28">
            <v>0</v>
          </cell>
          <cell r="AP28">
            <v>0</v>
          </cell>
          <cell r="AQ28">
            <v>22.94</v>
          </cell>
          <cell r="AR28">
            <v>30.43</v>
          </cell>
          <cell r="AS28">
            <v>34.25</v>
          </cell>
          <cell r="AT28">
            <v>4.7</v>
          </cell>
          <cell r="AU28">
            <v>0</v>
          </cell>
          <cell r="AV28">
            <v>0</v>
          </cell>
          <cell r="AW28">
            <v>0</v>
          </cell>
          <cell r="AX28">
            <v>0</v>
          </cell>
          <cell r="AY28">
            <v>4.99</v>
          </cell>
          <cell r="AZ28">
            <v>0</v>
          </cell>
          <cell r="BA28">
            <v>0.67</v>
          </cell>
          <cell r="BB28">
            <v>6.31</v>
          </cell>
          <cell r="BC28">
            <v>21.25</v>
          </cell>
          <cell r="BD28">
            <v>36.03</v>
          </cell>
          <cell r="BE28">
            <v>36.83</v>
          </cell>
          <cell r="BF28">
            <v>2.72</v>
          </cell>
          <cell r="BG28">
            <v>0</v>
          </cell>
          <cell r="BH28">
            <v>0</v>
          </cell>
          <cell r="BI28">
            <v>0</v>
          </cell>
        </row>
        <row r="29">
          <cell r="A29" t="str">
            <v>NICHOLS 3</v>
          </cell>
          <cell r="B29">
            <v>17.89</v>
          </cell>
          <cell r="C29">
            <v>37.69</v>
          </cell>
          <cell r="D29">
            <v>23.19</v>
          </cell>
          <cell r="E29">
            <v>35.88</v>
          </cell>
          <cell r="F29">
            <v>29.69</v>
          </cell>
          <cell r="G29">
            <v>39.57</v>
          </cell>
          <cell r="H29">
            <v>68.32</v>
          </cell>
          <cell r="I29">
            <v>58.56</v>
          </cell>
          <cell r="J29">
            <v>26.15</v>
          </cell>
          <cell r="K29">
            <v>40.9</v>
          </cell>
          <cell r="L29">
            <v>20.53</v>
          </cell>
          <cell r="M29">
            <v>20.49</v>
          </cell>
          <cell r="N29">
            <v>14.26</v>
          </cell>
          <cell r="O29">
            <v>17.18</v>
          </cell>
          <cell r="P29">
            <v>28.45</v>
          </cell>
          <cell r="Q29">
            <v>43.57</v>
          </cell>
          <cell r="R29">
            <v>24.26</v>
          </cell>
          <cell r="S29">
            <v>30.86</v>
          </cell>
          <cell r="T29">
            <v>54.28</v>
          </cell>
          <cell r="U29">
            <v>41.62</v>
          </cell>
          <cell r="V29">
            <v>2.25</v>
          </cell>
          <cell r="W29">
            <v>1.58</v>
          </cell>
          <cell r="X29">
            <v>13.57</v>
          </cell>
          <cell r="Y29">
            <v>14.56</v>
          </cell>
          <cell r="Z29">
            <v>22.49</v>
          </cell>
          <cell r="AA29">
            <v>25.23</v>
          </cell>
          <cell r="AB29">
            <v>4.43</v>
          </cell>
          <cell r="AC29">
            <v>14.42</v>
          </cell>
          <cell r="AD29">
            <v>24.92</v>
          </cell>
          <cell r="AE29">
            <v>24.2</v>
          </cell>
          <cell r="AF29">
            <v>49.65</v>
          </cell>
          <cell r="AG29">
            <v>49.24</v>
          </cell>
          <cell r="AH29">
            <v>19.39</v>
          </cell>
          <cell r="AI29">
            <v>15.67</v>
          </cell>
          <cell r="AJ29">
            <v>13.57</v>
          </cell>
          <cell r="AK29">
            <v>12.47</v>
          </cell>
          <cell r="AL29">
            <v>20.51</v>
          </cell>
          <cell r="AM29">
            <v>17.34</v>
          </cell>
          <cell r="AN29">
            <v>0</v>
          </cell>
          <cell r="AO29">
            <v>5.71</v>
          </cell>
          <cell r="AP29">
            <v>33.91</v>
          </cell>
          <cell r="AQ29">
            <v>39.86</v>
          </cell>
          <cell r="AR29">
            <v>54.28</v>
          </cell>
          <cell r="AS29">
            <v>50.01</v>
          </cell>
          <cell r="AT29">
            <v>28.95</v>
          </cell>
          <cell r="AU29">
            <v>31.13</v>
          </cell>
          <cell r="AV29">
            <v>19.34</v>
          </cell>
          <cell r="AW29">
            <v>31.32</v>
          </cell>
          <cell r="AX29">
            <v>29.05</v>
          </cell>
          <cell r="AY29">
            <v>38.12</v>
          </cell>
          <cell r="AZ29">
            <v>31.1</v>
          </cell>
          <cell r="BA29">
            <v>48.78</v>
          </cell>
          <cell r="BB29">
            <v>37.87</v>
          </cell>
          <cell r="BC29">
            <v>41.86</v>
          </cell>
          <cell r="BD29">
            <v>51.96</v>
          </cell>
          <cell r="BE29">
            <v>50.47</v>
          </cell>
          <cell r="BF29">
            <v>31.02</v>
          </cell>
          <cell r="BG29">
            <v>26.32</v>
          </cell>
          <cell r="BH29">
            <v>30.39</v>
          </cell>
          <cell r="BI29">
            <v>35.58</v>
          </cell>
        </row>
        <row r="30">
          <cell r="A30" t="str">
            <v>PLANT X 1</v>
          </cell>
          <cell r="B30">
            <v>0</v>
          </cell>
          <cell r="C30">
            <v>2.57</v>
          </cell>
          <cell r="D30">
            <v>1.83</v>
          </cell>
          <cell r="E30">
            <v>2.93</v>
          </cell>
          <cell r="F30">
            <v>3.06</v>
          </cell>
          <cell r="G30">
            <v>5.06</v>
          </cell>
          <cell r="H30">
            <v>10.88</v>
          </cell>
          <cell r="I30">
            <v>10.21</v>
          </cell>
          <cell r="J30">
            <v>1.94</v>
          </cell>
          <cell r="K30">
            <v>3.55</v>
          </cell>
          <cell r="L30">
            <v>1.32</v>
          </cell>
          <cell r="M30">
            <v>0</v>
          </cell>
          <cell r="N30">
            <v>0</v>
          </cell>
          <cell r="O30">
            <v>0</v>
          </cell>
          <cell r="P30">
            <v>1.63</v>
          </cell>
          <cell r="Q30">
            <v>3.7</v>
          </cell>
          <cell r="R30">
            <v>2.39</v>
          </cell>
          <cell r="S30">
            <v>1.76</v>
          </cell>
          <cell r="T30">
            <v>4.94</v>
          </cell>
          <cell r="U30">
            <v>4.2</v>
          </cell>
          <cell r="V30">
            <v>0</v>
          </cell>
          <cell r="W30">
            <v>1.74</v>
          </cell>
          <cell r="X30">
            <v>0</v>
          </cell>
          <cell r="Y30">
            <v>0</v>
          </cell>
          <cell r="Z30">
            <v>0</v>
          </cell>
          <cell r="AA30">
            <v>0</v>
          </cell>
          <cell r="AB30">
            <v>0</v>
          </cell>
          <cell r="AC30">
            <v>0</v>
          </cell>
          <cell r="AD30">
            <v>1.96</v>
          </cell>
          <cell r="AE30">
            <v>2.71</v>
          </cell>
          <cell r="AF30">
            <v>5.57</v>
          </cell>
          <cell r="AG30">
            <v>6.84</v>
          </cell>
          <cell r="AH30">
            <v>0.25</v>
          </cell>
          <cell r="AI30">
            <v>0</v>
          </cell>
          <cell r="AJ30">
            <v>0</v>
          </cell>
          <cell r="AK30">
            <v>0</v>
          </cell>
          <cell r="AL30">
            <v>0</v>
          </cell>
          <cell r="AM30">
            <v>0</v>
          </cell>
          <cell r="AN30">
            <v>0</v>
          </cell>
          <cell r="AO30">
            <v>0.11</v>
          </cell>
          <cell r="AP30">
            <v>5.71</v>
          </cell>
          <cell r="AQ30">
            <v>7.66</v>
          </cell>
          <cell r="AR30">
            <v>8.94</v>
          </cell>
          <cell r="AS30">
            <v>9.99</v>
          </cell>
          <cell r="AT30">
            <v>4.53</v>
          </cell>
          <cell r="AU30">
            <v>3.32</v>
          </cell>
          <cell r="AV30">
            <v>2.26</v>
          </cell>
          <cell r="AW30">
            <v>1.97</v>
          </cell>
          <cell r="AX30">
            <v>2.43</v>
          </cell>
          <cell r="AY30">
            <v>6.32</v>
          </cell>
          <cell r="AZ30">
            <v>4.04</v>
          </cell>
          <cell r="BA30">
            <v>3.76</v>
          </cell>
          <cell r="BB30">
            <v>6.19</v>
          </cell>
          <cell r="BC30">
            <v>5.82</v>
          </cell>
          <cell r="BD30">
            <v>8.67</v>
          </cell>
          <cell r="BE30">
            <v>8.02</v>
          </cell>
          <cell r="BF30">
            <v>2.74</v>
          </cell>
          <cell r="BG30">
            <v>3.79</v>
          </cell>
          <cell r="BH30">
            <v>0</v>
          </cell>
          <cell r="BI30">
            <v>4.35</v>
          </cell>
        </row>
        <row r="31">
          <cell r="A31" t="str">
            <v>PLANT X 2</v>
          </cell>
          <cell r="B31">
            <v>1.1</v>
          </cell>
          <cell r="C31">
            <v>6.89</v>
          </cell>
          <cell r="D31">
            <v>3.24</v>
          </cell>
          <cell r="E31">
            <v>7.53</v>
          </cell>
          <cell r="F31">
            <v>7.28</v>
          </cell>
          <cell r="G31">
            <v>14.75</v>
          </cell>
          <cell r="H31">
            <v>27.77</v>
          </cell>
          <cell r="I31">
            <v>23.39</v>
          </cell>
          <cell r="J31">
            <v>6.33</v>
          </cell>
          <cell r="K31">
            <v>7.94</v>
          </cell>
          <cell r="L31">
            <v>1.38</v>
          </cell>
          <cell r="M31">
            <v>2.99</v>
          </cell>
          <cell r="N31">
            <v>0</v>
          </cell>
          <cell r="O31">
            <v>0</v>
          </cell>
          <cell r="P31">
            <v>7.62</v>
          </cell>
          <cell r="Q31">
            <v>15.3</v>
          </cell>
          <cell r="R31">
            <v>8.86</v>
          </cell>
          <cell r="S31">
            <v>5.84</v>
          </cell>
          <cell r="T31">
            <v>15.2</v>
          </cell>
          <cell r="U31">
            <v>11.52</v>
          </cell>
          <cell r="V31">
            <v>0</v>
          </cell>
          <cell r="W31">
            <v>1.14</v>
          </cell>
          <cell r="X31">
            <v>2.12</v>
          </cell>
          <cell r="Y31">
            <v>0</v>
          </cell>
          <cell r="Z31">
            <v>4.23</v>
          </cell>
          <cell r="AA31">
            <v>0</v>
          </cell>
          <cell r="AB31">
            <v>0</v>
          </cell>
          <cell r="AC31">
            <v>2.36</v>
          </cell>
          <cell r="AD31">
            <v>5.3</v>
          </cell>
          <cell r="AE31">
            <v>9.47</v>
          </cell>
          <cell r="AF31">
            <v>17.22</v>
          </cell>
          <cell r="AG31">
            <v>20.63</v>
          </cell>
          <cell r="AH31">
            <v>3.82</v>
          </cell>
          <cell r="AI31">
            <v>2.45</v>
          </cell>
          <cell r="AJ31">
            <v>1.74</v>
          </cell>
          <cell r="AK31">
            <v>0</v>
          </cell>
          <cell r="AL31">
            <v>2.29</v>
          </cell>
          <cell r="AM31">
            <v>2.52</v>
          </cell>
          <cell r="AN31">
            <v>1.45</v>
          </cell>
          <cell r="AO31">
            <v>6.48</v>
          </cell>
          <cell r="AP31">
            <v>9.45</v>
          </cell>
          <cell r="AQ31">
            <v>18.72</v>
          </cell>
          <cell r="AR31">
            <v>25.72</v>
          </cell>
          <cell r="AS31">
            <v>24.95</v>
          </cell>
          <cell r="AT31">
            <v>10.24</v>
          </cell>
          <cell r="AU31">
            <v>11.93</v>
          </cell>
          <cell r="AV31">
            <v>5.95</v>
          </cell>
          <cell r="AW31">
            <v>8.97</v>
          </cell>
          <cell r="AX31">
            <v>7.25</v>
          </cell>
          <cell r="AY31">
            <v>19.41</v>
          </cell>
          <cell r="AZ31">
            <v>13.41</v>
          </cell>
          <cell r="BA31">
            <v>14.66</v>
          </cell>
          <cell r="BB31">
            <v>13.7</v>
          </cell>
          <cell r="BC31">
            <v>17.96</v>
          </cell>
          <cell r="BD31">
            <v>25.06</v>
          </cell>
          <cell r="BE31">
            <v>24.19</v>
          </cell>
          <cell r="BF31">
            <v>8.21</v>
          </cell>
          <cell r="BG31">
            <v>5.28</v>
          </cell>
          <cell r="BH31">
            <v>11.41</v>
          </cell>
          <cell r="BI31">
            <v>13.35</v>
          </cell>
        </row>
        <row r="32">
          <cell r="A32" t="str">
            <v>PLANT X 3</v>
          </cell>
          <cell r="B32">
            <v>5.19</v>
          </cell>
          <cell r="C32">
            <v>23.13</v>
          </cell>
          <cell r="D32">
            <v>6.34</v>
          </cell>
          <cell r="E32">
            <v>12.25</v>
          </cell>
          <cell r="F32">
            <v>10.53</v>
          </cell>
          <cell r="G32">
            <v>19.5</v>
          </cell>
          <cell r="H32">
            <v>34.32</v>
          </cell>
          <cell r="I32">
            <v>30.57</v>
          </cell>
          <cell r="J32">
            <v>9.11</v>
          </cell>
          <cell r="K32">
            <v>17.31</v>
          </cell>
          <cell r="L32">
            <v>3.42</v>
          </cell>
          <cell r="M32">
            <v>8.45</v>
          </cell>
          <cell r="N32">
            <v>0</v>
          </cell>
          <cell r="O32">
            <v>0</v>
          </cell>
          <cell r="P32">
            <v>14.17</v>
          </cell>
          <cell r="Q32">
            <v>26.66</v>
          </cell>
          <cell r="R32">
            <v>12.31</v>
          </cell>
          <cell r="S32">
            <v>8.47</v>
          </cell>
          <cell r="T32">
            <v>16.13</v>
          </cell>
          <cell r="U32">
            <v>16.71</v>
          </cell>
          <cell r="V32">
            <v>0</v>
          </cell>
          <cell r="W32">
            <v>4.36</v>
          </cell>
          <cell r="X32">
            <v>3.17</v>
          </cell>
          <cell r="Y32">
            <v>2.56</v>
          </cell>
          <cell r="Z32">
            <v>7.37</v>
          </cell>
          <cell r="AA32">
            <v>8.18</v>
          </cell>
          <cell r="AB32">
            <v>0.48</v>
          </cell>
          <cell r="AC32">
            <v>2.25</v>
          </cell>
          <cell r="AD32">
            <v>6.3</v>
          </cell>
          <cell r="AE32">
            <v>11.2</v>
          </cell>
          <cell r="AF32">
            <v>23.44</v>
          </cell>
          <cell r="AG32">
            <v>23.08</v>
          </cell>
          <cell r="AH32">
            <v>5.33</v>
          </cell>
          <cell r="AI32">
            <v>4.46</v>
          </cell>
          <cell r="AJ32">
            <v>4.57</v>
          </cell>
          <cell r="AK32">
            <v>2.07</v>
          </cell>
          <cell r="AL32">
            <v>4.8</v>
          </cell>
          <cell r="AM32">
            <v>8.27</v>
          </cell>
          <cell r="AN32">
            <v>4.95</v>
          </cell>
          <cell r="AO32">
            <v>6.36</v>
          </cell>
          <cell r="AP32">
            <v>15.86</v>
          </cell>
          <cell r="AQ32">
            <v>25.54</v>
          </cell>
          <cell r="AR32">
            <v>31.96</v>
          </cell>
          <cell r="AS32">
            <v>31.77</v>
          </cell>
          <cell r="AT32">
            <v>17.39</v>
          </cell>
          <cell r="AU32">
            <v>16.06</v>
          </cell>
          <cell r="AV32">
            <v>11.02</v>
          </cell>
          <cell r="AW32">
            <v>14.82</v>
          </cell>
          <cell r="AX32">
            <v>16.13</v>
          </cell>
          <cell r="AY32">
            <v>29.18</v>
          </cell>
          <cell r="AZ32">
            <v>16.1</v>
          </cell>
          <cell r="BA32">
            <v>23.01</v>
          </cell>
          <cell r="BB32">
            <v>23.63</v>
          </cell>
          <cell r="BC32">
            <v>21.81</v>
          </cell>
          <cell r="BD32">
            <v>29.66</v>
          </cell>
          <cell r="BE32">
            <v>29.61</v>
          </cell>
          <cell r="BF32">
            <v>16.36</v>
          </cell>
          <cell r="BG32">
            <v>16.31</v>
          </cell>
          <cell r="BH32">
            <v>18.58</v>
          </cell>
          <cell r="BI32">
            <v>20.68</v>
          </cell>
        </row>
        <row r="33">
          <cell r="A33" t="str">
            <v>PLANT X 4</v>
          </cell>
          <cell r="B33">
            <v>35.29</v>
          </cell>
          <cell r="C33">
            <v>78.34</v>
          </cell>
          <cell r="D33">
            <v>58.88</v>
          </cell>
          <cell r="E33">
            <v>80.35</v>
          </cell>
          <cell r="F33">
            <v>51.65</v>
          </cell>
          <cell r="G33">
            <v>72.09</v>
          </cell>
          <cell r="H33">
            <v>97.33</v>
          </cell>
          <cell r="I33">
            <v>93.81</v>
          </cell>
          <cell r="J33">
            <v>78.2</v>
          </cell>
          <cell r="K33">
            <v>59.13</v>
          </cell>
          <cell r="L33">
            <v>61.34</v>
          </cell>
          <cell r="M33">
            <v>55.51</v>
          </cell>
          <cell r="N33">
            <v>34.8</v>
          </cell>
          <cell r="O33">
            <v>60.5</v>
          </cell>
          <cell r="P33">
            <v>89.01</v>
          </cell>
          <cell r="Q33">
            <v>91.49</v>
          </cell>
          <cell r="R33">
            <v>57.02</v>
          </cell>
          <cell r="S33">
            <v>33.98</v>
          </cell>
          <cell r="T33">
            <v>66.74</v>
          </cell>
          <cell r="U33">
            <v>60.97</v>
          </cell>
          <cell r="V33">
            <v>25.6</v>
          </cell>
          <cell r="W33">
            <v>14.31</v>
          </cell>
          <cell r="X33">
            <v>23.82</v>
          </cell>
          <cell r="Y33">
            <v>25.88</v>
          </cell>
          <cell r="Z33">
            <v>47.68</v>
          </cell>
          <cell r="AA33">
            <v>64.89</v>
          </cell>
          <cell r="AB33">
            <v>6.17</v>
          </cell>
          <cell r="AC33">
            <v>29.96</v>
          </cell>
          <cell r="AD33">
            <v>41.57</v>
          </cell>
          <cell r="AE33">
            <v>45.94</v>
          </cell>
          <cell r="AF33">
            <v>76.95</v>
          </cell>
          <cell r="AG33">
            <v>66.62</v>
          </cell>
          <cell r="AH33">
            <v>23.28</v>
          </cell>
          <cell r="AI33">
            <v>15.02</v>
          </cell>
          <cell r="AJ33">
            <v>18.42</v>
          </cell>
          <cell r="AK33">
            <v>18.4</v>
          </cell>
          <cell r="AL33">
            <v>20.41</v>
          </cell>
          <cell r="AM33">
            <v>0</v>
          </cell>
          <cell r="AN33">
            <v>13.36</v>
          </cell>
          <cell r="AO33">
            <v>44.65</v>
          </cell>
          <cell r="AP33">
            <v>61.51</v>
          </cell>
          <cell r="AQ33">
            <v>72.62</v>
          </cell>
          <cell r="AR33">
            <v>96.28</v>
          </cell>
          <cell r="AS33">
            <v>87.02</v>
          </cell>
          <cell r="AT33">
            <v>67.9</v>
          </cell>
          <cell r="AU33">
            <v>52.54</v>
          </cell>
          <cell r="AV33">
            <v>56.32</v>
          </cell>
          <cell r="AW33">
            <v>60.01</v>
          </cell>
          <cell r="AX33">
            <v>68.51</v>
          </cell>
          <cell r="AY33">
            <v>97.09</v>
          </cell>
          <cell r="AZ33">
            <v>83.52</v>
          </cell>
          <cell r="BA33">
            <v>94.91</v>
          </cell>
          <cell r="BB33">
            <v>73.21</v>
          </cell>
          <cell r="BC33">
            <v>79.84</v>
          </cell>
          <cell r="BD33">
            <v>96.15</v>
          </cell>
          <cell r="BE33">
            <v>92.69</v>
          </cell>
          <cell r="BF33">
            <v>75.52</v>
          </cell>
          <cell r="BG33">
            <v>52.49</v>
          </cell>
          <cell r="BH33">
            <v>57.93</v>
          </cell>
          <cell r="BI33">
            <v>61.69</v>
          </cell>
        </row>
        <row r="34">
          <cell r="A34" t="str">
            <v>RIVER GT 1</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row>
        <row r="35">
          <cell r="A35" t="str">
            <v>TOLK 1</v>
          </cell>
          <cell r="B35">
            <v>359.48</v>
          </cell>
          <cell r="C35">
            <v>12.37</v>
          </cell>
          <cell r="D35">
            <v>214.78</v>
          </cell>
          <cell r="E35">
            <v>349.33</v>
          </cell>
          <cell r="F35">
            <v>342.92</v>
          </cell>
          <cell r="G35">
            <v>336.64</v>
          </cell>
          <cell r="H35">
            <v>361.66</v>
          </cell>
          <cell r="I35">
            <v>355.9</v>
          </cell>
          <cell r="J35">
            <v>347.73</v>
          </cell>
          <cell r="K35">
            <v>356.44</v>
          </cell>
          <cell r="L35">
            <v>343.4</v>
          </cell>
          <cell r="M35">
            <v>351.65</v>
          </cell>
          <cell r="N35">
            <v>350.55</v>
          </cell>
          <cell r="O35">
            <v>334.49</v>
          </cell>
          <cell r="P35">
            <v>366.14</v>
          </cell>
          <cell r="Q35">
            <v>243.86</v>
          </cell>
          <cell r="R35">
            <v>336.31</v>
          </cell>
          <cell r="S35">
            <v>343.01</v>
          </cell>
          <cell r="T35">
            <v>363.14</v>
          </cell>
          <cell r="U35">
            <v>357.49</v>
          </cell>
          <cell r="V35">
            <v>351.12</v>
          </cell>
          <cell r="W35">
            <v>352.74</v>
          </cell>
          <cell r="X35">
            <v>350.08</v>
          </cell>
          <cell r="Y35">
            <v>359.69</v>
          </cell>
          <cell r="Z35">
            <v>104.24</v>
          </cell>
          <cell r="AA35">
            <v>93.43</v>
          </cell>
          <cell r="AB35">
            <v>353.43</v>
          </cell>
          <cell r="AC35">
            <v>346.14</v>
          </cell>
          <cell r="AD35">
            <v>355.78</v>
          </cell>
          <cell r="AE35">
            <v>347.17</v>
          </cell>
          <cell r="AF35">
            <v>364.54</v>
          </cell>
          <cell r="AG35">
            <v>361.46</v>
          </cell>
          <cell r="AH35">
            <v>348.39</v>
          </cell>
          <cell r="AI35">
            <v>354.3</v>
          </cell>
          <cell r="AJ35">
            <v>346.02</v>
          </cell>
          <cell r="AK35">
            <v>358.13</v>
          </cell>
          <cell r="AL35">
            <v>363.58</v>
          </cell>
          <cell r="AM35">
            <v>330.03</v>
          </cell>
          <cell r="AN35">
            <v>276.65</v>
          </cell>
          <cell r="AO35">
            <v>341.67</v>
          </cell>
          <cell r="AP35">
            <v>360.3</v>
          </cell>
          <cell r="AQ35">
            <v>355.47</v>
          </cell>
          <cell r="AR35">
            <v>366.98</v>
          </cell>
          <cell r="AS35">
            <v>366.63</v>
          </cell>
          <cell r="AT35">
            <v>356.37</v>
          </cell>
          <cell r="AU35">
            <v>351.99</v>
          </cell>
          <cell r="AV35">
            <v>350.28</v>
          </cell>
          <cell r="AW35">
            <v>361.3</v>
          </cell>
          <cell r="AX35">
            <v>364.17</v>
          </cell>
          <cell r="AY35">
            <v>332.54</v>
          </cell>
          <cell r="AZ35">
            <v>366.1</v>
          </cell>
          <cell r="BA35">
            <v>248.45</v>
          </cell>
          <cell r="BB35">
            <v>363.21</v>
          </cell>
          <cell r="BC35">
            <v>356.31</v>
          </cell>
          <cell r="BD35">
            <v>367.46</v>
          </cell>
          <cell r="BE35">
            <v>367.56</v>
          </cell>
          <cell r="BF35">
            <v>356.37</v>
          </cell>
          <cell r="BG35">
            <v>357.88</v>
          </cell>
          <cell r="BH35">
            <v>352.3</v>
          </cell>
          <cell r="BI35">
            <v>363.47</v>
          </cell>
        </row>
        <row r="36">
          <cell r="A36" t="str">
            <v>TOLK 2</v>
          </cell>
          <cell r="B36">
            <v>350.44</v>
          </cell>
          <cell r="C36">
            <v>318.11</v>
          </cell>
          <cell r="D36">
            <v>350.37</v>
          </cell>
          <cell r="E36">
            <v>257.57</v>
          </cell>
          <cell r="F36">
            <v>336.47</v>
          </cell>
          <cell r="G36">
            <v>329.78</v>
          </cell>
          <cell r="H36">
            <v>350.25</v>
          </cell>
          <cell r="I36">
            <v>346.74</v>
          </cell>
          <cell r="J36">
            <v>338.56</v>
          </cell>
          <cell r="K36">
            <v>349.31</v>
          </cell>
          <cell r="L36">
            <v>333.9</v>
          </cell>
          <cell r="M36">
            <v>347.22</v>
          </cell>
          <cell r="N36">
            <v>341.6</v>
          </cell>
          <cell r="O36">
            <v>322.83</v>
          </cell>
          <cell r="P36">
            <v>0</v>
          </cell>
          <cell r="Q36">
            <v>133.99</v>
          </cell>
          <cell r="R36">
            <v>327.05</v>
          </cell>
          <cell r="S36">
            <v>337.39</v>
          </cell>
          <cell r="T36">
            <v>351.79</v>
          </cell>
          <cell r="U36">
            <v>349.31</v>
          </cell>
          <cell r="V36">
            <v>340.03</v>
          </cell>
          <cell r="W36">
            <v>344.66</v>
          </cell>
          <cell r="X36">
            <v>339.78</v>
          </cell>
          <cell r="Y36">
            <v>348.59</v>
          </cell>
          <cell r="Z36">
            <v>351.33</v>
          </cell>
          <cell r="AA36">
            <v>317.91</v>
          </cell>
          <cell r="AB36">
            <v>344.84</v>
          </cell>
          <cell r="AC36">
            <v>335.47</v>
          </cell>
          <cell r="AD36">
            <v>264.57</v>
          </cell>
          <cell r="AE36">
            <v>337.93</v>
          </cell>
          <cell r="AF36">
            <v>351.77</v>
          </cell>
          <cell r="AG36">
            <v>350.61</v>
          </cell>
          <cell r="AH36">
            <v>337.86</v>
          </cell>
          <cell r="AI36">
            <v>347</v>
          </cell>
          <cell r="AJ36">
            <v>336.21</v>
          </cell>
          <cell r="AK36">
            <v>347.59</v>
          </cell>
          <cell r="AL36">
            <v>351.43</v>
          </cell>
          <cell r="AM36">
            <v>317.29</v>
          </cell>
          <cell r="AN36">
            <v>349.04</v>
          </cell>
          <cell r="AO36">
            <v>254</v>
          </cell>
          <cell r="AP36">
            <v>346.87</v>
          </cell>
          <cell r="AQ36">
            <v>340.8</v>
          </cell>
          <cell r="AR36">
            <v>352.18</v>
          </cell>
          <cell r="AS36">
            <v>352.2</v>
          </cell>
          <cell r="AT36">
            <v>340.85</v>
          </cell>
          <cell r="AU36">
            <v>343.23</v>
          </cell>
          <cell r="AV36">
            <v>339.31</v>
          </cell>
          <cell r="AW36">
            <v>350.06</v>
          </cell>
          <cell r="AX36">
            <v>351.58</v>
          </cell>
          <cell r="AY36">
            <v>45.3</v>
          </cell>
          <cell r="AZ36">
            <v>226.79</v>
          </cell>
          <cell r="BA36">
            <v>340.85</v>
          </cell>
          <cell r="BB36">
            <v>350.41</v>
          </cell>
          <cell r="BC36">
            <v>340.85</v>
          </cell>
          <cell r="BD36">
            <v>352.2</v>
          </cell>
          <cell r="BE36">
            <v>352.21</v>
          </cell>
          <cell r="BF36">
            <v>340.85</v>
          </cell>
          <cell r="BG36">
            <v>349.9</v>
          </cell>
          <cell r="BH36">
            <v>340.29</v>
          </cell>
          <cell r="BI36">
            <v>350.85</v>
          </cell>
        </row>
        <row r="37">
          <cell r="A37" t="str">
            <v>TUCUMCAR 9</v>
          </cell>
          <cell r="B37">
            <v>0</v>
          </cell>
          <cell r="C37">
            <v>0</v>
          </cell>
          <cell r="D37">
            <v>0</v>
          </cell>
          <cell r="E37">
            <v>0</v>
          </cell>
          <cell r="F37">
            <v>0</v>
          </cell>
          <cell r="G37">
            <v>0.04</v>
          </cell>
          <cell r="H37">
            <v>0.02</v>
          </cell>
          <cell r="I37">
            <v>0.04</v>
          </cell>
          <cell r="J37">
            <v>0</v>
          </cell>
          <cell r="K37">
            <v>0</v>
          </cell>
          <cell r="L37">
            <v>0</v>
          </cell>
          <cell r="M37">
            <v>0</v>
          </cell>
          <cell r="N37">
            <v>0</v>
          </cell>
          <cell r="O37">
            <v>0</v>
          </cell>
          <cell r="P37">
            <v>0</v>
          </cell>
          <cell r="Q37">
            <v>0</v>
          </cell>
          <cell r="R37">
            <v>0</v>
          </cell>
          <cell r="S37">
            <v>0</v>
          </cell>
          <cell r="T37">
            <v>0.01</v>
          </cell>
          <cell r="U37">
            <v>0</v>
          </cell>
          <cell r="V37">
            <v>0</v>
          </cell>
          <cell r="W37">
            <v>0</v>
          </cell>
          <cell r="X37">
            <v>0</v>
          </cell>
          <cell r="Y37">
            <v>0</v>
          </cell>
          <cell r="Z37">
            <v>0</v>
          </cell>
          <cell r="AA37">
            <v>0</v>
          </cell>
          <cell r="AB37">
            <v>0</v>
          </cell>
          <cell r="AC37">
            <v>0</v>
          </cell>
          <cell r="AD37">
            <v>0</v>
          </cell>
          <cell r="AE37">
            <v>0</v>
          </cell>
          <cell r="AF37">
            <v>0.1</v>
          </cell>
          <cell r="AG37">
            <v>0.05</v>
          </cell>
          <cell r="AH37">
            <v>0</v>
          </cell>
          <cell r="AI37">
            <v>0</v>
          </cell>
          <cell r="AJ37">
            <v>0</v>
          </cell>
          <cell r="AK37">
            <v>0</v>
          </cell>
          <cell r="AL37">
            <v>0</v>
          </cell>
          <cell r="AM37">
            <v>0</v>
          </cell>
          <cell r="AN37">
            <v>0</v>
          </cell>
          <cell r="AO37">
            <v>0</v>
          </cell>
          <cell r="AP37">
            <v>0</v>
          </cell>
          <cell r="AQ37">
            <v>0.02</v>
          </cell>
          <cell r="AR37">
            <v>0.03</v>
          </cell>
          <cell r="AS37">
            <v>0.04</v>
          </cell>
          <cell r="AT37">
            <v>0</v>
          </cell>
          <cell r="AU37">
            <v>0</v>
          </cell>
          <cell r="AV37">
            <v>0</v>
          </cell>
          <cell r="AW37">
            <v>0</v>
          </cell>
          <cell r="AX37">
            <v>0</v>
          </cell>
          <cell r="AY37">
            <v>0.01</v>
          </cell>
          <cell r="AZ37">
            <v>0</v>
          </cell>
          <cell r="BA37">
            <v>0</v>
          </cell>
          <cell r="BB37">
            <v>0</v>
          </cell>
          <cell r="BC37">
            <v>0</v>
          </cell>
          <cell r="BD37">
            <v>0</v>
          </cell>
          <cell r="BE37">
            <v>0.03</v>
          </cell>
          <cell r="BF37">
            <v>0</v>
          </cell>
          <cell r="BG37">
            <v>0</v>
          </cell>
          <cell r="BH37">
            <v>0</v>
          </cell>
          <cell r="BI37">
            <v>0</v>
          </cell>
        </row>
        <row r="38">
          <cell r="A38" t="str">
            <v>PUR Llano Wind</v>
          </cell>
          <cell r="B38">
            <v>21.96</v>
          </cell>
          <cell r="C38">
            <v>20.76</v>
          </cell>
          <cell r="D38">
            <v>25.77</v>
          </cell>
          <cell r="E38">
            <v>27.97</v>
          </cell>
          <cell r="F38">
            <v>24.07</v>
          </cell>
          <cell r="G38">
            <v>21.29</v>
          </cell>
          <cell r="H38">
            <v>19.13</v>
          </cell>
          <cell r="I38">
            <v>19.29</v>
          </cell>
          <cell r="J38">
            <v>21.01</v>
          </cell>
          <cell r="K38">
            <v>19.06</v>
          </cell>
          <cell r="L38">
            <v>23.72</v>
          </cell>
          <cell r="M38">
            <v>23.19</v>
          </cell>
          <cell r="N38">
            <v>21.96</v>
          </cell>
          <cell r="O38">
            <v>22.48</v>
          </cell>
          <cell r="P38">
            <v>25.77</v>
          </cell>
          <cell r="Q38">
            <v>27.97</v>
          </cell>
          <cell r="R38">
            <v>24.07</v>
          </cell>
          <cell r="S38">
            <v>21.29</v>
          </cell>
          <cell r="T38">
            <v>19.13</v>
          </cell>
          <cell r="U38">
            <v>19.29</v>
          </cell>
          <cell r="V38">
            <v>21.01</v>
          </cell>
          <cell r="W38">
            <v>19.06</v>
          </cell>
          <cell r="X38">
            <v>23.72</v>
          </cell>
          <cell r="Y38">
            <v>23.19</v>
          </cell>
          <cell r="Z38">
            <v>21.96</v>
          </cell>
          <cell r="AA38">
            <v>20.76</v>
          </cell>
          <cell r="AB38">
            <v>25.77</v>
          </cell>
          <cell r="AC38">
            <v>27.97</v>
          </cell>
          <cell r="AD38">
            <v>24.07</v>
          </cell>
          <cell r="AE38">
            <v>21.29</v>
          </cell>
          <cell r="AF38">
            <v>19.13</v>
          </cell>
          <cell r="AG38">
            <v>19.29</v>
          </cell>
          <cell r="AH38">
            <v>21.01</v>
          </cell>
          <cell r="AI38">
            <v>19.06</v>
          </cell>
          <cell r="AJ38">
            <v>23.72</v>
          </cell>
          <cell r="AK38">
            <v>23.19</v>
          </cell>
          <cell r="AL38">
            <v>21.96</v>
          </cell>
          <cell r="AM38">
            <v>20.76</v>
          </cell>
          <cell r="AN38">
            <v>25.77</v>
          </cell>
          <cell r="AO38">
            <v>27.97</v>
          </cell>
          <cell r="AP38">
            <v>24.07</v>
          </cell>
          <cell r="AQ38">
            <v>21.29</v>
          </cell>
          <cell r="AR38">
            <v>19.13</v>
          </cell>
          <cell r="AS38">
            <v>19.29</v>
          </cell>
          <cell r="AT38">
            <v>21.01</v>
          </cell>
          <cell r="AU38">
            <v>19.06</v>
          </cell>
          <cell r="AV38">
            <v>23.72</v>
          </cell>
          <cell r="AW38">
            <v>23.19</v>
          </cell>
          <cell r="AX38">
            <v>21.96</v>
          </cell>
          <cell r="AY38">
            <v>20.76</v>
          </cell>
          <cell r="AZ38">
            <v>25.77</v>
          </cell>
          <cell r="BA38">
            <v>27.97</v>
          </cell>
          <cell r="BB38">
            <v>24.07</v>
          </cell>
          <cell r="BC38">
            <v>21.29</v>
          </cell>
          <cell r="BD38">
            <v>19.13</v>
          </cell>
          <cell r="BE38">
            <v>19.29</v>
          </cell>
          <cell r="BF38">
            <v>21.01</v>
          </cell>
          <cell r="BG38">
            <v>19.06</v>
          </cell>
          <cell r="BH38">
            <v>23.72</v>
          </cell>
          <cell r="BI38">
            <v>23.19</v>
          </cell>
        </row>
        <row r="39">
          <cell r="A39" t="str">
            <v>DC Tie PUR</v>
          </cell>
          <cell r="B39">
            <v>16.66</v>
          </cell>
          <cell r="C39">
            <v>2.66</v>
          </cell>
          <cell r="D39">
            <v>14.6</v>
          </cell>
          <cell r="E39">
            <v>22.3</v>
          </cell>
          <cell r="F39">
            <v>33.71</v>
          </cell>
          <cell r="G39">
            <v>26.5</v>
          </cell>
          <cell r="H39">
            <v>41.86</v>
          </cell>
          <cell r="I39">
            <v>45.36</v>
          </cell>
          <cell r="J39">
            <v>8.23</v>
          </cell>
          <cell r="K39">
            <v>18.66</v>
          </cell>
          <cell r="L39">
            <v>30.31</v>
          </cell>
          <cell r="M39">
            <v>28.11</v>
          </cell>
          <cell r="N39">
            <v>22.58</v>
          </cell>
          <cell r="O39">
            <v>16.49</v>
          </cell>
          <cell r="P39">
            <v>4.41</v>
          </cell>
          <cell r="Q39">
            <v>24.15</v>
          </cell>
          <cell r="R39">
            <v>36.05</v>
          </cell>
          <cell r="S39">
            <v>27.9</v>
          </cell>
          <cell r="T39">
            <v>25.69</v>
          </cell>
          <cell r="U39">
            <v>34.27</v>
          </cell>
          <cell r="V39">
            <v>18.06</v>
          </cell>
          <cell r="W39">
            <v>34.86</v>
          </cell>
          <cell r="X39">
            <v>32.27</v>
          </cell>
          <cell r="Y39">
            <v>23.77</v>
          </cell>
          <cell r="Z39">
            <v>16.42</v>
          </cell>
          <cell r="AA39">
            <v>6.23</v>
          </cell>
          <cell r="AB39">
            <v>18.31</v>
          </cell>
          <cell r="AC39">
            <v>33.29</v>
          </cell>
          <cell r="AD39">
            <v>29.23</v>
          </cell>
          <cell r="AE39">
            <v>30.8</v>
          </cell>
          <cell r="AF39">
            <v>35.56</v>
          </cell>
          <cell r="AG39">
            <v>28.81</v>
          </cell>
          <cell r="AH39">
            <v>32.31</v>
          </cell>
          <cell r="AI39">
            <v>26.74</v>
          </cell>
          <cell r="AJ39">
            <v>18.1</v>
          </cell>
          <cell r="AK39">
            <v>26.67</v>
          </cell>
          <cell r="AL39">
            <v>25.45</v>
          </cell>
          <cell r="AM39">
            <v>23.66</v>
          </cell>
          <cell r="AN39">
            <v>23.28</v>
          </cell>
          <cell r="AO39">
            <v>24.54</v>
          </cell>
          <cell r="AP39">
            <v>9.52</v>
          </cell>
          <cell r="AQ39">
            <v>16.77</v>
          </cell>
          <cell r="AR39">
            <v>21.84</v>
          </cell>
          <cell r="AS39">
            <v>18.59</v>
          </cell>
          <cell r="AT39">
            <v>12.29</v>
          </cell>
          <cell r="AU39">
            <v>11.17</v>
          </cell>
          <cell r="AV39">
            <v>1.26</v>
          </cell>
          <cell r="AW39">
            <v>7</v>
          </cell>
          <cell r="AX39">
            <v>3.36</v>
          </cell>
          <cell r="AY39">
            <v>12.85</v>
          </cell>
          <cell r="AZ39">
            <v>20.41</v>
          </cell>
          <cell r="BA39">
            <v>15.79</v>
          </cell>
          <cell r="BB39">
            <v>11.66</v>
          </cell>
          <cell r="BC39">
            <v>6.09</v>
          </cell>
          <cell r="BD39">
            <v>15.33</v>
          </cell>
          <cell r="BE39">
            <v>10.61</v>
          </cell>
          <cell r="BF39">
            <v>8.82</v>
          </cell>
          <cell r="BG39">
            <v>4.31</v>
          </cell>
          <cell r="BH39">
            <v>6.86</v>
          </cell>
          <cell r="BI39">
            <v>14.42</v>
          </cell>
        </row>
        <row r="40">
          <cell r="A40" t="str">
            <v>DC Tie SAL</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row>
        <row r="41">
          <cell r="A41" t="str">
            <v>Econ PUR_N</v>
          </cell>
          <cell r="B41">
            <v>0</v>
          </cell>
          <cell r="C41">
            <v>0</v>
          </cell>
          <cell r="D41">
            <v>0</v>
          </cell>
          <cell r="E41">
            <v>0.45</v>
          </cell>
          <cell r="F41">
            <v>0</v>
          </cell>
          <cell r="G41">
            <v>0</v>
          </cell>
          <cell r="H41">
            <v>3.07</v>
          </cell>
          <cell r="I41">
            <v>0</v>
          </cell>
          <cell r="J41">
            <v>0</v>
          </cell>
          <cell r="K41">
            <v>0.02</v>
          </cell>
          <cell r="L41">
            <v>0</v>
          </cell>
          <cell r="M41">
            <v>0</v>
          </cell>
          <cell r="N41">
            <v>0.06</v>
          </cell>
          <cell r="O41">
            <v>0</v>
          </cell>
          <cell r="P41">
            <v>0</v>
          </cell>
          <cell r="Q41">
            <v>1.41</v>
          </cell>
          <cell r="R41">
            <v>0.7</v>
          </cell>
          <cell r="S41">
            <v>0</v>
          </cell>
          <cell r="T41">
            <v>0.3</v>
          </cell>
          <cell r="U41">
            <v>0</v>
          </cell>
          <cell r="V41">
            <v>0</v>
          </cell>
          <cell r="W41">
            <v>1.57</v>
          </cell>
          <cell r="X41">
            <v>1.81</v>
          </cell>
          <cell r="Y41">
            <v>0</v>
          </cell>
          <cell r="Z41">
            <v>0</v>
          </cell>
          <cell r="AA41">
            <v>0</v>
          </cell>
          <cell r="AB41">
            <v>0</v>
          </cell>
          <cell r="AC41">
            <v>0</v>
          </cell>
          <cell r="AD41">
            <v>0.43</v>
          </cell>
          <cell r="AE41">
            <v>0</v>
          </cell>
          <cell r="AF41">
            <v>0.4</v>
          </cell>
          <cell r="AG41">
            <v>0</v>
          </cell>
          <cell r="AH41">
            <v>0</v>
          </cell>
          <cell r="AI41">
            <v>0</v>
          </cell>
          <cell r="AJ41">
            <v>0</v>
          </cell>
          <cell r="AK41">
            <v>0</v>
          </cell>
          <cell r="AL41">
            <v>0</v>
          </cell>
          <cell r="AM41">
            <v>0</v>
          </cell>
          <cell r="AN41">
            <v>0</v>
          </cell>
          <cell r="AO41">
            <v>0</v>
          </cell>
          <cell r="AP41">
            <v>0.06</v>
          </cell>
          <cell r="AQ41">
            <v>0</v>
          </cell>
          <cell r="AR41">
            <v>0</v>
          </cell>
          <cell r="AS41">
            <v>0</v>
          </cell>
          <cell r="AT41">
            <v>0</v>
          </cell>
          <cell r="AU41">
            <v>0.25</v>
          </cell>
          <cell r="AV41">
            <v>0</v>
          </cell>
          <cell r="AW41">
            <v>0</v>
          </cell>
          <cell r="AX41">
            <v>0</v>
          </cell>
          <cell r="AY41">
            <v>0.5</v>
          </cell>
          <cell r="AZ41">
            <v>0.23</v>
          </cell>
          <cell r="BA41">
            <v>0.82</v>
          </cell>
          <cell r="BB41">
            <v>0</v>
          </cell>
          <cell r="BC41">
            <v>0</v>
          </cell>
          <cell r="BD41">
            <v>0</v>
          </cell>
          <cell r="BE41">
            <v>0</v>
          </cell>
          <cell r="BF41">
            <v>0</v>
          </cell>
          <cell r="BG41">
            <v>0</v>
          </cell>
          <cell r="BH41">
            <v>0</v>
          </cell>
          <cell r="BI41">
            <v>0.4</v>
          </cell>
        </row>
        <row r="42">
          <cell r="A42" t="str">
            <v>Econ SAL_N</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row>
        <row r="43">
          <cell r="A43" t="str">
            <v>PUR CapRock Wind</v>
          </cell>
          <cell r="B43">
            <v>21.96</v>
          </cell>
          <cell r="C43">
            <v>20.76</v>
          </cell>
          <cell r="D43">
            <v>25.77</v>
          </cell>
          <cell r="E43">
            <v>27.97</v>
          </cell>
          <cell r="F43">
            <v>24.07</v>
          </cell>
          <cell r="G43">
            <v>21.29</v>
          </cell>
          <cell r="H43">
            <v>19.13</v>
          </cell>
          <cell r="I43">
            <v>19.29</v>
          </cell>
          <cell r="J43">
            <v>21.01</v>
          </cell>
          <cell r="K43">
            <v>19.06</v>
          </cell>
          <cell r="L43">
            <v>23.72</v>
          </cell>
          <cell r="M43">
            <v>23.19</v>
          </cell>
          <cell r="N43">
            <v>21.96</v>
          </cell>
          <cell r="O43">
            <v>22.48</v>
          </cell>
          <cell r="P43">
            <v>25.77</v>
          </cell>
          <cell r="Q43">
            <v>27.97</v>
          </cell>
          <cell r="R43">
            <v>24.07</v>
          </cell>
          <cell r="S43">
            <v>21.29</v>
          </cell>
          <cell r="T43">
            <v>19.13</v>
          </cell>
          <cell r="U43">
            <v>19.29</v>
          </cell>
          <cell r="V43">
            <v>21.01</v>
          </cell>
          <cell r="W43">
            <v>19.06</v>
          </cell>
          <cell r="X43">
            <v>23.72</v>
          </cell>
          <cell r="Y43">
            <v>23.19</v>
          </cell>
          <cell r="Z43">
            <v>21.96</v>
          </cell>
          <cell r="AA43">
            <v>20.76</v>
          </cell>
          <cell r="AB43">
            <v>25.77</v>
          </cell>
          <cell r="AC43">
            <v>27.97</v>
          </cell>
          <cell r="AD43">
            <v>24.07</v>
          </cell>
          <cell r="AE43">
            <v>21.29</v>
          </cell>
          <cell r="AF43">
            <v>19.13</v>
          </cell>
          <cell r="AG43">
            <v>19.29</v>
          </cell>
          <cell r="AH43">
            <v>21.01</v>
          </cell>
          <cell r="AI43">
            <v>19.06</v>
          </cell>
          <cell r="AJ43">
            <v>23.72</v>
          </cell>
          <cell r="AK43">
            <v>23.19</v>
          </cell>
          <cell r="AL43">
            <v>21.96</v>
          </cell>
          <cell r="AM43">
            <v>20.76</v>
          </cell>
          <cell r="AN43">
            <v>25.77</v>
          </cell>
          <cell r="AO43">
            <v>27.97</v>
          </cell>
          <cell r="AP43">
            <v>24.07</v>
          </cell>
          <cell r="AQ43">
            <v>21.29</v>
          </cell>
          <cell r="AR43">
            <v>19.13</v>
          </cell>
          <cell r="AS43">
            <v>19.29</v>
          </cell>
          <cell r="AT43">
            <v>21.01</v>
          </cell>
          <cell r="AU43">
            <v>19.06</v>
          </cell>
          <cell r="AV43">
            <v>23.72</v>
          </cell>
          <cell r="AW43">
            <v>23.19</v>
          </cell>
          <cell r="AX43">
            <v>21.96</v>
          </cell>
          <cell r="AY43">
            <v>20.76</v>
          </cell>
          <cell r="AZ43">
            <v>25.77</v>
          </cell>
          <cell r="BA43">
            <v>27.97</v>
          </cell>
          <cell r="BB43">
            <v>24.07</v>
          </cell>
          <cell r="BC43">
            <v>21.29</v>
          </cell>
          <cell r="BD43">
            <v>19.13</v>
          </cell>
          <cell r="BE43">
            <v>19.29</v>
          </cell>
          <cell r="BF43">
            <v>21.01</v>
          </cell>
          <cell r="BG43">
            <v>19.06</v>
          </cell>
          <cell r="BH43">
            <v>23.72</v>
          </cell>
          <cell r="BI43">
            <v>23.19</v>
          </cell>
        </row>
        <row r="44">
          <cell r="A44" t="str">
            <v>PUR LlanoC Wind</v>
          </cell>
          <cell r="B44">
            <v>0.45</v>
          </cell>
          <cell r="C44">
            <v>0.43</v>
          </cell>
          <cell r="D44">
            <v>0.42</v>
          </cell>
          <cell r="E44">
            <v>0.4</v>
          </cell>
          <cell r="F44">
            <v>0.43</v>
          </cell>
          <cell r="G44">
            <v>0.46</v>
          </cell>
          <cell r="H44">
            <v>0.43</v>
          </cell>
          <cell r="I44">
            <v>0.46</v>
          </cell>
          <cell r="J44">
            <v>0.4</v>
          </cell>
          <cell r="K44">
            <v>0.46</v>
          </cell>
          <cell r="L44">
            <v>0.43</v>
          </cell>
          <cell r="M44">
            <v>0.42</v>
          </cell>
          <cell r="N44">
            <v>0.46</v>
          </cell>
          <cell r="O44">
            <v>0.41</v>
          </cell>
          <cell r="P44">
            <v>0.41</v>
          </cell>
          <cell r="Q44">
            <v>0.44</v>
          </cell>
          <cell r="R44">
            <v>0.44</v>
          </cell>
          <cell r="S44">
            <v>0.42</v>
          </cell>
          <cell r="T44">
            <v>0.44</v>
          </cell>
          <cell r="U44">
            <v>0.45</v>
          </cell>
          <cell r="V44">
            <v>0.47</v>
          </cell>
          <cell r="W44">
            <v>0.43</v>
          </cell>
          <cell r="X44">
            <v>0.4</v>
          </cell>
          <cell r="Y44">
            <v>0.44</v>
          </cell>
          <cell r="Z44">
            <v>0.44</v>
          </cell>
          <cell r="AA44">
            <v>0.41</v>
          </cell>
          <cell r="AB44">
            <v>0.42</v>
          </cell>
          <cell r="AC44">
            <v>0.41</v>
          </cell>
          <cell r="AD44">
            <v>0.47</v>
          </cell>
          <cell r="AE44">
            <v>0.45</v>
          </cell>
          <cell r="AF44">
            <v>0.43</v>
          </cell>
          <cell r="AG44">
            <v>0.43</v>
          </cell>
          <cell r="AH44">
            <v>0.43</v>
          </cell>
          <cell r="AI44">
            <v>0.45</v>
          </cell>
          <cell r="AJ44">
            <v>0.41</v>
          </cell>
          <cell r="AK44">
            <v>0.44</v>
          </cell>
          <cell r="AL44">
            <v>0.44</v>
          </cell>
          <cell r="AM44">
            <v>0.4</v>
          </cell>
          <cell r="AN44">
            <v>0.45</v>
          </cell>
          <cell r="AO44">
            <v>0.42</v>
          </cell>
          <cell r="AP44">
            <v>0.43</v>
          </cell>
          <cell r="AQ44">
            <v>0.48</v>
          </cell>
          <cell r="AR44">
            <v>0.42</v>
          </cell>
          <cell r="AS44">
            <v>0.44</v>
          </cell>
          <cell r="AT44">
            <v>0.42</v>
          </cell>
          <cell r="AU44">
            <v>0.44</v>
          </cell>
          <cell r="AV44">
            <v>0.44</v>
          </cell>
          <cell r="AW44">
            <v>0.43</v>
          </cell>
          <cell r="AX44">
            <v>0.44</v>
          </cell>
          <cell r="AY44">
            <v>0.42</v>
          </cell>
          <cell r="AZ44">
            <v>0.45</v>
          </cell>
          <cell r="BA44">
            <v>0.41</v>
          </cell>
          <cell r="BB44">
            <v>0.41</v>
          </cell>
          <cell r="BC44">
            <v>0.5</v>
          </cell>
          <cell r="BD44">
            <v>0.4</v>
          </cell>
          <cell r="BE44">
            <v>0.46</v>
          </cell>
          <cell r="BF44">
            <v>0.43</v>
          </cell>
          <cell r="BG44">
            <v>0.43</v>
          </cell>
          <cell r="BH44">
            <v>0.43</v>
          </cell>
          <cell r="BI44">
            <v>0.43</v>
          </cell>
        </row>
        <row r="45">
          <cell r="A45" t="str">
            <v>SPS_N MCP</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row>
        <row r="46">
          <cell r="A46" t="str">
            <v>SPS_S MCP</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row>
        <row r="47">
          <cell r="A47" t="str">
            <v>Econ PUR_BW</v>
          </cell>
          <cell r="B47">
            <v>0</v>
          </cell>
          <cell r="C47">
            <v>0.3</v>
          </cell>
          <cell r="D47">
            <v>0</v>
          </cell>
          <cell r="E47">
            <v>0.4</v>
          </cell>
          <cell r="F47">
            <v>0.85</v>
          </cell>
          <cell r="G47">
            <v>2.33</v>
          </cell>
          <cell r="H47">
            <v>6.5</v>
          </cell>
          <cell r="I47">
            <v>4.73</v>
          </cell>
          <cell r="J47">
            <v>0.5</v>
          </cell>
          <cell r="K47">
            <v>0</v>
          </cell>
          <cell r="L47">
            <v>0</v>
          </cell>
          <cell r="M47">
            <v>0</v>
          </cell>
          <cell r="N47">
            <v>0</v>
          </cell>
          <cell r="O47">
            <v>0</v>
          </cell>
          <cell r="P47">
            <v>0</v>
          </cell>
          <cell r="Q47">
            <v>0.85</v>
          </cell>
          <cell r="R47">
            <v>0.5</v>
          </cell>
          <cell r="S47">
            <v>0.2</v>
          </cell>
          <cell r="T47">
            <v>2.08</v>
          </cell>
          <cell r="U47">
            <v>1.4</v>
          </cell>
          <cell r="V47">
            <v>0</v>
          </cell>
          <cell r="W47">
            <v>0</v>
          </cell>
          <cell r="X47">
            <v>0</v>
          </cell>
          <cell r="Y47">
            <v>0</v>
          </cell>
          <cell r="Z47">
            <v>0</v>
          </cell>
          <cell r="AA47">
            <v>0</v>
          </cell>
          <cell r="AB47">
            <v>0</v>
          </cell>
          <cell r="AC47">
            <v>0</v>
          </cell>
          <cell r="AD47">
            <v>0.2</v>
          </cell>
          <cell r="AE47">
            <v>0.88</v>
          </cell>
          <cell r="AF47">
            <v>3.28</v>
          </cell>
          <cell r="AG47">
            <v>2.45</v>
          </cell>
          <cell r="AH47">
            <v>0.6</v>
          </cell>
          <cell r="AI47">
            <v>0</v>
          </cell>
          <cell r="AJ47">
            <v>0</v>
          </cell>
          <cell r="AK47">
            <v>0</v>
          </cell>
          <cell r="AL47">
            <v>0</v>
          </cell>
          <cell r="AM47">
            <v>0</v>
          </cell>
          <cell r="AN47">
            <v>0</v>
          </cell>
          <cell r="AO47">
            <v>0</v>
          </cell>
          <cell r="AP47">
            <v>0.7</v>
          </cell>
          <cell r="AQ47">
            <v>3.6</v>
          </cell>
          <cell r="AR47">
            <v>6.78</v>
          </cell>
          <cell r="AS47">
            <v>5.43</v>
          </cell>
          <cell r="AT47">
            <v>1.2</v>
          </cell>
          <cell r="AU47">
            <v>0.35</v>
          </cell>
          <cell r="AV47">
            <v>0</v>
          </cell>
          <cell r="AW47">
            <v>0.9</v>
          </cell>
          <cell r="AX47">
            <v>0.2</v>
          </cell>
          <cell r="AY47">
            <v>2.28</v>
          </cell>
          <cell r="AZ47">
            <v>2.08</v>
          </cell>
          <cell r="BA47">
            <v>0.9</v>
          </cell>
          <cell r="BB47">
            <v>0.7</v>
          </cell>
          <cell r="BC47">
            <v>1.63</v>
          </cell>
          <cell r="BD47">
            <v>4.53</v>
          </cell>
          <cell r="BE47">
            <v>3.78</v>
          </cell>
          <cell r="BF47">
            <v>1.03</v>
          </cell>
          <cell r="BG47">
            <v>0.68</v>
          </cell>
          <cell r="BH47">
            <v>0</v>
          </cell>
          <cell r="BI47">
            <v>1.25</v>
          </cell>
        </row>
        <row r="48">
          <cell r="A48" t="str">
            <v>Econ PUR_EC</v>
          </cell>
          <cell r="B48">
            <v>0</v>
          </cell>
          <cell r="C48">
            <v>0.1</v>
          </cell>
          <cell r="D48">
            <v>0</v>
          </cell>
          <cell r="E48">
            <v>0.2</v>
          </cell>
          <cell r="F48">
            <v>0.45</v>
          </cell>
          <cell r="G48">
            <v>1.9</v>
          </cell>
          <cell r="H48">
            <v>5.5</v>
          </cell>
          <cell r="I48">
            <v>4.03</v>
          </cell>
          <cell r="J48">
            <v>0.4</v>
          </cell>
          <cell r="K48">
            <v>0</v>
          </cell>
          <cell r="L48">
            <v>0</v>
          </cell>
          <cell r="M48">
            <v>0</v>
          </cell>
          <cell r="N48">
            <v>0</v>
          </cell>
          <cell r="O48">
            <v>0</v>
          </cell>
          <cell r="P48">
            <v>0</v>
          </cell>
          <cell r="Q48">
            <v>0.85</v>
          </cell>
          <cell r="R48">
            <v>0.5</v>
          </cell>
          <cell r="S48">
            <v>0</v>
          </cell>
          <cell r="T48">
            <v>1.6</v>
          </cell>
          <cell r="U48">
            <v>1</v>
          </cell>
          <cell r="V48">
            <v>0</v>
          </cell>
          <cell r="W48">
            <v>0</v>
          </cell>
          <cell r="X48">
            <v>0</v>
          </cell>
          <cell r="Y48">
            <v>0</v>
          </cell>
          <cell r="Z48">
            <v>0</v>
          </cell>
          <cell r="AA48">
            <v>0</v>
          </cell>
          <cell r="AB48">
            <v>0</v>
          </cell>
          <cell r="AC48">
            <v>0</v>
          </cell>
          <cell r="AD48">
            <v>0.2</v>
          </cell>
          <cell r="AE48">
            <v>0.75</v>
          </cell>
          <cell r="AF48">
            <v>2.73</v>
          </cell>
          <cell r="AG48">
            <v>2.13</v>
          </cell>
          <cell r="AH48">
            <v>0.3</v>
          </cell>
          <cell r="AI48">
            <v>0</v>
          </cell>
          <cell r="AJ48">
            <v>0</v>
          </cell>
          <cell r="AK48">
            <v>0</v>
          </cell>
          <cell r="AL48">
            <v>0</v>
          </cell>
          <cell r="AM48">
            <v>0</v>
          </cell>
          <cell r="AN48">
            <v>0</v>
          </cell>
          <cell r="AO48">
            <v>0</v>
          </cell>
          <cell r="AP48">
            <v>0.3</v>
          </cell>
          <cell r="AQ48">
            <v>3.05</v>
          </cell>
          <cell r="AR48">
            <v>4.98</v>
          </cell>
          <cell r="AS48">
            <v>4.28</v>
          </cell>
          <cell r="AT48">
            <v>1.13</v>
          </cell>
          <cell r="AU48">
            <v>0.1</v>
          </cell>
          <cell r="AV48">
            <v>0</v>
          </cell>
          <cell r="AW48">
            <v>0.48</v>
          </cell>
          <cell r="AX48">
            <v>0</v>
          </cell>
          <cell r="AY48">
            <v>2.13</v>
          </cell>
          <cell r="AZ48">
            <v>1.5</v>
          </cell>
          <cell r="BA48">
            <v>0.85</v>
          </cell>
          <cell r="BB48">
            <v>0.6</v>
          </cell>
          <cell r="BC48">
            <v>1.3</v>
          </cell>
          <cell r="BD48">
            <v>3.65</v>
          </cell>
          <cell r="BE48">
            <v>3.1</v>
          </cell>
          <cell r="BF48">
            <v>0.78</v>
          </cell>
          <cell r="BG48">
            <v>0.45</v>
          </cell>
          <cell r="BH48">
            <v>0</v>
          </cell>
          <cell r="BI48">
            <v>1.23</v>
          </cell>
        </row>
        <row r="49">
          <cell r="A49" t="str">
            <v>PUR AEOLUS Wind</v>
          </cell>
          <cell r="B49">
            <v>0.57</v>
          </cell>
          <cell r="C49">
            <v>0.56</v>
          </cell>
          <cell r="D49">
            <v>0.51</v>
          </cell>
          <cell r="E49">
            <v>0.5</v>
          </cell>
          <cell r="F49">
            <v>0.56</v>
          </cell>
          <cell r="G49">
            <v>0.58</v>
          </cell>
          <cell r="H49">
            <v>0.54</v>
          </cell>
          <cell r="I49">
            <v>0.59</v>
          </cell>
          <cell r="J49">
            <v>0.5</v>
          </cell>
          <cell r="K49">
            <v>0.6</v>
          </cell>
          <cell r="L49">
            <v>0.53</v>
          </cell>
          <cell r="M49">
            <v>0.53</v>
          </cell>
          <cell r="N49">
            <v>0.59</v>
          </cell>
          <cell r="O49">
            <v>0.51</v>
          </cell>
          <cell r="P49">
            <v>0.5</v>
          </cell>
          <cell r="Q49">
            <v>0.56</v>
          </cell>
          <cell r="R49">
            <v>0.57</v>
          </cell>
          <cell r="S49">
            <v>0.52</v>
          </cell>
          <cell r="T49">
            <v>0.56</v>
          </cell>
          <cell r="U49">
            <v>0.56</v>
          </cell>
          <cell r="V49">
            <v>0.61</v>
          </cell>
          <cell r="W49">
            <v>0.53</v>
          </cell>
          <cell r="X49">
            <v>0.5</v>
          </cell>
          <cell r="Y49">
            <v>0.56</v>
          </cell>
          <cell r="Z49">
            <v>0.57</v>
          </cell>
          <cell r="AA49">
            <v>0.51</v>
          </cell>
          <cell r="AB49">
            <v>0.53</v>
          </cell>
          <cell r="AC49">
            <v>0.51</v>
          </cell>
          <cell r="AD49">
            <v>0.6</v>
          </cell>
          <cell r="AE49">
            <v>0.58</v>
          </cell>
          <cell r="AF49">
            <v>0.54</v>
          </cell>
          <cell r="AG49">
            <v>0.54</v>
          </cell>
          <cell r="AH49">
            <v>0.52</v>
          </cell>
          <cell r="AI49">
            <v>0.59</v>
          </cell>
          <cell r="AJ49">
            <v>0.52</v>
          </cell>
          <cell r="AK49">
            <v>0.56</v>
          </cell>
          <cell r="AL49">
            <v>0.56</v>
          </cell>
          <cell r="AM49">
            <v>0.5</v>
          </cell>
          <cell r="AN49">
            <v>0.57</v>
          </cell>
          <cell r="AO49">
            <v>0.54</v>
          </cell>
          <cell r="AP49">
            <v>0.53</v>
          </cell>
          <cell r="AQ49">
            <v>0.62</v>
          </cell>
          <cell r="AR49">
            <v>0.51</v>
          </cell>
          <cell r="AS49">
            <v>0.56</v>
          </cell>
          <cell r="AT49">
            <v>0.53</v>
          </cell>
          <cell r="AU49">
            <v>0.55</v>
          </cell>
          <cell r="AV49">
            <v>0.55</v>
          </cell>
          <cell r="AW49">
            <v>0.55</v>
          </cell>
          <cell r="AX49">
            <v>0.56</v>
          </cell>
          <cell r="AY49">
            <v>0.52</v>
          </cell>
          <cell r="AZ49">
            <v>0.57</v>
          </cell>
          <cell r="BA49">
            <v>0.52</v>
          </cell>
          <cell r="BB49">
            <v>0.51</v>
          </cell>
          <cell r="BC49">
            <v>0.63</v>
          </cell>
          <cell r="BD49">
            <v>0.5</v>
          </cell>
          <cell r="BE49">
            <v>0.59</v>
          </cell>
          <cell r="BF49">
            <v>0.54</v>
          </cell>
          <cell r="BG49">
            <v>0.55</v>
          </cell>
          <cell r="BH49">
            <v>0.53</v>
          </cell>
          <cell r="BI49">
            <v>0.54</v>
          </cell>
        </row>
        <row r="50">
          <cell r="A50" t="str">
            <v>PUR BRANDON1</v>
          </cell>
          <cell r="B50">
            <v>2.04</v>
          </cell>
          <cell r="C50">
            <v>4.42</v>
          </cell>
          <cell r="D50">
            <v>1.12</v>
          </cell>
          <cell r="E50">
            <v>9.21</v>
          </cell>
          <cell r="F50">
            <v>9.26</v>
          </cell>
          <cell r="G50">
            <v>10.85</v>
          </cell>
          <cell r="H50">
            <v>11.19</v>
          </cell>
          <cell r="I50">
            <v>9.92</v>
          </cell>
          <cell r="J50">
            <v>7.74</v>
          </cell>
          <cell r="K50">
            <v>7.89</v>
          </cell>
          <cell r="L50">
            <v>1.17</v>
          </cell>
          <cell r="M50">
            <v>2.33</v>
          </cell>
          <cell r="N50">
            <v>4.09</v>
          </cell>
          <cell r="O50">
            <v>1.85</v>
          </cell>
          <cell r="P50">
            <v>4.34</v>
          </cell>
          <cell r="Q50">
            <v>7.79</v>
          </cell>
          <cell r="R50">
            <v>6.28</v>
          </cell>
          <cell r="S50">
            <v>9.74</v>
          </cell>
          <cell r="T50">
            <v>10.91</v>
          </cell>
          <cell r="U50">
            <v>10.85</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row>
        <row r="51">
          <cell r="A51" t="str">
            <v>PUR COOKEGT1</v>
          </cell>
          <cell r="B51">
            <v>0</v>
          </cell>
          <cell r="C51">
            <v>0.03</v>
          </cell>
          <cell r="D51">
            <v>0</v>
          </cell>
          <cell r="E51">
            <v>0.1</v>
          </cell>
          <cell r="F51">
            <v>0.12</v>
          </cell>
          <cell r="G51">
            <v>0.41</v>
          </cell>
          <cell r="H51">
            <v>1.28</v>
          </cell>
          <cell r="I51">
            <v>0.74</v>
          </cell>
          <cell r="J51">
            <v>0.1</v>
          </cell>
          <cell r="K51">
            <v>0.04</v>
          </cell>
          <cell r="L51">
            <v>0</v>
          </cell>
          <cell r="M51">
            <v>0</v>
          </cell>
          <cell r="N51">
            <v>0.04</v>
          </cell>
          <cell r="O51">
            <v>0</v>
          </cell>
          <cell r="P51">
            <v>0</v>
          </cell>
          <cell r="Q51">
            <v>0.32</v>
          </cell>
          <cell r="R51">
            <v>0.17</v>
          </cell>
          <cell r="S51">
            <v>0.07</v>
          </cell>
          <cell r="T51">
            <v>0.87</v>
          </cell>
          <cell r="U51">
            <v>0.37</v>
          </cell>
          <cell r="V51">
            <v>0.22</v>
          </cell>
          <cell r="W51">
            <v>0</v>
          </cell>
          <cell r="X51">
            <v>0</v>
          </cell>
          <cell r="Y51">
            <v>0</v>
          </cell>
          <cell r="Z51">
            <v>0</v>
          </cell>
          <cell r="AA51">
            <v>0</v>
          </cell>
          <cell r="AB51">
            <v>0</v>
          </cell>
          <cell r="AC51">
            <v>0.02</v>
          </cell>
          <cell r="AD51">
            <v>0.13</v>
          </cell>
          <cell r="AE51">
            <v>0.35</v>
          </cell>
          <cell r="AF51">
            <v>1.67</v>
          </cell>
          <cell r="AG51">
            <v>1.2</v>
          </cell>
          <cell r="AH51">
            <v>0.44</v>
          </cell>
          <cell r="AI51">
            <v>0</v>
          </cell>
          <cell r="AJ51">
            <v>0.07</v>
          </cell>
          <cell r="AK51">
            <v>0</v>
          </cell>
          <cell r="AL51">
            <v>0</v>
          </cell>
          <cell r="AM51">
            <v>0</v>
          </cell>
          <cell r="AN51">
            <v>0</v>
          </cell>
          <cell r="AO51">
            <v>0</v>
          </cell>
          <cell r="AP51">
            <v>0.11</v>
          </cell>
          <cell r="AQ51">
            <v>0.88</v>
          </cell>
          <cell r="AR51">
            <v>1.99</v>
          </cell>
          <cell r="AS51">
            <v>1.55</v>
          </cell>
          <cell r="AT51">
            <v>0.7</v>
          </cell>
          <cell r="AU51">
            <v>0.2</v>
          </cell>
          <cell r="AV51">
            <v>0</v>
          </cell>
          <cell r="AW51">
            <v>0.09</v>
          </cell>
          <cell r="AX51">
            <v>0.02</v>
          </cell>
          <cell r="AY51">
            <v>0.39</v>
          </cell>
          <cell r="AZ51">
            <v>0.22</v>
          </cell>
          <cell r="BA51">
            <v>0.26</v>
          </cell>
          <cell r="BB51">
            <v>0.24</v>
          </cell>
          <cell r="BC51">
            <v>1.12</v>
          </cell>
          <cell r="BD51">
            <v>2.12</v>
          </cell>
          <cell r="BE51">
            <v>1.55</v>
          </cell>
          <cell r="BF51">
            <v>0.66</v>
          </cell>
          <cell r="BG51">
            <v>0.29</v>
          </cell>
          <cell r="BH51">
            <v>0</v>
          </cell>
          <cell r="BI51">
            <v>0.29</v>
          </cell>
        </row>
        <row r="52">
          <cell r="A52" t="str">
            <v>PUR COOKEGT2</v>
          </cell>
          <cell r="B52">
            <v>0.02</v>
          </cell>
          <cell r="C52">
            <v>0.54</v>
          </cell>
          <cell r="D52">
            <v>0.03</v>
          </cell>
          <cell r="E52">
            <v>0.43</v>
          </cell>
          <cell r="F52">
            <v>0.78</v>
          </cell>
          <cell r="G52">
            <v>1.74</v>
          </cell>
          <cell r="H52">
            <v>3.9</v>
          </cell>
          <cell r="I52">
            <v>2.98</v>
          </cell>
          <cell r="J52">
            <v>1.38</v>
          </cell>
          <cell r="K52">
            <v>0.64</v>
          </cell>
          <cell r="L52">
            <v>0.22</v>
          </cell>
          <cell r="M52">
            <v>0.88</v>
          </cell>
          <cell r="N52">
            <v>0.16</v>
          </cell>
          <cell r="O52">
            <v>0.08</v>
          </cell>
          <cell r="P52">
            <v>0.11</v>
          </cell>
          <cell r="Q52">
            <v>1.07</v>
          </cell>
          <cell r="R52">
            <v>0.67</v>
          </cell>
          <cell r="S52">
            <v>1.81</v>
          </cell>
          <cell r="T52">
            <v>3.6</v>
          </cell>
          <cell r="U52">
            <v>2.78</v>
          </cell>
          <cell r="V52">
            <v>2.21</v>
          </cell>
          <cell r="W52">
            <v>0.85</v>
          </cell>
          <cell r="X52">
            <v>0.67</v>
          </cell>
          <cell r="Y52">
            <v>1.18</v>
          </cell>
          <cell r="Z52">
            <v>0.16</v>
          </cell>
          <cell r="AA52">
            <v>0.29</v>
          </cell>
          <cell r="AB52">
            <v>0.37</v>
          </cell>
          <cell r="AC52">
            <v>0.94</v>
          </cell>
          <cell r="AD52">
            <v>0.98</v>
          </cell>
          <cell r="AE52">
            <v>2.86</v>
          </cell>
          <cell r="AF52">
            <v>4.66</v>
          </cell>
          <cell r="AG52">
            <v>4.22</v>
          </cell>
          <cell r="AH52">
            <v>2.43</v>
          </cell>
          <cell r="AI52">
            <v>1.14</v>
          </cell>
          <cell r="AJ52">
            <v>0.85</v>
          </cell>
          <cell r="AK52">
            <v>1.71</v>
          </cell>
          <cell r="AL52">
            <v>0.45</v>
          </cell>
          <cell r="AM52">
            <v>0.24</v>
          </cell>
          <cell r="AN52">
            <v>0.45</v>
          </cell>
          <cell r="AO52">
            <v>0.8</v>
          </cell>
          <cell r="AP52">
            <v>1.55</v>
          </cell>
          <cell r="AQ52">
            <v>3.47</v>
          </cell>
          <cell r="AR52">
            <v>4.9</v>
          </cell>
          <cell r="AS52">
            <v>4.83</v>
          </cell>
          <cell r="AT52">
            <v>2.94</v>
          </cell>
          <cell r="AU52">
            <v>1.66</v>
          </cell>
          <cell r="AV52">
            <v>1.42</v>
          </cell>
          <cell r="AW52">
            <v>1.87</v>
          </cell>
          <cell r="AX52">
            <v>0.54</v>
          </cell>
          <cell r="AY52">
            <v>1.17</v>
          </cell>
          <cell r="AZ52">
            <v>1.25</v>
          </cell>
          <cell r="BA52">
            <v>1.49</v>
          </cell>
          <cell r="BB52">
            <v>1.9</v>
          </cell>
          <cell r="BC52">
            <v>3.9</v>
          </cell>
          <cell r="BD52">
            <v>5.23</v>
          </cell>
          <cell r="BE52">
            <v>4.91</v>
          </cell>
          <cell r="BF52">
            <v>3.34</v>
          </cell>
          <cell r="BG52">
            <v>2.1</v>
          </cell>
          <cell r="BH52">
            <v>1.62</v>
          </cell>
          <cell r="BI52">
            <v>2.21</v>
          </cell>
        </row>
        <row r="53">
          <cell r="A53" t="str">
            <v>PUR COOKEGT3</v>
          </cell>
          <cell r="B53">
            <v>0</v>
          </cell>
          <cell r="C53">
            <v>0.14</v>
          </cell>
          <cell r="D53">
            <v>0</v>
          </cell>
          <cell r="E53">
            <v>0.26</v>
          </cell>
          <cell r="F53">
            <v>0.37</v>
          </cell>
          <cell r="G53">
            <v>0.9</v>
          </cell>
          <cell r="H53">
            <v>2.99</v>
          </cell>
          <cell r="I53">
            <v>2.14</v>
          </cell>
          <cell r="J53">
            <v>0.56</v>
          </cell>
          <cell r="K53">
            <v>0.15</v>
          </cell>
          <cell r="L53">
            <v>0</v>
          </cell>
          <cell r="M53">
            <v>0.03</v>
          </cell>
          <cell r="N53">
            <v>0.07</v>
          </cell>
          <cell r="O53">
            <v>0.03</v>
          </cell>
          <cell r="P53">
            <v>0</v>
          </cell>
          <cell r="Q53">
            <v>0.6</v>
          </cell>
          <cell r="R53">
            <v>0.34</v>
          </cell>
          <cell r="S53">
            <v>0.56</v>
          </cell>
          <cell r="T53">
            <v>2.6</v>
          </cell>
          <cell r="U53">
            <v>1.51</v>
          </cell>
          <cell r="V53">
            <v>1.16</v>
          </cell>
          <cell r="W53">
            <v>0.29</v>
          </cell>
          <cell r="X53">
            <v>0</v>
          </cell>
          <cell r="Y53">
            <v>0.05</v>
          </cell>
          <cell r="Z53">
            <v>0</v>
          </cell>
          <cell r="AA53">
            <v>0</v>
          </cell>
          <cell r="AB53">
            <v>0</v>
          </cell>
          <cell r="AC53">
            <v>0.2</v>
          </cell>
          <cell r="AD53">
            <v>0.41</v>
          </cell>
          <cell r="AE53">
            <v>1.63</v>
          </cell>
          <cell r="AF53">
            <v>3.79</v>
          </cell>
          <cell r="AG53">
            <v>3.03</v>
          </cell>
          <cell r="AH53">
            <v>1.51</v>
          </cell>
          <cell r="AI53">
            <v>0.53</v>
          </cell>
          <cell r="AJ53">
            <v>0.24</v>
          </cell>
          <cell r="AK53">
            <v>0.27</v>
          </cell>
          <cell r="AL53">
            <v>0</v>
          </cell>
          <cell r="AM53">
            <v>0</v>
          </cell>
          <cell r="AN53">
            <v>0</v>
          </cell>
          <cell r="AO53">
            <v>0.31</v>
          </cell>
          <cell r="AP53">
            <v>0.49</v>
          </cell>
          <cell r="AQ53">
            <v>2.53</v>
          </cell>
          <cell r="AR53">
            <v>4.25</v>
          </cell>
          <cell r="AS53">
            <v>4</v>
          </cell>
          <cell r="AT53">
            <v>1.94</v>
          </cell>
          <cell r="AU53">
            <v>0.78</v>
          </cell>
          <cell r="AV53">
            <v>0.05</v>
          </cell>
          <cell r="AW53">
            <v>0.9</v>
          </cell>
          <cell r="AX53">
            <v>0.03</v>
          </cell>
          <cell r="AY53">
            <v>0.8</v>
          </cell>
          <cell r="AZ53">
            <v>0.58</v>
          </cell>
          <cell r="BA53">
            <v>0.94</v>
          </cell>
          <cell r="BB53">
            <v>1.19</v>
          </cell>
          <cell r="BC53">
            <v>3.04</v>
          </cell>
          <cell r="BD53">
            <v>4.59</v>
          </cell>
          <cell r="BE53">
            <v>3.84</v>
          </cell>
          <cell r="BF53">
            <v>2.38</v>
          </cell>
          <cell r="BG53">
            <v>1.02</v>
          </cell>
          <cell r="BH53">
            <v>0.49</v>
          </cell>
          <cell r="BI53">
            <v>1.45</v>
          </cell>
        </row>
        <row r="54">
          <cell r="A54" t="str">
            <v>PUR COOKEST1</v>
          </cell>
          <cell r="B54">
            <v>0</v>
          </cell>
          <cell r="C54">
            <v>0</v>
          </cell>
          <cell r="D54">
            <v>0</v>
          </cell>
          <cell r="E54">
            <v>6.82</v>
          </cell>
          <cell r="F54">
            <v>4.53</v>
          </cell>
          <cell r="G54">
            <v>7.57</v>
          </cell>
          <cell r="H54">
            <v>9.16</v>
          </cell>
          <cell r="I54">
            <v>10.19</v>
          </cell>
          <cell r="J54">
            <v>6.34</v>
          </cell>
          <cell r="K54">
            <v>4.58</v>
          </cell>
          <cell r="L54">
            <v>2.21</v>
          </cell>
          <cell r="M54">
            <v>0.33</v>
          </cell>
          <cell r="N54">
            <v>1.83</v>
          </cell>
          <cell r="O54">
            <v>1.82</v>
          </cell>
          <cell r="P54">
            <v>2.23</v>
          </cell>
          <cell r="Q54">
            <v>7.11</v>
          </cell>
          <cell r="R54">
            <v>5.65</v>
          </cell>
          <cell r="S54">
            <v>7.4</v>
          </cell>
          <cell r="T54">
            <v>8.32</v>
          </cell>
          <cell r="U54">
            <v>8.13</v>
          </cell>
          <cell r="V54">
            <v>7.42</v>
          </cell>
          <cell r="W54">
            <v>5.43</v>
          </cell>
          <cell r="X54">
            <v>0</v>
          </cell>
          <cell r="Y54">
            <v>3.36</v>
          </cell>
          <cell r="Z54">
            <v>0</v>
          </cell>
          <cell r="AA54">
            <v>0</v>
          </cell>
          <cell r="AB54">
            <v>0</v>
          </cell>
          <cell r="AC54">
            <v>2.66</v>
          </cell>
          <cell r="AD54">
            <v>5.9</v>
          </cell>
          <cell r="AE54">
            <v>9.12</v>
          </cell>
          <cell r="AF54">
            <v>10.68</v>
          </cell>
          <cell r="AG54">
            <v>10.3</v>
          </cell>
          <cell r="AH54">
            <v>8.43</v>
          </cell>
          <cell r="AI54">
            <v>6.27</v>
          </cell>
          <cell r="AJ54">
            <v>4.73</v>
          </cell>
          <cell r="AK54">
            <v>5.52</v>
          </cell>
          <cell r="AL54">
            <v>1.8</v>
          </cell>
          <cell r="AM54">
            <v>1.8</v>
          </cell>
          <cell r="AN54">
            <v>0</v>
          </cell>
          <cell r="AO54">
            <v>3.41</v>
          </cell>
          <cell r="AP54">
            <v>7.43</v>
          </cell>
          <cell r="AQ54">
            <v>9.78</v>
          </cell>
          <cell r="AR54">
            <v>10.92</v>
          </cell>
          <cell r="AS54">
            <v>10.64</v>
          </cell>
          <cell r="AT54">
            <v>7.76</v>
          </cell>
          <cell r="AU54">
            <v>7.64</v>
          </cell>
          <cell r="AV54">
            <v>4.86</v>
          </cell>
          <cell r="AW54">
            <v>8.05</v>
          </cell>
          <cell r="AX54">
            <v>3.65</v>
          </cell>
          <cell r="AY54">
            <v>6.51</v>
          </cell>
          <cell r="AZ54">
            <v>5.57</v>
          </cell>
          <cell r="BA54">
            <v>6.76</v>
          </cell>
          <cell r="BB54">
            <v>8.6</v>
          </cell>
          <cell r="BC54">
            <v>9.94</v>
          </cell>
          <cell r="BD54">
            <v>10.53</v>
          </cell>
          <cell r="BE54">
            <v>10.22</v>
          </cell>
          <cell r="BF54">
            <v>8.71</v>
          </cell>
          <cell r="BG54">
            <v>7.67</v>
          </cell>
          <cell r="BH54">
            <v>7.85</v>
          </cell>
          <cell r="BI54">
            <v>8.51</v>
          </cell>
        </row>
        <row r="55">
          <cell r="A55" t="str">
            <v>PUR COOKEST2</v>
          </cell>
          <cell r="B55">
            <v>0</v>
          </cell>
          <cell r="C55">
            <v>0.92</v>
          </cell>
          <cell r="D55">
            <v>0.14</v>
          </cell>
          <cell r="E55">
            <v>1.68</v>
          </cell>
          <cell r="F55">
            <v>1.52</v>
          </cell>
          <cell r="G55">
            <v>2.46</v>
          </cell>
          <cell r="H55">
            <v>4.56</v>
          </cell>
          <cell r="I55">
            <v>3.97</v>
          </cell>
          <cell r="J55">
            <v>1.74</v>
          </cell>
          <cell r="K55">
            <v>1.21</v>
          </cell>
          <cell r="L55">
            <v>0.2</v>
          </cell>
          <cell r="M55">
            <v>0.39</v>
          </cell>
          <cell r="N55">
            <v>0.16</v>
          </cell>
          <cell r="O55">
            <v>0.53</v>
          </cell>
          <cell r="P55">
            <v>0.12</v>
          </cell>
          <cell r="Q55">
            <v>2.63</v>
          </cell>
          <cell r="R55">
            <v>1.11</v>
          </cell>
          <cell r="S55">
            <v>2.28</v>
          </cell>
          <cell r="T55">
            <v>4.18</v>
          </cell>
          <cell r="U55">
            <v>3.59</v>
          </cell>
          <cell r="V55">
            <v>2.54</v>
          </cell>
          <cell r="W55">
            <v>1.32</v>
          </cell>
          <cell r="X55">
            <v>0.39</v>
          </cell>
          <cell r="Y55">
            <v>1.2</v>
          </cell>
          <cell r="Z55">
            <v>0</v>
          </cell>
          <cell r="AA55">
            <v>0.08</v>
          </cell>
          <cell r="AB55">
            <v>0</v>
          </cell>
          <cell r="AC55">
            <v>1.23</v>
          </cell>
          <cell r="AD55">
            <v>1.44</v>
          </cell>
          <cell r="AE55">
            <v>3.59</v>
          </cell>
          <cell r="AF55">
            <v>5.62</v>
          </cell>
          <cell r="AG55">
            <v>4.81</v>
          </cell>
          <cell r="AH55">
            <v>3.26</v>
          </cell>
          <cell r="AI55">
            <v>1.58</v>
          </cell>
          <cell r="AJ55">
            <v>0.56</v>
          </cell>
          <cell r="AK55">
            <v>1.8</v>
          </cell>
          <cell r="AL55">
            <v>0.12</v>
          </cell>
          <cell r="AM55">
            <v>0.2</v>
          </cell>
          <cell r="AN55">
            <v>0.12</v>
          </cell>
          <cell r="AO55">
            <v>0.89</v>
          </cell>
          <cell r="AP55">
            <v>2.3</v>
          </cell>
          <cell r="AQ55">
            <v>4.75</v>
          </cell>
          <cell r="AR55">
            <v>6.14</v>
          </cell>
          <cell r="AS55">
            <v>6.26</v>
          </cell>
          <cell r="AT55">
            <v>3.29</v>
          </cell>
          <cell r="AU55">
            <v>1.91</v>
          </cell>
          <cell r="AV55">
            <v>1.28</v>
          </cell>
          <cell r="AW55">
            <v>2.61</v>
          </cell>
          <cell r="AX55">
            <v>0.36</v>
          </cell>
          <cell r="AY55">
            <v>2.12</v>
          </cell>
          <cell r="AZ55">
            <v>3.06</v>
          </cell>
          <cell r="BA55">
            <v>1.86</v>
          </cell>
          <cell r="BB55">
            <v>2.63</v>
          </cell>
          <cell r="BC55">
            <v>4.61</v>
          </cell>
          <cell r="BD55">
            <v>6.39</v>
          </cell>
          <cell r="BE55">
            <v>6.08</v>
          </cell>
          <cell r="BF55">
            <v>3.72</v>
          </cell>
          <cell r="BG55">
            <v>2.69</v>
          </cell>
          <cell r="BH55">
            <v>2.19</v>
          </cell>
          <cell r="BI55">
            <v>3.54</v>
          </cell>
        </row>
        <row r="56">
          <cell r="A56" t="str">
            <v>PUR MASSENGALE6</v>
          </cell>
          <cell r="B56">
            <v>0</v>
          </cell>
          <cell r="C56">
            <v>0.28</v>
          </cell>
          <cell r="D56">
            <v>0</v>
          </cell>
          <cell r="E56">
            <v>0.49</v>
          </cell>
          <cell r="F56">
            <v>0.42</v>
          </cell>
          <cell r="G56">
            <v>1.03</v>
          </cell>
          <cell r="H56">
            <v>2.93</v>
          </cell>
          <cell r="I56">
            <v>1.9</v>
          </cell>
          <cell r="J56">
            <v>0.52</v>
          </cell>
          <cell r="K56">
            <v>0.37</v>
          </cell>
          <cell r="L56">
            <v>0</v>
          </cell>
          <cell r="M56">
            <v>0</v>
          </cell>
          <cell r="N56">
            <v>0.1</v>
          </cell>
          <cell r="O56">
            <v>0</v>
          </cell>
          <cell r="P56">
            <v>0</v>
          </cell>
          <cell r="Q56">
            <v>0.74</v>
          </cell>
          <cell r="R56">
            <v>0.33</v>
          </cell>
          <cell r="S56">
            <v>0.22</v>
          </cell>
          <cell r="T56">
            <v>2.61</v>
          </cell>
          <cell r="U56">
            <v>1.5</v>
          </cell>
          <cell r="V56">
            <v>0.96</v>
          </cell>
          <cell r="W56">
            <v>0.21</v>
          </cell>
          <cell r="X56">
            <v>0</v>
          </cell>
          <cell r="Y56">
            <v>0</v>
          </cell>
          <cell r="Z56">
            <v>0</v>
          </cell>
          <cell r="AA56">
            <v>0</v>
          </cell>
          <cell r="AB56">
            <v>0</v>
          </cell>
          <cell r="AC56">
            <v>0.1</v>
          </cell>
          <cell r="AD56">
            <v>0.52</v>
          </cell>
          <cell r="AE56">
            <v>1.43</v>
          </cell>
          <cell r="AF56">
            <v>3.08</v>
          </cell>
          <cell r="AG56">
            <v>2.69</v>
          </cell>
          <cell r="AH56">
            <v>1.31</v>
          </cell>
          <cell r="AI56">
            <v>0.52</v>
          </cell>
          <cell r="AJ56">
            <v>0.14</v>
          </cell>
          <cell r="AK56">
            <v>0</v>
          </cell>
          <cell r="AL56">
            <v>0</v>
          </cell>
          <cell r="AM56">
            <v>0</v>
          </cell>
          <cell r="AN56">
            <v>0</v>
          </cell>
          <cell r="AO56">
            <v>0.31</v>
          </cell>
          <cell r="AP56">
            <v>0.52</v>
          </cell>
          <cell r="AQ56">
            <v>2.53</v>
          </cell>
          <cell r="AR56">
            <v>3.38</v>
          </cell>
          <cell r="AS56">
            <v>3.58</v>
          </cell>
          <cell r="AT56">
            <v>1.76</v>
          </cell>
          <cell r="AU56">
            <v>0.95</v>
          </cell>
          <cell r="AV56">
            <v>0</v>
          </cell>
          <cell r="AW56">
            <v>0.49</v>
          </cell>
          <cell r="AX56">
            <v>0.1</v>
          </cell>
          <cell r="AY56">
            <v>0.96</v>
          </cell>
          <cell r="AZ56">
            <v>0.81</v>
          </cell>
          <cell r="BA56">
            <v>0.94</v>
          </cell>
          <cell r="BB56">
            <v>1.2</v>
          </cell>
          <cell r="BC56">
            <v>2.25</v>
          </cell>
          <cell r="BD56">
            <v>3.63</v>
          </cell>
          <cell r="BE56">
            <v>3.49</v>
          </cell>
          <cell r="BF56">
            <v>2</v>
          </cell>
          <cell r="BG56">
            <v>0.94</v>
          </cell>
          <cell r="BH56">
            <v>0.13</v>
          </cell>
          <cell r="BI56">
            <v>1.08</v>
          </cell>
        </row>
        <row r="57">
          <cell r="A57" t="str">
            <v>PUR MASSENGALE78</v>
          </cell>
          <cell r="B57">
            <v>14.21</v>
          </cell>
          <cell r="C57">
            <v>28.57</v>
          </cell>
          <cell r="D57">
            <v>17.24</v>
          </cell>
          <cell r="E57">
            <v>24.39</v>
          </cell>
          <cell r="F57">
            <v>14.33</v>
          </cell>
          <cell r="G57">
            <v>11.93</v>
          </cell>
          <cell r="H57">
            <v>12.69</v>
          </cell>
          <cell r="I57">
            <v>13.84</v>
          </cell>
          <cell r="J57">
            <v>11.72</v>
          </cell>
          <cell r="K57">
            <v>17.05</v>
          </cell>
          <cell r="L57">
            <v>16.53</v>
          </cell>
          <cell r="M57">
            <v>13.95</v>
          </cell>
          <cell r="N57">
            <v>17.43</v>
          </cell>
          <cell r="O57">
            <v>24.53</v>
          </cell>
          <cell r="P57">
            <v>28.51</v>
          </cell>
          <cell r="Q57">
            <v>24.47</v>
          </cell>
          <cell r="R57">
            <v>13.93</v>
          </cell>
          <cell r="S57">
            <v>11.48</v>
          </cell>
          <cell r="T57">
            <v>12.48</v>
          </cell>
          <cell r="U57">
            <v>12.34</v>
          </cell>
          <cell r="V57">
            <v>11.35</v>
          </cell>
          <cell r="W57">
            <v>10.23</v>
          </cell>
          <cell r="X57">
            <v>8.89</v>
          </cell>
          <cell r="Y57">
            <v>11.05</v>
          </cell>
          <cell r="Z57">
            <v>15.42</v>
          </cell>
          <cell r="AA57">
            <v>17.83</v>
          </cell>
          <cell r="AB57">
            <v>7.74</v>
          </cell>
          <cell r="AC57">
            <v>9.95</v>
          </cell>
          <cell r="AD57">
            <v>10.42</v>
          </cell>
          <cell r="AE57">
            <v>11.58</v>
          </cell>
          <cell r="AF57">
            <v>15.12</v>
          </cell>
          <cell r="AG57">
            <v>12.73</v>
          </cell>
          <cell r="AH57">
            <v>10.61</v>
          </cell>
          <cell r="AI57">
            <v>11</v>
          </cell>
          <cell r="AJ57">
            <v>9.04</v>
          </cell>
          <cell r="AK57">
            <v>10.46</v>
          </cell>
          <cell r="AL57">
            <v>8.15</v>
          </cell>
          <cell r="AM57">
            <v>12.2</v>
          </cell>
          <cell r="AN57">
            <v>11.96</v>
          </cell>
          <cell r="AO57">
            <v>14.46</v>
          </cell>
          <cell r="AP57">
            <v>11.3</v>
          </cell>
          <cell r="AQ57">
            <v>12.25</v>
          </cell>
          <cell r="AR57">
            <v>15.79</v>
          </cell>
          <cell r="AS57">
            <v>13.96</v>
          </cell>
          <cell r="AT57">
            <v>12.22</v>
          </cell>
          <cell r="AU57">
            <v>11.23</v>
          </cell>
          <cell r="AV57">
            <v>9.38</v>
          </cell>
          <cell r="AW57">
            <v>15.24</v>
          </cell>
          <cell r="AX57">
            <v>10.58</v>
          </cell>
          <cell r="AY57">
            <v>21</v>
          </cell>
          <cell r="AZ57">
            <v>22.39</v>
          </cell>
          <cell r="BA57">
            <v>15.88</v>
          </cell>
          <cell r="BB57">
            <v>11.77</v>
          </cell>
          <cell r="BC57">
            <v>13.13</v>
          </cell>
          <cell r="BD57">
            <v>16.75</v>
          </cell>
          <cell r="BE57">
            <v>14.85</v>
          </cell>
          <cell r="BF57">
            <v>11.66</v>
          </cell>
          <cell r="BG57">
            <v>12.03</v>
          </cell>
          <cell r="BH57">
            <v>9.9</v>
          </cell>
          <cell r="BI57">
            <v>10.33</v>
          </cell>
        </row>
        <row r="58">
          <cell r="A58" t="str">
            <v>SAL PNM2003</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row>
        <row r="59">
          <cell r="A59" t="str">
            <v>PUR Padoma Wind</v>
          </cell>
          <cell r="B59">
            <v>32.94</v>
          </cell>
          <cell r="C59">
            <v>31.14</v>
          </cell>
          <cell r="D59">
            <v>38.66</v>
          </cell>
          <cell r="E59">
            <v>41.95</v>
          </cell>
          <cell r="F59">
            <v>36.11</v>
          </cell>
          <cell r="G59">
            <v>31.93</v>
          </cell>
          <cell r="H59">
            <v>28.7</v>
          </cell>
          <cell r="I59">
            <v>28.93</v>
          </cell>
          <cell r="J59">
            <v>31.52</v>
          </cell>
          <cell r="K59">
            <v>28.58</v>
          </cell>
          <cell r="L59">
            <v>35.59</v>
          </cell>
          <cell r="M59">
            <v>34.78</v>
          </cell>
          <cell r="N59">
            <v>32.94</v>
          </cell>
          <cell r="O59">
            <v>33.72</v>
          </cell>
          <cell r="P59">
            <v>38.66</v>
          </cell>
          <cell r="Q59">
            <v>41.95</v>
          </cell>
          <cell r="R59">
            <v>36.11</v>
          </cell>
          <cell r="S59">
            <v>31.93</v>
          </cell>
          <cell r="T59">
            <v>28.7</v>
          </cell>
          <cell r="U59">
            <v>28.93</v>
          </cell>
          <cell r="V59">
            <v>31.52</v>
          </cell>
          <cell r="W59">
            <v>28.58</v>
          </cell>
          <cell r="X59">
            <v>35.59</v>
          </cell>
          <cell r="Y59">
            <v>34.78</v>
          </cell>
          <cell r="Z59">
            <v>32.94</v>
          </cell>
          <cell r="AA59">
            <v>31.14</v>
          </cell>
          <cell r="AB59">
            <v>38.66</v>
          </cell>
          <cell r="AC59">
            <v>41.95</v>
          </cell>
          <cell r="AD59">
            <v>36.11</v>
          </cell>
          <cell r="AE59">
            <v>31.93</v>
          </cell>
          <cell r="AF59">
            <v>28.7</v>
          </cell>
          <cell r="AG59">
            <v>28.93</v>
          </cell>
          <cell r="AH59">
            <v>31.52</v>
          </cell>
          <cell r="AI59">
            <v>28.58</v>
          </cell>
          <cell r="AJ59">
            <v>35.59</v>
          </cell>
          <cell r="AK59">
            <v>34.78</v>
          </cell>
          <cell r="AL59">
            <v>32.94</v>
          </cell>
          <cell r="AM59">
            <v>31.14</v>
          </cell>
          <cell r="AN59">
            <v>38.66</v>
          </cell>
          <cell r="AO59">
            <v>41.95</v>
          </cell>
          <cell r="AP59">
            <v>36.11</v>
          </cell>
          <cell r="AQ59">
            <v>31.93</v>
          </cell>
          <cell r="AR59">
            <v>28.7</v>
          </cell>
          <cell r="AS59">
            <v>28.93</v>
          </cell>
          <cell r="AT59">
            <v>31.52</v>
          </cell>
          <cell r="AU59">
            <v>28.58</v>
          </cell>
          <cell r="AV59">
            <v>35.59</v>
          </cell>
          <cell r="AW59">
            <v>34.78</v>
          </cell>
          <cell r="AX59">
            <v>32.94</v>
          </cell>
          <cell r="AY59">
            <v>31.14</v>
          </cell>
          <cell r="AZ59">
            <v>38.66</v>
          </cell>
          <cell r="BA59">
            <v>41.95</v>
          </cell>
          <cell r="BB59">
            <v>36.11</v>
          </cell>
          <cell r="BC59">
            <v>31.93</v>
          </cell>
          <cell r="BD59">
            <v>28.7</v>
          </cell>
          <cell r="BE59">
            <v>28.93</v>
          </cell>
          <cell r="BF59">
            <v>31.52</v>
          </cell>
          <cell r="BG59">
            <v>28.58</v>
          </cell>
          <cell r="BH59">
            <v>35.59</v>
          </cell>
          <cell r="BI59">
            <v>34.78</v>
          </cell>
        </row>
        <row r="60">
          <cell r="A60" t="str">
            <v>Nichols_Coal</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row>
        <row r="61">
          <cell r="A61" t="str">
            <v>PUR ENERGEN</v>
          </cell>
          <cell r="B61">
            <v>1</v>
          </cell>
          <cell r="C61">
            <v>0.96</v>
          </cell>
          <cell r="D61">
            <v>0.98</v>
          </cell>
          <cell r="E61">
            <v>1</v>
          </cell>
          <cell r="F61">
            <v>1.05</v>
          </cell>
          <cell r="G61">
            <v>0.97</v>
          </cell>
          <cell r="H61">
            <v>1.45</v>
          </cell>
          <cell r="I61">
            <v>1.43</v>
          </cell>
          <cell r="J61">
            <v>0.94</v>
          </cell>
          <cell r="K61">
            <v>1.07</v>
          </cell>
          <cell r="L61">
            <v>0.94</v>
          </cell>
          <cell r="M61">
            <v>0.87</v>
          </cell>
          <cell r="N61">
            <v>0.86</v>
          </cell>
          <cell r="O61">
            <v>0.84</v>
          </cell>
          <cell r="P61">
            <v>0.98</v>
          </cell>
          <cell r="Q61">
            <v>1.05</v>
          </cell>
          <cell r="R61">
            <v>1</v>
          </cell>
          <cell r="S61">
            <v>0.98</v>
          </cell>
          <cell r="T61">
            <v>1.47</v>
          </cell>
          <cell r="U61">
            <v>1.46</v>
          </cell>
          <cell r="V61">
            <v>1.04</v>
          </cell>
          <cell r="W61">
            <v>1.08</v>
          </cell>
          <cell r="X61">
            <v>0.93</v>
          </cell>
          <cell r="Y61">
            <v>1.04</v>
          </cell>
          <cell r="Z61">
            <v>1</v>
          </cell>
          <cell r="AA61">
            <v>0.95</v>
          </cell>
          <cell r="AB61">
            <v>0.94</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row>
        <row r="62">
          <cell r="A62" t="str">
            <v>PUR ExelGr150</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row>
        <row r="63">
          <cell r="A63" t="str">
            <v>PUR ExelOK200</v>
          </cell>
          <cell r="B63">
            <v>89.86</v>
          </cell>
          <cell r="C63">
            <v>85.9</v>
          </cell>
          <cell r="D63">
            <v>88.91</v>
          </cell>
          <cell r="E63">
            <v>88.76</v>
          </cell>
          <cell r="F63">
            <v>90.11</v>
          </cell>
          <cell r="G63">
            <v>124.08</v>
          </cell>
          <cell r="H63">
            <v>134.29</v>
          </cell>
          <cell r="I63">
            <v>132.8</v>
          </cell>
          <cell r="J63">
            <v>125.76</v>
          </cell>
          <cell r="K63">
            <v>91.18</v>
          </cell>
          <cell r="L63">
            <v>83.67</v>
          </cell>
          <cell r="M63">
            <v>85.34</v>
          </cell>
          <cell r="N63">
            <v>86.76</v>
          </cell>
          <cell r="O63">
            <v>82.45</v>
          </cell>
          <cell r="P63">
            <v>89.08</v>
          </cell>
          <cell r="Q63">
            <v>88.28</v>
          </cell>
          <cell r="R63">
            <v>88.35</v>
          </cell>
          <cell r="S63">
            <v>121.09</v>
          </cell>
          <cell r="T63">
            <v>130.33</v>
          </cell>
          <cell r="U63">
            <v>129.14</v>
          </cell>
          <cell r="V63">
            <v>118.4</v>
          </cell>
          <cell r="W63">
            <v>84.66</v>
          </cell>
          <cell r="X63">
            <v>82.95</v>
          </cell>
          <cell r="Y63">
            <v>83.68</v>
          </cell>
          <cell r="Z63">
            <v>84.69</v>
          </cell>
          <cell r="AA63">
            <v>80.99</v>
          </cell>
          <cell r="AB63">
            <v>77.65</v>
          </cell>
          <cell r="AC63">
            <v>74.36</v>
          </cell>
          <cell r="AD63">
            <v>79.24</v>
          </cell>
          <cell r="AE63">
            <v>104.83</v>
          </cell>
          <cell r="AF63">
            <v>120.47</v>
          </cell>
          <cell r="AG63">
            <v>117.43</v>
          </cell>
          <cell r="AH63">
            <v>89.02</v>
          </cell>
          <cell r="AI63">
            <v>73.9</v>
          </cell>
          <cell r="AJ63">
            <v>74.58</v>
          </cell>
          <cell r="AK63">
            <v>81.19</v>
          </cell>
          <cell r="AL63">
            <v>85.63</v>
          </cell>
          <cell r="AM63">
            <v>76.92</v>
          </cell>
          <cell r="AN63">
            <v>77.66</v>
          </cell>
          <cell r="AO63">
            <v>74.72</v>
          </cell>
          <cell r="AP63">
            <v>80.69</v>
          </cell>
          <cell r="AQ63">
            <v>114.89</v>
          </cell>
          <cell r="AR63">
            <v>127.53</v>
          </cell>
          <cell r="AS63">
            <v>126.24</v>
          </cell>
          <cell r="AT63">
            <v>117.61</v>
          </cell>
          <cell r="AU63">
            <v>84.49</v>
          </cell>
          <cell r="AV63">
            <v>84.51</v>
          </cell>
          <cell r="AW63">
            <v>85.56</v>
          </cell>
          <cell r="AX63">
            <v>89.02</v>
          </cell>
          <cell r="AY63">
            <v>80.28</v>
          </cell>
          <cell r="AZ63">
            <v>88.93</v>
          </cell>
          <cell r="BA63">
            <v>89.1</v>
          </cell>
          <cell r="BB63">
            <v>87.1</v>
          </cell>
          <cell r="BC63">
            <v>121.4</v>
          </cell>
          <cell r="BD63">
            <v>130.94</v>
          </cell>
          <cell r="BE63">
            <v>128.3</v>
          </cell>
          <cell r="BF63">
            <v>125.22</v>
          </cell>
          <cell r="BG63">
            <v>85.26</v>
          </cell>
          <cell r="BH63">
            <v>82.81</v>
          </cell>
          <cell r="BI63">
            <v>85.53</v>
          </cell>
        </row>
        <row r="64">
          <cell r="A64" t="str">
            <v>PUR JDWind1 Wind</v>
          </cell>
          <cell r="B64">
            <v>2.24</v>
          </cell>
          <cell r="C64">
            <v>2.23</v>
          </cell>
          <cell r="D64">
            <v>2.07</v>
          </cell>
          <cell r="E64">
            <v>2.04</v>
          </cell>
          <cell r="F64">
            <v>2.18</v>
          </cell>
          <cell r="G64">
            <v>2.33</v>
          </cell>
          <cell r="H64">
            <v>2.19</v>
          </cell>
          <cell r="I64">
            <v>2.34</v>
          </cell>
          <cell r="J64">
            <v>2.02</v>
          </cell>
          <cell r="K64">
            <v>2.35</v>
          </cell>
          <cell r="L64">
            <v>2.14</v>
          </cell>
          <cell r="M64">
            <v>2.13</v>
          </cell>
          <cell r="N64">
            <v>2.34</v>
          </cell>
          <cell r="O64">
            <v>2.05</v>
          </cell>
          <cell r="P64">
            <v>2.03</v>
          </cell>
          <cell r="Q64">
            <v>2.27</v>
          </cell>
          <cell r="R64">
            <v>2.2</v>
          </cell>
          <cell r="S64">
            <v>2.15</v>
          </cell>
          <cell r="T64">
            <v>2.2</v>
          </cell>
          <cell r="U64">
            <v>2.26</v>
          </cell>
          <cell r="V64">
            <v>2.4</v>
          </cell>
          <cell r="W64">
            <v>2.14</v>
          </cell>
          <cell r="X64">
            <v>2.02</v>
          </cell>
          <cell r="Y64">
            <v>2.23</v>
          </cell>
          <cell r="Z64">
            <v>2.26</v>
          </cell>
          <cell r="AA64">
            <v>2.06</v>
          </cell>
          <cell r="AB64">
            <v>2.15</v>
          </cell>
          <cell r="AC64">
            <v>2.04</v>
          </cell>
          <cell r="AD64">
            <v>2.37</v>
          </cell>
          <cell r="AE64">
            <v>2.29</v>
          </cell>
          <cell r="AF64">
            <v>2.19</v>
          </cell>
          <cell r="AG64">
            <v>2.17</v>
          </cell>
          <cell r="AH64">
            <v>2.13</v>
          </cell>
          <cell r="AI64">
            <v>2.31</v>
          </cell>
          <cell r="AJ64">
            <v>2.1</v>
          </cell>
          <cell r="AK64">
            <v>2.22</v>
          </cell>
          <cell r="AL64">
            <v>2.23</v>
          </cell>
          <cell r="AM64">
            <v>2.02</v>
          </cell>
          <cell r="AN64">
            <v>2.3</v>
          </cell>
          <cell r="AO64">
            <v>2.12</v>
          </cell>
          <cell r="AP64">
            <v>2.13</v>
          </cell>
          <cell r="AQ64">
            <v>2.45</v>
          </cell>
          <cell r="AR64">
            <v>2.09</v>
          </cell>
          <cell r="AS64">
            <v>2.23</v>
          </cell>
          <cell r="AT64">
            <v>2.14</v>
          </cell>
          <cell r="AU64">
            <v>2.19</v>
          </cell>
          <cell r="AV64">
            <v>2.23</v>
          </cell>
          <cell r="AW64">
            <v>2.17</v>
          </cell>
          <cell r="AX64">
            <v>2.26</v>
          </cell>
          <cell r="AY64">
            <v>2.06</v>
          </cell>
          <cell r="AZ64">
            <v>2.31</v>
          </cell>
          <cell r="BA64">
            <v>2.06</v>
          </cell>
          <cell r="BB64">
            <v>2.05</v>
          </cell>
          <cell r="BC64">
            <v>2.51</v>
          </cell>
          <cell r="BD64">
            <v>2.02</v>
          </cell>
          <cell r="BE64">
            <v>2.34</v>
          </cell>
          <cell r="BF64">
            <v>2.16</v>
          </cell>
          <cell r="BG64">
            <v>2.19</v>
          </cell>
          <cell r="BH64">
            <v>2.18</v>
          </cell>
          <cell r="BI64">
            <v>2.15</v>
          </cell>
        </row>
        <row r="65">
          <cell r="A65" t="str">
            <v>PUR JDWind2 Wind</v>
          </cell>
          <cell r="B65">
            <v>2.24</v>
          </cell>
          <cell r="C65">
            <v>2.23</v>
          </cell>
          <cell r="D65">
            <v>2.08</v>
          </cell>
          <cell r="E65">
            <v>2.04</v>
          </cell>
          <cell r="F65">
            <v>2.18</v>
          </cell>
          <cell r="G65">
            <v>2.33</v>
          </cell>
          <cell r="H65">
            <v>2.19</v>
          </cell>
          <cell r="I65">
            <v>2.35</v>
          </cell>
          <cell r="J65">
            <v>2.02</v>
          </cell>
          <cell r="K65">
            <v>2.36</v>
          </cell>
          <cell r="L65">
            <v>2.14</v>
          </cell>
          <cell r="M65">
            <v>2.13</v>
          </cell>
          <cell r="N65">
            <v>2.34</v>
          </cell>
          <cell r="O65">
            <v>2.05</v>
          </cell>
          <cell r="P65">
            <v>2.03</v>
          </cell>
          <cell r="Q65">
            <v>2.27</v>
          </cell>
          <cell r="R65">
            <v>2.2</v>
          </cell>
          <cell r="S65">
            <v>2.15</v>
          </cell>
          <cell r="T65">
            <v>2.2</v>
          </cell>
          <cell r="U65">
            <v>2.26</v>
          </cell>
          <cell r="V65">
            <v>2.39</v>
          </cell>
          <cell r="W65">
            <v>2.15</v>
          </cell>
          <cell r="X65">
            <v>2.02</v>
          </cell>
          <cell r="Y65">
            <v>2.23</v>
          </cell>
          <cell r="Z65">
            <v>2.26</v>
          </cell>
          <cell r="AA65">
            <v>2.06</v>
          </cell>
          <cell r="AB65">
            <v>2.15</v>
          </cell>
          <cell r="AC65">
            <v>2.04</v>
          </cell>
          <cell r="AD65">
            <v>2.37</v>
          </cell>
          <cell r="AE65">
            <v>2.3</v>
          </cell>
          <cell r="AF65">
            <v>2.18</v>
          </cell>
          <cell r="AG65">
            <v>2.17</v>
          </cell>
          <cell r="AH65">
            <v>2.13</v>
          </cell>
          <cell r="AI65">
            <v>2.31</v>
          </cell>
          <cell r="AJ65">
            <v>2.1</v>
          </cell>
          <cell r="AK65">
            <v>2.22</v>
          </cell>
          <cell r="AL65">
            <v>2.23</v>
          </cell>
          <cell r="AM65">
            <v>2.02</v>
          </cell>
          <cell r="AN65">
            <v>2.3</v>
          </cell>
          <cell r="AO65">
            <v>2.13</v>
          </cell>
          <cell r="AP65">
            <v>2.13</v>
          </cell>
          <cell r="AQ65">
            <v>2.45</v>
          </cell>
          <cell r="AR65">
            <v>2.09</v>
          </cell>
          <cell r="AS65">
            <v>2.23</v>
          </cell>
          <cell r="AT65">
            <v>2.14</v>
          </cell>
          <cell r="AU65">
            <v>2.19</v>
          </cell>
          <cell r="AV65">
            <v>2.23</v>
          </cell>
          <cell r="AW65">
            <v>2.16</v>
          </cell>
          <cell r="AX65">
            <v>2.26</v>
          </cell>
          <cell r="AY65">
            <v>2.06</v>
          </cell>
          <cell r="AZ65">
            <v>2.31</v>
          </cell>
          <cell r="BA65">
            <v>2.07</v>
          </cell>
          <cell r="BB65">
            <v>2.05</v>
          </cell>
          <cell r="BC65">
            <v>2.51</v>
          </cell>
          <cell r="BD65">
            <v>2.02</v>
          </cell>
          <cell r="BE65">
            <v>2.34</v>
          </cell>
          <cell r="BF65">
            <v>2.17</v>
          </cell>
          <cell r="BG65">
            <v>2.19</v>
          </cell>
          <cell r="BH65">
            <v>2.18</v>
          </cell>
          <cell r="BI65">
            <v>2.15</v>
          </cell>
        </row>
        <row r="66">
          <cell r="A66" t="str">
            <v>PUR JDWind3 Wind</v>
          </cell>
          <cell r="B66">
            <v>2.24</v>
          </cell>
          <cell r="C66">
            <v>2.23</v>
          </cell>
          <cell r="D66">
            <v>2.08</v>
          </cell>
          <cell r="E66">
            <v>2.04</v>
          </cell>
          <cell r="F66">
            <v>2.19</v>
          </cell>
          <cell r="G66">
            <v>2.33</v>
          </cell>
          <cell r="H66">
            <v>2.19</v>
          </cell>
          <cell r="I66">
            <v>2.35</v>
          </cell>
          <cell r="J66">
            <v>2.02</v>
          </cell>
          <cell r="K66">
            <v>2.36</v>
          </cell>
          <cell r="L66">
            <v>2.13</v>
          </cell>
          <cell r="M66">
            <v>2.13</v>
          </cell>
          <cell r="N66">
            <v>2.34</v>
          </cell>
          <cell r="O66">
            <v>2.05</v>
          </cell>
          <cell r="P66">
            <v>2.04</v>
          </cell>
          <cell r="Q66">
            <v>2.26</v>
          </cell>
          <cell r="R66">
            <v>2.2</v>
          </cell>
          <cell r="S66">
            <v>2.14</v>
          </cell>
          <cell r="T66">
            <v>2.2</v>
          </cell>
          <cell r="U66">
            <v>2.26</v>
          </cell>
          <cell r="V66">
            <v>2.4</v>
          </cell>
          <cell r="W66">
            <v>2.14</v>
          </cell>
          <cell r="X66">
            <v>2.02</v>
          </cell>
          <cell r="Y66">
            <v>2.23</v>
          </cell>
          <cell r="Z66">
            <v>2.26</v>
          </cell>
          <cell r="AA66">
            <v>2.06</v>
          </cell>
          <cell r="AB66">
            <v>2.15</v>
          </cell>
          <cell r="AC66">
            <v>2.04</v>
          </cell>
          <cell r="AD66">
            <v>2.36</v>
          </cell>
          <cell r="AE66">
            <v>2.3</v>
          </cell>
          <cell r="AF66">
            <v>2.18</v>
          </cell>
          <cell r="AG66">
            <v>2.17</v>
          </cell>
          <cell r="AH66">
            <v>2.13</v>
          </cell>
          <cell r="AI66">
            <v>2.31</v>
          </cell>
          <cell r="AJ66">
            <v>2.1</v>
          </cell>
          <cell r="AK66">
            <v>2.22</v>
          </cell>
          <cell r="AL66">
            <v>2.23</v>
          </cell>
          <cell r="AM66">
            <v>2.02</v>
          </cell>
          <cell r="AN66">
            <v>2.29</v>
          </cell>
          <cell r="AO66">
            <v>2.13</v>
          </cell>
          <cell r="AP66">
            <v>2.13</v>
          </cell>
          <cell r="AQ66">
            <v>2.44</v>
          </cell>
          <cell r="AR66">
            <v>2.09</v>
          </cell>
          <cell r="AS66">
            <v>2.23</v>
          </cell>
          <cell r="AT66">
            <v>2.14</v>
          </cell>
          <cell r="AU66">
            <v>2.19</v>
          </cell>
          <cell r="AV66">
            <v>2.22</v>
          </cell>
          <cell r="AW66">
            <v>2.17</v>
          </cell>
          <cell r="AX66">
            <v>2.26</v>
          </cell>
          <cell r="AY66">
            <v>2.06</v>
          </cell>
          <cell r="AZ66">
            <v>2.31</v>
          </cell>
          <cell r="BA66">
            <v>2.06</v>
          </cell>
          <cell r="BB66">
            <v>2.05</v>
          </cell>
          <cell r="BC66">
            <v>2.51</v>
          </cell>
          <cell r="BD66">
            <v>2.02</v>
          </cell>
          <cell r="BE66">
            <v>2.34</v>
          </cell>
          <cell r="BF66">
            <v>2.17</v>
          </cell>
          <cell r="BG66">
            <v>2.19</v>
          </cell>
          <cell r="BH66">
            <v>2.18</v>
          </cell>
          <cell r="BI66">
            <v>2.15</v>
          </cell>
        </row>
        <row r="67">
          <cell r="A67" t="str">
            <v>PUR JDWind4 Wind</v>
          </cell>
          <cell r="B67">
            <v>18.07</v>
          </cell>
          <cell r="C67">
            <v>17.57</v>
          </cell>
          <cell r="D67">
            <v>16.78</v>
          </cell>
          <cell r="E67">
            <v>16.3</v>
          </cell>
          <cell r="F67">
            <v>17.54</v>
          </cell>
          <cell r="G67">
            <v>18.58</v>
          </cell>
          <cell r="H67">
            <v>17.51</v>
          </cell>
          <cell r="I67">
            <v>18.72</v>
          </cell>
          <cell r="J67">
            <v>16.19</v>
          </cell>
          <cell r="K67">
            <v>18.81</v>
          </cell>
          <cell r="L67">
            <v>17.15</v>
          </cell>
          <cell r="M67">
            <v>17.04</v>
          </cell>
          <cell r="N67">
            <v>18.67</v>
          </cell>
          <cell r="O67">
            <v>16.47</v>
          </cell>
          <cell r="P67">
            <v>16.4</v>
          </cell>
          <cell r="Q67">
            <v>17.96</v>
          </cell>
          <cell r="R67">
            <v>17.7</v>
          </cell>
          <cell r="S67">
            <v>17.07</v>
          </cell>
          <cell r="T67">
            <v>17.67</v>
          </cell>
          <cell r="U67">
            <v>18.03</v>
          </cell>
          <cell r="V67">
            <v>19.13</v>
          </cell>
          <cell r="W67">
            <v>17.15</v>
          </cell>
          <cell r="X67">
            <v>16.14</v>
          </cell>
          <cell r="Y67">
            <v>17.86</v>
          </cell>
          <cell r="Z67">
            <v>18.06</v>
          </cell>
          <cell r="AA67">
            <v>16.5</v>
          </cell>
          <cell r="AB67">
            <v>17.19</v>
          </cell>
          <cell r="AC67">
            <v>16.33</v>
          </cell>
          <cell r="AD67">
            <v>18.89</v>
          </cell>
          <cell r="AE67">
            <v>18.36</v>
          </cell>
          <cell r="AF67">
            <v>17.45</v>
          </cell>
          <cell r="AG67">
            <v>17.41</v>
          </cell>
          <cell r="AH67">
            <v>17</v>
          </cell>
          <cell r="AI67">
            <v>18.46</v>
          </cell>
          <cell r="AJ67">
            <v>16.77</v>
          </cell>
          <cell r="AK67">
            <v>17.82</v>
          </cell>
          <cell r="AL67">
            <v>17.86</v>
          </cell>
          <cell r="AM67">
            <v>16.13</v>
          </cell>
          <cell r="AN67">
            <v>18.32</v>
          </cell>
          <cell r="AO67">
            <v>17.02</v>
          </cell>
          <cell r="AP67">
            <v>17.07</v>
          </cell>
          <cell r="AQ67">
            <v>19.49</v>
          </cell>
          <cell r="AR67">
            <v>16.8</v>
          </cell>
          <cell r="AS67">
            <v>17.84</v>
          </cell>
          <cell r="AT67">
            <v>17.07</v>
          </cell>
          <cell r="AU67">
            <v>17.5</v>
          </cell>
          <cell r="AV67">
            <v>17.71</v>
          </cell>
          <cell r="AW67">
            <v>17.43</v>
          </cell>
          <cell r="AX67">
            <v>17.99</v>
          </cell>
          <cell r="AY67">
            <v>16.59</v>
          </cell>
          <cell r="AZ67">
            <v>18.43</v>
          </cell>
          <cell r="BA67">
            <v>16.47</v>
          </cell>
          <cell r="BB67">
            <v>16.46</v>
          </cell>
          <cell r="BC67">
            <v>20.05</v>
          </cell>
          <cell r="BD67">
            <v>16.13</v>
          </cell>
          <cell r="BE67">
            <v>18.65</v>
          </cell>
          <cell r="BF67">
            <v>17.35</v>
          </cell>
          <cell r="BG67">
            <v>17.54</v>
          </cell>
          <cell r="BH67">
            <v>17.31</v>
          </cell>
          <cell r="BI67">
            <v>17.28</v>
          </cell>
        </row>
        <row r="68">
          <cell r="A68" t="str">
            <v>PUR Natl Wind</v>
          </cell>
          <cell r="B68">
            <v>0.14</v>
          </cell>
          <cell r="C68">
            <v>0.15</v>
          </cell>
          <cell r="D68">
            <v>0.14</v>
          </cell>
          <cell r="E68">
            <v>0.14</v>
          </cell>
          <cell r="F68">
            <v>0.14</v>
          </cell>
          <cell r="G68">
            <v>0.15</v>
          </cell>
          <cell r="H68">
            <v>0.14</v>
          </cell>
          <cell r="I68">
            <v>0.15</v>
          </cell>
          <cell r="J68">
            <v>0.13</v>
          </cell>
          <cell r="K68">
            <v>0.16</v>
          </cell>
          <cell r="L68">
            <v>0.14</v>
          </cell>
          <cell r="M68">
            <v>0.14</v>
          </cell>
          <cell r="N68">
            <v>0.16</v>
          </cell>
          <cell r="O68">
            <v>0.13</v>
          </cell>
          <cell r="P68">
            <v>0.14</v>
          </cell>
          <cell r="Q68">
            <v>0.15</v>
          </cell>
          <cell r="R68">
            <v>0.14</v>
          </cell>
          <cell r="S68">
            <v>0.14</v>
          </cell>
          <cell r="T68">
            <v>0.14</v>
          </cell>
          <cell r="U68">
            <v>0.15</v>
          </cell>
          <cell r="V68">
            <v>0.16</v>
          </cell>
          <cell r="W68">
            <v>0.14</v>
          </cell>
          <cell r="X68">
            <v>0.13</v>
          </cell>
          <cell r="Y68">
            <v>0.15</v>
          </cell>
          <cell r="Z68">
            <v>0.15</v>
          </cell>
          <cell r="AA68">
            <v>0.14</v>
          </cell>
          <cell r="AB68">
            <v>0.14</v>
          </cell>
          <cell r="AC68">
            <v>0.13</v>
          </cell>
          <cell r="AD68">
            <v>0.16</v>
          </cell>
          <cell r="AE68">
            <v>0.15</v>
          </cell>
          <cell r="AF68">
            <v>0.14</v>
          </cell>
          <cell r="AG68">
            <v>0.14</v>
          </cell>
          <cell r="AH68">
            <v>0.15</v>
          </cell>
          <cell r="AI68">
            <v>0.15</v>
          </cell>
          <cell r="AJ68">
            <v>0.14</v>
          </cell>
          <cell r="AK68">
            <v>0.15</v>
          </cell>
          <cell r="AL68">
            <v>0.15</v>
          </cell>
          <cell r="AM68">
            <v>0.13</v>
          </cell>
          <cell r="AN68">
            <v>0.15</v>
          </cell>
          <cell r="AO68">
            <v>0.15</v>
          </cell>
          <cell r="AP68">
            <v>0.14</v>
          </cell>
          <cell r="AQ68">
            <v>0.16</v>
          </cell>
          <cell r="AR68">
            <v>0.14</v>
          </cell>
          <cell r="AS68">
            <v>0.15</v>
          </cell>
          <cell r="AT68">
            <v>0.14</v>
          </cell>
          <cell r="AU68">
            <v>0.15</v>
          </cell>
          <cell r="AV68">
            <v>0.15</v>
          </cell>
          <cell r="AW68">
            <v>0.14</v>
          </cell>
          <cell r="AX68">
            <v>0.15</v>
          </cell>
          <cell r="AY68">
            <v>0.14</v>
          </cell>
          <cell r="AZ68">
            <v>0.15</v>
          </cell>
          <cell r="BA68">
            <v>0.14</v>
          </cell>
          <cell r="BB68">
            <v>0.14</v>
          </cell>
          <cell r="BC68">
            <v>0.17</v>
          </cell>
          <cell r="BD68">
            <v>0.13</v>
          </cell>
          <cell r="BE68">
            <v>0.15</v>
          </cell>
          <cell r="BF68">
            <v>0.14</v>
          </cell>
          <cell r="BG68">
            <v>0.15</v>
          </cell>
          <cell r="BH68">
            <v>0.15</v>
          </cell>
          <cell r="BI68">
            <v>0.14</v>
          </cell>
        </row>
        <row r="69">
          <cell r="A69" t="str">
            <v>PUR Wildrdo Wind</v>
          </cell>
          <cell r="B69">
            <v>0</v>
          </cell>
          <cell r="C69">
            <v>0</v>
          </cell>
          <cell r="D69">
            <v>0</v>
          </cell>
          <cell r="E69">
            <v>0</v>
          </cell>
          <cell r="F69">
            <v>48.14</v>
          </cell>
          <cell r="G69">
            <v>42.57</v>
          </cell>
          <cell r="H69">
            <v>38.27</v>
          </cell>
          <cell r="I69">
            <v>38.58</v>
          </cell>
          <cell r="J69">
            <v>42.02</v>
          </cell>
          <cell r="K69">
            <v>38.11</v>
          </cell>
          <cell r="L69">
            <v>47.45</v>
          </cell>
          <cell r="M69">
            <v>46.38</v>
          </cell>
          <cell r="N69">
            <v>43.92</v>
          </cell>
          <cell r="O69">
            <v>44.96</v>
          </cell>
          <cell r="P69">
            <v>51.55</v>
          </cell>
          <cell r="Q69">
            <v>55.93</v>
          </cell>
          <cell r="R69">
            <v>48.14</v>
          </cell>
          <cell r="S69">
            <v>42.57</v>
          </cell>
          <cell r="T69">
            <v>38.27</v>
          </cell>
          <cell r="U69">
            <v>38.58</v>
          </cell>
          <cell r="V69">
            <v>42.02</v>
          </cell>
          <cell r="W69">
            <v>38.11</v>
          </cell>
          <cell r="X69">
            <v>47.45</v>
          </cell>
          <cell r="Y69">
            <v>46.38</v>
          </cell>
          <cell r="Z69">
            <v>43.92</v>
          </cell>
          <cell r="AA69">
            <v>41.51</v>
          </cell>
          <cell r="AB69">
            <v>51.55</v>
          </cell>
          <cell r="AC69">
            <v>55.93</v>
          </cell>
          <cell r="AD69">
            <v>48.14</v>
          </cell>
          <cell r="AE69">
            <v>42.57</v>
          </cell>
          <cell r="AF69">
            <v>38.27</v>
          </cell>
          <cell r="AG69">
            <v>38.58</v>
          </cell>
          <cell r="AH69">
            <v>42.02</v>
          </cell>
          <cell r="AI69">
            <v>38.11</v>
          </cell>
          <cell r="AJ69">
            <v>47.45</v>
          </cell>
          <cell r="AK69">
            <v>46.38</v>
          </cell>
          <cell r="AL69">
            <v>43.92</v>
          </cell>
          <cell r="AM69">
            <v>41.51</v>
          </cell>
          <cell r="AN69">
            <v>51.55</v>
          </cell>
          <cell r="AO69">
            <v>55.93</v>
          </cell>
          <cell r="AP69">
            <v>48.14</v>
          </cell>
          <cell r="AQ69">
            <v>42.57</v>
          </cell>
          <cell r="AR69">
            <v>38.27</v>
          </cell>
          <cell r="AS69">
            <v>38.58</v>
          </cell>
          <cell r="AT69">
            <v>42.02</v>
          </cell>
          <cell r="AU69">
            <v>38.11</v>
          </cell>
          <cell r="AV69">
            <v>47.45</v>
          </cell>
          <cell r="AW69">
            <v>46.38</v>
          </cell>
          <cell r="AX69">
            <v>43.92</v>
          </cell>
          <cell r="AY69">
            <v>41.51</v>
          </cell>
          <cell r="AZ69">
            <v>51.55</v>
          </cell>
          <cell r="BA69">
            <v>55.93</v>
          </cell>
          <cell r="BB69">
            <v>48.14</v>
          </cell>
          <cell r="BC69">
            <v>42.57</v>
          </cell>
          <cell r="BD69">
            <v>38.27</v>
          </cell>
          <cell r="BE69">
            <v>38.58</v>
          </cell>
          <cell r="BF69">
            <v>42.02</v>
          </cell>
          <cell r="BG69">
            <v>38.11</v>
          </cell>
          <cell r="BH69">
            <v>47.45</v>
          </cell>
          <cell r="BI69">
            <v>46.38</v>
          </cell>
        </row>
        <row r="70">
          <cell r="A70" t="str">
            <v>PUR Wind1N Wind</v>
          </cell>
          <cell r="B70">
            <v>0</v>
          </cell>
          <cell r="C70">
            <v>0</v>
          </cell>
          <cell r="D70">
            <v>0</v>
          </cell>
          <cell r="E70">
            <v>0</v>
          </cell>
          <cell r="F70">
            <v>0</v>
          </cell>
          <cell r="G70">
            <v>0</v>
          </cell>
          <cell r="H70">
            <v>0</v>
          </cell>
          <cell r="I70">
            <v>0</v>
          </cell>
          <cell r="J70">
            <v>0</v>
          </cell>
          <cell r="K70">
            <v>0</v>
          </cell>
          <cell r="L70">
            <v>0</v>
          </cell>
          <cell r="M70">
            <v>0</v>
          </cell>
          <cell r="N70">
            <v>21.96</v>
          </cell>
          <cell r="O70">
            <v>22.48</v>
          </cell>
          <cell r="P70">
            <v>25.77</v>
          </cell>
          <cell r="Q70">
            <v>27.97</v>
          </cell>
          <cell r="R70">
            <v>24.07</v>
          </cell>
          <cell r="S70">
            <v>21.29</v>
          </cell>
          <cell r="T70">
            <v>19.13</v>
          </cell>
          <cell r="U70">
            <v>19.29</v>
          </cell>
          <cell r="V70">
            <v>21.01</v>
          </cell>
          <cell r="W70">
            <v>19.06</v>
          </cell>
          <cell r="X70">
            <v>23.72</v>
          </cell>
          <cell r="Y70">
            <v>23.19</v>
          </cell>
          <cell r="Z70">
            <v>21.96</v>
          </cell>
          <cell r="AA70">
            <v>20.76</v>
          </cell>
          <cell r="AB70">
            <v>25.77</v>
          </cell>
          <cell r="AC70">
            <v>27.97</v>
          </cell>
          <cell r="AD70">
            <v>24.07</v>
          </cell>
          <cell r="AE70">
            <v>21.29</v>
          </cell>
          <cell r="AF70">
            <v>19.13</v>
          </cell>
          <cell r="AG70">
            <v>19.29</v>
          </cell>
          <cell r="AH70">
            <v>21.01</v>
          </cell>
          <cell r="AI70">
            <v>19.06</v>
          </cell>
          <cell r="AJ70">
            <v>23.72</v>
          </cell>
          <cell r="AK70">
            <v>23.19</v>
          </cell>
          <cell r="AL70">
            <v>21.96</v>
          </cell>
          <cell r="AM70">
            <v>20.76</v>
          </cell>
          <cell r="AN70">
            <v>25.77</v>
          </cell>
          <cell r="AO70">
            <v>27.97</v>
          </cell>
          <cell r="AP70">
            <v>24.07</v>
          </cell>
          <cell r="AQ70">
            <v>21.29</v>
          </cell>
          <cell r="AR70">
            <v>19.13</v>
          </cell>
          <cell r="AS70">
            <v>19.29</v>
          </cell>
          <cell r="AT70">
            <v>21.01</v>
          </cell>
          <cell r="AU70">
            <v>19.06</v>
          </cell>
          <cell r="AV70">
            <v>23.72</v>
          </cell>
          <cell r="AW70">
            <v>23.19</v>
          </cell>
          <cell r="AX70">
            <v>21.96</v>
          </cell>
          <cell r="AY70">
            <v>20.76</v>
          </cell>
          <cell r="AZ70">
            <v>25.77</v>
          </cell>
          <cell r="BA70">
            <v>27.97</v>
          </cell>
          <cell r="BB70">
            <v>24.07</v>
          </cell>
          <cell r="BC70">
            <v>21.29</v>
          </cell>
          <cell r="BD70">
            <v>19.13</v>
          </cell>
          <cell r="BE70">
            <v>19.29</v>
          </cell>
          <cell r="BF70">
            <v>21.01</v>
          </cell>
          <cell r="BG70">
            <v>19.06</v>
          </cell>
          <cell r="BH70">
            <v>23.72</v>
          </cell>
          <cell r="BI70">
            <v>23.19</v>
          </cell>
        </row>
        <row r="71">
          <cell r="A71" t="str">
            <v>PUR Wind1S Wind</v>
          </cell>
          <cell r="B71">
            <v>0</v>
          </cell>
          <cell r="C71">
            <v>0</v>
          </cell>
          <cell r="D71">
            <v>0</v>
          </cell>
          <cell r="E71">
            <v>0</v>
          </cell>
          <cell r="F71">
            <v>0</v>
          </cell>
          <cell r="G71">
            <v>0</v>
          </cell>
          <cell r="H71">
            <v>0</v>
          </cell>
          <cell r="I71">
            <v>0</v>
          </cell>
          <cell r="J71">
            <v>0</v>
          </cell>
          <cell r="K71">
            <v>0</v>
          </cell>
          <cell r="L71">
            <v>0</v>
          </cell>
          <cell r="M71">
            <v>0</v>
          </cell>
          <cell r="N71">
            <v>21.96</v>
          </cell>
          <cell r="O71">
            <v>22.48</v>
          </cell>
          <cell r="P71">
            <v>25.77</v>
          </cell>
          <cell r="Q71">
            <v>27.97</v>
          </cell>
          <cell r="R71">
            <v>24.07</v>
          </cell>
          <cell r="S71">
            <v>21.29</v>
          </cell>
          <cell r="T71">
            <v>19.13</v>
          </cell>
          <cell r="U71">
            <v>19.29</v>
          </cell>
          <cell r="V71">
            <v>21.01</v>
          </cell>
          <cell r="W71">
            <v>19.06</v>
          </cell>
          <cell r="X71">
            <v>23.72</v>
          </cell>
          <cell r="Y71">
            <v>23.19</v>
          </cell>
          <cell r="Z71">
            <v>21.96</v>
          </cell>
          <cell r="AA71">
            <v>20.76</v>
          </cell>
          <cell r="AB71">
            <v>25.77</v>
          </cell>
          <cell r="AC71">
            <v>27.97</v>
          </cell>
          <cell r="AD71">
            <v>24.07</v>
          </cell>
          <cell r="AE71">
            <v>21.29</v>
          </cell>
          <cell r="AF71">
            <v>19.13</v>
          </cell>
          <cell r="AG71">
            <v>19.29</v>
          </cell>
          <cell r="AH71">
            <v>21.01</v>
          </cell>
          <cell r="AI71">
            <v>19.06</v>
          </cell>
          <cell r="AJ71">
            <v>23.72</v>
          </cell>
          <cell r="AK71">
            <v>23.19</v>
          </cell>
          <cell r="AL71">
            <v>21.96</v>
          </cell>
          <cell r="AM71">
            <v>20.76</v>
          </cell>
          <cell r="AN71">
            <v>25.77</v>
          </cell>
          <cell r="AO71">
            <v>27.97</v>
          </cell>
          <cell r="AP71">
            <v>24.07</v>
          </cell>
          <cell r="AQ71">
            <v>21.29</v>
          </cell>
          <cell r="AR71">
            <v>19.13</v>
          </cell>
          <cell r="AS71">
            <v>19.29</v>
          </cell>
          <cell r="AT71">
            <v>21.01</v>
          </cell>
          <cell r="AU71">
            <v>19.06</v>
          </cell>
          <cell r="AV71">
            <v>23.72</v>
          </cell>
          <cell r="AW71">
            <v>23.19</v>
          </cell>
          <cell r="AX71">
            <v>21.96</v>
          </cell>
          <cell r="AY71">
            <v>20.76</v>
          </cell>
          <cell r="AZ71">
            <v>25.77</v>
          </cell>
          <cell r="BA71">
            <v>27.97</v>
          </cell>
          <cell r="BB71">
            <v>24.07</v>
          </cell>
          <cell r="BC71">
            <v>21.29</v>
          </cell>
          <cell r="BD71">
            <v>19.13</v>
          </cell>
          <cell r="BE71">
            <v>19.29</v>
          </cell>
          <cell r="BF71">
            <v>21.01</v>
          </cell>
          <cell r="BG71">
            <v>19.06</v>
          </cell>
          <cell r="BH71">
            <v>23.72</v>
          </cell>
          <cell r="BI71">
            <v>23.19</v>
          </cell>
        </row>
        <row r="72">
          <cell r="A72" t="str">
            <v>SAL GSEC PR</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-123.55</v>
          </cell>
          <cell r="AP72">
            <v>-348.19</v>
          </cell>
          <cell r="AQ72">
            <v>-351.36</v>
          </cell>
          <cell r="AR72">
            <v>-363.07</v>
          </cell>
          <cell r="AS72">
            <v>-362.88</v>
          </cell>
          <cell r="AT72">
            <v>-350.51</v>
          </cell>
          <cell r="AU72">
            <v>-296.11</v>
          </cell>
          <cell r="AV72">
            <v>-285.97</v>
          </cell>
          <cell r="AW72">
            <v>-294.86</v>
          </cell>
          <cell r="AX72">
            <v>-268.35</v>
          </cell>
          <cell r="AY72">
            <v>-268.55</v>
          </cell>
          <cell r="AZ72">
            <v>-317.32</v>
          </cell>
          <cell r="BA72">
            <v>-346.01</v>
          </cell>
          <cell r="BB72">
            <v>-363.07</v>
          </cell>
          <cell r="BC72">
            <v>-365.76</v>
          </cell>
          <cell r="BD72">
            <v>-377.95</v>
          </cell>
          <cell r="BE72">
            <v>-377.4</v>
          </cell>
          <cell r="BF72">
            <v>-362.85</v>
          </cell>
          <cell r="BG72">
            <v>-304.45</v>
          </cell>
          <cell r="BH72">
            <v>-296.52</v>
          </cell>
          <cell r="BI72">
            <v>-303.08</v>
          </cell>
        </row>
        <row r="73">
          <cell r="A73" t="str">
            <v>PUR CEM CC</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206.67</v>
          </cell>
          <cell r="T73">
            <v>247.3</v>
          </cell>
          <cell r="U73">
            <v>237.69</v>
          </cell>
          <cell r="V73">
            <v>203.42</v>
          </cell>
          <cell r="W73">
            <v>222.16</v>
          </cell>
          <cell r="X73">
            <v>230.88</v>
          </cell>
          <cell r="Y73">
            <v>220.28</v>
          </cell>
          <cell r="Z73">
            <v>238.47</v>
          </cell>
          <cell r="AA73">
            <v>258.16</v>
          </cell>
          <cell r="AB73">
            <v>195.15</v>
          </cell>
          <cell r="AC73">
            <v>242.68</v>
          </cell>
          <cell r="AD73">
            <v>223.91</v>
          </cell>
          <cell r="AE73">
            <v>219.09</v>
          </cell>
          <cell r="AF73">
            <v>259.7</v>
          </cell>
          <cell r="AG73">
            <v>243.59</v>
          </cell>
          <cell r="AH73">
            <v>212.04</v>
          </cell>
          <cell r="AI73">
            <v>221.07</v>
          </cell>
          <cell r="AJ73">
            <v>192.95</v>
          </cell>
          <cell r="AK73">
            <v>220.59</v>
          </cell>
          <cell r="AL73">
            <v>237.59</v>
          </cell>
          <cell r="AM73">
            <v>229.72</v>
          </cell>
          <cell r="AN73">
            <v>217.74</v>
          </cell>
          <cell r="AO73">
            <v>241.93</v>
          </cell>
          <cell r="AP73">
            <v>254.84</v>
          </cell>
          <cell r="AQ73">
            <v>261.86</v>
          </cell>
          <cell r="AR73">
            <v>282.79</v>
          </cell>
          <cell r="AS73">
            <v>275.01</v>
          </cell>
          <cell r="AT73">
            <v>271.41</v>
          </cell>
          <cell r="AU73">
            <v>242.79</v>
          </cell>
          <cell r="AV73">
            <v>251.85</v>
          </cell>
          <cell r="AW73">
            <v>273.68</v>
          </cell>
          <cell r="AX73">
            <v>267.88</v>
          </cell>
          <cell r="AY73">
            <v>294.44</v>
          </cell>
          <cell r="AZ73">
            <v>280.11</v>
          </cell>
          <cell r="BA73">
            <v>304.16</v>
          </cell>
          <cell r="BB73">
            <v>256.96</v>
          </cell>
          <cell r="BC73">
            <v>267.41</v>
          </cell>
          <cell r="BD73">
            <v>285.84</v>
          </cell>
          <cell r="BE73">
            <v>280.95</v>
          </cell>
          <cell r="BF73">
            <v>259.87</v>
          </cell>
          <cell r="BG73">
            <v>242.87</v>
          </cell>
          <cell r="BH73">
            <v>250.25</v>
          </cell>
          <cell r="BI73">
            <v>271</v>
          </cell>
        </row>
        <row r="74">
          <cell r="A74" t="str">
            <v>PUR TEA20</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row>
        <row r="75">
          <cell r="A75" t="str">
            <v>PUR JDWind5 Wind</v>
          </cell>
          <cell r="B75">
            <v>2.26</v>
          </cell>
          <cell r="C75">
            <v>2.19</v>
          </cell>
          <cell r="D75">
            <v>2.1</v>
          </cell>
          <cell r="E75">
            <v>2.04</v>
          </cell>
          <cell r="F75">
            <v>2.19</v>
          </cell>
          <cell r="G75">
            <v>2.32</v>
          </cell>
          <cell r="H75">
            <v>2.19</v>
          </cell>
          <cell r="I75">
            <v>2.34</v>
          </cell>
          <cell r="J75">
            <v>2.03</v>
          </cell>
          <cell r="K75">
            <v>2.35</v>
          </cell>
          <cell r="L75">
            <v>2.14</v>
          </cell>
          <cell r="M75">
            <v>2.13</v>
          </cell>
          <cell r="N75">
            <v>2.32</v>
          </cell>
          <cell r="O75">
            <v>2.07</v>
          </cell>
          <cell r="P75">
            <v>2.07</v>
          </cell>
          <cell r="Q75">
            <v>2.22</v>
          </cell>
          <cell r="R75">
            <v>2.23</v>
          </cell>
          <cell r="S75">
            <v>2.12</v>
          </cell>
          <cell r="T75">
            <v>2.22</v>
          </cell>
          <cell r="U75">
            <v>2.25</v>
          </cell>
          <cell r="V75">
            <v>2.38</v>
          </cell>
          <cell r="W75">
            <v>2.15</v>
          </cell>
          <cell r="X75">
            <v>2.02</v>
          </cell>
          <cell r="Y75">
            <v>2.23</v>
          </cell>
          <cell r="Z75">
            <v>2.24</v>
          </cell>
          <cell r="AA75">
            <v>2.08</v>
          </cell>
          <cell r="AB75">
            <v>2.14</v>
          </cell>
          <cell r="AC75">
            <v>2.06</v>
          </cell>
          <cell r="AD75">
            <v>2.36</v>
          </cell>
          <cell r="AE75">
            <v>2.29</v>
          </cell>
          <cell r="AF75">
            <v>2.18</v>
          </cell>
          <cell r="AG75">
            <v>2.17</v>
          </cell>
          <cell r="AH75">
            <v>2.12</v>
          </cell>
          <cell r="AI75">
            <v>2.32</v>
          </cell>
          <cell r="AJ75">
            <v>2.1</v>
          </cell>
          <cell r="AK75">
            <v>2.23</v>
          </cell>
          <cell r="AL75">
            <v>2.23</v>
          </cell>
          <cell r="AM75">
            <v>2.02</v>
          </cell>
          <cell r="AN75">
            <v>2.29</v>
          </cell>
          <cell r="AO75">
            <v>2.12</v>
          </cell>
          <cell r="AP75">
            <v>2.14</v>
          </cell>
          <cell r="AQ75">
            <v>2.43</v>
          </cell>
          <cell r="AR75">
            <v>2.1</v>
          </cell>
          <cell r="AS75">
            <v>2.23</v>
          </cell>
          <cell r="AT75">
            <v>2.14</v>
          </cell>
          <cell r="AU75">
            <v>2.19</v>
          </cell>
          <cell r="AV75">
            <v>2.21</v>
          </cell>
          <cell r="AW75">
            <v>2.18</v>
          </cell>
          <cell r="AX75">
            <v>2.25</v>
          </cell>
          <cell r="AY75">
            <v>2.08</v>
          </cell>
          <cell r="AZ75">
            <v>2.29</v>
          </cell>
          <cell r="BA75">
            <v>2.06</v>
          </cell>
          <cell r="BB75">
            <v>2.07</v>
          </cell>
          <cell r="BC75">
            <v>2.5</v>
          </cell>
          <cell r="BD75">
            <v>2.02</v>
          </cell>
          <cell r="BE75">
            <v>2.33</v>
          </cell>
          <cell r="BF75">
            <v>2.17</v>
          </cell>
          <cell r="BG75">
            <v>2.19</v>
          </cell>
          <cell r="BH75">
            <v>2.16</v>
          </cell>
          <cell r="BI75">
            <v>2.16</v>
          </cell>
        </row>
        <row r="76">
          <cell r="A76" t="str">
            <v>PUR JDWind6 Wind</v>
          </cell>
          <cell r="B76">
            <v>2.26</v>
          </cell>
          <cell r="C76">
            <v>2.19</v>
          </cell>
          <cell r="D76">
            <v>2.1</v>
          </cell>
          <cell r="E76">
            <v>2.04</v>
          </cell>
          <cell r="F76">
            <v>2.19</v>
          </cell>
          <cell r="G76">
            <v>2.31</v>
          </cell>
          <cell r="H76">
            <v>2.19</v>
          </cell>
          <cell r="I76">
            <v>2.33</v>
          </cell>
          <cell r="J76">
            <v>2.03</v>
          </cell>
          <cell r="K76">
            <v>2.35</v>
          </cell>
          <cell r="L76">
            <v>2.14</v>
          </cell>
          <cell r="M76">
            <v>2.13</v>
          </cell>
          <cell r="N76">
            <v>2.31</v>
          </cell>
          <cell r="O76">
            <v>2.08</v>
          </cell>
          <cell r="P76">
            <v>2.07</v>
          </cell>
          <cell r="Q76">
            <v>2.21</v>
          </cell>
          <cell r="R76">
            <v>2.23</v>
          </cell>
          <cell r="S76">
            <v>2.13</v>
          </cell>
          <cell r="T76">
            <v>2.21</v>
          </cell>
          <cell r="U76">
            <v>2.25</v>
          </cell>
          <cell r="V76">
            <v>2.39</v>
          </cell>
          <cell r="W76">
            <v>2.14</v>
          </cell>
          <cell r="X76">
            <v>2.02</v>
          </cell>
          <cell r="Y76">
            <v>2.23</v>
          </cell>
          <cell r="Z76">
            <v>2.25</v>
          </cell>
          <cell r="AA76">
            <v>2.07</v>
          </cell>
          <cell r="AB76">
            <v>2.14</v>
          </cell>
          <cell r="AC76">
            <v>2.06</v>
          </cell>
          <cell r="AD76">
            <v>2.35</v>
          </cell>
          <cell r="AE76">
            <v>2.29</v>
          </cell>
          <cell r="AF76">
            <v>2.18</v>
          </cell>
          <cell r="AG76">
            <v>2.17</v>
          </cell>
          <cell r="AH76">
            <v>2.12</v>
          </cell>
          <cell r="AI76">
            <v>2.31</v>
          </cell>
          <cell r="AJ76">
            <v>2.09</v>
          </cell>
          <cell r="AK76">
            <v>2.23</v>
          </cell>
          <cell r="AL76">
            <v>2.23</v>
          </cell>
          <cell r="AM76">
            <v>2.02</v>
          </cell>
          <cell r="AN76">
            <v>2.28</v>
          </cell>
          <cell r="AO76">
            <v>2.12</v>
          </cell>
          <cell r="AP76">
            <v>2.15</v>
          </cell>
          <cell r="AQ76">
            <v>2.43</v>
          </cell>
          <cell r="AR76">
            <v>2.1</v>
          </cell>
          <cell r="AS76">
            <v>2.23</v>
          </cell>
          <cell r="AT76">
            <v>2.14</v>
          </cell>
          <cell r="AU76">
            <v>2.19</v>
          </cell>
          <cell r="AV76">
            <v>2.21</v>
          </cell>
          <cell r="AW76">
            <v>2.18</v>
          </cell>
          <cell r="AX76">
            <v>2.25</v>
          </cell>
          <cell r="AY76">
            <v>2.08</v>
          </cell>
          <cell r="AZ76">
            <v>2.29</v>
          </cell>
          <cell r="BA76">
            <v>2.06</v>
          </cell>
          <cell r="BB76">
            <v>2.07</v>
          </cell>
          <cell r="BC76">
            <v>2.5</v>
          </cell>
          <cell r="BD76">
            <v>2.02</v>
          </cell>
          <cell r="BE76">
            <v>2.33</v>
          </cell>
          <cell r="BF76">
            <v>2.18</v>
          </cell>
          <cell r="BG76">
            <v>2.19</v>
          </cell>
          <cell r="BH76">
            <v>2.16</v>
          </cell>
          <cell r="BI76">
            <v>2.17</v>
          </cell>
        </row>
      </sheetData>
      <sheetData sheetId="8" refreshError="1"/>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uelfac"/>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1"/>
  <dimension ref="A1:R133"/>
  <sheetViews>
    <sheetView tabSelected="1" workbookViewId="0" topLeftCell="H1">
      <pane ySplit="7" topLeftCell="A95" activePane="bottomLeft" state="frozen"/>
      <selection pane="topLeft" activeCell="H1" sqref="H1"/>
      <selection pane="bottomLeft" activeCell="O105" sqref="O105"/>
    </sheetView>
  </sheetViews>
  <sheetFormatPr defaultColWidth="9.14428571428571" defaultRowHeight="15"/>
  <cols>
    <col min="1" max="1" width="9.14285714285714" style="1"/>
    <col min="2" max="2" width="15.2857142857143" style="1" bestFit="1" customWidth="1"/>
    <col min="3" max="3" width="12.1428571428571" style="1" customWidth="1"/>
    <col min="4" max="4" width="10.4285714285714" style="1" customWidth="1"/>
    <col min="5" max="5" width="12.2857142857143" style="1" customWidth="1"/>
    <col min="6" max="6" width="56.2857142857143" style="2" bestFit="1" customWidth="1"/>
    <col min="7" max="7" width="31.7142857142857" style="1" bestFit="1" customWidth="1"/>
    <col min="8" max="8" width="15.5714285714286" style="1" customWidth="1"/>
    <col min="9" max="9" width="16.7142857142857" style="1" bestFit="1" customWidth="1"/>
    <col min="10" max="10" width="15.8571428571429" style="1" customWidth="1"/>
    <col min="11" max="11" width="16" style="1" customWidth="1"/>
    <col min="12" max="12" width="15.1428571428571" style="2" customWidth="1"/>
    <col min="13" max="13" width="18.1428571428571" style="2" bestFit="1" customWidth="1"/>
    <col min="14" max="14" width="7.42857142857143" style="1" customWidth="1"/>
    <col min="15" max="15" width="17.7142857142857" style="1" bestFit="1" customWidth="1"/>
    <col min="16" max="16" width="16.4285714285714" style="1" bestFit="1" customWidth="1"/>
    <col min="17" max="16384" width="9.14285714285714" style="1"/>
  </cols>
  <sheetData>
    <row r="1" spans="1:16" ht="15.75">
      <c r="A1" s="6" t="s">
        <v>119</v>
      </c>
      <c r="P1" s="15"/>
    </row>
    <row r="2" spans="1:16" ht="15.75">
      <c r="A2" s="6" t="s">
        <v>8</v>
      </c>
      <c r="P2" s="15"/>
    </row>
    <row r="3" spans="1:1" ht="15.75">
      <c r="A3" s="6" t="s">
        <v>94</v>
      </c>
    </row>
    <row r="5" spans="1:1" ht="15.75">
      <c r="A5" s="6" t="s">
        <v>7</v>
      </c>
    </row>
    <row r="7" spans="1:7" ht="15.75">
      <c r="A7" s="4" t="s">
        <v>6</v>
      </c>
      <c r="B7" s="4" t="s">
        <v>5</v>
      </c>
      <c r="C7" s="4" t="s">
        <v>4</v>
      </c>
      <c r="D7" s="4" t="s">
        <v>3</v>
      </c>
      <c r="E7" s="4" t="s">
        <v>2</v>
      </c>
      <c r="F7" s="5" t="s">
        <v>1</v>
      </c>
      <c r="G7" s="4" t="s">
        <v>0</v>
      </c>
    </row>
    <row r="8" spans="1:7" ht="15">
      <c r="A8" s="3" t="s">
        <v>9</v>
      </c>
      <c r="B8" s="3" t="s">
        <v>10</v>
      </c>
      <c r="C8" s="3">
        <v>2019</v>
      </c>
      <c r="D8" s="3">
        <v>5</v>
      </c>
      <c r="E8" s="3">
        <v>1143000</v>
      </c>
      <c r="F8" s="2">
        <v>29336384</v>
      </c>
      <c r="G8" s="1" t="s">
        <v>11</v>
      </c>
    </row>
    <row r="9" spans="1:7" ht="15">
      <c r="A9" s="3" t="s">
        <v>9</v>
      </c>
      <c r="B9" s="3" t="s">
        <v>10</v>
      </c>
      <c r="C9" s="3">
        <v>2019</v>
      </c>
      <c r="D9" s="3">
        <v>5</v>
      </c>
      <c r="E9" s="3">
        <v>1143000</v>
      </c>
      <c r="F9" s="2">
        <v>-3195950.2599999998</v>
      </c>
      <c r="G9" s="1" t="s">
        <v>12</v>
      </c>
    </row>
    <row r="10" spans="1:7" ht="15">
      <c r="A10" s="3" t="s">
        <v>9</v>
      </c>
      <c r="B10" s="3" t="s">
        <v>10</v>
      </c>
      <c r="C10" s="3">
        <v>2019</v>
      </c>
      <c r="D10" s="3">
        <v>6</v>
      </c>
      <c r="E10" s="3">
        <v>1143000</v>
      </c>
      <c r="F10" s="2">
        <v>-29336384</v>
      </c>
      <c r="G10" s="1" t="s">
        <v>11</v>
      </c>
    </row>
    <row r="11" spans="1:7" ht="15">
      <c r="A11" s="3" t="s">
        <v>9</v>
      </c>
      <c r="B11" s="3" t="s">
        <v>10</v>
      </c>
      <c r="C11" s="3">
        <v>2019</v>
      </c>
      <c r="D11" s="3">
        <v>6</v>
      </c>
      <c r="E11" s="3">
        <v>1143000</v>
      </c>
      <c r="F11" s="2">
        <v>3195950.2599999998</v>
      </c>
      <c r="G11" s="1" t="s">
        <v>12</v>
      </c>
    </row>
    <row r="12" spans="1:7" ht="15">
      <c r="A12" s="3" t="s">
        <v>9</v>
      </c>
      <c r="B12" s="3" t="s">
        <v>13</v>
      </c>
      <c r="C12" s="3">
        <v>2019</v>
      </c>
      <c r="D12" s="3">
        <v>6</v>
      </c>
      <c r="E12" s="3">
        <v>1143000</v>
      </c>
      <c r="F12" s="2">
        <v>29336384</v>
      </c>
      <c r="G12" s="1" t="s">
        <v>14</v>
      </c>
    </row>
    <row r="13" spans="1:7" ht="15">
      <c r="A13" s="3" t="s">
        <v>9</v>
      </c>
      <c r="B13" s="3" t="s">
        <v>15</v>
      </c>
      <c r="C13" s="3">
        <v>2019</v>
      </c>
      <c r="D13" s="3">
        <v>6</v>
      </c>
      <c r="E13" s="3">
        <v>1143000</v>
      </c>
      <c r="F13" s="2">
        <v>-3319499.5699999998</v>
      </c>
      <c r="G13" s="1" t="s">
        <v>12</v>
      </c>
    </row>
    <row r="14" spans="1:7" ht="15">
      <c r="A14" s="3" t="s">
        <v>9</v>
      </c>
      <c r="B14" s="3" t="s">
        <v>16</v>
      </c>
      <c r="C14" s="3">
        <v>2019</v>
      </c>
      <c r="D14" s="3">
        <v>6</v>
      </c>
      <c r="E14" s="3">
        <v>1143000</v>
      </c>
      <c r="F14" s="2">
        <v>-119518.59</v>
      </c>
      <c r="G14" s="1" t="s">
        <v>17</v>
      </c>
    </row>
    <row r="15" spans="1:7" ht="15">
      <c r="A15" s="3" t="s">
        <v>9</v>
      </c>
      <c r="B15" s="3" t="s">
        <v>18</v>
      </c>
      <c r="C15" s="3">
        <v>2019</v>
      </c>
      <c r="D15" s="3">
        <v>7</v>
      </c>
      <c r="E15" s="3">
        <v>1143000</v>
      </c>
      <c r="F15" s="2">
        <v>-81489.949999999997</v>
      </c>
      <c r="G15" s="1" t="s">
        <v>19</v>
      </c>
    </row>
    <row r="16" spans="1:7" ht="15">
      <c r="A16" s="3" t="s">
        <v>9</v>
      </c>
      <c r="B16" s="3" t="s">
        <v>18</v>
      </c>
      <c r="C16" s="3">
        <v>2019</v>
      </c>
      <c r="D16" s="3">
        <v>8</v>
      </c>
      <c r="E16" s="3">
        <v>1143000</v>
      </c>
      <c r="F16" s="2">
        <v>-81489.949999999997</v>
      </c>
      <c r="G16" s="1" t="s">
        <v>20</v>
      </c>
    </row>
    <row r="17" spans="1:7" ht="15">
      <c r="A17" s="3" t="s">
        <v>9</v>
      </c>
      <c r="B17" s="3" t="s">
        <v>21</v>
      </c>
      <c r="C17" s="3">
        <v>2019</v>
      </c>
      <c r="D17" s="3">
        <v>9</v>
      </c>
      <c r="E17" s="3">
        <v>1143000</v>
      </c>
      <c r="F17" s="2">
        <v>222.38999999999999</v>
      </c>
      <c r="G17" s="1" t="s">
        <v>22</v>
      </c>
    </row>
    <row r="18" spans="1:7" ht="15">
      <c r="A18" s="3" t="s">
        <v>9</v>
      </c>
      <c r="B18" s="3" t="s">
        <v>23</v>
      </c>
      <c r="C18" s="3">
        <v>2019</v>
      </c>
      <c r="D18" s="3">
        <v>9</v>
      </c>
      <c r="E18" s="3">
        <v>1143000</v>
      </c>
      <c r="F18" s="2">
        <v>-222.38999999999999</v>
      </c>
      <c r="G18" s="1" t="s">
        <v>24</v>
      </c>
    </row>
    <row r="19" spans="1:7" ht="15">
      <c r="A19" s="3" t="s">
        <v>9</v>
      </c>
      <c r="B19" s="3" t="s">
        <v>18</v>
      </c>
      <c r="C19" s="3">
        <v>2019</v>
      </c>
      <c r="D19" s="3">
        <v>9</v>
      </c>
      <c r="E19" s="3">
        <v>1143000</v>
      </c>
      <c r="F19" s="2">
        <v>-81489.949999999997</v>
      </c>
      <c r="G19" s="1" t="s">
        <v>25</v>
      </c>
    </row>
    <row r="20" spans="1:7" ht="15">
      <c r="A20" s="3" t="s">
        <v>9</v>
      </c>
      <c r="B20" s="3" t="s">
        <v>18</v>
      </c>
      <c r="C20" s="3">
        <v>2019</v>
      </c>
      <c r="D20" s="3">
        <v>10</v>
      </c>
      <c r="E20" s="3">
        <v>1143000</v>
      </c>
      <c r="F20" s="2">
        <v>-81489.949999999997</v>
      </c>
      <c r="G20" s="1" t="s">
        <v>26</v>
      </c>
    </row>
    <row r="21" spans="1:7" ht="15">
      <c r="A21" s="3" t="s">
        <v>9</v>
      </c>
      <c r="B21" s="3" t="s">
        <v>18</v>
      </c>
      <c r="C21" s="3">
        <v>2019</v>
      </c>
      <c r="D21" s="3">
        <v>11</v>
      </c>
      <c r="E21" s="3">
        <v>1143000</v>
      </c>
      <c r="F21" s="2">
        <v>-81489.949999999997</v>
      </c>
      <c r="G21" s="1" t="s">
        <v>27</v>
      </c>
    </row>
    <row r="22" spans="1:7" ht="15">
      <c r="A22" s="3" t="s">
        <v>9</v>
      </c>
      <c r="B22" s="3" t="s">
        <v>18</v>
      </c>
      <c r="C22" s="3">
        <v>2019</v>
      </c>
      <c r="D22" s="3">
        <v>12</v>
      </c>
      <c r="E22" s="3">
        <v>1143000</v>
      </c>
      <c r="F22" s="2">
        <v>-81489.949999999997</v>
      </c>
      <c r="G22" s="1" t="s">
        <v>28</v>
      </c>
    </row>
    <row r="23" spans="1:7" ht="15">
      <c r="A23" s="3" t="s">
        <v>9</v>
      </c>
      <c r="B23" s="3" t="s">
        <v>18</v>
      </c>
      <c r="C23" s="3">
        <v>2020</v>
      </c>
      <c r="D23" s="3">
        <v>1</v>
      </c>
      <c r="E23" s="3">
        <v>1143000</v>
      </c>
      <c r="F23" s="2">
        <v>-81489.949999999997</v>
      </c>
      <c r="G23" s="1" t="s">
        <v>29</v>
      </c>
    </row>
    <row r="24" spans="1:7" ht="15">
      <c r="A24" s="3" t="s">
        <v>9</v>
      </c>
      <c r="B24" s="3" t="s">
        <v>18</v>
      </c>
      <c r="C24" s="3">
        <v>2020</v>
      </c>
      <c r="D24" s="3">
        <v>2</v>
      </c>
      <c r="E24" s="3">
        <v>1143000</v>
      </c>
      <c r="F24" s="2">
        <v>-81489.949999999997</v>
      </c>
      <c r="G24" s="1" t="s">
        <v>30</v>
      </c>
    </row>
    <row r="25" spans="1:7" ht="15">
      <c r="A25" s="3" t="s">
        <v>9</v>
      </c>
      <c r="B25" s="3" t="s">
        <v>18</v>
      </c>
      <c r="C25" s="3">
        <v>2020</v>
      </c>
      <c r="D25" s="3">
        <v>3</v>
      </c>
      <c r="E25" s="3">
        <v>1143000</v>
      </c>
      <c r="F25" s="2">
        <v>-81489.949999999997</v>
      </c>
      <c r="G25" s="1" t="s">
        <v>31</v>
      </c>
    </row>
    <row r="26" spans="1:7" ht="15">
      <c r="A26" s="3" t="s">
        <v>9</v>
      </c>
      <c r="B26" s="3" t="s">
        <v>18</v>
      </c>
      <c r="C26" s="3">
        <v>2020</v>
      </c>
      <c r="D26" s="3">
        <v>4</v>
      </c>
      <c r="E26" s="3">
        <v>1143000</v>
      </c>
      <c r="F26" s="2">
        <v>-81489.949999999997</v>
      </c>
      <c r="G26" s="1" t="s">
        <v>32</v>
      </c>
    </row>
    <row r="27" spans="1:7" ht="15">
      <c r="A27" s="3" t="s">
        <v>9</v>
      </c>
      <c r="B27" s="3" t="s">
        <v>18</v>
      </c>
      <c r="C27" s="3">
        <v>2020</v>
      </c>
      <c r="D27" s="3">
        <v>5</v>
      </c>
      <c r="E27" s="3">
        <v>1143000</v>
      </c>
      <c r="F27" s="2">
        <v>-81489.949999999997</v>
      </c>
      <c r="G27" s="1" t="s">
        <v>33</v>
      </c>
    </row>
    <row r="28" spans="1:7" ht="15">
      <c r="A28" s="3" t="s">
        <v>9</v>
      </c>
      <c r="B28" s="3" t="s">
        <v>18</v>
      </c>
      <c r="C28" s="3">
        <v>2020</v>
      </c>
      <c r="D28" s="3">
        <v>6</v>
      </c>
      <c r="E28" s="3">
        <v>1143000</v>
      </c>
      <c r="F28" s="2">
        <v>-81489.949999999997</v>
      </c>
      <c r="G28" s="1" t="s">
        <v>34</v>
      </c>
    </row>
    <row r="29" spans="1:7" ht="15">
      <c r="A29" s="3" t="s">
        <v>9</v>
      </c>
      <c r="B29" s="3" t="s">
        <v>18</v>
      </c>
      <c r="C29" s="3">
        <v>2020</v>
      </c>
      <c r="D29" s="3">
        <v>7</v>
      </c>
      <c r="E29" s="3">
        <v>1143000</v>
      </c>
      <c r="F29" s="2">
        <v>-81489.949999999997</v>
      </c>
      <c r="G29" s="1" t="s">
        <v>35</v>
      </c>
    </row>
    <row r="30" spans="1:7" ht="15">
      <c r="A30" s="3" t="s">
        <v>9</v>
      </c>
      <c r="B30" s="3" t="s">
        <v>18</v>
      </c>
      <c r="C30" s="3">
        <v>2020</v>
      </c>
      <c r="D30" s="3">
        <v>8</v>
      </c>
      <c r="E30" s="3">
        <v>1143000</v>
      </c>
      <c r="F30" s="2">
        <v>-81489.949999999997</v>
      </c>
      <c r="G30" s="1" t="s">
        <v>36</v>
      </c>
    </row>
    <row r="31" spans="1:7" ht="15">
      <c r="A31" s="3" t="s">
        <v>9</v>
      </c>
      <c r="B31" s="3" t="s">
        <v>18</v>
      </c>
      <c r="C31" s="3">
        <v>2020</v>
      </c>
      <c r="D31" s="3">
        <v>9</v>
      </c>
      <c r="E31" s="3">
        <v>1143000</v>
      </c>
      <c r="F31" s="2">
        <v>-81489.949999999997</v>
      </c>
      <c r="G31" s="1" t="s">
        <v>37</v>
      </c>
    </row>
    <row r="32" spans="1:7" ht="15">
      <c r="A32" s="3" t="s">
        <v>9</v>
      </c>
      <c r="B32" s="3" t="s">
        <v>18</v>
      </c>
      <c r="C32" s="3">
        <v>2020</v>
      </c>
      <c r="D32" s="3">
        <v>10</v>
      </c>
      <c r="E32" s="3">
        <v>1143000</v>
      </c>
      <c r="F32" s="2">
        <v>-81489.949999999997</v>
      </c>
      <c r="G32" s="1" t="s">
        <v>38</v>
      </c>
    </row>
    <row r="33" spans="1:7" ht="15">
      <c r="A33" s="3" t="s">
        <v>9</v>
      </c>
      <c r="B33" s="3" t="s">
        <v>18</v>
      </c>
      <c r="C33" s="3">
        <v>2020</v>
      </c>
      <c r="D33" s="3">
        <v>11</v>
      </c>
      <c r="E33" s="3">
        <v>1143000</v>
      </c>
      <c r="F33" s="2">
        <v>-81489.949999999997</v>
      </c>
      <c r="G33" s="1" t="s">
        <v>39</v>
      </c>
    </row>
    <row r="34" spans="1:7" ht="15">
      <c r="A34" s="3" t="s">
        <v>9</v>
      </c>
      <c r="B34" s="3" t="s">
        <v>18</v>
      </c>
      <c r="C34" s="3">
        <v>2020</v>
      </c>
      <c r="D34" s="3">
        <v>12</v>
      </c>
      <c r="E34" s="3">
        <v>1143000</v>
      </c>
      <c r="F34" s="2">
        <v>-81489.949999999997</v>
      </c>
      <c r="G34" s="1" t="s">
        <v>40</v>
      </c>
    </row>
    <row r="35" spans="1:7" ht="15">
      <c r="A35" s="3" t="s">
        <v>9</v>
      </c>
      <c r="B35" s="3" t="s">
        <v>18</v>
      </c>
      <c r="C35" s="3">
        <v>2021</v>
      </c>
      <c r="D35" s="3">
        <v>1</v>
      </c>
      <c r="E35" s="3" t="s">
        <v>95</v>
      </c>
      <c r="F35" s="2">
        <v>-81489.949999999997</v>
      </c>
      <c r="G35" s="1" t="s">
        <v>96</v>
      </c>
    </row>
    <row r="36" spans="1:7" ht="15">
      <c r="A36" s="3" t="s">
        <v>9</v>
      </c>
      <c r="B36" s="3" t="s">
        <v>18</v>
      </c>
      <c r="C36" s="3">
        <v>2021</v>
      </c>
      <c r="D36" s="3">
        <v>2</v>
      </c>
      <c r="E36" s="3" t="s">
        <v>95</v>
      </c>
      <c r="F36" s="2">
        <v>-81489.949999999997</v>
      </c>
      <c r="G36" s="1" t="s">
        <v>97</v>
      </c>
    </row>
    <row r="37" spans="1:7" ht="15">
      <c r="A37" s="3" t="s">
        <v>9</v>
      </c>
      <c r="B37" s="3" t="s">
        <v>18</v>
      </c>
      <c r="C37" s="3">
        <v>2021</v>
      </c>
      <c r="D37" s="3">
        <v>3</v>
      </c>
      <c r="E37" s="3" t="s">
        <v>95</v>
      </c>
      <c r="F37" s="2">
        <v>-81489.949999999997</v>
      </c>
      <c r="G37" s="1" t="s">
        <v>98</v>
      </c>
    </row>
    <row r="38" spans="1:8" ht="15">
      <c r="A38" s="3" t="s">
        <v>9</v>
      </c>
      <c r="B38" s="3" t="s">
        <v>18</v>
      </c>
      <c r="C38" s="3">
        <v>2021</v>
      </c>
      <c r="D38" s="3">
        <v>4</v>
      </c>
      <c r="E38" s="3" t="s">
        <v>95</v>
      </c>
      <c r="F38" s="2">
        <v>-81489.949999999997</v>
      </c>
      <c r="G38" s="1" t="s">
        <v>99</v>
      </c>
      <c r="H38" s="24" t="s">
        <v>120</v>
      </c>
    </row>
    <row r="39" spans="1:8" ht="15.4" customHeight="1">
      <c r="A39" s="3" t="s">
        <v>9</v>
      </c>
      <c r="B39" s="3" t="s">
        <v>18</v>
      </c>
      <c r="C39" s="3">
        <v>2021</v>
      </c>
      <c r="D39" s="3">
        <v>5</v>
      </c>
      <c r="E39" s="3" t="s">
        <v>95</v>
      </c>
      <c r="F39" s="2">
        <v>-81489.949999999997</v>
      </c>
      <c r="G39" s="1" t="s">
        <v>100</v>
      </c>
      <c r="H39" s="23"/>
    </row>
    <row r="40" spans="1:8" ht="15.4" customHeight="1">
      <c r="A40" s="3" t="s">
        <v>9</v>
      </c>
      <c r="B40" s="3" t="s">
        <v>18</v>
      </c>
      <c r="C40" s="3">
        <v>2021</v>
      </c>
      <c r="D40" s="3">
        <v>6</v>
      </c>
      <c r="E40" s="3" t="s">
        <v>95</v>
      </c>
      <c r="F40" s="2">
        <v>-81489.949999999997</v>
      </c>
      <c r="G40" s="1" t="s">
        <v>101</v>
      </c>
      <c r="H40" s="23"/>
    </row>
    <row r="41" spans="1:8" ht="15">
      <c r="A41" s="3" t="s">
        <v>9</v>
      </c>
      <c r="B41" s="3" t="s">
        <v>18</v>
      </c>
      <c r="C41" s="3">
        <v>2021</v>
      </c>
      <c r="D41" s="3">
        <v>7</v>
      </c>
      <c r="E41" s="3" t="s">
        <v>95</v>
      </c>
      <c r="F41" s="2">
        <v>-81489.949999999997</v>
      </c>
      <c r="G41" s="1" t="s">
        <v>102</v>
      </c>
      <c r="H41" s="23"/>
    </row>
    <row r="42" spans="1:8" ht="15.4" customHeight="1">
      <c r="A42" s="3" t="s">
        <v>9</v>
      </c>
      <c r="B42" s="3" t="s">
        <v>18</v>
      </c>
      <c r="C42" s="3">
        <v>2021</v>
      </c>
      <c r="D42" s="3">
        <v>8</v>
      </c>
      <c r="E42" s="3" t="s">
        <v>95</v>
      </c>
      <c r="F42" s="2">
        <v>-81489.949999999997</v>
      </c>
      <c r="G42" s="1" t="s">
        <v>103</v>
      </c>
      <c r="H42" s="23"/>
    </row>
    <row r="43" spans="1:8" ht="15">
      <c r="A43" s="3" t="s">
        <v>9</v>
      </c>
      <c r="B43" s="3" t="s">
        <v>18</v>
      </c>
      <c r="C43" s="3">
        <v>2021</v>
      </c>
      <c r="D43" s="3">
        <v>9</v>
      </c>
      <c r="E43" s="3" t="s">
        <v>95</v>
      </c>
      <c r="F43" s="2">
        <v>-81489.949999999997</v>
      </c>
      <c r="G43" s="1" t="s">
        <v>104</v>
      </c>
      <c r="H43" s="23"/>
    </row>
    <row r="44" spans="1:8" ht="15">
      <c r="A44" s="3" t="s">
        <v>9</v>
      </c>
      <c r="B44" s="3" t="s">
        <v>18</v>
      </c>
      <c r="C44" s="3">
        <v>2021</v>
      </c>
      <c r="D44" s="3">
        <v>10</v>
      </c>
      <c r="E44" s="3" t="s">
        <v>95</v>
      </c>
      <c r="F44" s="2">
        <v>-81489.949999999997</v>
      </c>
      <c r="G44" s="1" t="s">
        <v>105</v>
      </c>
      <c r="H44" s="23"/>
    </row>
    <row r="45" spans="1:8" ht="15">
      <c r="A45" s="3" t="s">
        <v>9</v>
      </c>
      <c r="B45" s="3" t="s">
        <v>18</v>
      </c>
      <c r="C45" s="3">
        <v>2021</v>
      </c>
      <c r="D45" s="3">
        <v>11</v>
      </c>
      <c r="E45" s="3" t="s">
        <v>95</v>
      </c>
      <c r="F45" s="2">
        <v>-81489.949999999997</v>
      </c>
      <c r="G45" s="1" t="s">
        <v>106</v>
      </c>
      <c r="H45" s="25"/>
    </row>
    <row r="46" spans="1:8" ht="15">
      <c r="A46" s="3" t="s">
        <v>9</v>
      </c>
      <c r="B46" s="3" t="s">
        <v>18</v>
      </c>
      <c r="C46" s="3">
        <v>2021</v>
      </c>
      <c r="D46" s="3">
        <v>12</v>
      </c>
      <c r="E46" s="3" t="s">
        <v>95</v>
      </c>
      <c r="F46" s="7">
        <v>-81489.949999999997</v>
      </c>
      <c r="G46" s="1" t="s">
        <v>107</v>
      </c>
      <c r="H46" s="2">
        <f>-SUM(F35:F46)</f>
        <v>977879.39999999979</v>
      </c>
    </row>
    <row r="47" spans="1:5" ht="15">
      <c r="A47" s="3"/>
      <c r="B47" s="3"/>
      <c r="C47" s="3"/>
      <c r="D47" s="3"/>
      <c r="E47" s="3"/>
    </row>
    <row r="48" spans="1:5" ht="15">
      <c r="A48" s="3"/>
      <c r="B48" s="3"/>
      <c r="C48" s="3"/>
      <c r="D48" s="3"/>
      <c r="E48" s="3"/>
    </row>
    <row r="49" spans="1:7" ht="15">
      <c r="A49" s="3"/>
      <c r="B49" s="3"/>
      <c r="C49" s="3"/>
      <c r="D49" s="3"/>
      <c r="E49" s="15" t="s">
        <v>108</v>
      </c>
      <c r="F49" s="2">
        <f>SUM(F8:F46)</f>
        <v>23452667.340000022</v>
      </c>
      <c r="G49" s="1" t="s">
        <v>117</v>
      </c>
    </row>
    <row r="50" spans="1:5" ht="15">
      <c r="A50" s="3"/>
      <c r="B50" s="3"/>
      <c r="C50" s="3"/>
      <c r="D50" s="3"/>
      <c r="E50" s="3"/>
    </row>
    <row r="51" spans="1:8" ht="15.4" customHeight="1">
      <c r="A51" s="22" t="s">
        <v>111</v>
      </c>
      <c r="B51" s="23"/>
      <c r="C51" s="23"/>
      <c r="D51" s="23"/>
      <c r="E51" s="23"/>
      <c r="F51" s="23"/>
      <c r="G51" s="23"/>
      <c r="H51" s="23"/>
    </row>
    <row r="52" spans="1:8" ht="15.4" customHeight="1">
      <c r="A52" s="22" t="s">
        <v>118</v>
      </c>
      <c r="B52" s="23"/>
      <c r="C52" s="23"/>
      <c r="D52" s="23"/>
      <c r="E52" s="23"/>
      <c r="F52" s="23"/>
      <c r="G52" s="23"/>
      <c r="H52" s="23"/>
    </row>
    <row r="53" spans="1:10" ht="15">
      <c r="A53" s="16" t="s">
        <v>112</v>
      </c>
      <c r="B53" s="3"/>
      <c r="C53" s="3"/>
      <c r="D53" s="3"/>
      <c r="E53" s="3"/>
      <c r="I53" s="17">
        <f>F8/-SUM(F35:F46)</f>
        <v>30.000002045241985</v>
      </c>
      <c r="J53" s="1" t="s">
        <v>113</v>
      </c>
    </row>
    <row r="54" spans="1:10" ht="15">
      <c r="A54" s="16" t="s">
        <v>121</v>
      </c>
      <c r="B54" s="3"/>
      <c r="C54" s="3"/>
      <c r="D54" s="3"/>
      <c r="E54" s="3"/>
      <c r="I54" s="18">
        <f>ROUND(F49/M105,2)</f>
        <v>27.559999999999999</v>
      </c>
      <c r="J54" s="1" t="s">
        <v>113</v>
      </c>
    </row>
    <row r="55" spans="1:7" ht="15">
      <c r="A55" s="16"/>
      <c r="B55" s="3"/>
      <c r="C55" s="3"/>
      <c r="D55" s="3"/>
      <c r="E55" s="3"/>
      <c r="G55" s="17"/>
    </row>
    <row r="56" spans="1:16" ht="15">
      <c r="A56" s="16" t="s">
        <v>114</v>
      </c>
      <c r="B56" s="3"/>
      <c r="C56" s="3"/>
      <c r="D56" s="3"/>
      <c r="E56" s="3"/>
      <c r="P56" s="15" t="s">
        <v>123</v>
      </c>
    </row>
    <row r="57" spans="1:16" ht="15">
      <c r="A57" s="3"/>
      <c r="B57" s="3"/>
      <c r="C57" s="3"/>
      <c r="D57" s="3"/>
      <c r="E57" s="3"/>
      <c r="P57" s="15" t="s">
        <v>124</v>
      </c>
    </row>
    <row r="58" spans="1:5" ht="15">
      <c r="A58" s="3"/>
      <c r="B58" s="3"/>
      <c r="C58" s="3"/>
      <c r="D58" s="3"/>
      <c r="E58" s="3"/>
    </row>
    <row r="59" spans="3:18" ht="47.25">
      <c r="C59" s="4" t="s">
        <v>51</v>
      </c>
      <c r="D59" s="4" t="s">
        <v>41</v>
      </c>
      <c r="E59" s="4" t="s">
        <v>42</v>
      </c>
      <c r="F59" s="5" t="s">
        <v>43</v>
      </c>
      <c r="G59" s="4" t="s">
        <v>44</v>
      </c>
      <c r="H59" s="4" t="s">
        <v>110</v>
      </c>
      <c r="I59" s="4" t="s">
        <v>45</v>
      </c>
      <c r="J59" s="4" t="s">
        <v>46</v>
      </c>
      <c r="K59" s="4" t="s">
        <v>47</v>
      </c>
      <c r="L59" s="5" t="s">
        <v>48</v>
      </c>
      <c r="M59" s="5" t="s">
        <v>49</v>
      </c>
      <c r="N59" s="4"/>
      <c r="O59" s="20" t="s">
        <v>93</v>
      </c>
      <c r="P59" s="20" t="s">
        <v>115</v>
      </c>
      <c r="Q59" s="5"/>
      <c r="R59" s="5"/>
    </row>
    <row r="60" spans="3:16" ht="15">
      <c r="C60" s="3" t="s">
        <v>52</v>
      </c>
      <c r="D60" s="3">
        <v>349</v>
      </c>
      <c r="E60" s="3" t="s">
        <v>50</v>
      </c>
      <c r="F60" s="2" t="s">
        <v>74</v>
      </c>
      <c r="G60" s="2">
        <v>31304</v>
      </c>
      <c r="H60" s="2"/>
      <c r="I60" s="2">
        <f>G60</f>
        <v>31304</v>
      </c>
      <c r="J60" s="8"/>
      <c r="K60" s="2"/>
      <c r="L60" s="10"/>
      <c r="O60" s="2"/>
      <c r="P60" s="2"/>
    </row>
    <row r="61" spans="3:16" ht="15">
      <c r="C61" s="3" t="s">
        <v>52</v>
      </c>
      <c r="D61" s="3">
        <v>349</v>
      </c>
      <c r="E61" s="3" t="s">
        <v>50</v>
      </c>
      <c r="F61" s="2" t="s">
        <v>74</v>
      </c>
      <c r="G61" s="7">
        <v>117614</v>
      </c>
      <c r="H61" s="7"/>
      <c r="I61" s="7">
        <f>G61</f>
        <v>117614</v>
      </c>
      <c r="J61" s="8"/>
      <c r="K61" s="2"/>
      <c r="L61" s="10"/>
      <c r="O61" s="2"/>
      <c r="P61" s="2"/>
    </row>
    <row r="62" spans="3:16" ht="15">
      <c r="C62" s="3"/>
      <c r="D62" s="3"/>
      <c r="E62" s="3"/>
      <c r="G62" s="2">
        <f>SUM(G60:G61)</f>
        <v>148918</v>
      </c>
      <c r="H62" s="2"/>
      <c r="I62" s="2">
        <f>SUM(I60:I61)</f>
        <v>148918</v>
      </c>
      <c r="J62" s="8">
        <v>0</v>
      </c>
      <c r="K62" s="2">
        <f>ROUND(G62*J62,2)</f>
        <v>0</v>
      </c>
      <c r="L62" s="10">
        <v>15</v>
      </c>
      <c r="M62" s="2">
        <f>G62*L62</f>
        <v>2233770</v>
      </c>
      <c r="O62" s="2">
        <f>M62</f>
        <v>2233770</v>
      </c>
      <c r="P62" s="2">
        <v>0</v>
      </c>
    </row>
    <row r="63" spans="3:16" ht="15">
      <c r="C63" s="3"/>
      <c r="D63" s="3"/>
      <c r="E63" s="3"/>
      <c r="G63" s="2"/>
      <c r="H63" s="2"/>
      <c r="I63" s="2"/>
      <c r="J63" s="8"/>
      <c r="K63" s="2"/>
      <c r="L63" s="10"/>
      <c r="O63" s="2"/>
      <c r="P63" s="2"/>
    </row>
    <row r="64" spans="3:16" ht="15">
      <c r="C64" s="3" t="s">
        <v>53</v>
      </c>
      <c r="D64" s="3">
        <v>352</v>
      </c>
      <c r="E64" s="3" t="s">
        <v>59</v>
      </c>
      <c r="F64" s="2" t="s">
        <v>75</v>
      </c>
      <c r="G64" s="2">
        <v>170282</v>
      </c>
      <c r="H64" s="12">
        <v>44096.959999999999</v>
      </c>
      <c r="I64" s="2">
        <f>ROUND(G64-H64,2)</f>
        <v>126185.03999999999</v>
      </c>
      <c r="J64" s="8"/>
      <c r="K64" s="2"/>
      <c r="L64" s="10"/>
      <c r="O64" s="2"/>
      <c r="P64" s="2"/>
    </row>
    <row r="65" spans="3:16" ht="15">
      <c r="C65" s="3" t="s">
        <v>53</v>
      </c>
      <c r="D65" s="3">
        <v>352</v>
      </c>
      <c r="E65" s="3" t="s">
        <v>59</v>
      </c>
      <c r="F65" s="2" t="s">
        <v>75</v>
      </c>
      <c r="G65" s="2">
        <v>88509</v>
      </c>
      <c r="H65" s="12">
        <v>22920.669999999998</v>
      </c>
      <c r="I65" s="2">
        <f t="shared" si="0" ref="I65:I68">ROUND(G65-H65,2)</f>
        <v>65588.330000000002</v>
      </c>
      <c r="J65" s="8"/>
      <c r="K65" s="2"/>
      <c r="L65" s="10"/>
      <c r="O65" s="2"/>
      <c r="P65" s="2"/>
    </row>
    <row r="66" spans="3:16" ht="15">
      <c r="C66" s="3" t="s">
        <v>53</v>
      </c>
      <c r="D66" s="3">
        <v>352</v>
      </c>
      <c r="E66" s="3" t="s">
        <v>60</v>
      </c>
      <c r="F66" s="2" t="s">
        <v>76</v>
      </c>
      <c r="G66" s="2">
        <v>30142</v>
      </c>
      <c r="H66" s="12">
        <v>7805.6999999999998</v>
      </c>
      <c r="I66" s="2">
        <f t="shared" si="0"/>
        <v>22336.299999999999</v>
      </c>
      <c r="J66" s="8"/>
      <c r="K66" s="2"/>
      <c r="L66" s="10"/>
      <c r="O66" s="2"/>
      <c r="P66" s="2"/>
    </row>
    <row r="67" spans="3:16" ht="15">
      <c r="C67" s="3" t="s">
        <v>54</v>
      </c>
      <c r="D67" s="3">
        <v>352</v>
      </c>
      <c r="E67" s="3" t="s">
        <v>61</v>
      </c>
      <c r="F67" s="2" t="s">
        <v>77</v>
      </c>
      <c r="G67" s="2">
        <v>254733</v>
      </c>
      <c r="H67" s="12">
        <v>65966.75</v>
      </c>
      <c r="I67" s="2">
        <f t="shared" si="0"/>
        <v>188766.25</v>
      </c>
      <c r="J67" s="8"/>
      <c r="K67" s="2"/>
      <c r="L67" s="10"/>
      <c r="O67" s="2"/>
      <c r="P67" s="2"/>
    </row>
    <row r="68" spans="3:16" ht="15">
      <c r="C68" s="3" t="s">
        <v>54</v>
      </c>
      <c r="D68" s="3">
        <v>352</v>
      </c>
      <c r="E68" s="3" t="s">
        <v>61</v>
      </c>
      <c r="F68" s="2" t="s">
        <v>77</v>
      </c>
      <c r="G68" s="7">
        <v>119262</v>
      </c>
      <c r="H68" s="13">
        <v>30884.599999999999</v>
      </c>
      <c r="I68" s="7">
        <f t="shared" si="0"/>
        <v>88377.399999999994</v>
      </c>
      <c r="J68" s="8"/>
      <c r="K68" s="2"/>
      <c r="L68" s="10"/>
      <c r="O68" s="2"/>
      <c r="P68" s="2"/>
    </row>
    <row r="69" spans="3:16" ht="15">
      <c r="C69" s="3"/>
      <c r="D69" s="3"/>
      <c r="E69" s="3"/>
      <c r="G69" s="2">
        <f>SUM(G64:G68)</f>
        <v>662928</v>
      </c>
      <c r="H69" s="12">
        <f t="shared" si="1" ref="H69:I69">SUM(H64:H68)</f>
        <v>171674.68000000002</v>
      </c>
      <c r="I69" s="2">
        <f t="shared" si="1"/>
        <v>491253.31999999995</v>
      </c>
      <c r="J69" s="8">
        <v>0.026499999999999999</v>
      </c>
      <c r="K69" s="2">
        <f>ROUND(G69*J69,2)</f>
        <v>17567.59</v>
      </c>
      <c r="L69" s="10">
        <f>I69/K69</f>
        <v>27.963614815691848</v>
      </c>
      <c r="M69" s="2">
        <f>G69*L69</f>
        <v>18537863.242536966</v>
      </c>
      <c r="O69" s="2">
        <f>M69</f>
        <v>18537863.242536966</v>
      </c>
      <c r="P69" s="2">
        <v>0</v>
      </c>
    </row>
    <row r="70" spans="3:16" ht="15">
      <c r="C70" s="3"/>
      <c r="D70" s="3"/>
      <c r="E70" s="3"/>
      <c r="G70" s="2"/>
      <c r="H70" s="12"/>
      <c r="I70" s="2"/>
      <c r="J70" s="8"/>
      <c r="K70" s="2"/>
      <c r="L70" s="10"/>
      <c r="O70" s="2"/>
      <c r="P70" s="2"/>
    </row>
    <row r="71" spans="3:16" ht="15">
      <c r="C71" s="3" t="s">
        <v>53</v>
      </c>
      <c r="D71" s="3">
        <v>353</v>
      </c>
      <c r="E71" s="3" t="s">
        <v>62</v>
      </c>
      <c r="F71" s="2" t="s">
        <v>79</v>
      </c>
      <c r="G71" s="2">
        <v>26842</v>
      </c>
      <c r="H71" s="12">
        <v>4531.5600000000004</v>
      </c>
      <c r="I71" s="2">
        <f t="shared" si="2" ref="I71:I89">ROUND(G71-H71,2)</f>
        <v>22310.439999999999</v>
      </c>
      <c r="J71" s="8">
        <v>0.022499999999999999</v>
      </c>
      <c r="K71" s="2">
        <f t="shared" si="3" ref="K71:K89">ROUND(G71*J71,2)</f>
        <v>603.95000000000005</v>
      </c>
      <c r="L71" s="10">
        <f t="shared" si="4" ref="L71:L90">I71/K71</f>
        <v>36.940872588790455</v>
      </c>
      <c r="M71" s="2">
        <f t="shared" si="5" ref="M71:M89">G71*L71</f>
        <v>991566.90202831337</v>
      </c>
      <c r="O71" s="2">
        <f>ROUND(0.800279812017677*M71,2)</f>
        <v>793530.96999999997</v>
      </c>
      <c r="P71" s="2">
        <f>M71-O71</f>
        <v>198035.9320283134</v>
      </c>
    </row>
    <row r="72" spans="3:16" ht="15">
      <c r="C72" s="3" t="s">
        <v>53</v>
      </c>
      <c r="D72" s="3">
        <v>353</v>
      </c>
      <c r="E72" s="3" t="s">
        <v>91</v>
      </c>
      <c r="F72" s="2" t="s">
        <v>92</v>
      </c>
      <c r="G72" s="2">
        <v>4230</v>
      </c>
      <c r="H72" s="12">
        <v>714.12</v>
      </c>
      <c r="I72" s="2">
        <f t="shared" si="2"/>
        <v>3515.8800000000001</v>
      </c>
      <c r="J72" s="8">
        <v>0.022499999999999999</v>
      </c>
      <c r="K72" s="2">
        <f t="shared" si="3"/>
        <v>95.180000000000007</v>
      </c>
      <c r="L72" s="10">
        <f t="shared" si="4"/>
        <v>36.939272956503466</v>
      </c>
      <c r="M72" s="2">
        <f t="shared" si="5"/>
        <v>156253.12460600966</v>
      </c>
      <c r="O72" s="2">
        <f t="shared" si="6" ref="O72:O86">ROUND(0.800279812017677*M72,2)</f>
        <v>125046.22</v>
      </c>
      <c r="P72" s="2">
        <f t="shared" si="7" ref="P72:P89">M72-O72</f>
        <v>31206.904606009659</v>
      </c>
    </row>
    <row r="73" spans="3:16" ht="15">
      <c r="C73" s="3" t="s">
        <v>53</v>
      </c>
      <c r="D73" s="3">
        <v>353</v>
      </c>
      <c r="E73" s="3" t="s">
        <v>63</v>
      </c>
      <c r="F73" s="2" t="s">
        <v>80</v>
      </c>
      <c r="G73" s="2">
        <v>329098</v>
      </c>
      <c r="H73" s="12">
        <v>55559.480000000003</v>
      </c>
      <c r="I73" s="2">
        <f t="shared" si="2"/>
        <v>273538.52000000002</v>
      </c>
      <c r="J73" s="8">
        <v>0.022499999999999999</v>
      </c>
      <c r="K73" s="2">
        <f t="shared" si="3"/>
        <v>7404.71</v>
      </c>
      <c r="L73" s="10">
        <f t="shared" si="4"/>
        <v>36.941152320617554</v>
      </c>
      <c r="M73" s="2">
        <f t="shared" si="5"/>
        <v>12157259.346410597</v>
      </c>
      <c r="O73" s="2">
        <f t="shared" si="6"/>
        <v>9729209.2200000007</v>
      </c>
      <c r="P73" s="2">
        <f t="shared" si="7"/>
        <v>2428050.1264105961</v>
      </c>
    </row>
    <row r="74" spans="3:16" ht="15">
      <c r="C74" s="3" t="s">
        <v>53</v>
      </c>
      <c r="D74" s="3">
        <v>353</v>
      </c>
      <c r="E74" s="3" t="s">
        <v>63</v>
      </c>
      <c r="F74" s="2" t="s">
        <v>80</v>
      </c>
      <c r="G74" s="2">
        <v>235263</v>
      </c>
      <c r="H74" s="12">
        <v>39717.93</v>
      </c>
      <c r="I74" s="2">
        <f t="shared" si="2"/>
        <v>195545.07000000001</v>
      </c>
      <c r="J74" s="8">
        <v>0.022499999999999999</v>
      </c>
      <c r="K74" s="2">
        <f t="shared" si="3"/>
        <v>5293.4200000000001</v>
      </c>
      <c r="L74" s="10">
        <f t="shared" si="4"/>
        <v>36.941159023844698</v>
      </c>
      <c r="M74" s="2">
        <f t="shared" si="5"/>
        <v>8690887.8954267744</v>
      </c>
      <c r="O74" s="2">
        <f t="shared" si="6"/>
        <v>6955142.1299999999</v>
      </c>
      <c r="P74" s="2">
        <f t="shared" si="7"/>
        <v>1735745.7654267745</v>
      </c>
    </row>
    <row r="75" spans="3:16" ht="15">
      <c r="C75" s="3" t="s">
        <v>53</v>
      </c>
      <c r="D75" s="3">
        <v>353</v>
      </c>
      <c r="E75" s="3" t="s">
        <v>63</v>
      </c>
      <c r="F75" s="2" t="s">
        <v>80</v>
      </c>
      <c r="G75" s="2">
        <v>266165</v>
      </c>
      <c r="H75" s="12">
        <v>44934.910000000003</v>
      </c>
      <c r="I75" s="2">
        <f t="shared" si="2"/>
        <v>221230.09</v>
      </c>
      <c r="J75" s="8">
        <v>0.022499999999999999</v>
      </c>
      <c r="K75" s="2">
        <f t="shared" si="3"/>
        <v>5988.71</v>
      </c>
      <c r="L75" s="10">
        <f t="shared" si="4"/>
        <v>36.94119267755493</v>
      </c>
      <c r="M75" s="2">
        <f t="shared" si="5"/>
        <v>9832452.549021408</v>
      </c>
      <c r="O75" s="2">
        <f t="shared" si="6"/>
        <v>7868713.2800000003</v>
      </c>
      <c r="P75" s="2">
        <f t="shared" si="7"/>
        <v>1963739.2690214077</v>
      </c>
    </row>
    <row r="76" spans="3:16" ht="15">
      <c r="C76" s="3" t="s">
        <v>53</v>
      </c>
      <c r="D76" s="3">
        <v>353</v>
      </c>
      <c r="E76" s="3" t="s">
        <v>63</v>
      </c>
      <c r="F76" s="2" t="s">
        <v>80</v>
      </c>
      <c r="G76" s="2">
        <v>115103</v>
      </c>
      <c r="H76" s="12">
        <v>19432.09</v>
      </c>
      <c r="I76" s="2">
        <f t="shared" si="2"/>
        <v>95670.910000000003</v>
      </c>
      <c r="J76" s="8">
        <v>0.022499999999999999</v>
      </c>
      <c r="K76" s="2">
        <f t="shared" si="3"/>
        <v>2589.8200000000002</v>
      </c>
      <c r="L76" s="10">
        <f t="shared" si="4"/>
        <v>36.941142627672967</v>
      </c>
      <c r="M76" s="2">
        <f t="shared" si="5"/>
        <v>4252036.339873042</v>
      </c>
      <c r="O76" s="2">
        <f t="shared" si="6"/>
        <v>3402818.8399999999</v>
      </c>
      <c r="P76" s="2">
        <f t="shared" si="7"/>
        <v>849217.49987304211</v>
      </c>
    </row>
    <row r="77" spans="3:16" ht="15">
      <c r="C77" s="3" t="s">
        <v>53</v>
      </c>
      <c r="D77" s="3">
        <v>353</v>
      </c>
      <c r="E77" s="3" t="s">
        <v>64</v>
      </c>
      <c r="F77" s="2" t="s">
        <v>81</v>
      </c>
      <c r="G77" s="2">
        <v>476116</v>
      </c>
      <c r="H77" s="12">
        <v>80379.580000000002</v>
      </c>
      <c r="I77" s="2">
        <f t="shared" si="2"/>
        <v>395736.41999999998</v>
      </c>
      <c r="J77" s="8">
        <v>0.022499999999999999</v>
      </c>
      <c r="K77" s="2">
        <f t="shared" si="3"/>
        <v>10712.610000000001</v>
      </c>
      <c r="L77" s="10">
        <f t="shared" si="4"/>
        <v>36.941176800051522</v>
      </c>
      <c r="M77" s="2">
        <f t="shared" si="5"/>
        <v>17588285.333333332</v>
      </c>
      <c r="O77" s="2">
        <f t="shared" si="6"/>
        <v>14075549.68</v>
      </c>
      <c r="P77" s="2">
        <f t="shared" si="7"/>
        <v>3512735.6533333324</v>
      </c>
    </row>
    <row r="78" spans="3:16" ht="15">
      <c r="C78" s="3" t="s">
        <v>53</v>
      </c>
      <c r="D78" s="3">
        <v>353</v>
      </c>
      <c r="E78" s="3" t="s">
        <v>65</v>
      </c>
      <c r="F78" s="2" t="s">
        <v>82</v>
      </c>
      <c r="G78" s="2">
        <v>220282</v>
      </c>
      <c r="H78" s="12">
        <v>37188.779999999999</v>
      </c>
      <c r="I78" s="2">
        <f t="shared" si="2"/>
        <v>183093.22</v>
      </c>
      <c r="J78" s="8">
        <v>0.022499999999999999</v>
      </c>
      <c r="K78" s="2">
        <f t="shared" si="3"/>
        <v>4956.3500000000004</v>
      </c>
      <c r="L78" s="10">
        <f t="shared" si="4"/>
        <v>36.941140153540402</v>
      </c>
      <c r="M78" s="2">
        <f t="shared" si="5"/>
        <v>8137468.2353021866</v>
      </c>
      <c r="O78" s="2">
        <f t="shared" si="6"/>
        <v>6512251.5499999998</v>
      </c>
      <c r="P78" s="2">
        <f t="shared" si="7"/>
        <v>1625216.6853021868</v>
      </c>
    </row>
    <row r="79" spans="3:16" ht="15">
      <c r="C79" s="3" t="s">
        <v>53</v>
      </c>
      <c r="D79" s="3">
        <v>353</v>
      </c>
      <c r="E79" s="3" t="s">
        <v>67</v>
      </c>
      <c r="F79" s="2" t="s">
        <v>84</v>
      </c>
      <c r="G79" s="2">
        <v>169537</v>
      </c>
      <c r="H79" s="12">
        <v>28621.830000000002</v>
      </c>
      <c r="I79" s="2">
        <f t="shared" si="2"/>
        <v>140915.17000000001</v>
      </c>
      <c r="J79" s="8">
        <v>0.022499999999999999</v>
      </c>
      <c r="K79" s="2">
        <f t="shared" si="3"/>
        <v>3814.5799999999999</v>
      </c>
      <c r="L79" s="10">
        <f t="shared" si="4"/>
        <v>36.941201914758643</v>
      </c>
      <c r="M79" s="2">
        <f t="shared" si="5"/>
        <v>6262900.5490224361</v>
      </c>
      <c r="O79" s="2">
        <f t="shared" si="6"/>
        <v>5012072.8700000001</v>
      </c>
      <c r="P79" s="2">
        <f t="shared" si="7"/>
        <v>1250827.679022436</v>
      </c>
    </row>
    <row r="80" spans="3:16" ht="15">
      <c r="C80" s="3" t="s">
        <v>53</v>
      </c>
      <c r="D80" s="3">
        <v>353</v>
      </c>
      <c r="E80" s="3" t="s">
        <v>68</v>
      </c>
      <c r="F80" s="2" t="s">
        <v>85</v>
      </c>
      <c r="G80" s="2">
        <v>105962</v>
      </c>
      <c r="H80" s="12">
        <v>17888.880000000001</v>
      </c>
      <c r="I80" s="2">
        <f t="shared" si="2"/>
        <v>88073.119999999995</v>
      </c>
      <c r="J80" s="8">
        <v>0.022499999999999999</v>
      </c>
      <c r="K80" s="2">
        <f t="shared" si="3"/>
        <v>2384.1500000000001</v>
      </c>
      <c r="L80" s="10">
        <f t="shared" si="4"/>
        <v>36.941098504708172</v>
      </c>
      <c r="M80" s="2">
        <f t="shared" si="5"/>
        <v>3914352.6797558875</v>
      </c>
      <c r="O80" s="2">
        <f t="shared" si="6"/>
        <v>3132577.4300000002</v>
      </c>
      <c r="P80" s="2">
        <f t="shared" si="7"/>
        <v>781775.24975588731</v>
      </c>
    </row>
    <row r="81" spans="3:16" ht="15">
      <c r="C81" s="3" t="s">
        <v>53</v>
      </c>
      <c r="D81" s="3">
        <v>353</v>
      </c>
      <c r="E81" s="3" t="s">
        <v>69</v>
      </c>
      <c r="F81" s="2" t="s">
        <v>86</v>
      </c>
      <c r="G81" s="2">
        <v>67393</v>
      </c>
      <c r="H81" s="12">
        <v>11377.52</v>
      </c>
      <c r="I81" s="2">
        <f t="shared" si="2"/>
        <v>56015.480000000003</v>
      </c>
      <c r="J81" s="8">
        <v>0.022499999999999999</v>
      </c>
      <c r="K81" s="2">
        <f t="shared" si="3"/>
        <v>1516.3399999999999</v>
      </c>
      <c r="L81" s="10">
        <f t="shared" si="4"/>
        <v>36.941240091272412</v>
      </c>
      <c r="M81" s="2">
        <f t="shared" si="5"/>
        <v>2489580.9934711219</v>
      </c>
      <c r="O81" s="2">
        <f t="shared" si="6"/>
        <v>1992361.4099999999</v>
      </c>
      <c r="P81" s="2">
        <f t="shared" si="7"/>
        <v>497219.58347112196</v>
      </c>
    </row>
    <row r="82" spans="3:16" ht="15">
      <c r="C82" s="3" t="s">
        <v>53</v>
      </c>
      <c r="D82" s="3">
        <v>353</v>
      </c>
      <c r="E82" s="3" t="s">
        <v>69</v>
      </c>
      <c r="F82" s="2" t="s">
        <v>86</v>
      </c>
      <c r="G82" s="2">
        <v>4996</v>
      </c>
      <c r="H82" s="12">
        <v>843.44000000000005</v>
      </c>
      <c r="I82" s="2">
        <f t="shared" si="2"/>
        <v>4152.5600000000004</v>
      </c>
      <c r="J82" s="8">
        <v>0.022499999999999999</v>
      </c>
      <c r="K82" s="2">
        <f t="shared" si="3"/>
        <v>112.41</v>
      </c>
      <c r="L82" s="10">
        <f t="shared" si="4"/>
        <v>36.941197402366342</v>
      </c>
      <c r="M82" s="2">
        <f t="shared" si="5"/>
        <v>184558.22222222225</v>
      </c>
      <c r="O82" s="2">
        <f t="shared" si="6"/>
        <v>147698.22</v>
      </c>
      <c r="P82" s="2">
        <f t="shared" si="7"/>
        <v>36860.002222222247</v>
      </c>
    </row>
    <row r="83" spans="3:16" ht="15">
      <c r="C83" s="3" t="s">
        <v>53</v>
      </c>
      <c r="D83" s="3">
        <v>353</v>
      </c>
      <c r="E83" s="3" t="s">
        <v>69</v>
      </c>
      <c r="F83" s="2" t="s">
        <v>86</v>
      </c>
      <c r="G83" s="2">
        <v>34480</v>
      </c>
      <c r="H83" s="12">
        <v>5821.0299999999997</v>
      </c>
      <c r="I83" s="2">
        <f t="shared" si="2"/>
        <v>28658.970000000001</v>
      </c>
      <c r="J83" s="8">
        <v>0.022499999999999999</v>
      </c>
      <c r="K83" s="2">
        <f t="shared" si="3"/>
        <v>775.79999999999995</v>
      </c>
      <c r="L83" s="10">
        <f t="shared" si="4"/>
        <v>36.941183294663574</v>
      </c>
      <c r="M83" s="2">
        <f t="shared" si="5"/>
        <v>1273732</v>
      </c>
      <c r="O83" s="2">
        <f t="shared" si="6"/>
        <v>1019342.01</v>
      </c>
      <c r="P83" s="2">
        <f t="shared" si="7"/>
        <v>254389.98999999999</v>
      </c>
    </row>
    <row r="84" spans="3:16" ht="15">
      <c r="C84" s="3" t="s">
        <v>53</v>
      </c>
      <c r="D84" s="3">
        <v>353</v>
      </c>
      <c r="E84" s="3" t="s">
        <v>69</v>
      </c>
      <c r="F84" s="2" t="s">
        <v>86</v>
      </c>
      <c r="G84" s="2">
        <v>3564</v>
      </c>
      <c r="H84" s="12">
        <v>601.69000000000005</v>
      </c>
      <c r="I84" s="2">
        <f t="shared" si="2"/>
        <v>2962.3099999999999</v>
      </c>
      <c r="J84" s="8">
        <v>0.022499999999999999</v>
      </c>
      <c r="K84" s="2">
        <f t="shared" si="3"/>
        <v>80.189999999999998</v>
      </c>
      <c r="L84" s="10">
        <f t="shared" si="4"/>
        <v>36.941139792991642</v>
      </c>
      <c r="M84" s="2">
        <f t="shared" si="5"/>
        <v>131658.22222222222</v>
      </c>
      <c r="O84" s="2">
        <f t="shared" si="6"/>
        <v>105363.42</v>
      </c>
      <c r="P84" s="2">
        <f t="shared" si="7"/>
        <v>26294.802222222221</v>
      </c>
    </row>
    <row r="85" spans="3:16" ht="15">
      <c r="C85" s="3" t="s">
        <v>53</v>
      </c>
      <c r="D85" s="3">
        <v>353</v>
      </c>
      <c r="E85" s="3" t="s">
        <v>69</v>
      </c>
      <c r="F85" s="2" t="s">
        <v>86</v>
      </c>
      <c r="G85" s="2">
        <v>9558</v>
      </c>
      <c r="H85" s="12">
        <v>1613.6199999999999</v>
      </c>
      <c r="I85" s="2">
        <f t="shared" si="2"/>
        <v>7944.3800000000001</v>
      </c>
      <c r="J85" s="8">
        <v>0.022499999999999999</v>
      </c>
      <c r="K85" s="2">
        <f t="shared" si="3"/>
        <v>215.06</v>
      </c>
      <c r="L85" s="10">
        <f t="shared" si="4"/>
        <v>36.940295731423788</v>
      </c>
      <c r="M85" s="2">
        <f t="shared" si="5"/>
        <v>353075.34660094854</v>
      </c>
      <c r="O85" s="2">
        <f t="shared" si="6"/>
        <v>282559.07000000001</v>
      </c>
      <c r="P85" s="2">
        <f t="shared" si="7"/>
        <v>70516.276600948535</v>
      </c>
    </row>
    <row r="86" spans="3:16" ht="15">
      <c r="C86" s="3" t="s">
        <v>53</v>
      </c>
      <c r="D86" s="3">
        <v>353</v>
      </c>
      <c r="E86" s="3" t="s">
        <v>69</v>
      </c>
      <c r="F86" s="2" t="s">
        <v>86</v>
      </c>
      <c r="G86" s="2">
        <v>447313</v>
      </c>
      <c r="H86" s="12">
        <v>75516.960000000006</v>
      </c>
      <c r="I86" s="2">
        <f t="shared" si="2"/>
        <v>371796.03999999998</v>
      </c>
      <c r="J86" s="8">
        <v>0.022499999999999999</v>
      </c>
      <c r="K86" s="2">
        <f t="shared" si="3"/>
        <v>10064.540000000001</v>
      </c>
      <c r="L86" s="10">
        <f t="shared" si="4"/>
        <v>36.941185588213663</v>
      </c>
      <c r="M86" s="2">
        <f t="shared" si="5"/>
        <v>16524272.549020618</v>
      </c>
      <c r="O86" s="2">
        <f t="shared" si="6"/>
        <v>13224041.73</v>
      </c>
      <c r="P86" s="2">
        <f t="shared" si="7"/>
        <v>3300230.8190206178</v>
      </c>
    </row>
    <row r="87" spans="3:16" ht="15">
      <c r="C87" s="3" t="s">
        <v>54</v>
      </c>
      <c r="D87" s="3">
        <v>353</v>
      </c>
      <c r="E87" s="3" t="s">
        <v>60</v>
      </c>
      <c r="F87" s="2" t="s">
        <v>78</v>
      </c>
      <c r="G87" s="2">
        <v>8886</v>
      </c>
      <c r="H87" s="12">
        <v>1500.1700000000001</v>
      </c>
      <c r="I87" s="2">
        <f t="shared" si="2"/>
        <v>7385.8299999999999</v>
      </c>
      <c r="J87" s="8">
        <v>0.022499999999999999</v>
      </c>
      <c r="K87" s="2">
        <f t="shared" si="3"/>
        <v>199.94</v>
      </c>
      <c r="L87" s="10">
        <f t="shared" si="4"/>
        <v>36.940232069620883</v>
      </c>
      <c r="M87" s="2">
        <f t="shared" si="5"/>
        <v>328250.90217065118</v>
      </c>
      <c r="O87" s="2">
        <f>ROUND(0.970961175633159*M87,2)</f>
        <v>318718.88</v>
      </c>
      <c r="P87" s="2">
        <f t="shared" si="7"/>
        <v>9532.0221706511802</v>
      </c>
    </row>
    <row r="88" spans="3:16" ht="15">
      <c r="C88" s="3" t="s">
        <v>54</v>
      </c>
      <c r="D88" s="3">
        <v>353</v>
      </c>
      <c r="E88" s="3" t="s">
        <v>60</v>
      </c>
      <c r="F88" s="2" t="s">
        <v>78</v>
      </c>
      <c r="G88" s="2">
        <v>28924</v>
      </c>
      <c r="H88" s="12">
        <v>4883.0500000000002</v>
      </c>
      <c r="I88" s="2">
        <f t="shared" si="2"/>
        <v>24040.950000000001</v>
      </c>
      <c r="J88" s="8">
        <v>0.022499999999999999</v>
      </c>
      <c r="K88" s="2">
        <f t="shared" si="3"/>
        <v>650.78999999999996</v>
      </c>
      <c r="L88" s="10">
        <f t="shared" si="4"/>
        <v>36.941179182224687</v>
      </c>
      <c r="M88" s="2">
        <f t="shared" si="5"/>
        <v>1068486.6666666667</v>
      </c>
      <c r="O88" s="2">
        <f t="shared" si="8" ref="O88:O89">ROUND(0.970961175633159*M88,2)</f>
        <v>1037459.07</v>
      </c>
      <c r="P88" s="2">
        <f t="shared" si="7"/>
        <v>31027.596666666796</v>
      </c>
    </row>
    <row r="89" spans="3:16" ht="15">
      <c r="C89" s="3" t="s">
        <v>54</v>
      </c>
      <c r="D89" s="3">
        <v>353</v>
      </c>
      <c r="E89" s="3" t="s">
        <v>66</v>
      </c>
      <c r="F89" s="2" t="s">
        <v>83</v>
      </c>
      <c r="G89" s="7">
        <v>44725</v>
      </c>
      <c r="H89" s="13">
        <v>7550.6300000000001</v>
      </c>
      <c r="I89" s="7">
        <f t="shared" si="2"/>
        <v>37174.370000000003</v>
      </c>
      <c r="J89" s="8">
        <v>0.022499999999999999</v>
      </c>
      <c r="K89" s="2">
        <f t="shared" si="3"/>
        <v>1006.31</v>
      </c>
      <c r="L89" s="10">
        <f t="shared" si="4"/>
        <v>36.941270582623652</v>
      </c>
      <c r="M89" s="2">
        <f t="shared" si="5"/>
        <v>1652198.3268078428</v>
      </c>
      <c r="O89" s="2">
        <f t="shared" si="8"/>
        <v>1604220.4299999999</v>
      </c>
      <c r="P89" s="2">
        <f t="shared" si="7"/>
        <v>47977.896807842888</v>
      </c>
    </row>
    <row r="90" spans="3:16" ht="15">
      <c r="C90" s="3"/>
      <c r="D90" s="3"/>
      <c r="E90" s="3"/>
      <c r="G90" s="2">
        <f>SUM(G71:G89)</f>
        <v>2598437</v>
      </c>
      <c r="H90" s="12">
        <f>SUM(H71:H89)</f>
        <v>438677.27000000002</v>
      </c>
      <c r="I90" s="2">
        <f>SUM(I71:I89)</f>
        <v>2159759.73</v>
      </c>
      <c r="J90" s="8"/>
      <c r="K90" s="2">
        <f>SUM(K71:K89)</f>
        <v>58464.860000000008</v>
      </c>
      <c r="L90" s="10">
        <f t="shared" si="4"/>
        <v>36.941159698321343</v>
      </c>
      <c r="M90" s="2">
        <f>SUM(M71:M89)</f>
        <v>95989276.183962271</v>
      </c>
      <c r="O90" s="2">
        <f>SUM(O71:O89)</f>
        <v>77338676.429999992</v>
      </c>
      <c r="P90" s="2">
        <f>SUM(P71:P89)</f>
        <v>18650599.753962278</v>
      </c>
    </row>
    <row r="91" spans="3:16" ht="15">
      <c r="C91" s="3"/>
      <c r="D91" s="3"/>
      <c r="E91" s="3"/>
      <c r="G91" s="2"/>
      <c r="H91" s="12"/>
      <c r="I91" s="2"/>
      <c r="J91" s="8"/>
      <c r="K91" s="2"/>
      <c r="L91" s="10"/>
      <c r="O91" s="2"/>
      <c r="P91" s="2"/>
    </row>
    <row r="92" spans="3:16" ht="15">
      <c r="C92" s="3" t="s">
        <v>52</v>
      </c>
      <c r="D92" s="3">
        <v>355</v>
      </c>
      <c r="E92" s="3" t="s">
        <v>55</v>
      </c>
      <c r="F92" s="2" t="s">
        <v>70</v>
      </c>
      <c r="G92" s="2">
        <v>1588882</v>
      </c>
      <c r="H92" s="12">
        <v>388552.96999999997</v>
      </c>
      <c r="I92" s="2">
        <f t="shared" si="9" ref="I92:I95">ROUND(G92-H92,2)</f>
        <v>1200329.03</v>
      </c>
      <c r="J92" s="8"/>
      <c r="K92" s="2"/>
      <c r="L92" s="10"/>
      <c r="O92" s="2"/>
      <c r="P92" s="2"/>
    </row>
    <row r="93" spans="3:16" ht="15">
      <c r="C93" s="3" t="s">
        <v>52</v>
      </c>
      <c r="D93" s="3">
        <v>355</v>
      </c>
      <c r="E93" s="3" t="s">
        <v>56</v>
      </c>
      <c r="F93" s="2" t="s">
        <v>71</v>
      </c>
      <c r="G93" s="2">
        <v>1925469</v>
      </c>
      <c r="H93" s="12">
        <v>513176.21000000002</v>
      </c>
      <c r="I93" s="2">
        <f t="shared" si="9"/>
        <v>1412292.79</v>
      </c>
      <c r="J93" s="8"/>
      <c r="K93" s="2"/>
      <c r="L93" s="10"/>
      <c r="O93" s="2"/>
      <c r="P93" s="2"/>
    </row>
    <row r="94" spans="3:16" ht="15">
      <c r="C94" s="3" t="s">
        <v>52</v>
      </c>
      <c r="D94" s="3">
        <v>355</v>
      </c>
      <c r="E94" s="3" t="s">
        <v>57</v>
      </c>
      <c r="F94" s="2" t="s">
        <v>72</v>
      </c>
      <c r="G94" s="2">
        <v>1947241.04</v>
      </c>
      <c r="H94" s="12">
        <v>476187.84000000003</v>
      </c>
      <c r="I94" s="2">
        <f t="shared" si="9"/>
        <v>1471053.2</v>
      </c>
      <c r="J94" s="8"/>
      <c r="K94" s="2"/>
      <c r="L94" s="10"/>
      <c r="O94" s="2"/>
      <c r="P94" s="2"/>
    </row>
    <row r="95" spans="3:16" ht="15">
      <c r="C95" s="3" t="s">
        <v>88</v>
      </c>
      <c r="D95" s="3">
        <v>355</v>
      </c>
      <c r="E95" s="3" t="s">
        <v>89</v>
      </c>
      <c r="F95" s="2" t="s">
        <v>90</v>
      </c>
      <c r="G95" s="7">
        <v>122650.91</v>
      </c>
      <c r="H95" s="13">
        <v>29993.650000000001</v>
      </c>
      <c r="I95" s="7">
        <f t="shared" si="9"/>
        <v>92657.259999999995</v>
      </c>
      <c r="J95" s="8"/>
      <c r="K95" s="2"/>
      <c r="L95" s="10"/>
      <c r="O95" s="2"/>
      <c r="P95" s="2"/>
    </row>
    <row r="96" spans="3:16" ht="15">
      <c r="C96" s="3"/>
      <c r="D96" s="3"/>
      <c r="E96" s="3"/>
      <c r="G96" s="2">
        <f>SUM(G92:G95)</f>
        <v>5584242.9500000002</v>
      </c>
      <c r="H96" s="12">
        <f t="shared" si="10" ref="H96:I96">SUM(H92:H95)</f>
        <v>1407910.6699999999</v>
      </c>
      <c r="I96" s="2">
        <f t="shared" si="10"/>
        <v>4176332.2800000003</v>
      </c>
      <c r="J96" s="8">
        <v>0.031300000000000001</v>
      </c>
      <c r="K96" s="2">
        <f>ROUND(G96*J96,2)</f>
        <v>174786.79999999999</v>
      </c>
      <c r="L96" s="10">
        <f>I96/K96</f>
        <v>23.893865440639686</v>
      </c>
      <c r="M96" s="2">
        <f>G96*L96</f>
        <v>133429149.63514082</v>
      </c>
      <c r="O96" s="2">
        <f>M96</f>
        <v>133429149.63514082</v>
      </c>
      <c r="P96" s="2">
        <v>0</v>
      </c>
    </row>
    <row r="97" spans="3:16" ht="15">
      <c r="C97" s="3"/>
      <c r="D97" s="3"/>
      <c r="E97" s="3"/>
      <c r="G97" s="2"/>
      <c r="H97" s="12"/>
      <c r="I97" s="2"/>
      <c r="J97" s="8"/>
      <c r="K97" s="2"/>
      <c r="L97" s="10"/>
      <c r="O97" s="2"/>
      <c r="P97" s="2"/>
    </row>
    <row r="98" spans="3:16" ht="15">
      <c r="C98" s="3" t="s">
        <v>52</v>
      </c>
      <c r="D98" s="3">
        <v>356</v>
      </c>
      <c r="E98" s="3" t="s">
        <v>58</v>
      </c>
      <c r="F98" s="2" t="s">
        <v>73</v>
      </c>
      <c r="G98" s="2">
        <v>3905785</v>
      </c>
      <c r="H98" s="12">
        <v>1040970.25</v>
      </c>
      <c r="I98" s="2">
        <f t="shared" si="11" ref="I98">ROUND(G98-H98,2)</f>
        <v>2864814.75</v>
      </c>
      <c r="J98" s="8">
        <v>0.027199999999999998</v>
      </c>
      <c r="K98" s="2">
        <f>ROUND(G98*J98,2)</f>
        <v>106237.35000000001</v>
      </c>
      <c r="L98" s="10">
        <f>I98/K98</f>
        <v>26.96617291376338</v>
      </c>
      <c r="M98" s="2">
        <f>G98*L98</f>
        <v>105324073.67398331</v>
      </c>
      <c r="O98" s="2">
        <f>M98</f>
        <v>105324073.67398331</v>
      </c>
      <c r="P98" s="2">
        <v>0</v>
      </c>
    </row>
    <row r="99" spans="7:16" ht="15">
      <c r="G99" s="2"/>
      <c r="H99" s="12"/>
      <c r="I99" s="2"/>
      <c r="J99" s="8"/>
      <c r="K99" s="2"/>
      <c r="L99" s="10"/>
      <c r="O99" s="2"/>
      <c r="P99" s="2"/>
    </row>
    <row r="100" spans="7:16" ht="15">
      <c r="G100" s="2"/>
      <c r="H100" s="12"/>
      <c r="I100" s="2"/>
      <c r="J100" s="8"/>
      <c r="K100" s="2"/>
      <c r="L100" s="10"/>
      <c r="M100" s="7"/>
      <c r="O100" s="7"/>
      <c r="P100" s="7"/>
    </row>
    <row r="101" spans="7:16" ht="15.75" thickBot="1">
      <c r="G101" s="9">
        <f>G62+G69+G90+G96+G98</f>
        <v>12900310.949999999</v>
      </c>
      <c r="H101" s="14">
        <f>H62+H69+H90+H96+H98</f>
        <v>3059232.8700000001</v>
      </c>
      <c r="I101" s="9">
        <f>I62+I69+I90+I96+I98</f>
        <v>9841078.0800000001</v>
      </c>
      <c r="J101" s="8"/>
      <c r="K101" s="9">
        <f>K62+K69+K90+K96+K98</f>
        <v>357056.59999999998</v>
      </c>
      <c r="L101" s="10"/>
      <c r="M101" s="9">
        <f>M62+M69+M90+M96+M98</f>
        <v>355514132.73562336</v>
      </c>
      <c r="O101" s="9">
        <f t="shared" si="12" ref="O101:P101">O62+O69+O90+O96+O98</f>
        <v>336863532.98166108</v>
      </c>
      <c r="P101" s="9">
        <f t="shared" si="12"/>
        <v>18650599.753962278</v>
      </c>
    </row>
    <row r="102" spans="7:16" ht="15.75" thickTop="1">
      <c r="G102" s="2"/>
      <c r="H102" s="12"/>
      <c r="I102" s="2"/>
      <c r="J102" s="8"/>
      <c r="L102" s="10"/>
      <c r="O102" s="19"/>
      <c r="P102" s="19"/>
    </row>
    <row r="103" spans="7:16" ht="15">
      <c r="G103" s="2"/>
      <c r="H103" s="2"/>
      <c r="I103" s="2"/>
      <c r="J103" s="8"/>
      <c r="L103" s="11" t="s">
        <v>87</v>
      </c>
      <c r="M103" s="2">
        <f>ROUND(M101/G101,2)</f>
        <v>27.559999999999999</v>
      </c>
      <c r="N103" s="1" t="s">
        <v>122</v>
      </c>
      <c r="O103" s="19"/>
      <c r="P103" s="19"/>
    </row>
    <row r="104" spans="7:16" ht="15">
      <c r="G104" s="2"/>
      <c r="H104" s="2"/>
      <c r="I104" s="2"/>
      <c r="J104" s="8"/>
      <c r="L104" s="10"/>
      <c r="O104" s="21">
        <f>ROUND(O101/M101,5)</f>
        <v>0.94754000000000005</v>
      </c>
      <c r="P104" s="21">
        <f>ROUND(P101/M101,5)</f>
        <v>0.05246</v>
      </c>
    </row>
    <row r="105" spans="7:16" ht="15">
      <c r="G105" s="2"/>
      <c r="H105" s="2"/>
      <c r="I105" s="2"/>
      <c r="J105" s="8"/>
      <c r="L105" s="11" t="s">
        <v>116</v>
      </c>
      <c r="M105" s="2">
        <f>F49/M103</f>
        <v>850967.61030479043</v>
      </c>
      <c r="N105" s="2"/>
      <c r="O105" s="12">
        <f>ROUND(M105*O104,2)</f>
        <v>806325.84999999998</v>
      </c>
      <c r="P105" s="12">
        <f>M105-O105</f>
        <v>44641.760304790456</v>
      </c>
    </row>
    <row r="106" spans="7:13" ht="15">
      <c r="G106" s="2"/>
      <c r="H106" s="2"/>
      <c r="I106" s="2"/>
      <c r="J106" s="8"/>
      <c r="L106" s="10"/>
      <c r="M106" s="11" t="s">
        <v>109</v>
      </c>
    </row>
    <row r="107" spans="7:12" ht="15">
      <c r="G107" s="2"/>
      <c r="H107" s="2"/>
      <c r="I107" s="2"/>
      <c r="J107" s="8"/>
      <c r="L107" s="10"/>
    </row>
    <row r="108" spans="7:12" ht="15">
      <c r="G108" s="2"/>
      <c r="H108" s="2"/>
      <c r="I108" s="2"/>
      <c r="J108" s="8"/>
      <c r="L108" s="10"/>
    </row>
    <row r="109" spans="7:12" ht="15">
      <c r="G109" s="2"/>
      <c r="H109" s="2"/>
      <c r="I109" s="2"/>
      <c r="J109" s="8"/>
      <c r="L109" s="10"/>
    </row>
    <row r="110" spans="7:12" ht="15">
      <c r="G110" s="2"/>
      <c r="H110" s="2"/>
      <c r="I110" s="2"/>
      <c r="J110" s="8"/>
      <c r="L110" s="10"/>
    </row>
    <row r="111" spans="7:12" ht="15">
      <c r="G111" s="2"/>
      <c r="H111" s="2"/>
      <c r="I111" s="2"/>
      <c r="J111" s="8"/>
      <c r="L111" s="10"/>
    </row>
    <row r="112" spans="7:12" ht="15">
      <c r="G112" s="2"/>
      <c r="H112" s="2"/>
      <c r="I112" s="2"/>
      <c r="J112" s="8"/>
      <c r="L112" s="10"/>
    </row>
    <row r="113" spans="7:12" ht="15">
      <c r="G113" s="2"/>
      <c r="H113" s="2"/>
      <c r="I113" s="2"/>
      <c r="J113" s="8"/>
      <c r="L113" s="10"/>
    </row>
    <row r="114" spans="7:12" ht="15">
      <c r="G114" s="2"/>
      <c r="H114" s="2"/>
      <c r="I114" s="2"/>
      <c r="J114" s="8"/>
      <c r="L114" s="10"/>
    </row>
    <row r="115" spans="7:12" ht="15">
      <c r="G115" s="2"/>
      <c r="H115" s="2"/>
      <c r="I115" s="2"/>
      <c r="J115" s="8"/>
      <c r="L115" s="10"/>
    </row>
    <row r="116" spans="7:12" ht="15">
      <c r="G116" s="2"/>
      <c r="H116" s="2"/>
      <c r="I116" s="2"/>
      <c r="J116" s="8"/>
      <c r="L116" s="10"/>
    </row>
    <row r="117" spans="7:12" ht="15">
      <c r="G117" s="2"/>
      <c r="H117" s="2"/>
      <c r="I117" s="2"/>
      <c r="J117" s="8"/>
      <c r="L117" s="10"/>
    </row>
    <row r="118" spans="7:12" ht="15">
      <c r="G118" s="2"/>
      <c r="H118" s="2"/>
      <c r="I118" s="2"/>
      <c r="J118" s="8"/>
      <c r="L118" s="10"/>
    </row>
    <row r="119" spans="7:12" ht="15">
      <c r="G119" s="2"/>
      <c r="H119" s="2"/>
      <c r="I119" s="2"/>
      <c r="J119" s="8"/>
      <c r="L119" s="10"/>
    </row>
    <row r="120" spans="7:12" ht="15">
      <c r="G120" s="2"/>
      <c r="H120" s="2"/>
      <c r="I120" s="2"/>
      <c r="J120" s="8"/>
      <c r="L120" s="10"/>
    </row>
    <row r="121" spans="7:12" ht="15">
      <c r="G121" s="2"/>
      <c r="H121" s="2"/>
      <c r="I121" s="2"/>
      <c r="J121" s="8"/>
      <c r="L121" s="10"/>
    </row>
    <row r="122" spans="7:12" ht="15">
      <c r="G122" s="2"/>
      <c r="H122" s="2"/>
      <c r="I122" s="2"/>
      <c r="J122" s="8"/>
      <c r="L122" s="10"/>
    </row>
    <row r="123" spans="7:12" ht="15">
      <c r="G123" s="2"/>
      <c r="H123" s="2"/>
      <c r="I123" s="2"/>
      <c r="J123" s="8"/>
      <c r="L123" s="10"/>
    </row>
    <row r="124" spans="7:12" ht="15">
      <c r="G124" s="2"/>
      <c r="H124" s="2"/>
      <c r="I124" s="2"/>
      <c r="J124" s="8"/>
      <c r="L124" s="10"/>
    </row>
    <row r="125" spans="7:12" ht="15">
      <c r="G125" s="2"/>
      <c r="H125" s="2"/>
      <c r="I125" s="2"/>
      <c r="J125" s="8"/>
      <c r="L125" s="10"/>
    </row>
    <row r="126" spans="7:12" ht="15">
      <c r="G126" s="2"/>
      <c r="H126" s="2"/>
      <c r="I126" s="2"/>
      <c r="J126" s="8"/>
      <c r="L126" s="10"/>
    </row>
    <row r="127" spans="7:12" ht="15">
      <c r="G127" s="2"/>
      <c r="H127" s="2"/>
      <c r="I127" s="2"/>
      <c r="J127" s="8"/>
      <c r="L127" s="10"/>
    </row>
    <row r="128" spans="7:12" ht="15">
      <c r="G128" s="2"/>
      <c r="H128" s="2"/>
      <c r="I128" s="2"/>
      <c r="J128" s="8"/>
      <c r="L128" s="10"/>
    </row>
    <row r="129" spans="7:12" ht="15">
      <c r="G129" s="2"/>
      <c r="H129" s="2"/>
      <c r="I129" s="2"/>
      <c r="J129" s="8"/>
      <c r="L129" s="10"/>
    </row>
    <row r="130" spans="7:12" ht="15">
      <c r="G130" s="2"/>
      <c r="H130" s="2"/>
      <c r="I130" s="2"/>
      <c r="J130" s="8"/>
      <c r="L130" s="10"/>
    </row>
    <row r="131" spans="7:12" ht="15">
      <c r="G131" s="2"/>
      <c r="H131" s="2"/>
      <c r="I131" s="2"/>
      <c r="J131" s="8"/>
      <c r="L131" s="10"/>
    </row>
    <row r="132" spans="7:10" ht="15">
      <c r="G132" s="2"/>
      <c r="H132" s="2"/>
      <c r="I132" s="2"/>
      <c r="J132" s="8"/>
    </row>
    <row r="133" spans="7:9" ht="15">
      <c r="G133" s="2"/>
      <c r="H133" s="2"/>
      <c r="I133" s="2"/>
    </row>
  </sheetData>
  <sortState ref="C52:G80">
    <sortCondition sortBy="value" ref="D52:D80"/>
    <sortCondition sortBy="value" ref="C52:C80"/>
    <sortCondition sortBy="value" ref="E52:E80"/>
  </sortState>
  <mergeCells count="3">
    <mergeCell ref="A52:H52"/>
    <mergeCell ref="H38:H45"/>
    <mergeCell ref="A51:H51"/>
  </mergeCells>
  <printOptions horizontalCentered="1"/>
  <pageMargins left="0.75" right="0.75" top="2" bottom="1" header="0.75" footer="0.5"/>
  <pageSetup fitToHeight="2" orientation="landscape" scale="43" r:id="rId1"/>
  <headerFooter>
    <oddHeader>&amp;C&amp;"Arial,Bold"&amp;12
2022 RATE CASE
ONCOR ELECTRIC DELIVERY COMPANY LLC
ELECTRIC PLANT ACQUISITION ADJUSTMENT - NTU (3)
FOR THE TEST YEAR ENDING DECEMBER 31, 2021
SPONSOR: W. A. LEDBETTER&amp;R&amp;"Arial,Bold"&amp;12WP/II-B-11/03
Page &amp;P of &amp;N</oddHeader>
  </headerFooter>
  <rowBreaks count="1" manualBreakCount="1">
    <brk id="55" max="16383" man="1"/>
  </rowBreaks>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WP II-B-11_03</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