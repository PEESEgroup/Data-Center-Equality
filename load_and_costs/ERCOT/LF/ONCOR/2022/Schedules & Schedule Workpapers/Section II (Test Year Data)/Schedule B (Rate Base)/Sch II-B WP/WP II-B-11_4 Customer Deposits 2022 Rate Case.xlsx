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0" yWindow="0" windowWidth="28800" windowHeight="11840" activeTab="0"/>
  </bookViews>
  <sheets>
    <sheet name="Workpaper" sheetId="1" r:id="rId2"/>
  </sheets>
  <externalReferences>
    <externalReference r:id="rId5"/>
    <externalReference r:id="rId6"/>
    <externalReference r:id="rId7"/>
  </externalReferences>
  <definedNames>
    <definedName name="acct_mo" localSheetId="0">#REF!</definedName>
    <definedName name="acct_mo">#REF!</definedName>
    <definedName name="AS2DocOpenMode" hidden="1">"AS2DocumentBrowse"</definedName>
    <definedName name="ASD">[1]Sheet1!$N$5</definedName>
    <definedName name="Completed" localSheetId="0">#REF!</definedName>
    <definedName name="Completed">#REF!</definedName>
    <definedName name="Credit" localSheetId="0">[2]JOURNAL!#REF!</definedName>
    <definedName name="Credit">[2]JOURNAL!#REF!</definedName>
    <definedName name="Debit" localSheetId="0">[2]JOURNAL!#REF!</definedName>
    <definedName name="Debit">[2]JOURNAL!#REF!</definedName>
    <definedName name="Elapsed" localSheetId="0">#REF!</definedName>
    <definedName name="Elapsed">#REF!</definedName>
    <definedName name="entry">[3]JOURNAL!$B$9:$R$204,[3]JOURNAL!$I$3,[3]JOURNAL!$G$3,[3]JOURNAL!$E$3,[3]JOURNAL!$B$7,[3]JOURNAL!$B$3</definedName>
    <definedName name="EntryFields">[3]JOURNAL!$B$9:$R$204,[3]JOURNAL!$I$3,[3]JOURNAL!$G$3,[3]JOURNAL!$E$3,[3]JOURNAL!$B$7,[3]JOURNAL!$B$3</definedName>
    <definedName name="KeyControlFigure" localSheetId="0">#REF!</definedName>
    <definedName name="KeyControlFigure">#REF!</definedName>
    <definedName name="Lines" localSheetId="0">[2]JOURNAL!#REF!</definedName>
    <definedName name="Lines">[2]JOURNAL!#REF!</definedName>
    <definedName name="ListOfManagers" localSheetId="0">#REF!</definedName>
    <definedName name="ListOfManagers">#REF!</definedName>
    <definedName name="MgrList" localSheetId="0">#REF!</definedName>
    <definedName name="MgrList">#REF!</definedName>
    <definedName name="NvsAnswerCol">"'[AGRECV1.xls]BU Descriptions'!$A$5:$A$27"</definedName>
    <definedName name="NvsASD">"V2020-12-31"</definedName>
    <definedName name="NvsAutoDrillOk">"VN"</definedName>
    <definedName name="NvsElapsedTime">0.000312500000291038</definedName>
    <definedName name="NvsEndTime">43308.4355902778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"%,X,RZF..nPloded,CZF.."</definedName>
    <definedName name="NvsPanelBusUnit">"V"</definedName>
    <definedName name="NvsPanelEffdt">"V2999-01-01"</definedName>
    <definedName name="NvsPanelSetid">"VSHARE"</definedName>
    <definedName name="NvsQueryName">"IVCD_AR1"</definedName>
    <definedName name="NvsReqBU">"VX0001"</definedName>
    <definedName name="NvsReqBUOnly">"VN"</definedName>
    <definedName name="NvsTransLed">"VN"</definedName>
    <definedName name="NvsTreeASD">"V2020-12-31"</definedName>
    <definedName name="NvsValTbl.ACCOUNT">"GL_ACCOUNT_TBL"</definedName>
    <definedName name="NvsValTbl.AFFILIATE">"AFFILIATE_VW"</definedName>
    <definedName name="NvsValTbl.BUSINESS_UNIT">"BUS_UNIT_TBL_AP"</definedName>
    <definedName name="NvsValTbl.CURRENCY_CD">"CURRENCY_CD_TBL"</definedName>
    <definedName name="NvsValTbl.DEPTID">"DEPARTMENT_TBL"</definedName>
    <definedName name="NvsValTbl.TU_EC">"TU_EC_TBL"</definedName>
    <definedName name="NvsValTbl.TU_LOCATION">"TU_LOC_TBL"</definedName>
    <definedName name="_xlnm.Print_Area" localSheetId="0">Workpaper!$A$4:$G$59</definedName>
    <definedName name="_xlnm.Print_Titles" localSheetId="0">Workpaper!$1:$8</definedName>
    <definedName name="RespMger" localSheetId="0">#REF!</definedName>
    <definedName name="RespMger">#REF!</definedName>
    <definedName name="rngResHeaders" localSheetId="0">#REF!</definedName>
    <definedName name="rngResHeaders">#REF!</definedName>
    <definedName name="rngURL" localSheetId="0">#REF!</definedName>
    <definedName name="rngURL">#REF!</definedName>
    <definedName name="rngXmlConst" localSheetId="0">#REF!</definedName>
    <definedName name="rngXmlConst">#REF!</definedName>
    <definedName name="wrn.Aging._.and._.Trend._.Analysis.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<sst xmlns="http://schemas.openxmlformats.org/spreadsheetml/2006/main" count="95" uniqueCount="58">
  <si>
    <t>2022 RATE CASE</t>
  </si>
  <si>
    <t>ONCOR ELECTERIC DELIVERY COMPANY LLC</t>
  </si>
  <si>
    <t>OTHER RATE BASE ITEMS - CUSTOMER DEPOSITS (ACCT. 2351000 &amp;2530009)</t>
  </si>
  <si>
    <t>Distribution:</t>
  </si>
  <si>
    <t>Customer / Vendor / Other Third Party</t>
  </si>
  <si>
    <t>Reclassify</t>
  </si>
  <si>
    <t>Account</t>
  </si>
  <si>
    <t>Balance at 12/31/2021</t>
  </si>
  <si>
    <t>Pole license agreement / Joint use deposit Party A</t>
  </si>
  <si>
    <t>No</t>
  </si>
  <si>
    <t>Pole license agreement / Joint use deposit Party B</t>
  </si>
  <si>
    <t>Pole license agreement / Joint use deposit Party C</t>
  </si>
  <si>
    <t>Pole license agreement / Joint use deposit Party D</t>
  </si>
  <si>
    <t>Pole license agreement / Joint use deposit Party E</t>
  </si>
  <si>
    <t>Pole license agreement / Joint use deposit Party F</t>
  </si>
  <si>
    <t>Pole license agreement / Joint use deposit Party G</t>
  </si>
  <si>
    <t>Pole license agreement / Joint use deposit Party H</t>
  </si>
  <si>
    <t>Pole license agreement / Joint use deposit Party I</t>
  </si>
  <si>
    <t>Pole license agreement / Joint use deposit Party J</t>
  </si>
  <si>
    <t>Pole license agreement / Joint use deposit Party K</t>
  </si>
  <si>
    <t>Pole license agreement / Joint use deposit Party L</t>
  </si>
  <si>
    <t>Distribution Total</t>
  </si>
  <si>
    <t xml:space="preserve">Transmission: </t>
  </si>
  <si>
    <t>Refundable customer advance for construction A</t>
  </si>
  <si>
    <t>Yes</t>
  </si>
  <si>
    <t>Refundable customer advance for construction B</t>
  </si>
  <si>
    <t>Refundable customer advance for construction C</t>
  </si>
  <si>
    <t>Refundable customer advance for construction D</t>
  </si>
  <si>
    <t>Refundable customer advance for construction E</t>
  </si>
  <si>
    <t>Refundable customer advance for construction F</t>
  </si>
  <si>
    <t>Refundable customer advance for construction G</t>
  </si>
  <si>
    <t>Refundable customer advance for construction H</t>
  </si>
  <si>
    <t>Refundable customer advance for construction I</t>
  </si>
  <si>
    <t>Refundable customer advance for construction J</t>
  </si>
  <si>
    <t>Refundable customer advance for construction K</t>
  </si>
  <si>
    <t>Refundable customer advance for construction L</t>
  </si>
  <si>
    <t>Refundable customer advance for construction N</t>
  </si>
  <si>
    <t>Refundable customer advance for construction O</t>
  </si>
  <si>
    <t>Refundable customer advance for construction P</t>
  </si>
  <si>
    <t>Refundable customer advance for construction Q</t>
  </si>
  <si>
    <t>Refundable customer advance for construction R</t>
  </si>
  <si>
    <t>Refundable customer advance for construction X</t>
  </si>
  <si>
    <t>Refundable customer advance for construction T</t>
  </si>
  <si>
    <t>Refundable customer advance for construction U</t>
  </si>
  <si>
    <t>Refundable customer advance for construction V</t>
  </si>
  <si>
    <t>Refundable customer advance for construction W</t>
  </si>
  <si>
    <t>Refundable customer advance for construction Y</t>
  </si>
  <si>
    <t>Refundable customer advance for construction Z</t>
  </si>
  <si>
    <t>Refundable customer advance for construction AA</t>
  </si>
  <si>
    <t>Transmission Total</t>
  </si>
  <si>
    <t>Total Distribution &amp; Transmission</t>
  </si>
  <si>
    <t>Known and measurable adjustments:</t>
  </si>
  <si>
    <t>Reclassify Transmission balances reflecting customer</t>
  </si>
  <si>
    <t xml:space="preserve">Customer deposits reflected in rate base </t>
  </si>
  <si>
    <t>FOR THE TEST YEAR ENDING DECEMBER 31, 2021</t>
  </si>
  <si>
    <t>advances for construction held in escrow</t>
  </si>
  <si>
    <t>SPONSOR: ASHLEY THENMADATHIL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</si>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</sst>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double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39" fontId="0" fillId="0" borderId="0" xfId="0" applyNumberFormat="1"/>
    <xf numFmtId="37" fontId="0" fillId="0" borderId="0" xfId="0" applyNumberFormat="1"/>
    <xf numFmtId="37" fontId="0" fillId="0" borderId="2" xfId="0" applyNumberFormat="1" applyBorder="1"/>
    <xf numFmtId="37" fontId="0" fillId="0" borderId="3" xfId="0" applyNumberFormat="1" applyBorder="1"/>
    <xf numFmtId="0" fontId="0" fillId="0" borderId="0" xfId="0" applyFont="1"/>
    <xf numFmtId="37" fontId="0" fillId="0" borderId="1" xfId="0" applyNumberFormat="1" applyBorder="1"/>
    <xf numFmtId="37" fontId="2" fillId="0" borderId="4" xfId="0" applyNumberFormat="1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alcChain" Target="calcChain.xml" /><Relationship Id="rId4" Type="http://schemas.openxmlformats.org/officeDocument/2006/relationships/sharedStrings" Target="sharedStrings.xml" /><Relationship Id="rId6" Type="http://schemas.openxmlformats.org/officeDocument/2006/relationships/externalLink" Target="externalLinks/externalLink2.xml" /><Relationship Id="rId3" Type="http://schemas.openxmlformats.org/officeDocument/2006/relationships/styles" Target="styles.xml" /><Relationship Id="rId7" Type="http://schemas.openxmlformats.org/officeDocument/2006/relationships/externalLink" Target="externalLinks/externalLink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fimprod.corp.oncor.com:44300/psreports/fimprod/640391/ESD%20Trial%20Balance%20Apr%202016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http://fimwebnt/JRNLDOC/FPRD/2007/04/JE_2007-04-02_0000661640.xls" TargetMode="External" /></Relationships>
</file>

<file path=xl/externalLinks/_rels/externalLink3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N:\My%20Documents\Closing\Working%20Journals\2003\April\April%20Interco%20Payabl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Title Page"/>
      <sheetName val="2351000"/>
      <sheetName val="GL ACCT 2351000 APR 2016"/>
      <sheetName val="APR 2016 Activity"/>
      <sheetName val="GL ACCT 2351000 MAR 2016"/>
      <sheetName val="MAR 2016 Activity"/>
    </sheetNames>
    <sheetDataSet>
      <sheetData sheetId="0" refreshError="1">
        <row r="5">
          <cell r="N5" t="str">
            <v>2016-04-30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Note"/>
      <sheetName val="Previous JE"/>
      <sheetName val="Setup"/>
    </sheetNames>
    <sheetDataSet>
      <sheetData sheetId="0">
        <row r="3">
          <cell r="B3" t="str">
            <v>TRN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JOURNAL"/>
      <sheetName val="Explanation"/>
      <sheetName val="Query"/>
      <sheetName val="TUS 02888"/>
      <sheetName val="March 03 Query"/>
      <sheetName val="Setup"/>
    </sheetNames>
    <sheetDataSet>
      <sheetData sheetId="0">
        <row r="3">
          <cell r="B3" t="str">
            <v>ENSHR</v>
          </cell>
          <cell r="E3" t="str">
            <v>Date</v>
          </cell>
          <cell r="I3" t="str">
            <v>Document</v>
          </cell>
        </row>
        <row r="7">
          <cell r="B7" t="str">
            <v>To settle ENSHR 3/31/03 Intercompany Payables (Non-Regulated BUs Only)</v>
          </cell>
        </row>
        <row r="9">
          <cell r="B9" t="str">
            <v>ENSHR</v>
          </cell>
          <cell r="C9" t="str">
            <v>232000</v>
          </cell>
          <cell r="D9">
            <v>2340000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I9" t="str">
            <v>EESRT</v>
          </cell>
          <cell r="J9">
            <v>10937.49</v>
          </cell>
          <cell r="L9" t="str">
            <v>settle ENSHR March interco</v>
          </cell>
          <cell r="M9" t="str">
            <v>USD</v>
          </cell>
          <cell r="N9" t="str">
            <v>CRRNT</v>
          </cell>
          <cell r="O9">
            <v>1</v>
          </cell>
          <cell r="P9">
            <v>10937.49</v>
          </cell>
        </row>
        <row r="10">
          <cell r="B10" t="str">
            <v>ENSHR</v>
          </cell>
          <cell r="C10" t="str">
            <v>232000</v>
          </cell>
          <cell r="D10">
            <v>1868900</v>
          </cell>
          <cell r="E10" t="str">
            <v>000</v>
          </cell>
          <cell r="F10" t="str">
            <v>00000000</v>
          </cell>
          <cell r="G10" t="str">
            <v>0000</v>
          </cell>
          <cell r="H10" t="str">
            <v>0000</v>
          </cell>
          <cell r="J10">
            <v>-10937.49</v>
          </cell>
          <cell r="L10" t="str">
            <v>settle ENSHR March interco</v>
          </cell>
          <cell r="M10" t="str">
            <v>USD</v>
          </cell>
          <cell r="N10" t="str">
            <v>CRRNT</v>
          </cell>
          <cell r="O10">
            <v>1</v>
          </cell>
          <cell r="P10">
            <v>-10937.49</v>
          </cell>
        </row>
        <row r="11">
          <cell r="B11" t="str">
            <v>EESRT</v>
          </cell>
          <cell r="C11" t="str">
            <v>163000</v>
          </cell>
          <cell r="D11">
            <v>1868900</v>
          </cell>
          <cell r="E11" t="str">
            <v>000</v>
          </cell>
          <cell r="F11" t="str">
            <v>00000000</v>
          </cell>
          <cell r="G11" t="str">
            <v>0000</v>
          </cell>
          <cell r="H11" t="str">
            <v>0000</v>
          </cell>
          <cell r="J11">
            <v>10937.49</v>
          </cell>
          <cell r="L11" t="str">
            <v>settle ENSHR March interco</v>
          </cell>
          <cell r="M11" t="str">
            <v>USD</v>
          </cell>
          <cell r="N11" t="str">
            <v>CRRNT</v>
          </cell>
          <cell r="O11">
            <v>1</v>
          </cell>
          <cell r="P11">
            <v>10937.49</v>
          </cell>
        </row>
        <row r="12">
          <cell r="B12" t="str">
            <v>EESRT</v>
          </cell>
          <cell r="C12" t="str">
            <v>163000</v>
          </cell>
          <cell r="D12">
            <v>1460000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I12" t="str">
            <v>ENSHR</v>
          </cell>
          <cell r="J12">
            <v>-10937.49</v>
          </cell>
          <cell r="L12" t="str">
            <v>settle ENSHR March interco</v>
          </cell>
          <cell r="M12" t="str">
            <v>USD</v>
          </cell>
          <cell r="N12" t="str">
            <v>CRRNT</v>
          </cell>
          <cell r="O12">
            <v>1</v>
          </cell>
          <cell r="P12">
            <v>-10937.49</v>
          </cell>
        </row>
        <row r="13">
          <cell r="B13" t="str">
            <v>ENSHR</v>
          </cell>
          <cell r="C13" t="str">
            <v>232000</v>
          </cell>
          <cell r="D13">
            <v>2340000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I13" t="str">
            <v>ELREP</v>
          </cell>
          <cell r="J13">
            <v>4607727.48</v>
          </cell>
          <cell r="K13" t="str">
            <v>   </v>
          </cell>
          <cell r="L13" t="str">
            <v>settle ENSHR March interco</v>
          </cell>
          <cell r="M13" t="str">
            <v>USD</v>
          </cell>
          <cell r="N13" t="str">
            <v>CRRNT</v>
          </cell>
          <cell r="O13">
            <v>1</v>
          </cell>
          <cell r="P13">
            <v>4607727.48</v>
          </cell>
        </row>
        <row r="14">
          <cell r="B14" t="str">
            <v>ENSHR</v>
          </cell>
          <cell r="C14" t="str">
            <v>232000</v>
          </cell>
          <cell r="D14">
            <v>1868900</v>
          </cell>
          <cell r="E14" t="str">
            <v>000</v>
          </cell>
          <cell r="F14" t="str">
            <v>00000000</v>
          </cell>
          <cell r="G14" t="str">
            <v>0000</v>
          </cell>
          <cell r="H14" t="str">
            <v>0000</v>
          </cell>
          <cell r="J14">
            <v>-4607727.48</v>
          </cell>
          <cell r="K14" t="str">
            <v>   </v>
          </cell>
          <cell r="L14" t="str">
            <v>settle ENSHR March interco</v>
          </cell>
          <cell r="M14" t="str">
            <v>USD</v>
          </cell>
          <cell r="N14" t="str">
            <v>CRRNT</v>
          </cell>
          <cell r="O14">
            <v>1</v>
          </cell>
          <cell r="P14">
            <v>-4607727.48</v>
          </cell>
        </row>
        <row r="15">
          <cell r="B15" t="str">
            <v>ELREP</v>
          </cell>
          <cell r="C15" t="str">
            <v>288000</v>
          </cell>
          <cell r="D15">
            <v>1868900</v>
          </cell>
          <cell r="E15" t="str">
            <v>000</v>
          </cell>
          <cell r="F15" t="str">
            <v>00000000</v>
          </cell>
          <cell r="G15" t="str">
            <v>0000</v>
          </cell>
          <cell r="H15" t="str">
            <v>0000</v>
          </cell>
          <cell r="J15">
            <v>4607727.48</v>
          </cell>
          <cell r="K15" t="str">
            <v>   </v>
          </cell>
          <cell r="L15" t="str">
            <v>settle ENSHR March interco</v>
          </cell>
          <cell r="M15" t="str">
            <v>USD</v>
          </cell>
          <cell r="N15" t="str">
            <v>CRRNT</v>
          </cell>
          <cell r="O15">
            <v>1</v>
          </cell>
          <cell r="P15">
            <v>4607727.48</v>
          </cell>
        </row>
        <row r="16">
          <cell r="B16" t="str">
            <v>ELREP</v>
          </cell>
          <cell r="C16" t="str">
            <v>288000</v>
          </cell>
          <cell r="D16">
            <v>1460000</v>
          </cell>
          <cell r="E16" t="str">
            <v>000</v>
          </cell>
          <cell r="F16" t="str">
            <v>00000000</v>
          </cell>
          <cell r="G16" t="str">
            <v>0000</v>
          </cell>
          <cell r="H16" t="str">
            <v>0000</v>
          </cell>
          <cell r="I16" t="str">
            <v>ENSHR</v>
          </cell>
          <cell r="J16">
            <v>-4607727.48</v>
          </cell>
          <cell r="K16" t="str">
            <v>   </v>
          </cell>
          <cell r="L16" t="str">
            <v>settle ENSHR March interco</v>
          </cell>
          <cell r="M16" t="str">
            <v>USD</v>
          </cell>
          <cell r="N16" t="str">
            <v>CRRNT</v>
          </cell>
          <cell r="O16">
            <v>1</v>
          </cell>
          <cell r="P16">
            <v>-4607727.48</v>
          </cell>
        </row>
        <row r="17">
          <cell r="B17" t="str">
            <v>ENSHR</v>
          </cell>
          <cell r="C17" t="str">
            <v>232000</v>
          </cell>
          <cell r="D17">
            <v>2340000</v>
          </cell>
          <cell r="E17" t="str">
            <v>000</v>
          </cell>
          <cell r="F17" t="str">
            <v>00000000</v>
          </cell>
          <cell r="G17" t="str">
            <v>0000</v>
          </cell>
          <cell r="H17" t="str">
            <v>0000</v>
          </cell>
          <cell r="I17" t="str">
            <v>GEN</v>
          </cell>
          <cell r="J17">
            <v>0</v>
          </cell>
          <cell r="K17" t="str">
            <v>   </v>
          </cell>
          <cell r="L17" t="str">
            <v>settle ENSHR March interco</v>
          </cell>
          <cell r="M17" t="str">
            <v>USD</v>
          </cell>
          <cell r="N17" t="str">
            <v>CRRNT</v>
          </cell>
          <cell r="O17">
            <v>1</v>
          </cell>
          <cell r="P17">
            <v>0</v>
          </cell>
        </row>
        <row r="18">
          <cell r="B18" t="str">
            <v>ENSHR</v>
          </cell>
          <cell r="C18" t="str">
            <v>232000</v>
          </cell>
          <cell r="D18">
            <v>1868900</v>
          </cell>
          <cell r="E18" t="str">
            <v>000</v>
          </cell>
          <cell r="F18" t="str">
            <v>00000000</v>
          </cell>
          <cell r="G18" t="str">
            <v>0000</v>
          </cell>
          <cell r="H18" t="str">
            <v>0000</v>
          </cell>
          <cell r="J18">
            <v>0</v>
          </cell>
          <cell r="K18" t="str">
            <v>   </v>
          </cell>
          <cell r="L18" t="str">
            <v>settle ENSHR March interco</v>
          </cell>
          <cell r="M18" t="str">
            <v>USD</v>
          </cell>
          <cell r="N18" t="str">
            <v>CRRNT</v>
          </cell>
          <cell r="O18">
            <v>1</v>
          </cell>
          <cell r="P18">
            <v>0</v>
          </cell>
        </row>
        <row r="19">
          <cell r="B19" t="str">
            <v>GEN</v>
          </cell>
          <cell r="C19" t="str">
            <v>541900</v>
          </cell>
          <cell r="D19">
            <v>1868900</v>
          </cell>
          <cell r="E19" t="str">
            <v>000</v>
          </cell>
          <cell r="F19" t="str">
            <v>00000000</v>
          </cell>
          <cell r="G19" t="str">
            <v>0000</v>
          </cell>
          <cell r="H19" t="str">
            <v>0000</v>
          </cell>
          <cell r="J19">
            <v>0</v>
          </cell>
          <cell r="K19" t="str">
            <v>   </v>
          </cell>
          <cell r="L19" t="str">
            <v>settle ENSHR March interco</v>
          </cell>
          <cell r="M19" t="str">
            <v>USD</v>
          </cell>
          <cell r="N19" t="str">
            <v>CRRNT</v>
          </cell>
          <cell r="O19">
            <v>1</v>
          </cell>
          <cell r="P19">
            <v>0</v>
          </cell>
        </row>
        <row r="20">
          <cell r="B20" t="str">
            <v>GEN</v>
          </cell>
          <cell r="C20" t="str">
            <v>541900</v>
          </cell>
          <cell r="D20">
            <v>1460000</v>
          </cell>
          <cell r="E20" t="str">
            <v>000</v>
          </cell>
          <cell r="F20" t="str">
            <v>00000000</v>
          </cell>
          <cell r="G20" t="str">
            <v>0000</v>
          </cell>
          <cell r="H20" t="str">
            <v>0000</v>
          </cell>
          <cell r="I20" t="str">
            <v>ENSHR</v>
          </cell>
          <cell r="J20">
            <v>0</v>
          </cell>
          <cell r="K20" t="str">
            <v>   </v>
          </cell>
          <cell r="L20" t="str">
            <v>settle ENSHR March interco</v>
          </cell>
          <cell r="M20" t="str">
            <v>USD</v>
          </cell>
          <cell r="N20" t="str">
            <v>CRRNT</v>
          </cell>
          <cell r="O20">
            <v>1</v>
          </cell>
          <cell r="P20">
            <v>0</v>
          </cell>
        </row>
        <row r="21">
          <cell r="B21" t="str">
            <v>ENSHR</v>
          </cell>
          <cell r="C21" t="str">
            <v>232000</v>
          </cell>
          <cell r="D21">
            <v>2340000</v>
          </cell>
          <cell r="E21" t="str">
            <v>000</v>
          </cell>
          <cell r="F21" t="str">
            <v>00000000</v>
          </cell>
          <cell r="G21" t="str">
            <v>0000</v>
          </cell>
          <cell r="H21" t="str">
            <v>0000</v>
          </cell>
          <cell r="I21" t="str">
            <v>INSOL</v>
          </cell>
          <cell r="J21">
            <v>15926.8399999999</v>
          </cell>
          <cell r="K21" t="str">
            <v>   </v>
          </cell>
          <cell r="L21" t="str">
            <v>settle ENSHR March interco</v>
          </cell>
          <cell r="M21" t="str">
            <v>USD</v>
          </cell>
          <cell r="N21" t="str">
            <v>CRRNT</v>
          </cell>
          <cell r="O21">
            <v>1</v>
          </cell>
          <cell r="P21">
            <v>15926.84</v>
          </cell>
        </row>
        <row r="22">
          <cell r="B22" t="str">
            <v>ENSHR</v>
          </cell>
          <cell r="C22" t="str">
            <v>232000</v>
          </cell>
          <cell r="D22">
            <v>1868900</v>
          </cell>
          <cell r="E22" t="str">
            <v>000</v>
          </cell>
          <cell r="F22" t="str">
            <v>00000000</v>
          </cell>
          <cell r="G22" t="str">
            <v>0000</v>
          </cell>
          <cell r="H22" t="str">
            <v>0000</v>
          </cell>
          <cell r="J22">
            <v>-15926.8399999999</v>
          </cell>
          <cell r="K22" t="str">
            <v>   </v>
          </cell>
          <cell r="L22" t="str">
            <v>settle ENSHR March interco</v>
          </cell>
          <cell r="M22" t="str">
            <v>USD</v>
          </cell>
          <cell r="N22" t="str">
            <v>CRRNT</v>
          </cell>
          <cell r="O22">
            <v>1</v>
          </cell>
          <cell r="P22">
            <v>-15926.84</v>
          </cell>
        </row>
        <row r="23">
          <cell r="B23" t="str">
            <v>INSOL</v>
          </cell>
          <cell r="C23" t="str">
            <v>920000</v>
          </cell>
          <cell r="D23">
            <v>1868900</v>
          </cell>
          <cell r="E23" t="str">
            <v>000</v>
          </cell>
          <cell r="F23" t="str">
            <v>00000000</v>
          </cell>
          <cell r="G23" t="str">
            <v>0000</v>
          </cell>
          <cell r="H23" t="str">
            <v>0000</v>
          </cell>
          <cell r="J23">
            <v>15926.8399999999</v>
          </cell>
          <cell r="K23" t="str">
            <v>   </v>
          </cell>
          <cell r="L23" t="str">
            <v>settle ENSHR March interco</v>
          </cell>
          <cell r="M23" t="str">
            <v>USD</v>
          </cell>
          <cell r="N23" t="str">
            <v>CRRNT</v>
          </cell>
          <cell r="O23">
            <v>1</v>
          </cell>
          <cell r="P23">
            <v>15926.84</v>
          </cell>
        </row>
        <row r="24">
          <cell r="B24" t="str">
            <v>INSOL</v>
          </cell>
          <cell r="C24" t="str">
            <v>920000</v>
          </cell>
          <cell r="D24">
            <v>1460000</v>
          </cell>
          <cell r="E24" t="str">
            <v>000</v>
          </cell>
          <cell r="F24" t="str">
            <v>00000000</v>
          </cell>
          <cell r="G24" t="str">
            <v>0000</v>
          </cell>
          <cell r="H24" t="str">
            <v>0000</v>
          </cell>
          <cell r="I24" t="str">
            <v>ENSHR</v>
          </cell>
          <cell r="J24">
            <v>-15926.8399999999</v>
          </cell>
          <cell r="K24" t="str">
            <v>   </v>
          </cell>
          <cell r="L24" t="str">
            <v>settle ENSHR March interco</v>
          </cell>
          <cell r="M24" t="str">
            <v>USD</v>
          </cell>
          <cell r="N24" t="str">
            <v>CRRNT</v>
          </cell>
          <cell r="O24">
            <v>1</v>
          </cell>
          <cell r="P24">
            <v>-15926.84</v>
          </cell>
        </row>
        <row r="25">
          <cell r="B25" t="str">
            <v>ENSHR</v>
          </cell>
          <cell r="C25" t="str">
            <v>232000</v>
          </cell>
          <cell r="D25">
            <v>2340000</v>
          </cell>
          <cell r="E25" t="str">
            <v>000</v>
          </cell>
          <cell r="F25" t="str">
            <v>00000000</v>
          </cell>
          <cell r="G25" t="str">
            <v>0000</v>
          </cell>
          <cell r="H25" t="str">
            <v>0000</v>
          </cell>
          <cell r="I25" t="str">
            <v>TXUEN</v>
          </cell>
          <cell r="J25">
            <v>602.469999999998</v>
          </cell>
          <cell r="L25" t="str">
            <v>settle ENSHR March interco</v>
          </cell>
          <cell r="M25" t="str">
            <v>USD</v>
          </cell>
          <cell r="N25" t="str">
            <v>CRRNT</v>
          </cell>
          <cell r="O25">
            <v>1</v>
          </cell>
          <cell r="P25">
            <v>602.47</v>
          </cell>
        </row>
        <row r="26">
          <cell r="B26" t="str">
            <v>ENSHR</v>
          </cell>
          <cell r="C26" t="str">
            <v>232000</v>
          </cell>
          <cell r="D26">
            <v>1868900</v>
          </cell>
          <cell r="E26" t="str">
            <v>000</v>
          </cell>
          <cell r="F26" t="str">
            <v>00000000</v>
          </cell>
          <cell r="G26" t="str">
            <v>0000</v>
          </cell>
          <cell r="H26" t="str">
            <v>0000</v>
          </cell>
          <cell r="J26">
            <v>-602.469999999998</v>
          </cell>
          <cell r="K26" t="str">
            <v>   </v>
          </cell>
          <cell r="L26" t="str">
            <v>settle ENSHR March interco</v>
          </cell>
          <cell r="M26" t="str">
            <v>USD</v>
          </cell>
          <cell r="N26" t="str">
            <v>CRRNT</v>
          </cell>
          <cell r="O26">
            <v>1</v>
          </cell>
          <cell r="P26">
            <v>-602.47</v>
          </cell>
        </row>
        <row r="27">
          <cell r="B27" t="str">
            <v>TXUEN</v>
          </cell>
          <cell r="C27" t="str">
            <v>234000</v>
          </cell>
          <cell r="D27">
            <v>1868900</v>
          </cell>
          <cell r="E27" t="str">
            <v>000</v>
          </cell>
          <cell r="F27" t="str">
            <v>00000000</v>
          </cell>
          <cell r="G27" t="str">
            <v>0000</v>
          </cell>
          <cell r="H27" t="str">
            <v>0000</v>
          </cell>
          <cell r="J27">
            <v>602.469999999998</v>
          </cell>
          <cell r="K27" t="str">
            <v>   </v>
          </cell>
          <cell r="L27" t="str">
            <v>settle ENSHR March interco</v>
          </cell>
          <cell r="M27" t="str">
            <v>USD</v>
          </cell>
          <cell r="N27" t="str">
            <v>CRRNT</v>
          </cell>
          <cell r="O27">
            <v>1</v>
          </cell>
          <cell r="P27">
            <v>602.47</v>
          </cell>
        </row>
        <row r="28">
          <cell r="B28" t="str">
            <v>TXUEN</v>
          </cell>
          <cell r="C28" t="str">
            <v>234000</v>
          </cell>
          <cell r="D28">
            <v>1460000</v>
          </cell>
          <cell r="E28" t="str">
            <v>000</v>
          </cell>
          <cell r="F28" t="str">
            <v>00000000</v>
          </cell>
          <cell r="G28" t="str">
            <v>0000</v>
          </cell>
          <cell r="H28" t="str">
            <v>0000</v>
          </cell>
          <cell r="I28" t="str">
            <v>ENSHR</v>
          </cell>
          <cell r="J28">
            <v>-602.469999999998</v>
          </cell>
          <cell r="K28" t="str">
            <v>   </v>
          </cell>
          <cell r="L28" t="str">
            <v>settle ENSHR March interco</v>
          </cell>
          <cell r="M28" t="str">
            <v>USD</v>
          </cell>
          <cell r="N28" t="str">
            <v>CRRNT</v>
          </cell>
          <cell r="O28">
            <v>1</v>
          </cell>
          <cell r="P28">
            <v>-602.47</v>
          </cell>
        </row>
        <row r="29">
          <cell r="B29" t="str">
            <v>ENSHR</v>
          </cell>
          <cell r="C29" t="str">
            <v>232000</v>
          </cell>
          <cell r="D29">
            <v>2340000</v>
          </cell>
          <cell r="E29" t="str">
            <v>000</v>
          </cell>
          <cell r="F29" t="str">
            <v>00000000</v>
          </cell>
          <cell r="G29" t="str">
            <v>0000</v>
          </cell>
          <cell r="H29" t="str">
            <v>0000</v>
          </cell>
          <cell r="I29" t="str">
            <v>TXUET</v>
          </cell>
          <cell r="J29">
            <v>350</v>
          </cell>
          <cell r="L29" t="str">
            <v>settle ENSHR March interco</v>
          </cell>
          <cell r="M29" t="str">
            <v>USD</v>
          </cell>
          <cell r="N29" t="str">
            <v>CRRNT</v>
          </cell>
          <cell r="O29">
            <v>1</v>
          </cell>
          <cell r="P29">
            <v>350</v>
          </cell>
        </row>
        <row r="30">
          <cell r="B30" t="str">
            <v>ENSHR</v>
          </cell>
          <cell r="C30" t="str">
            <v>232000</v>
          </cell>
          <cell r="D30">
            <v>1868900</v>
          </cell>
          <cell r="E30" t="str">
            <v>000</v>
          </cell>
          <cell r="F30" t="str">
            <v>00000000</v>
          </cell>
          <cell r="G30" t="str">
            <v>0000</v>
          </cell>
          <cell r="H30" t="str">
            <v>0000</v>
          </cell>
          <cell r="J30">
            <v>-350</v>
          </cell>
          <cell r="K30" t="str">
            <v>   </v>
          </cell>
          <cell r="L30" t="str">
            <v>settle ENSHR March interco</v>
          </cell>
          <cell r="M30" t="str">
            <v>USD</v>
          </cell>
          <cell r="N30" t="str">
            <v>CRRNT</v>
          </cell>
          <cell r="O30">
            <v>1</v>
          </cell>
          <cell r="P30">
            <v>-350</v>
          </cell>
        </row>
        <row r="31">
          <cell r="B31" t="str">
            <v>TXUET</v>
          </cell>
          <cell r="C31" t="str">
            <v>294000</v>
          </cell>
          <cell r="D31">
            <v>1868900</v>
          </cell>
          <cell r="E31" t="str">
            <v>000</v>
          </cell>
          <cell r="F31" t="str">
            <v>00000000</v>
          </cell>
          <cell r="G31" t="str">
            <v>0000</v>
          </cell>
          <cell r="H31" t="str">
            <v>0000</v>
          </cell>
          <cell r="J31">
            <v>350</v>
          </cell>
          <cell r="L31" t="str">
            <v>settle ENSHR March interco</v>
          </cell>
          <cell r="M31" t="str">
            <v>USD</v>
          </cell>
          <cell r="N31" t="str">
            <v>CRRNT</v>
          </cell>
          <cell r="O31">
            <v>1</v>
          </cell>
          <cell r="P31">
            <v>350</v>
          </cell>
        </row>
        <row r="32">
          <cell r="B32" t="str">
            <v>TXUET</v>
          </cell>
          <cell r="C32" t="str">
            <v>294000</v>
          </cell>
          <cell r="D32">
            <v>1460000</v>
          </cell>
          <cell r="E32" t="str">
            <v>000</v>
          </cell>
          <cell r="F32" t="str">
            <v>00000000</v>
          </cell>
          <cell r="G32" t="str">
            <v>0000</v>
          </cell>
          <cell r="H32" t="str">
            <v>0000</v>
          </cell>
          <cell r="I32" t="str">
            <v>ENSHR</v>
          </cell>
          <cell r="J32">
            <v>-350</v>
          </cell>
          <cell r="K32" t="str">
            <v> </v>
          </cell>
          <cell r="L32" t="str">
            <v>settle ENSHR March interco</v>
          </cell>
          <cell r="M32" t="str">
            <v>USD</v>
          </cell>
          <cell r="N32" t="str">
            <v>CRRNT</v>
          </cell>
          <cell r="O32">
            <v>1</v>
          </cell>
          <cell r="P32">
            <v>-350</v>
          </cell>
        </row>
        <row r="33">
          <cell r="F33" t="str">
            <v> Please make sure there are no Journal Lines below this End of File Marker</v>
          </cell>
        </row>
        <row r="34">
          <cell r="K34" t="str">
            <v> </v>
          </cell>
        </row>
        <row r="35">
          <cell r="K35" t="str">
            <v> </v>
          </cell>
        </row>
        <row r="36">
          <cell r="K36" t="str">
            <v> </v>
          </cell>
        </row>
        <row r="37">
          <cell r="K37" t="str">
            <v> </v>
          </cell>
        </row>
        <row r="38">
          <cell r="K38" t="str">
            <v> </v>
          </cell>
        </row>
        <row r="39">
          <cell r="K39" t="str">
            <v> </v>
          </cell>
        </row>
        <row r="40">
          <cell r="K40" t="str">
            <v> </v>
          </cell>
        </row>
        <row r="41">
          <cell r="K41" t="str">
            <v> </v>
          </cell>
        </row>
        <row r="42">
          <cell r="K42" t="str">
            <v> </v>
          </cell>
        </row>
        <row r="43">
          <cell r="K43" t="str">
            <v> </v>
          </cell>
        </row>
        <row r="44">
          <cell r="K44" t="str">
            <v> </v>
          </cell>
        </row>
        <row r="45">
          <cell r="K45" t="str">
            <v> </v>
          </cell>
        </row>
        <row r="46">
          <cell r="K46" t="str">
            <v> </v>
          </cell>
        </row>
        <row r="47">
          <cell r="K47" t="str">
            <v> </v>
          </cell>
        </row>
        <row r="48">
          <cell r="K48" t="str">
            <v> </v>
          </cell>
        </row>
        <row r="49">
          <cell r="K49" t="str">
            <v> </v>
          </cell>
          <cell r="N49" t="str">
            <v>     </v>
          </cell>
        </row>
        <row r="50">
          <cell r="K50" t="str">
            <v> </v>
          </cell>
          <cell r="N50" t="str">
            <v>     </v>
          </cell>
        </row>
        <row r="51">
          <cell r="K51" t="str">
            <v> </v>
          </cell>
          <cell r="N51" t="str">
            <v>     </v>
          </cell>
        </row>
        <row r="52">
          <cell r="K52" t="str">
            <v> </v>
          </cell>
          <cell r="N52" t="str">
            <v>     </v>
          </cell>
        </row>
        <row r="53">
          <cell r="K53" t="str">
            <v> </v>
          </cell>
          <cell r="N53" t="str">
            <v>     </v>
          </cell>
        </row>
        <row r="54">
          <cell r="K54" t="str">
            <v> </v>
          </cell>
          <cell r="N54" t="str">
            <v>     </v>
          </cell>
        </row>
        <row r="55">
          <cell r="K55" t="str">
            <v> </v>
          </cell>
          <cell r="N55" t="str">
            <v>     </v>
          </cell>
        </row>
        <row r="56">
          <cell r="K56" t="str">
            <v> </v>
          </cell>
          <cell r="N56" t="str">
            <v>     </v>
          </cell>
        </row>
        <row r="57">
          <cell r="K57" t="str">
            <v> </v>
          </cell>
          <cell r="N57" t="str">
            <v>     </v>
          </cell>
        </row>
        <row r="58">
          <cell r="K58" t="str">
            <v> </v>
          </cell>
          <cell r="N58" t="str">
            <v>     </v>
          </cell>
        </row>
        <row r="59">
          <cell r="K59" t="str">
            <v> </v>
          </cell>
          <cell r="N59" t="str">
            <v>     </v>
          </cell>
        </row>
        <row r="60">
          <cell r="K60" t="str">
            <v> </v>
          </cell>
          <cell r="N60" t="str">
            <v>     </v>
          </cell>
        </row>
        <row r="61">
          <cell r="K61" t="str">
            <v> </v>
          </cell>
          <cell r="N61" t="str">
            <v>     </v>
          </cell>
        </row>
        <row r="62">
          <cell r="K62" t="str">
            <v> </v>
          </cell>
          <cell r="N62" t="str">
            <v>     </v>
          </cell>
        </row>
        <row r="63">
          <cell r="K63" t="str">
            <v> </v>
          </cell>
          <cell r="N63" t="str">
            <v>     </v>
          </cell>
        </row>
        <row r="64">
          <cell r="K64" t="str">
            <v> </v>
          </cell>
          <cell r="N64" t="str">
            <v>     </v>
          </cell>
        </row>
        <row r="65">
          <cell r="K65" t="str">
            <v> </v>
          </cell>
          <cell r="N65" t="str">
            <v>     </v>
          </cell>
        </row>
        <row r="66">
          <cell r="K66" t="str">
            <v> </v>
          </cell>
          <cell r="N66" t="str">
            <v>     </v>
          </cell>
        </row>
        <row r="67">
          <cell r="K67" t="str">
            <v> </v>
          </cell>
          <cell r="N67" t="str">
            <v>     </v>
          </cell>
        </row>
        <row r="68">
          <cell r="K68" t="str">
            <v> </v>
          </cell>
          <cell r="N68" t="str">
            <v>     </v>
          </cell>
        </row>
        <row r="69">
          <cell r="K69" t="str">
            <v> </v>
          </cell>
          <cell r="N69" t="str">
            <v>     </v>
          </cell>
        </row>
        <row r="70">
          <cell r="K70" t="str">
            <v> </v>
          </cell>
          <cell r="N70" t="str">
            <v>     </v>
          </cell>
        </row>
        <row r="71">
          <cell r="K71" t="str">
            <v> </v>
          </cell>
          <cell r="N71" t="str">
            <v>     </v>
          </cell>
        </row>
        <row r="72">
          <cell r="K72" t="str">
            <v> </v>
          </cell>
          <cell r="N72" t="str">
            <v>     </v>
          </cell>
        </row>
        <row r="73">
          <cell r="K73" t="str">
            <v> </v>
          </cell>
          <cell r="N73" t="str">
            <v>     </v>
          </cell>
        </row>
        <row r="74">
          <cell r="K74" t="str">
            <v> </v>
          </cell>
          <cell r="N74" t="str">
            <v>     </v>
          </cell>
        </row>
        <row r="75">
          <cell r="K75" t="str">
            <v> </v>
          </cell>
          <cell r="N75" t="str">
            <v>     </v>
          </cell>
        </row>
        <row r="76">
          <cell r="K76" t="str">
            <v> </v>
          </cell>
          <cell r="N76" t="str">
            <v>     </v>
          </cell>
        </row>
        <row r="77">
          <cell r="K77" t="str">
            <v> </v>
          </cell>
          <cell r="N77" t="str">
            <v>     </v>
          </cell>
        </row>
        <row r="78">
          <cell r="K78" t="str">
            <v> </v>
          </cell>
          <cell r="N78" t="str">
            <v>     </v>
          </cell>
        </row>
        <row r="79">
          <cell r="K79" t="str">
            <v> </v>
          </cell>
          <cell r="N79" t="str">
            <v>     </v>
          </cell>
        </row>
        <row r="80">
          <cell r="K80" t="str">
            <v> </v>
          </cell>
          <cell r="N80" t="str">
            <v>     </v>
          </cell>
        </row>
        <row r="81">
          <cell r="K81" t="str">
            <v> </v>
          </cell>
          <cell r="N81" t="str">
            <v>     </v>
          </cell>
        </row>
        <row r="82">
          <cell r="K82" t="str">
            <v> </v>
          </cell>
          <cell r="N82" t="str">
            <v>     </v>
          </cell>
        </row>
        <row r="83">
          <cell r="K83" t="str">
            <v> </v>
          </cell>
          <cell r="N83" t="str">
            <v>     </v>
          </cell>
        </row>
        <row r="84">
          <cell r="K84" t="str">
            <v> </v>
          </cell>
          <cell r="N84" t="str">
            <v>     </v>
          </cell>
        </row>
        <row r="85">
          <cell r="K85" t="str">
            <v> </v>
          </cell>
          <cell r="N85" t="str">
            <v>     </v>
          </cell>
        </row>
        <row r="86">
          <cell r="K86" t="str">
            <v> </v>
          </cell>
          <cell r="N86" t="str">
            <v>     </v>
          </cell>
        </row>
        <row r="87">
          <cell r="K87" t="str">
            <v> </v>
          </cell>
          <cell r="N87" t="str">
            <v>     </v>
          </cell>
        </row>
        <row r="88">
          <cell r="K88" t="str">
            <v> </v>
          </cell>
          <cell r="N88" t="str">
            <v>     </v>
          </cell>
        </row>
        <row r="89">
          <cell r="K89" t="str">
            <v> </v>
          </cell>
          <cell r="N89" t="str">
            <v>     </v>
          </cell>
        </row>
        <row r="90">
          <cell r="K90" t="str">
            <v> </v>
          </cell>
          <cell r="N90" t="str">
            <v>     </v>
          </cell>
        </row>
        <row r="91">
          <cell r="K91" t="str">
            <v> </v>
          </cell>
          <cell r="N91" t="str">
            <v>     </v>
          </cell>
        </row>
        <row r="92">
          <cell r="K92" t="str">
            <v> </v>
          </cell>
          <cell r="N92" t="str">
            <v>     </v>
          </cell>
        </row>
        <row r="93">
          <cell r="K93" t="str">
            <v> </v>
          </cell>
          <cell r="N93" t="str">
            <v>     </v>
          </cell>
        </row>
        <row r="94">
          <cell r="K94" t="str">
            <v> </v>
          </cell>
          <cell r="N94" t="str">
            <v>     </v>
          </cell>
        </row>
        <row r="95">
          <cell r="K95" t="str">
            <v> </v>
          </cell>
          <cell r="N95" t="str">
            <v>     </v>
          </cell>
        </row>
        <row r="96">
          <cell r="K96" t="str">
            <v> </v>
          </cell>
          <cell r="N96" t="str">
            <v>     </v>
          </cell>
        </row>
        <row r="97">
          <cell r="K97" t="str">
            <v> </v>
          </cell>
          <cell r="N97" t="str">
            <v>     </v>
          </cell>
        </row>
        <row r="98">
          <cell r="K98" t="str">
            <v> </v>
          </cell>
          <cell r="N98" t="str">
            <v>     </v>
          </cell>
        </row>
        <row r="99">
          <cell r="K99" t="str">
            <v> </v>
          </cell>
          <cell r="N99" t="str">
            <v>     </v>
          </cell>
        </row>
        <row r="100">
          <cell r="K100" t="str">
            <v> </v>
          </cell>
          <cell r="N100" t="str">
            <v>     </v>
          </cell>
        </row>
        <row r="101">
          <cell r="K101" t="str">
            <v> </v>
          </cell>
          <cell r="N101" t="str">
            <v>     </v>
          </cell>
        </row>
        <row r="102">
          <cell r="K102" t="str">
            <v> </v>
          </cell>
          <cell r="N102" t="str">
            <v>     </v>
          </cell>
        </row>
        <row r="103">
          <cell r="K103" t="str">
            <v> </v>
          </cell>
          <cell r="N103" t="str">
            <v>     </v>
          </cell>
        </row>
        <row r="104">
          <cell r="K104" t="str">
            <v> </v>
          </cell>
          <cell r="N104" t="str">
            <v>     </v>
          </cell>
        </row>
        <row r="105">
          <cell r="K105" t="str">
            <v> </v>
          </cell>
          <cell r="N105" t="str">
            <v>     </v>
          </cell>
        </row>
        <row r="106">
          <cell r="K106" t="str">
            <v> </v>
          </cell>
          <cell r="N106" t="str">
            <v>     </v>
          </cell>
        </row>
        <row r="107">
          <cell r="K107" t="str">
            <v> </v>
          </cell>
          <cell r="N107" t="str">
            <v>     </v>
          </cell>
        </row>
        <row r="108">
          <cell r="K108" t="str">
            <v> </v>
          </cell>
          <cell r="N108" t="str">
            <v>     </v>
          </cell>
        </row>
        <row r="109">
          <cell r="K109" t="str">
            <v> </v>
          </cell>
          <cell r="N109" t="str">
            <v>     </v>
          </cell>
        </row>
        <row r="110">
          <cell r="K110" t="str">
            <v> </v>
          </cell>
          <cell r="N110" t="str">
            <v>     </v>
          </cell>
        </row>
        <row r="111">
          <cell r="K111" t="str">
            <v> </v>
          </cell>
          <cell r="N111" t="str">
            <v>     </v>
          </cell>
        </row>
        <row r="112">
          <cell r="K112" t="str">
            <v> </v>
          </cell>
          <cell r="N112" t="str">
            <v>     </v>
          </cell>
        </row>
        <row r="113">
          <cell r="K113" t="str">
            <v> </v>
          </cell>
          <cell r="N113" t="str">
            <v>     </v>
          </cell>
        </row>
        <row r="114">
          <cell r="K114" t="str">
            <v> </v>
          </cell>
          <cell r="N114" t="str">
            <v>     </v>
          </cell>
        </row>
        <row r="115">
          <cell r="K115" t="str">
            <v> </v>
          </cell>
          <cell r="N115" t="str">
            <v>     </v>
          </cell>
        </row>
        <row r="116">
          <cell r="K116" t="str">
            <v> </v>
          </cell>
          <cell r="N116" t="str">
            <v>     </v>
          </cell>
        </row>
        <row r="117">
          <cell r="K117" t="str">
            <v> </v>
          </cell>
          <cell r="N117" t="str">
            <v>     </v>
          </cell>
        </row>
        <row r="118">
          <cell r="K118" t="str">
            <v> </v>
          </cell>
          <cell r="N118" t="str">
            <v>     </v>
          </cell>
        </row>
        <row r="119">
          <cell r="K119" t="str">
            <v> </v>
          </cell>
          <cell r="N119" t="str">
            <v>     </v>
          </cell>
        </row>
        <row r="120">
          <cell r="K120" t="str">
            <v> </v>
          </cell>
          <cell r="N120" t="str">
            <v>     </v>
          </cell>
        </row>
        <row r="121">
          <cell r="K121" t="str">
            <v> </v>
          </cell>
          <cell r="N121" t="str">
            <v>     </v>
          </cell>
        </row>
        <row r="122">
          <cell r="K122" t="str">
            <v> </v>
          </cell>
          <cell r="N122" t="str">
            <v>     </v>
          </cell>
        </row>
        <row r="123">
          <cell r="K123" t="str">
            <v> </v>
          </cell>
          <cell r="N123" t="str">
            <v>     </v>
          </cell>
        </row>
        <row r="124">
          <cell r="K124" t="str">
            <v> </v>
          </cell>
          <cell r="N124" t="str">
            <v>     </v>
          </cell>
        </row>
        <row r="125">
          <cell r="K125" t="str">
            <v> </v>
          </cell>
          <cell r="N125" t="str">
            <v>     </v>
          </cell>
        </row>
        <row r="126">
          <cell r="K126" t="str">
            <v> </v>
          </cell>
          <cell r="N126" t="str">
            <v>     </v>
          </cell>
        </row>
        <row r="127">
          <cell r="K127" t="str">
            <v> </v>
          </cell>
          <cell r="N127" t="str">
            <v>     </v>
          </cell>
        </row>
        <row r="128">
          <cell r="K128" t="str">
            <v> </v>
          </cell>
          <cell r="N128" t="str">
            <v>     </v>
          </cell>
        </row>
        <row r="129">
          <cell r="K129" t="str">
            <v> </v>
          </cell>
          <cell r="N129" t="str">
            <v>     </v>
          </cell>
        </row>
        <row r="130">
          <cell r="K130" t="str">
            <v> </v>
          </cell>
          <cell r="N130" t="str">
            <v>     </v>
          </cell>
        </row>
        <row r="131">
          <cell r="K131" t="str">
            <v> </v>
          </cell>
          <cell r="N131" t="str">
            <v>     </v>
          </cell>
        </row>
        <row r="132">
          <cell r="K132" t="str">
            <v> </v>
          </cell>
          <cell r="N132" t="str">
            <v>     </v>
          </cell>
        </row>
        <row r="133">
          <cell r="K133" t="str">
            <v> </v>
          </cell>
          <cell r="N133" t="str">
            <v>     </v>
          </cell>
        </row>
        <row r="134">
          <cell r="K134" t="str">
            <v> </v>
          </cell>
          <cell r="N134" t="str">
            <v>     </v>
          </cell>
        </row>
        <row r="135">
          <cell r="K135" t="str">
            <v> </v>
          </cell>
          <cell r="N135" t="str">
            <v>     </v>
          </cell>
        </row>
        <row r="136">
          <cell r="K136" t="str">
            <v> </v>
          </cell>
          <cell r="N136" t="str">
            <v>     </v>
          </cell>
        </row>
        <row r="137">
          <cell r="K137" t="str">
            <v> </v>
          </cell>
          <cell r="N137" t="str">
            <v>     </v>
          </cell>
        </row>
        <row r="138">
          <cell r="K138" t="str">
            <v> </v>
          </cell>
          <cell r="N138" t="str">
            <v>     </v>
          </cell>
        </row>
        <row r="139">
          <cell r="K139" t="str">
            <v> </v>
          </cell>
          <cell r="N139" t="str">
            <v>     </v>
          </cell>
        </row>
        <row r="140">
          <cell r="K140" t="str">
            <v> </v>
          </cell>
          <cell r="N140" t="str">
            <v>     </v>
          </cell>
        </row>
        <row r="141">
          <cell r="K141" t="str">
            <v> </v>
          </cell>
          <cell r="N141" t="str">
            <v>     </v>
          </cell>
        </row>
        <row r="142">
          <cell r="K142" t="str">
            <v> </v>
          </cell>
          <cell r="N142" t="str">
            <v>     </v>
          </cell>
        </row>
        <row r="143">
          <cell r="K143" t="str">
            <v> </v>
          </cell>
          <cell r="N143" t="str">
            <v>     </v>
          </cell>
        </row>
        <row r="144">
          <cell r="K144" t="str">
            <v> </v>
          </cell>
          <cell r="N144" t="str">
            <v>     </v>
          </cell>
        </row>
        <row r="145">
          <cell r="K145" t="str">
            <v> </v>
          </cell>
          <cell r="N145" t="str">
            <v>     </v>
          </cell>
        </row>
        <row r="146">
          <cell r="K146" t="str">
            <v> </v>
          </cell>
          <cell r="N146" t="str">
            <v>     </v>
          </cell>
        </row>
        <row r="147">
          <cell r="K147" t="str">
            <v> </v>
          </cell>
          <cell r="N147" t="str">
            <v>     </v>
          </cell>
        </row>
        <row r="148">
          <cell r="K148" t="str">
            <v> </v>
          </cell>
          <cell r="N148" t="str">
            <v>     </v>
          </cell>
        </row>
        <row r="149">
          <cell r="K149" t="str">
            <v> </v>
          </cell>
          <cell r="N149" t="str">
            <v>     </v>
          </cell>
        </row>
        <row r="150">
          <cell r="K150" t="str">
            <v> </v>
          </cell>
          <cell r="N150" t="str">
            <v>     </v>
          </cell>
        </row>
        <row r="151">
          <cell r="K151" t="str">
            <v> </v>
          </cell>
          <cell r="N151" t="str">
            <v>     </v>
          </cell>
        </row>
        <row r="152">
          <cell r="K152" t="str">
            <v> </v>
          </cell>
          <cell r="N152" t="str">
            <v>     </v>
          </cell>
        </row>
        <row r="153">
          <cell r="K153" t="str">
            <v> </v>
          </cell>
          <cell r="N153" t="str">
            <v>     </v>
          </cell>
        </row>
        <row r="154">
          <cell r="K154" t="str">
            <v> </v>
          </cell>
          <cell r="N154" t="str">
            <v>     </v>
          </cell>
        </row>
        <row r="155">
          <cell r="K155" t="str">
            <v> </v>
          </cell>
          <cell r="N155" t="str">
            <v>     </v>
          </cell>
        </row>
        <row r="156">
          <cell r="K156" t="str">
            <v> </v>
          </cell>
          <cell r="N156" t="str">
            <v>     </v>
          </cell>
        </row>
        <row r="157">
          <cell r="K157" t="str">
            <v> </v>
          </cell>
          <cell r="N157" t="str">
            <v>     </v>
          </cell>
        </row>
        <row r="158">
          <cell r="K158" t="str">
            <v> </v>
          </cell>
          <cell r="N158" t="str">
            <v>     </v>
          </cell>
        </row>
        <row r="159">
          <cell r="K159" t="str">
            <v> </v>
          </cell>
          <cell r="N159" t="str">
            <v>     </v>
          </cell>
        </row>
        <row r="160">
          <cell r="K160" t="str">
            <v> </v>
          </cell>
          <cell r="N160" t="str">
            <v>     </v>
          </cell>
        </row>
        <row r="161">
          <cell r="K161" t="str">
            <v> </v>
          </cell>
          <cell r="N161" t="str">
            <v>     </v>
          </cell>
        </row>
        <row r="162">
          <cell r="K162" t="str">
            <v> </v>
          </cell>
          <cell r="N162" t="str">
            <v>     </v>
          </cell>
        </row>
        <row r="163">
          <cell r="K163" t="str">
            <v> </v>
          </cell>
          <cell r="N163" t="str">
            <v>     </v>
          </cell>
        </row>
        <row r="164">
          <cell r="K164" t="str">
            <v> </v>
          </cell>
          <cell r="N164" t="str">
            <v>     </v>
          </cell>
        </row>
        <row r="165">
          <cell r="K165" t="str">
            <v> </v>
          </cell>
          <cell r="N165" t="str">
            <v>     </v>
          </cell>
        </row>
        <row r="166">
          <cell r="K166" t="str">
            <v> </v>
          </cell>
          <cell r="N166" t="str">
            <v>     </v>
          </cell>
        </row>
        <row r="167">
          <cell r="K167" t="str">
            <v> </v>
          </cell>
          <cell r="N167" t="str">
            <v>     </v>
          </cell>
        </row>
        <row r="168">
          <cell r="K168" t="str">
            <v> </v>
          </cell>
          <cell r="N168" t="str">
            <v>     </v>
          </cell>
        </row>
        <row r="169">
          <cell r="K169" t="str">
            <v> </v>
          </cell>
          <cell r="N169" t="str">
            <v>     </v>
          </cell>
        </row>
        <row r="170">
          <cell r="K170" t="str">
            <v> </v>
          </cell>
          <cell r="N170" t="str">
            <v>     </v>
          </cell>
        </row>
        <row r="171">
          <cell r="K171" t="str">
            <v> </v>
          </cell>
          <cell r="N171" t="str">
            <v>     </v>
          </cell>
        </row>
        <row r="172">
          <cell r="K172" t="str">
            <v> </v>
          </cell>
          <cell r="N172" t="str">
            <v>     </v>
          </cell>
        </row>
        <row r="173">
          <cell r="K173" t="str">
            <v> </v>
          </cell>
          <cell r="N173" t="str">
            <v>     </v>
          </cell>
        </row>
        <row r="174">
          <cell r="K174" t="str">
            <v> </v>
          </cell>
          <cell r="N174" t="str">
            <v>     </v>
          </cell>
        </row>
        <row r="175">
          <cell r="K175" t="str">
            <v> </v>
          </cell>
          <cell r="N175" t="str">
            <v>     </v>
          </cell>
        </row>
        <row r="176">
          <cell r="K176" t="str">
            <v> </v>
          </cell>
          <cell r="N176" t="str">
            <v>     </v>
          </cell>
        </row>
        <row r="177">
          <cell r="K177" t="str">
            <v> </v>
          </cell>
          <cell r="N177" t="str">
            <v>     </v>
          </cell>
        </row>
        <row r="178">
          <cell r="K178" t="str">
            <v> </v>
          </cell>
          <cell r="N178" t="str">
            <v>     </v>
          </cell>
        </row>
        <row r="179">
          <cell r="K179" t="str">
            <v> </v>
          </cell>
          <cell r="N179" t="str">
            <v>     </v>
          </cell>
        </row>
        <row r="180">
          <cell r="K180" t="str">
            <v> </v>
          </cell>
          <cell r="N180" t="str">
            <v>     </v>
          </cell>
        </row>
        <row r="181">
          <cell r="K181" t="str">
            <v> </v>
          </cell>
          <cell r="N181" t="str">
            <v>     </v>
          </cell>
        </row>
        <row r="182">
          <cell r="K182" t="str">
            <v> </v>
          </cell>
          <cell r="N182" t="str">
            <v>     </v>
          </cell>
        </row>
        <row r="183">
          <cell r="K183" t="str">
            <v> </v>
          </cell>
          <cell r="N183" t="str">
            <v>     </v>
          </cell>
        </row>
        <row r="184">
          <cell r="K184" t="str">
            <v> </v>
          </cell>
          <cell r="N184" t="str">
            <v>     </v>
          </cell>
        </row>
        <row r="185">
          <cell r="K185" t="str">
            <v> </v>
          </cell>
          <cell r="N185" t="str">
            <v>     </v>
          </cell>
        </row>
        <row r="186">
          <cell r="K186" t="str">
            <v> </v>
          </cell>
          <cell r="N186" t="str">
            <v>     </v>
          </cell>
        </row>
        <row r="187">
          <cell r="K187" t="str">
            <v> </v>
          </cell>
          <cell r="N187" t="str">
            <v>     </v>
          </cell>
        </row>
        <row r="188">
          <cell r="K188" t="str">
            <v> </v>
          </cell>
          <cell r="N188" t="str">
            <v>     </v>
          </cell>
        </row>
        <row r="189">
          <cell r="K189" t="str">
            <v> </v>
          </cell>
          <cell r="N189" t="str">
            <v>     </v>
          </cell>
        </row>
        <row r="190">
          <cell r="K190" t="str">
            <v> </v>
          </cell>
          <cell r="N190" t="str">
            <v>     </v>
          </cell>
        </row>
        <row r="191">
          <cell r="K191" t="str">
            <v> </v>
          </cell>
          <cell r="N191" t="str">
            <v>     </v>
          </cell>
        </row>
        <row r="192">
          <cell r="K192" t="str">
            <v> </v>
          </cell>
          <cell r="N192" t="str">
            <v>     </v>
          </cell>
        </row>
        <row r="193">
          <cell r="K193" t="str">
            <v> </v>
          </cell>
          <cell r="N193" t="str">
            <v>     </v>
          </cell>
        </row>
        <row r="194">
          <cell r="K194" t="str">
            <v> </v>
          </cell>
          <cell r="N194" t="str">
            <v>     </v>
          </cell>
        </row>
        <row r="195">
          <cell r="K195" t="str">
            <v> </v>
          </cell>
          <cell r="N195" t="str">
            <v>     </v>
          </cell>
        </row>
        <row r="196">
          <cell r="K196" t="str">
            <v> </v>
          </cell>
          <cell r="N196" t="str">
            <v>     </v>
          </cell>
        </row>
        <row r="197">
          <cell r="K197" t="str">
            <v> </v>
          </cell>
          <cell r="N197" t="str">
            <v>     </v>
          </cell>
        </row>
        <row r="198">
          <cell r="K198" t="str">
            <v> </v>
          </cell>
          <cell r="N198" t="str">
            <v>     </v>
          </cell>
        </row>
        <row r="199">
          <cell r="K199" t="str">
            <v> </v>
          </cell>
          <cell r="N199" t="str">
            <v>     </v>
          </cell>
        </row>
        <row r="200">
          <cell r="K200" t="str">
            <v> </v>
          </cell>
          <cell r="N200" t="str">
            <v>     </v>
          </cell>
        </row>
        <row r="201">
          <cell r="K201" t="str">
            <v> </v>
          </cell>
          <cell r="N201" t="str">
            <v>     </v>
          </cell>
        </row>
        <row r="202">
          <cell r="K202" t="str">
            <v> </v>
          </cell>
          <cell r="N202" t="str">
            <v>     </v>
          </cell>
        </row>
        <row r="203">
          <cell r="K203" t="str">
            <v> </v>
          </cell>
          <cell r="N203" t="str">
            <v>     </v>
          </cell>
        </row>
        <row r="204">
          <cell r="K204" t="str">
            <v> </v>
          </cell>
          <cell r="N204" t="str">
            <v>     </v>
          </cell>
          <cell r="R204">
            <v>-580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tabColor rgb="FF00FF00"/>
    <pageSetUpPr fitToPage="1"/>
  </sheetPr>
  <dimension ref="A1:I59"/>
  <sheetViews>
    <sheetView showGridLines="0" tabSelected="1" zoomScale="96" zoomScaleNormal="96" workbookViewId="0" topLeftCell="A1">
      <selection pane="topLeft" activeCell="B55" sqref="B55"/>
    </sheetView>
  </sheetViews>
  <sheetFormatPr defaultRowHeight="15"/>
  <cols>
    <col min="1" max="1" width="4" customWidth="1"/>
    <col min="2" max="2" width="46.5714285714286" customWidth="1"/>
    <col min="5" max="5" width="9.85714285714286" customWidth="1"/>
    <col min="6" max="6" width="6.28571428571429" customWidth="1"/>
    <col min="7" max="7" width="20.5714285714286" bestFit="1" customWidth="1"/>
    <col min="9" max="9" width="14.8571428571429" bestFit="1" customWidth="1"/>
  </cols>
  <sheetData>
    <row r="1" spans="2:2" ht="14.5">
      <c r="B1" s="1" t="s">
        <v>0</v>
      </c>
    </row>
    <row r="2" spans="2:2" ht="14.5">
      <c r="B2" s="1" t="s">
        <v>1</v>
      </c>
    </row>
    <row r="3" spans="2:2" ht="14.5">
      <c r="B3" s="1" t="s">
        <v>2</v>
      </c>
    </row>
    <row r="4" spans="2:2" ht="14.5">
      <c r="B4" s="1" t="s">
        <v>54</v>
      </c>
    </row>
    <row r="5" spans="2:2" ht="14.5">
      <c r="B5" s="1" t="s">
        <v>56</v>
      </c>
    </row>
    <row r="6" spans="9:9" ht="14.5">
      <c r="I6" s="2"/>
    </row>
    <row r="8" spans="1:8" ht="14.5">
      <c r="A8" s="3" t="s">
        <v>57</v>
      </c>
      <c r="B8" s="4" t="s">
        <v>4</v>
      </c>
      <c r="C8" s="5"/>
      <c r="D8" s="6" t="s">
        <v>5</v>
      </c>
      <c r="E8" s="6" t="s">
        <v>6</v>
      </c>
      <c r="F8" s="6"/>
      <c r="G8" s="6" t="s">
        <v>7</v>
      </c>
      <c r="H8" s="3"/>
    </row>
    <row r="9" spans="1:8" ht="14.5">
      <c r="A9" s="3">
        <v>1</v>
      </c>
      <c r="B9" s="1" t="s">
        <v>3</v>
      </c>
      <c r="C9" s="15"/>
      <c r="D9" s="16"/>
      <c r="E9" s="16"/>
      <c r="F9" s="16"/>
      <c r="G9" s="16"/>
      <c r="H9" s="3"/>
    </row>
    <row r="10" spans="1:7" ht="14.5">
      <c r="A10" s="3">
        <v>2</v>
      </c>
      <c r="B10" s="7" t="s">
        <v>8</v>
      </c>
      <c r="D10" s="3" t="s">
        <v>9</v>
      </c>
      <c r="E10" s="3">
        <v>2351000</v>
      </c>
      <c r="G10" s="8">
        <v>-32975</v>
      </c>
    </row>
    <row r="11" spans="1:7" ht="14.5">
      <c r="A11" s="3">
        <v>3</v>
      </c>
      <c r="B11" s="7" t="s">
        <v>10</v>
      </c>
      <c r="D11" s="3" t="s">
        <v>9</v>
      </c>
      <c r="E11" s="3">
        <v>2351000</v>
      </c>
      <c r="G11" s="8">
        <v>-10000</v>
      </c>
    </row>
    <row r="12" spans="1:7" ht="14.5">
      <c r="A12" s="3">
        <v>4</v>
      </c>
      <c r="B12" s="7" t="s">
        <v>11</v>
      </c>
      <c r="D12" s="3" t="s">
        <v>9</v>
      </c>
      <c r="E12" s="3">
        <v>2351000</v>
      </c>
      <c r="G12" s="8">
        <v>-10000</v>
      </c>
    </row>
    <row r="13" spans="1:7" ht="14.5">
      <c r="A13" s="3">
        <v>5</v>
      </c>
      <c r="B13" s="7" t="s">
        <v>12</v>
      </c>
      <c r="D13" s="3" t="s">
        <v>9</v>
      </c>
      <c r="E13" s="3">
        <v>2351000</v>
      </c>
      <c r="G13" s="8">
        <v>-10000</v>
      </c>
    </row>
    <row r="14" spans="1:7" ht="14.5">
      <c r="A14" s="3">
        <v>6</v>
      </c>
      <c r="B14" s="7" t="s">
        <v>13</v>
      </c>
      <c r="D14" s="3" t="s">
        <v>9</v>
      </c>
      <c r="E14" s="3">
        <v>2351000</v>
      </c>
      <c r="G14" s="8">
        <v>-10000</v>
      </c>
    </row>
    <row r="15" spans="1:7" ht="14.5">
      <c r="A15" s="3">
        <v>7</v>
      </c>
      <c r="B15" s="7" t="s">
        <v>14</v>
      </c>
      <c r="D15" s="3" t="s">
        <v>9</v>
      </c>
      <c r="E15" s="3">
        <v>2351000</v>
      </c>
      <c r="G15" s="8">
        <v>-14125</v>
      </c>
    </row>
    <row r="16" spans="1:7" ht="14.5">
      <c r="A16" s="3">
        <v>8</v>
      </c>
      <c r="B16" s="7" t="s">
        <v>15</v>
      </c>
      <c r="D16" s="3" t="s">
        <v>9</v>
      </c>
      <c r="E16" s="3">
        <v>2351000</v>
      </c>
      <c r="G16" s="8">
        <v>-5000</v>
      </c>
    </row>
    <row r="17" spans="1:7" ht="14.5">
      <c r="A17" s="3">
        <v>9</v>
      </c>
      <c r="B17" s="7" t="s">
        <v>16</v>
      </c>
      <c r="D17" s="3" t="s">
        <v>9</v>
      </c>
      <c r="E17" s="3">
        <v>2351000</v>
      </c>
      <c r="G17" s="8">
        <v>-10000</v>
      </c>
    </row>
    <row r="18" spans="1:7" ht="14.5">
      <c r="A18" s="3">
        <v>10</v>
      </c>
      <c r="B18" s="7" t="s">
        <v>17</v>
      </c>
      <c r="D18" s="3" t="s">
        <v>9</v>
      </c>
      <c r="E18" s="3">
        <v>2351000</v>
      </c>
      <c r="G18" s="8">
        <v>-10000</v>
      </c>
    </row>
    <row r="19" spans="1:7" ht="14.5">
      <c r="A19" s="3">
        <v>11</v>
      </c>
      <c r="B19" s="7" t="s">
        <v>18</v>
      </c>
      <c r="D19" s="3" t="s">
        <v>9</v>
      </c>
      <c r="E19" s="3">
        <v>2351000</v>
      </c>
      <c r="G19" s="9">
        <v>-10000</v>
      </c>
    </row>
    <row r="20" spans="1:7" ht="14.5">
      <c r="A20" s="3">
        <v>12</v>
      </c>
      <c r="B20" s="7" t="s">
        <v>19</v>
      </c>
      <c r="D20" s="3" t="s">
        <v>9</v>
      </c>
      <c r="E20" s="3">
        <v>2351000</v>
      </c>
      <c r="G20" s="9">
        <v>-10000</v>
      </c>
    </row>
    <row r="21" spans="1:7" ht="14.5">
      <c r="A21" s="3">
        <v>13</v>
      </c>
      <c r="B21" s="7" t="s">
        <v>20</v>
      </c>
      <c r="D21" s="3" t="s">
        <v>9</v>
      </c>
      <c r="E21" s="3">
        <v>2351000</v>
      </c>
      <c r="G21" s="9">
        <v>-30000</v>
      </c>
    </row>
    <row r="22" spans="1:7" ht="14.5">
      <c r="A22" s="3">
        <v>14</v>
      </c>
      <c r="B22" s="1" t="s">
        <v>21</v>
      </c>
      <c r="E22" s="3"/>
      <c r="G22" s="10">
        <f>SUM(G10:G21)</f>
        <v>-162100</v>
      </c>
    </row>
    <row r="23" spans="1:5" ht="14.5">
      <c r="A23" s="3">
        <v>16</v>
      </c>
      <c r="E23" s="3"/>
    </row>
    <row r="24" spans="1:5" ht="14.5">
      <c r="A24" s="3">
        <v>17</v>
      </c>
      <c r="B24" s="1" t="s">
        <v>22</v>
      </c>
      <c r="E24" s="3"/>
    </row>
    <row r="25" spans="1:7" ht="14.5">
      <c r="A25" s="3">
        <v>18</v>
      </c>
      <c r="B25" s="7" t="s">
        <v>23</v>
      </c>
      <c r="D25" s="3" t="s">
        <v>24</v>
      </c>
      <c r="E25" s="3">
        <v>2351000</v>
      </c>
      <c r="G25" s="9">
        <v>-1255045</v>
      </c>
    </row>
    <row r="26" spans="1:7" ht="14.5">
      <c r="A26" s="3">
        <v>19</v>
      </c>
      <c r="B26" s="7" t="s">
        <v>25</v>
      </c>
      <c r="D26" s="3" t="s">
        <v>24</v>
      </c>
      <c r="E26" s="3">
        <v>2351000</v>
      </c>
      <c r="G26" s="9">
        <v>-2512000</v>
      </c>
    </row>
    <row r="27" spans="1:7" ht="14.5">
      <c r="A27" s="3">
        <v>20</v>
      </c>
      <c r="B27" s="7" t="s">
        <v>26</v>
      </c>
      <c r="D27" s="3" t="s">
        <v>24</v>
      </c>
      <c r="E27" s="3">
        <v>2530009</v>
      </c>
      <c r="G27" s="9">
        <v>-565000</v>
      </c>
    </row>
    <row r="28" spans="1:7" ht="14.5">
      <c r="A28" s="3">
        <v>21</v>
      </c>
      <c r="B28" s="7" t="s">
        <v>27</v>
      </c>
      <c r="D28" s="3" t="s">
        <v>24</v>
      </c>
      <c r="E28" s="3">
        <v>2351000</v>
      </c>
      <c r="G28" s="9">
        <v>-60000</v>
      </c>
    </row>
    <row r="29" spans="1:7" ht="14.5">
      <c r="A29" s="3">
        <v>22</v>
      </c>
      <c r="B29" s="7" t="s">
        <v>28</v>
      </c>
      <c r="D29" s="3" t="s">
        <v>24</v>
      </c>
      <c r="E29" s="3">
        <v>2530009</v>
      </c>
      <c r="G29" s="9">
        <v>-400000</v>
      </c>
    </row>
    <row r="30" spans="1:7" ht="14.5">
      <c r="A30" s="3">
        <v>23</v>
      </c>
      <c r="B30" s="7" t="s">
        <v>29</v>
      </c>
      <c r="D30" s="3" t="s">
        <v>24</v>
      </c>
      <c r="E30" s="3">
        <v>2530009</v>
      </c>
      <c r="G30" s="9">
        <v>-2486674</v>
      </c>
    </row>
    <row r="31" spans="1:7" ht="14.5">
      <c r="A31" s="3">
        <v>24</v>
      </c>
      <c r="B31" s="7" t="s">
        <v>30</v>
      </c>
      <c r="D31" s="3" t="s">
        <v>24</v>
      </c>
      <c r="E31" s="3">
        <v>2530009</v>
      </c>
      <c r="G31" s="9">
        <v>-4410850</v>
      </c>
    </row>
    <row r="32" spans="1:7" ht="14.5">
      <c r="A32" s="3">
        <v>25</v>
      </c>
      <c r="B32" s="7" t="s">
        <v>31</v>
      </c>
      <c r="D32" s="3" t="s">
        <v>24</v>
      </c>
      <c r="E32" s="3">
        <v>2530009</v>
      </c>
      <c r="G32" s="9">
        <v>-4089664</v>
      </c>
    </row>
    <row r="33" spans="1:7" ht="14.5">
      <c r="A33" s="3">
        <v>26</v>
      </c>
      <c r="B33" s="7" t="s">
        <v>32</v>
      </c>
      <c r="D33" s="3" t="s">
        <v>24</v>
      </c>
      <c r="E33" s="3">
        <v>2351000</v>
      </c>
      <c r="G33" s="9">
        <v>-195262.85999999999</v>
      </c>
    </row>
    <row r="34" spans="1:7" ht="14.5">
      <c r="A34" s="3">
        <v>27</v>
      </c>
      <c r="B34" s="7" t="s">
        <v>33</v>
      </c>
      <c r="D34" s="3" t="s">
        <v>24</v>
      </c>
      <c r="E34" s="3">
        <v>2351000</v>
      </c>
      <c r="G34" s="9">
        <v>-4743674</v>
      </c>
    </row>
    <row r="35" spans="1:7" ht="14.5">
      <c r="A35" s="3">
        <v>28</v>
      </c>
      <c r="B35" s="7" t="s">
        <v>34</v>
      </c>
      <c r="D35" s="3" t="s">
        <v>24</v>
      </c>
      <c r="E35" s="3">
        <v>2351000</v>
      </c>
      <c r="G35" s="9">
        <v>-305581</v>
      </c>
    </row>
    <row r="36" spans="1:7" ht="14.5">
      <c r="A36" s="3">
        <v>29</v>
      </c>
      <c r="B36" s="7" t="s">
        <v>35</v>
      </c>
      <c r="D36" s="3" t="s">
        <v>24</v>
      </c>
      <c r="E36" s="3">
        <v>2530009</v>
      </c>
      <c r="G36" s="9">
        <v>-3098171</v>
      </c>
    </row>
    <row r="37" spans="1:7" ht="14.5">
      <c r="A37" s="3">
        <v>30</v>
      </c>
      <c r="B37" s="7" t="s">
        <v>36</v>
      </c>
      <c r="D37" s="3" t="s">
        <v>24</v>
      </c>
      <c r="E37" s="3">
        <v>2530009</v>
      </c>
      <c r="G37" s="9">
        <v>-100000</v>
      </c>
    </row>
    <row r="38" spans="1:7" ht="14.5">
      <c r="A38" s="3">
        <v>31</v>
      </c>
      <c r="B38" s="7" t="s">
        <v>37</v>
      </c>
      <c r="D38" s="3" t="s">
        <v>24</v>
      </c>
      <c r="E38" s="3">
        <v>2530009</v>
      </c>
      <c r="G38" s="9">
        <v>-2426996</v>
      </c>
    </row>
    <row r="39" spans="1:7" ht="14.5">
      <c r="A39" s="3">
        <v>32</v>
      </c>
      <c r="B39" s="7" t="s">
        <v>38</v>
      </c>
      <c r="D39" s="3" t="s">
        <v>24</v>
      </c>
      <c r="E39" s="3">
        <v>2351000</v>
      </c>
      <c r="G39" s="9">
        <v>-100000</v>
      </c>
    </row>
    <row r="40" spans="1:7" ht="14.5">
      <c r="A40" s="3">
        <v>33</v>
      </c>
      <c r="B40" s="7" t="s">
        <v>39</v>
      </c>
      <c r="D40" s="3" t="s">
        <v>24</v>
      </c>
      <c r="E40" s="3">
        <v>2351000</v>
      </c>
      <c r="G40" s="9">
        <v>-1359705</v>
      </c>
    </row>
    <row r="41" spans="1:7" ht="14.5">
      <c r="A41" s="3">
        <v>34</v>
      </c>
      <c r="B41" s="7" t="s">
        <v>40</v>
      </c>
      <c r="D41" s="3" t="s">
        <v>24</v>
      </c>
      <c r="E41" s="3">
        <v>2530009</v>
      </c>
      <c r="G41" s="9">
        <v>-50000</v>
      </c>
    </row>
    <row r="42" spans="1:7" ht="14.5">
      <c r="A42" s="3">
        <v>35</v>
      </c>
      <c r="B42" s="7" t="s">
        <v>41</v>
      </c>
      <c r="D42" s="3" t="s">
        <v>24</v>
      </c>
      <c r="E42" s="3">
        <v>2351000</v>
      </c>
      <c r="G42" s="9">
        <v>-1289340.1000000001</v>
      </c>
    </row>
    <row r="43" spans="1:7" ht="14.5">
      <c r="A43" s="3">
        <v>36</v>
      </c>
      <c r="B43" s="7" t="s">
        <v>42</v>
      </c>
      <c r="D43" s="3" t="s">
        <v>24</v>
      </c>
      <c r="E43" s="3">
        <v>2530009</v>
      </c>
      <c r="G43" s="9">
        <v>-1775172.4199999999</v>
      </c>
    </row>
    <row r="44" spans="1:7" ht="14.5">
      <c r="A44" s="3">
        <v>37</v>
      </c>
      <c r="B44" s="7" t="s">
        <v>43</v>
      </c>
      <c r="D44" s="3" t="s">
        <v>24</v>
      </c>
      <c r="E44" s="3">
        <v>2351000</v>
      </c>
      <c r="G44" s="9">
        <v>-710659.90000000002</v>
      </c>
    </row>
    <row r="45" spans="1:7" ht="14.5">
      <c r="A45" s="3">
        <v>38</v>
      </c>
      <c r="B45" s="7" t="s">
        <v>44</v>
      </c>
      <c r="D45" s="3" t="s">
        <v>24</v>
      </c>
      <c r="E45" s="3">
        <v>2530009</v>
      </c>
      <c r="G45" s="9">
        <v>-1224827.5800000001</v>
      </c>
    </row>
    <row r="46" spans="1:7" ht="14.5">
      <c r="A46" s="3">
        <v>39</v>
      </c>
      <c r="B46" s="7" t="s">
        <v>45</v>
      </c>
      <c r="D46" s="3" t="s">
        <v>24</v>
      </c>
      <c r="E46" s="3">
        <v>2530009</v>
      </c>
      <c r="G46" s="9">
        <v>-1550000</v>
      </c>
    </row>
    <row r="47" spans="1:7" ht="14.5">
      <c r="A47" s="3">
        <v>40</v>
      </c>
      <c r="B47" s="7" t="s">
        <v>41</v>
      </c>
      <c r="D47" s="3" t="s">
        <v>24</v>
      </c>
      <c r="E47" s="3">
        <v>2530009</v>
      </c>
      <c r="G47" s="9">
        <v>-4900158</v>
      </c>
    </row>
    <row r="48" spans="1:7" ht="14.5">
      <c r="A48" s="3">
        <v>41</v>
      </c>
      <c r="B48" s="7" t="s">
        <v>46</v>
      </c>
      <c r="D48" s="3" t="s">
        <v>24</v>
      </c>
      <c r="E48" s="3">
        <v>2530009</v>
      </c>
      <c r="G48" s="9">
        <v>-3118067</v>
      </c>
    </row>
    <row r="49" spans="1:7" ht="14.5">
      <c r="A49" s="3">
        <v>42</v>
      </c>
      <c r="B49" s="7" t="s">
        <v>47</v>
      </c>
      <c r="D49" s="3" t="s">
        <v>24</v>
      </c>
      <c r="E49" s="3">
        <v>2530009</v>
      </c>
      <c r="G49" s="9">
        <v>-50000</v>
      </c>
    </row>
    <row r="50" spans="1:7" ht="14.5">
      <c r="A50" s="3">
        <v>43</v>
      </c>
      <c r="B50" s="7" t="s">
        <v>48</v>
      </c>
      <c r="D50" s="3" t="s">
        <v>24</v>
      </c>
      <c r="E50" s="3">
        <v>2530009</v>
      </c>
      <c r="G50" s="9">
        <v>-100000</v>
      </c>
    </row>
    <row r="51" spans="1:7" ht="14.5">
      <c r="A51" s="3">
        <v>44</v>
      </c>
      <c r="B51" s="1" t="s">
        <v>49</v>
      </c>
      <c r="G51" s="10">
        <f>SUM(G25:G50)</f>
        <v>-42876847.859999999</v>
      </c>
    </row>
    <row r="52" spans="1:1" ht="14.5">
      <c r="A52" s="3">
        <v>46</v>
      </c>
    </row>
    <row r="53" spans="1:7" ht="15" thickBot="1">
      <c r="A53" s="3">
        <v>47</v>
      </c>
      <c r="B53" s="1" t="s">
        <v>50</v>
      </c>
      <c r="G53" s="11">
        <f>G22+G51</f>
        <v>-43038947.859999999</v>
      </c>
    </row>
    <row r="54" spans="1:1" ht="14.5">
      <c r="A54" s="3">
        <v>48</v>
      </c>
    </row>
    <row r="55" spans="1:2" ht="14.5">
      <c r="A55" s="3">
        <v>49</v>
      </c>
      <c r="B55" s="12" t="s">
        <v>51</v>
      </c>
    </row>
    <row r="56" spans="1:2" ht="14.5">
      <c r="A56" s="3">
        <v>50</v>
      </c>
      <c r="B56" s="12" t="s">
        <v>52</v>
      </c>
    </row>
    <row r="57" spans="1:7" ht="14.5">
      <c r="A57" s="3">
        <v>51</v>
      </c>
      <c r="B57" s="12" t="s">
        <v>55</v>
      </c>
      <c r="G57" s="13">
        <v>42876848</v>
      </c>
    </row>
    <row r="58" spans="1:1" ht="14.5">
      <c r="A58" s="3">
        <v>52</v>
      </c>
    </row>
    <row r="59" spans="1:7" ht="15" thickBot="1">
      <c r="A59" s="3">
        <v>53</v>
      </c>
      <c r="B59" s="1" t="s">
        <v>53</v>
      </c>
      <c r="G59" s="14">
        <f>G53+G57</f>
        <v>-162099.8599999994</v>
      </c>
    </row>
    <row r="60" ht="15" thickTop="1"/>
  </sheetData>
  <pageMargins left="0.7" right="0.7" top="0.75" bottom="0.75" header="0.3" footer="0.3"/>
  <pageSetup fitToHeight="0" orientation="landscape" r:id="rId1"/>
  <headerFooter>
    <oddHeader>&amp;RWP/II-B-11/04
Page &amp;P of &amp;N</oddHeader>
  </headerFooter>
  <rowBreaks count="1" manualBreakCount="1">
    <brk id="33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Workpaper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