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B (Rate Base)\Sch II-B WP\"/>
    </mc:Choice>
  </mc:AlternateContent>
  <bookViews>
    <workbookView xWindow="0" yWindow="0" windowWidth="26085" windowHeight="11070" activeTab="0"/>
  </bookViews>
  <sheets>
    <sheet name="WP II-B-5_10" sheetId="1" r:id="rId2"/>
  </sheets>
  <definedNames>
    <definedName name="_xlnm.Print_Area" localSheetId="0">'WP II-B-5_10'!$I$5:$AB$212</definedName>
    <definedName name="_xlnm.Print_Titles" localSheetId="0">'WP II-B-5_10'!$A:$B,'WP II-B-5_10'!$3:$4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211" i="1" l="1"/>
</calcChain>
</file>

<file path=xl/sharedStrings.xml><?xml version="1.0" encoding="utf-8"?>
<sst xmlns="http://schemas.openxmlformats.org/spreadsheetml/2006/main" count="1125" uniqueCount="225">
  <si>
    <t>Business Unit</t>
  </si>
  <si>
    <t>Plant Account</t>
  </si>
  <si>
    <t>Vintage</t>
  </si>
  <si>
    <t>Amount</t>
  </si>
  <si>
    <t>Sub-Group</t>
  </si>
  <si>
    <t>MET</t>
  </si>
  <si>
    <t>DIST</t>
  </si>
  <si>
    <t>TRAN</t>
  </si>
  <si>
    <t>Computer</t>
  </si>
  <si>
    <t>NTUSU</t>
  </si>
  <si>
    <t>NTU TRAN</t>
  </si>
  <si>
    <t>TDCS</t>
  </si>
  <si>
    <t>Age</t>
  </si>
  <si>
    <t>ASL</t>
  </si>
  <si>
    <t>RL</t>
  </si>
  <si>
    <t>Theo Res</t>
  </si>
  <si>
    <t>Prorate</t>
  </si>
  <si>
    <t>Alloc Reserve</t>
  </si>
  <si>
    <t xml:space="preserve">DIST </t>
  </si>
  <si>
    <t>Plant</t>
  </si>
  <si>
    <t>Check</t>
  </si>
  <si>
    <t>Location</t>
  </si>
  <si>
    <t>Location Description</t>
  </si>
  <si>
    <t>1616 Woodall Rodgers</t>
  </si>
  <si>
    <t>Arlington Business Office</t>
  </si>
  <si>
    <t>Athens Service Center</t>
  </si>
  <si>
    <t>Brownwood Service Center</t>
  </si>
  <si>
    <t>Celeste Service Center</t>
  </si>
  <si>
    <t>Cleburne Service Center</t>
  </si>
  <si>
    <t>Dallas Southwest Service Ctr</t>
  </si>
  <si>
    <t>Desoto Service Center</t>
  </si>
  <si>
    <t>Eastland T&amp;D Center</t>
  </si>
  <si>
    <t>Electric Service Building</t>
  </si>
  <si>
    <t>Energy Plaza</t>
  </si>
  <si>
    <t>Euless Serv Cntr(Northeast)</t>
  </si>
  <si>
    <t>Fort Worth Operations Center</t>
  </si>
  <si>
    <t>Ft Worth Serv Ctr (Benbrook)</t>
  </si>
  <si>
    <t>Fw-North North Service Ctr</t>
  </si>
  <si>
    <t>General Plant Prop Dallas SE</t>
  </si>
  <si>
    <t>Irving Cust Opr,4200 N.Beltlin</t>
  </si>
  <si>
    <t>Irving Serv Ctr,2525 W. Story</t>
  </si>
  <si>
    <t>Killeen Service Center</t>
  </si>
  <si>
    <t>Lake Dallas Service Center</t>
  </si>
  <si>
    <t>Lancaster, SOSF</t>
  </si>
  <si>
    <t>Lufkin Service Center</t>
  </si>
  <si>
    <t>Mckinney Service Center</t>
  </si>
  <si>
    <t>Mesquite Data Center</t>
  </si>
  <si>
    <t>Mesquite Service Center</t>
  </si>
  <si>
    <t>Mexia Service Center</t>
  </si>
  <si>
    <t>Midland Service Center</t>
  </si>
  <si>
    <t>Midland West 138-12.5KV</t>
  </si>
  <si>
    <t>Nacogdoches Customer Operation</t>
  </si>
  <si>
    <t>Ne. Serv Center &amp; Warehouse #5</t>
  </si>
  <si>
    <t>Paris Service Center</t>
  </si>
  <si>
    <t>Round Rock Service Center</t>
  </si>
  <si>
    <t>Stanton Service Center</t>
  </si>
  <si>
    <t>System Operating Serv Facility</t>
  </si>
  <si>
    <t>Taylor Service Center</t>
  </si>
  <si>
    <t>Temple Service Center</t>
  </si>
  <si>
    <t>Terrell Service Center</t>
  </si>
  <si>
    <t>Texoma Customer Opr - Denison</t>
  </si>
  <si>
    <t>Trinity Warehouse, Ft Worth</t>
  </si>
  <si>
    <t>Tyler Service Center</t>
  </si>
  <si>
    <t>Waco Customer Operations</t>
  </si>
  <si>
    <t>Waco Service Center</t>
  </si>
  <si>
    <t>West Serv Ctr Rec Strg Fw</t>
  </si>
  <si>
    <t>Big Spring Service Center</t>
  </si>
  <si>
    <t>Collin SES</t>
  </si>
  <si>
    <t>Commerce Switch</t>
  </si>
  <si>
    <t>Fort Worth Trans Div.Hdqtr.</t>
  </si>
  <si>
    <t>Ft Worth Operations Cntr</t>
  </si>
  <si>
    <t>Gen Plt Property Mtn Creek</t>
  </si>
  <si>
    <t>Glenrose Transm Service Ctr</t>
  </si>
  <si>
    <t>Graham Transmission</t>
  </si>
  <si>
    <t>Greenwood Repeater</t>
  </si>
  <si>
    <t>Irving Microwave</t>
  </si>
  <si>
    <t>Irving Serv Ctr,2525 W Story</t>
  </si>
  <si>
    <t>Lancaster,  TOC</t>
  </si>
  <si>
    <t>L000777</t>
  </si>
  <si>
    <t>LEASED: 777 Main St - Ft Worth</t>
  </si>
  <si>
    <t>L000056</t>
  </si>
  <si>
    <t>LEASED: Lubbock 4415 Idalou Rd</t>
  </si>
  <si>
    <t>L000055</t>
  </si>
  <si>
    <t>Leased:260 Gilbert Road WH</t>
  </si>
  <si>
    <t>L000003</t>
  </si>
  <si>
    <t>LEASED:Forney 905 E. Broad St.</t>
  </si>
  <si>
    <t>L000006</t>
  </si>
  <si>
    <t>LEASED:Lufkin 4110 Ellen Trout</t>
  </si>
  <si>
    <t>L000009</t>
  </si>
  <si>
    <t>LEASED:Texoma(Shrmn) 313 Dorse</t>
  </si>
  <si>
    <t>McKinney Microwave</t>
  </si>
  <si>
    <t>Merit Repeater</t>
  </si>
  <si>
    <t>Mesquite DPC</t>
  </si>
  <si>
    <t>Monticello Microwave</t>
  </si>
  <si>
    <t>North Lake SES Microwave</t>
  </si>
  <si>
    <t>Northeast Service Center</t>
  </si>
  <si>
    <t>Odessa Transmission Office</t>
  </si>
  <si>
    <t>Paris Switch</t>
  </si>
  <si>
    <t>Plano Parkway Microwave</t>
  </si>
  <si>
    <t>River Crest SES</t>
  </si>
  <si>
    <t>Sherman Microwave</t>
  </si>
  <si>
    <t>Sulphur Springs</t>
  </si>
  <si>
    <t>Sulphur Springs Transmission</t>
  </si>
  <si>
    <t>Sweetwater T&amp;D Service Center</t>
  </si>
  <si>
    <t>System Materials Center,Ligget</t>
  </si>
  <si>
    <t>T&amp;D Complex,100 N. Irving Hgts</t>
  </si>
  <si>
    <t>Temple T&amp;D Satellite</t>
  </si>
  <si>
    <t>Texoma</t>
  </si>
  <si>
    <t>TGM Microwave</t>
  </si>
  <si>
    <t>Transmission Grid Management</t>
  </si>
  <si>
    <t>Tyler Transmission District</t>
  </si>
  <si>
    <t>Valley SES</t>
  </si>
  <si>
    <t>Van Alystyne Repeater</t>
  </si>
  <si>
    <t>Wichita Falls 1900 Jacksboro H</t>
  </si>
  <si>
    <t>Windom Repeater</t>
  </si>
  <si>
    <t>NTSU</t>
  </si>
  <si>
    <t>N006800</t>
  </si>
  <si>
    <t>Amarillo Trans Service Center</t>
  </si>
  <si>
    <t>Total Reserve</t>
  </si>
  <si>
    <t>Oncor Legacy Resrve</t>
  </si>
  <si>
    <t>Differece</t>
  </si>
  <si>
    <t>Proration</t>
  </si>
  <si>
    <t>AMS Assets</t>
  </si>
  <si>
    <t>Total 391</t>
  </si>
  <si>
    <t>Total Computer Oncor Legacy</t>
  </si>
  <si>
    <t>391</t>
  </si>
  <si>
    <t>0005020</t>
  </si>
  <si>
    <t>0002072</t>
  </si>
  <si>
    <t>0000964</t>
  </si>
  <si>
    <t>0003883</t>
  </si>
  <si>
    <t>0003911</t>
  </si>
  <si>
    <t>0007810</t>
  </si>
  <si>
    <t>0007812</t>
  </si>
  <si>
    <t>0002010</t>
  </si>
  <si>
    <t>0007830</t>
  </si>
  <si>
    <t>0007808</t>
  </si>
  <si>
    <t>0003460</t>
  </si>
  <si>
    <t>0007844</t>
  </si>
  <si>
    <t>0007847</t>
  </si>
  <si>
    <t>0007852</t>
  </si>
  <si>
    <t>0007854</t>
  </si>
  <si>
    <t>0007860</t>
  </si>
  <si>
    <t>0007813</t>
  </si>
  <si>
    <t>0007866</t>
  </si>
  <si>
    <t>0007876</t>
  </si>
  <si>
    <t>0007823</t>
  </si>
  <si>
    <t>0007882</t>
  </si>
  <si>
    <t>0007827</t>
  </si>
  <si>
    <t>0007896</t>
  </si>
  <si>
    <t>0007815</t>
  </si>
  <si>
    <t>0004932</t>
  </si>
  <si>
    <t>0007914</t>
  </si>
  <si>
    <t>0007916</t>
  </si>
  <si>
    <t>0007918</t>
  </si>
  <si>
    <t>0000965</t>
  </si>
  <si>
    <t>0002000</t>
  </si>
  <si>
    <t>0002037</t>
  </si>
  <si>
    <t>0002417</t>
  </si>
  <si>
    <t>0002073</t>
  </si>
  <si>
    <t>0003898</t>
  </si>
  <si>
    <t>0007856</t>
  </si>
  <si>
    <t>0003060</t>
  </si>
  <si>
    <t>0003560</t>
  </si>
  <si>
    <t>0003760</t>
  </si>
  <si>
    <t>0003820</t>
  </si>
  <si>
    <t>0003891</t>
  </si>
  <si>
    <t>0003886</t>
  </si>
  <si>
    <t>0003627</t>
  </si>
  <si>
    <t>0002320</t>
  </si>
  <si>
    <t>0003320</t>
  </si>
  <si>
    <t>0003680</t>
  </si>
  <si>
    <t>0002420</t>
  </si>
  <si>
    <t>0002438</t>
  </si>
  <si>
    <t>0003882</t>
  </si>
  <si>
    <t>0002430</t>
  </si>
  <si>
    <t>0003120</t>
  </si>
  <si>
    <t>0007902</t>
  </si>
  <si>
    <t>0002310</t>
  </si>
  <si>
    <t>0003620</t>
  </si>
  <si>
    <t>0005060</t>
  </si>
  <si>
    <t>0003450</t>
  </si>
  <si>
    <t>0007846</t>
  </si>
  <si>
    <t>0002410</t>
  </si>
  <si>
    <t>0003894</t>
  </si>
  <si>
    <t>0002090</t>
  </si>
  <si>
    <t>0002436</t>
  </si>
  <si>
    <t>0002409</t>
  </si>
  <si>
    <t>0003020</t>
  </si>
  <si>
    <t>0003150</t>
  </si>
  <si>
    <t>0003580</t>
  </si>
  <si>
    <t>0003640</t>
  </si>
  <si>
    <t>0005140</t>
  </si>
  <si>
    <t>0002712</t>
  </si>
  <si>
    <t>0007898</t>
  </si>
  <si>
    <t>0003893</t>
  </si>
  <si>
    <t>0003900</t>
  </si>
  <si>
    <t>0003520</t>
  </si>
  <si>
    <t>0003910</t>
  </si>
  <si>
    <t>0003889</t>
  </si>
  <si>
    <t>0002034</t>
  </si>
  <si>
    <t>0003281</t>
  </si>
  <si>
    <t>0000901</t>
  </si>
  <si>
    <t>0002050</t>
  </si>
  <si>
    <t>0003540</t>
  </si>
  <si>
    <t>0000910</t>
  </si>
  <si>
    <t>0003710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</si>
  <si>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</si>
  <si>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</si>
  <si>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</si>
  <si>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</si>
  <si>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</si>
  <si>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</si>
  <si>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</si>
  <si>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</si>
  <si>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</si>
  <si>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</si>
  <si>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</si>
  <si>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</si>
  <si>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</si>
  <si>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</si>
  <si>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WP II-B5_09</t>
  </si>
  <si>
    <t>Net Plant</t>
  </si>
  <si>
    <t>Non-AMS Computer Equipment</t>
  </si>
  <si>
    <t>AMS Computer Equipment</t>
  </si>
  <si>
    <t>Total Computer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</si>
</sst>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0">
    <xf numFmtId="0" fontId="0" fillId="0" borderId="0" xfId="0"/>
    <xf numFmtId="44" fontId="0" fillId="0" borderId="0" xfId="16" applyFont="1"/>
    <xf numFmtId="0" fontId="2" fillId="0" borderId="0" xfId="0" applyFont="1"/>
    <xf numFmtId="44" fontId="2" fillId="0" borderId="0" xfId="16" applyFont="1"/>
    <xf numFmtId="43" fontId="0" fillId="0" borderId="0" xfId="18" applyFont="1"/>
    <xf numFmtId="43" fontId="2" fillId="0" borderId="0" xfId="18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NumberFormat="1" applyFont="1"/>
    <xf numFmtId="37" fontId="2" fillId="0" borderId="0" xfId="0" applyNumberFormat="1" applyFont="1"/>
    <xf numFmtId="0" fontId="3" fillId="0" borderId="0" xfId="0" applyFont="1" applyAlignment="1">
      <alignment horizontal="center" wrapText="1"/>
    </xf>
    <xf numFmtId="43" fontId="3" fillId="0" borderId="0" xfId="18" applyFont="1" applyAlignment="1">
      <alignment horizontal="center" wrapText="1"/>
    </xf>
    <xf numFmtId="44" fontId="3" fillId="0" borderId="0" xfId="16" applyFont="1" applyAlignment="1">
      <alignment horizontal="center" wrapText="1"/>
    </xf>
    <xf numFmtId="43" fontId="2" fillId="0" borderId="0" xfId="18" applyFont="1" applyAlignment="1">
      <alignment horizontal="right"/>
    </xf>
    <xf numFmtId="44" fontId="0" fillId="0" borderId="0" xfId="16" applyFont="1" applyAlignment="1">
      <alignment horizontal="right"/>
    </xf>
    <xf numFmtId="44" fontId="4" fillId="0" borderId="0" xfId="16" applyFont="1" applyAlignment="1">
      <alignment horizontal="center"/>
    </xf>
    <xf numFmtId="44" fontId="2" fillId="0" borderId="1" xfId="16" applyFont="1" applyBorder="1" applyAlignment="1">
      <alignment horizontal="center"/>
    </xf>
    <xf numFmtId="44" fontId="2" fillId="0" borderId="2" xfId="16" applyFont="1" applyBorder="1" applyAlignment="1">
      <alignment horizontal="center"/>
    </xf>
    <xf numFmtId="44" fontId="2" fillId="0" borderId="3" xfId="16" applyFont="1" applyBorder="1" applyAlignment="1">
      <alignment horizontal="center"/>
    </xf>
    <xf numFmtId="44" fontId="2" fillId="0" borderId="0" xfId="16" applyFont="1" applyAlignment="1">
      <alignment horizont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AJ212"/>
  <sheetViews>
    <sheetView tabSelected="1" workbookViewId="0" topLeftCell="N4">
      <pane ySplit="1" topLeftCell="A185" activePane="bottomLeft" state="frozen"/>
      <selection pane="topLeft" activeCell="A4" sqref="A4"/>
      <selection pane="bottomLeft" activeCell="AB212" sqref="AB212"/>
    </sheetView>
  </sheetViews>
  <sheetFormatPr defaultRowHeight="15.75"/>
  <cols>
    <col min="1" max="1" width="13.2857142857143" style="2" bestFit="1" customWidth="1"/>
    <col min="2" max="2" width="11.4285714285714" customWidth="1"/>
    <col min="3" max="3" width="11.7142857142857" bestFit="1" customWidth="1"/>
    <col min="4" max="4" width="38.4285714285714" bestFit="1" customWidth="1"/>
    <col min="5" max="5" width="12.1428571428571" bestFit="1" customWidth="1"/>
    <col min="6" max="6" width="7" bestFit="1" customWidth="1"/>
    <col min="7" max="7" width="18.4285714285714" style="4" bestFit="1" customWidth="1"/>
    <col min="8" max="8" width="5.71428571428571" customWidth="1"/>
    <col min="9" max="9" width="12.8571428571429" bestFit="1" customWidth="1"/>
    <col min="10" max="10" width="7" bestFit="1" customWidth="1"/>
    <col min="11" max="11" width="17.1428571428571" bestFit="1" customWidth="1"/>
    <col min="12" max="12" width="17.1428571428571" style="4" bestFit="1" customWidth="1"/>
    <col min="13" max="13" width="9.14285714285714" bestFit="1" customWidth="1"/>
    <col min="14" max="14" width="18.4285714285714" style="4" bestFit="1" customWidth="1"/>
    <col min="15" max="15" width="6" style="4" customWidth="1"/>
    <col min="16" max="16" width="24.7142857142857" style="1" bestFit="1" customWidth="1"/>
    <col min="17" max="17" width="13.4285714285714" style="1" bestFit="1" customWidth="1"/>
    <col min="18" max="20" width="17.1428571428571" style="1" bestFit="1" customWidth="1"/>
    <col min="21" max="21" width="12.1428571428571" style="1" bestFit="1" customWidth="1"/>
    <col min="22" max="22" width="5.71428571428571" style="1" customWidth="1"/>
    <col min="23" max="23" width="17.1428571428571" style="1" bestFit="1" customWidth="1"/>
    <col min="24" max="24" width="14" style="1" bestFit="1" customWidth="1"/>
    <col min="25" max="27" width="17.1428571428571" style="1" bestFit="1" customWidth="1"/>
    <col min="28" max="28" width="15.2857142857143" style="1" bestFit="1" customWidth="1"/>
    <col min="29" max="29" width="16.2857142857143" style="1" bestFit="1" customWidth="1"/>
  </cols>
  <sheetData>
    <row r="1" spans="2:36" ht="15.6">
      <c r="B1" s="2"/>
      <c r="C1" s="2"/>
      <c r="D1" s="2"/>
      <c r="E1" s="2"/>
      <c r="F1" s="2"/>
      <c r="G1" s="5"/>
      <c r="H1" s="2"/>
      <c r="I1" s="2"/>
      <c r="J1" s="2"/>
      <c r="K1" s="2"/>
      <c r="L1" s="5"/>
      <c r="M1" s="2"/>
      <c r="N1" s="5"/>
      <c r="O1" s="5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2"/>
      <c r="AE1" s="2"/>
      <c r="AF1" s="2"/>
      <c r="AG1" s="2"/>
      <c r="AH1" s="2"/>
      <c r="AI1" s="2"/>
      <c r="AJ1" s="2"/>
    </row>
    <row r="2" spans="2:36" ht="15.6">
      <c r="B2" s="2"/>
      <c r="C2" s="2"/>
      <c r="D2" s="2"/>
      <c r="E2" s="2"/>
      <c r="F2" s="2"/>
      <c r="G2" s="5"/>
      <c r="H2" s="2"/>
      <c r="I2" s="2"/>
      <c r="J2" s="2"/>
      <c r="K2" s="2"/>
      <c r="L2" s="5"/>
      <c r="M2" s="2"/>
      <c r="N2" s="5"/>
      <c r="O2" s="5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2"/>
      <c r="AE2" s="2"/>
      <c r="AF2" s="2"/>
      <c r="AG2" s="2"/>
      <c r="AH2" s="2"/>
      <c r="AI2" s="2"/>
      <c r="AJ2" s="2"/>
    </row>
    <row r="3" spans="2:36" ht="15.6">
      <c r="B3" s="2"/>
      <c r="C3" s="2"/>
      <c r="D3" s="2"/>
      <c r="E3" s="2"/>
      <c r="F3" s="2"/>
      <c r="G3" s="5"/>
      <c r="H3" s="2"/>
      <c r="I3" s="2"/>
      <c r="J3" s="2"/>
      <c r="K3" s="2"/>
      <c r="L3" s="5"/>
      <c r="M3" s="2"/>
      <c r="N3" s="5"/>
      <c r="O3" s="5"/>
      <c r="P3" s="16" t="s">
        <v>19</v>
      </c>
      <c r="Q3" s="17"/>
      <c r="R3" s="17"/>
      <c r="S3" s="17"/>
      <c r="T3" s="17"/>
      <c r="U3" s="18"/>
      <c r="V3" s="3"/>
      <c r="W3" s="19" t="s">
        <v>17</v>
      </c>
      <c r="X3" s="19"/>
      <c r="Y3" s="19"/>
      <c r="Z3" s="19"/>
      <c r="AA3" s="19"/>
      <c r="AB3" s="19"/>
      <c r="AC3" s="3"/>
      <c r="AD3" s="2"/>
      <c r="AE3" s="2"/>
      <c r="AF3" s="2"/>
      <c r="AG3" s="2"/>
      <c r="AH3" s="2"/>
      <c r="AI3" s="2"/>
      <c r="AJ3" s="2"/>
    </row>
    <row r="4" spans="1:36" ht="31.35">
      <c r="A4" s="10" t="s">
        <v>0</v>
      </c>
      <c r="B4" s="10" t="s">
        <v>1</v>
      </c>
      <c r="C4" s="10" t="s">
        <v>21</v>
      </c>
      <c r="D4" s="10" t="s">
        <v>22</v>
      </c>
      <c r="E4" s="10" t="s">
        <v>2</v>
      </c>
      <c r="F4" s="10" t="s">
        <v>12</v>
      </c>
      <c r="G4" s="11" t="s">
        <v>3</v>
      </c>
      <c r="H4" s="10"/>
      <c r="I4" s="10" t="s">
        <v>4</v>
      </c>
      <c r="J4" s="10" t="s">
        <v>13</v>
      </c>
      <c r="K4" s="10" t="s">
        <v>14</v>
      </c>
      <c r="L4" s="11" t="s">
        <v>15</v>
      </c>
      <c r="M4" s="10" t="s">
        <v>16</v>
      </c>
      <c r="N4" s="11" t="s">
        <v>17</v>
      </c>
      <c r="O4" s="11"/>
      <c r="P4" s="12" t="s">
        <v>7</v>
      </c>
      <c r="Q4" s="12" t="s">
        <v>10</v>
      </c>
      <c r="R4" s="12" t="s">
        <v>18</v>
      </c>
      <c r="S4" s="12" t="s">
        <v>5</v>
      </c>
      <c r="T4" s="12" t="s">
        <v>11</v>
      </c>
      <c r="U4" s="12" t="s">
        <v>20</v>
      </c>
      <c r="V4" s="12"/>
      <c r="W4" s="12" t="str">
        <f>+P4</f>
        <v>TRAN</v>
      </c>
      <c r="X4" s="12" t="s">
        <v>10</v>
      </c>
      <c r="Y4" s="12" t="s">
        <v>18</v>
      </c>
      <c r="Z4" s="12" t="s">
        <v>5</v>
      </c>
      <c r="AA4" s="12" t="s">
        <v>11</v>
      </c>
      <c r="AB4" s="12" t="s">
        <v>20</v>
      </c>
      <c r="AC4" s="3"/>
      <c r="AD4" s="2"/>
      <c r="AE4" s="2"/>
      <c r="AF4" s="2"/>
      <c r="AG4" s="2"/>
      <c r="AH4" s="2"/>
      <c r="AI4" s="2"/>
      <c r="AJ4" s="2"/>
    </row>
    <row r="5" spans="1:28" ht="15.6">
      <c r="A5" s="2" t="s">
        <v>6</v>
      </c>
      <c r="B5" s="2" t="s">
        <v>125</v>
      </c>
      <c r="C5" s="6" t="s">
        <v>126</v>
      </c>
      <c r="D5" s="6" t="s">
        <v>23</v>
      </c>
      <c r="E5" s="8" t="s">
        <v>206</v>
      </c>
      <c r="F5" s="2">
        <f t="shared" si="0" ref="F5:F36">2021.5-E5</f>
        <v>0.5</v>
      </c>
      <c r="G5" s="5">
        <v>18366193.59</v>
      </c>
      <c r="H5" s="2"/>
      <c r="I5" s="2" t="s">
        <v>8</v>
      </c>
      <c r="J5" s="2">
        <v>7</v>
      </c>
      <c r="K5" s="2">
        <f t="shared" si="1" ref="K5:K36">+J5-F5</f>
        <v>6.5</v>
      </c>
      <c r="L5" s="5">
        <f t="shared" si="2" ref="L5:L35">+G5*(1-K5/J5)</f>
        <v>1311870.970714285</v>
      </c>
      <c r="M5" s="5">
        <f t="shared" si="3" ref="M5:M36">$N$206</f>
        <v>0.83168468733105205</v>
      </c>
      <c r="N5" s="5">
        <f t="shared" si="4" ref="N5:N35">+L5*M5</f>
        <v>1091062.9980971939</v>
      </c>
      <c r="O5" s="5"/>
      <c r="P5" s="5">
        <v>4259454.2599999998</v>
      </c>
      <c r="Q5" s="5">
        <v>0</v>
      </c>
      <c r="R5" s="5">
        <v>5568904.9100000001</v>
      </c>
      <c r="S5" s="5">
        <v>3191528.3300000001</v>
      </c>
      <c r="T5" s="5">
        <v>5346306.0899999999</v>
      </c>
      <c r="U5" s="5">
        <f t="shared" si="5" ref="U5:U12">+G5-SUM(P5:T5)</f>
        <v>0</v>
      </c>
      <c r="V5" s="5"/>
      <c r="W5" s="5">
        <f t="shared" si="6" ref="W5:AB5">+P5/$G5*$N5</f>
        <v>253037.34888778685</v>
      </c>
      <c r="X5" s="5">
        <f t="shared" si="6"/>
        <v>0</v>
      </c>
      <c r="Y5" s="5">
        <f t="shared" si="6"/>
        <v>330826.63848926488</v>
      </c>
      <c r="Z5" s="5">
        <f t="shared" si="6"/>
        <v>189596.0886603031</v>
      </c>
      <c r="AA5" s="5">
        <f t="shared" si="6"/>
        <v>317602.92205983907</v>
      </c>
      <c r="AB5" s="5">
        <f t="shared" si="6"/>
        <v>0</v>
      </c>
    </row>
    <row r="6" spans="1:28" ht="15.6">
      <c r="A6" s="2" t="s">
        <v>6</v>
      </c>
      <c r="B6" s="2" t="s">
        <v>125</v>
      </c>
      <c r="C6" s="6" t="s">
        <v>127</v>
      </c>
      <c r="D6" s="6" t="s">
        <v>36</v>
      </c>
      <c r="E6" s="8" t="s">
        <v>206</v>
      </c>
      <c r="F6" s="2">
        <f t="shared" si="0"/>
        <v>0.5</v>
      </c>
      <c r="G6" s="5">
        <v>1822.98</v>
      </c>
      <c r="H6" s="2"/>
      <c r="I6" s="2" t="s">
        <v>8</v>
      </c>
      <c r="J6" s="2">
        <v>7</v>
      </c>
      <c r="K6" s="2">
        <f t="shared" si="1"/>
        <v>6.5</v>
      </c>
      <c r="L6" s="5">
        <f t="shared" si="2"/>
        <v>130.21285714285708</v>
      </c>
      <c r="M6" s="5">
        <f t="shared" si="3"/>
        <v>0.83168468733105205</v>
      </c>
      <c r="N6" s="5">
        <f t="shared" si="4"/>
        <v>108.29603937934003</v>
      </c>
      <c r="O6" s="5"/>
      <c r="P6" s="5">
        <v>422.77999999999997</v>
      </c>
      <c r="Q6" s="5">
        <v>0</v>
      </c>
      <c r="R6" s="5">
        <v>552.75</v>
      </c>
      <c r="S6" s="5">
        <v>316.77999999999997</v>
      </c>
      <c r="T6" s="5">
        <v>530.67000000000007</v>
      </c>
      <c r="U6" s="5">
        <f t="shared" si="5"/>
        <v>0</v>
      </c>
      <c r="V6" s="5"/>
      <c r="W6" s="5">
        <f t="shared" si="7" ref="W6:W35">+P6/$G6*$N6</f>
        <v>25.115689436415856</v>
      </c>
      <c r="X6" s="5">
        <f t="shared" si="8" ref="X6:X35">+Q6/$G6*$N6</f>
        <v>0</v>
      </c>
      <c r="Y6" s="5">
        <f t="shared" si="9" ref="Y6:Y35">+R6/$G6*$N6</f>
        <v>32.836693637302766</v>
      </c>
      <c r="Z6" s="5">
        <f t="shared" si="10" ref="Z6:Z35">+S6/$G6*$N6</f>
        <v>18.818648232337893</v>
      </c>
      <c r="AA6" s="5">
        <f t="shared" si="11" ref="AA6:AA35">+T6/$G6*$N6</f>
        <v>31.525008073283512</v>
      </c>
      <c r="AB6" s="5">
        <f t="shared" si="12" ref="AB6:AB35">+U6/$G6*$N6</f>
        <v>0</v>
      </c>
    </row>
    <row r="7" spans="1:28" ht="15.6">
      <c r="A7" s="2" t="s">
        <v>6</v>
      </c>
      <c r="B7" s="2" t="s">
        <v>125</v>
      </c>
      <c r="C7" s="6" t="s">
        <v>128</v>
      </c>
      <c r="D7" s="6" t="s">
        <v>52</v>
      </c>
      <c r="E7" s="8" t="s">
        <v>206</v>
      </c>
      <c r="F7" s="2">
        <f t="shared" si="0"/>
        <v>0.5</v>
      </c>
      <c r="G7" s="5">
        <v>2028.22</v>
      </c>
      <c r="H7" s="2"/>
      <c r="I7" s="2" t="s">
        <v>8</v>
      </c>
      <c r="J7" s="2">
        <v>7</v>
      </c>
      <c r="K7" s="2">
        <f t="shared" si="1"/>
        <v>6.5</v>
      </c>
      <c r="L7" s="5">
        <f t="shared" si="2"/>
        <v>144.87285714285707</v>
      </c>
      <c r="M7" s="5">
        <f t="shared" si="3"/>
        <v>0.83168468733105205</v>
      </c>
      <c r="N7" s="5">
        <f t="shared" si="4"/>
        <v>120.48853689561325</v>
      </c>
      <c r="O7" s="5"/>
      <c r="P7" s="5">
        <v>470.38</v>
      </c>
      <c r="Q7" s="5">
        <v>0</v>
      </c>
      <c r="R7" s="5">
        <v>614.99000000000001</v>
      </c>
      <c r="S7" s="5">
        <v>352.44999999999999</v>
      </c>
      <c r="T7" s="5">
        <v>590.40000000000009</v>
      </c>
      <c r="U7" s="5">
        <f t="shared" si="5"/>
        <v>0</v>
      </c>
      <c r="V7" s="5"/>
      <c r="W7" s="5">
        <f t="shared" si="7"/>
        <v>27.943417373341433</v>
      </c>
      <c r="X7" s="5">
        <f t="shared" si="8"/>
        <v>0</v>
      </c>
      <c r="Y7" s="5">
        <f t="shared" si="9"/>
        <v>36.534126132980248</v>
      </c>
      <c r="Z7" s="5">
        <f t="shared" si="10"/>
        <v>20.937662003559222</v>
      </c>
      <c r="AA7" s="5">
        <f t="shared" si="11"/>
        <v>35.073331385732352</v>
      </c>
      <c r="AB7" s="5">
        <f t="shared" si="12"/>
        <v>0</v>
      </c>
    </row>
    <row r="8" spans="1:28" ht="15.6">
      <c r="A8" s="2" t="s">
        <v>6</v>
      </c>
      <c r="B8" s="2" t="s">
        <v>125</v>
      </c>
      <c r="C8" s="6" t="s">
        <v>129</v>
      </c>
      <c r="D8" s="6" t="s">
        <v>56</v>
      </c>
      <c r="E8" s="8" t="s">
        <v>206</v>
      </c>
      <c r="F8" s="2">
        <f t="shared" si="0"/>
        <v>0.5</v>
      </c>
      <c r="G8" s="5">
        <v>45261.589999999997</v>
      </c>
      <c r="H8" s="2"/>
      <c r="I8" s="2" t="s">
        <v>8</v>
      </c>
      <c r="J8" s="2">
        <v>7</v>
      </c>
      <c r="K8" s="2">
        <f t="shared" si="1"/>
        <v>6.5</v>
      </c>
      <c r="L8" s="5">
        <f t="shared" si="2"/>
        <v>3232.9707142857128</v>
      </c>
      <c r="M8" s="5">
        <f t="shared" si="3"/>
        <v>0.83168468733105205</v>
      </c>
      <c r="N8" s="5">
        <f t="shared" si="4"/>
        <v>2688.8122376611609</v>
      </c>
      <c r="O8" s="5"/>
      <c r="P8" s="5">
        <v>10496.99</v>
      </c>
      <c r="Q8" s="5">
        <v>0</v>
      </c>
      <c r="R8" s="5">
        <v>13723.99</v>
      </c>
      <c r="S8" s="5">
        <v>7865.1899999999996</v>
      </c>
      <c r="T8" s="5">
        <v>13175.420000000002</v>
      </c>
      <c r="U8" s="5">
        <f t="shared" si="5"/>
        <v>0</v>
      </c>
      <c r="V8" s="5"/>
      <c r="W8" s="5">
        <f t="shared" si="7"/>
        <v>623.58470329051261</v>
      </c>
      <c r="X8" s="5">
        <f t="shared" si="8"/>
        <v>0</v>
      </c>
      <c r="Y8" s="5">
        <f t="shared" si="9"/>
        <v>815.28802372031987</v>
      </c>
      <c r="Z8" s="5">
        <f t="shared" si="10"/>
        <v>467.23986328209389</v>
      </c>
      <c r="AA8" s="5">
        <f t="shared" si="11"/>
        <v>782.69964736823476</v>
      </c>
      <c r="AB8" s="5">
        <f t="shared" si="12"/>
        <v>0</v>
      </c>
    </row>
    <row r="9" spans="1:28" ht="15.6">
      <c r="A9" s="2" t="s">
        <v>6</v>
      </c>
      <c r="B9" s="2" t="s">
        <v>125</v>
      </c>
      <c r="C9" s="6" t="s">
        <v>130</v>
      </c>
      <c r="D9" s="6" t="s">
        <v>64</v>
      </c>
      <c r="E9" s="8" t="s">
        <v>206</v>
      </c>
      <c r="F9" s="2">
        <f t="shared" si="0"/>
        <v>0.5</v>
      </c>
      <c r="G9" s="5">
        <v>10868.34</v>
      </c>
      <c r="H9" s="2"/>
      <c r="I9" s="2" t="s">
        <v>8</v>
      </c>
      <c r="J9" s="2">
        <v>7</v>
      </c>
      <c r="K9" s="2">
        <f t="shared" si="1"/>
        <v>6.5</v>
      </c>
      <c r="L9" s="5">
        <f t="shared" si="2"/>
        <v>776.30999999999972</v>
      </c>
      <c r="M9" s="5">
        <f t="shared" si="3"/>
        <v>0.83168468733105205</v>
      </c>
      <c r="N9" s="5">
        <f t="shared" si="4"/>
        <v>645.64513962196884</v>
      </c>
      <c r="O9" s="5"/>
      <c r="P9" s="5">
        <v>2520.5700000000002</v>
      </c>
      <c r="Q9" s="5">
        <v>0</v>
      </c>
      <c r="R9" s="5">
        <v>3295.4400000000001</v>
      </c>
      <c r="S9" s="5">
        <v>1888.6099999999999</v>
      </c>
      <c r="T9" s="5">
        <v>3163.7200000000003</v>
      </c>
      <c r="U9" s="5">
        <f t="shared" si="5"/>
        <v>0</v>
      </c>
      <c r="V9" s="5"/>
      <c r="W9" s="5">
        <f t="shared" si="7"/>
        <v>149.73710516757353</v>
      </c>
      <c r="X9" s="5">
        <f t="shared" si="8"/>
        <v>0</v>
      </c>
      <c r="Y9" s="5">
        <f t="shared" si="9"/>
        <v>195.76907042987438</v>
      </c>
      <c r="Z9" s="5">
        <f t="shared" si="10"/>
        <v>112.19485838144983</v>
      </c>
      <c r="AA9" s="5">
        <f t="shared" si="11"/>
        <v>187.94410564307111</v>
      </c>
      <c r="AB9" s="5">
        <f t="shared" si="12"/>
        <v>0</v>
      </c>
    </row>
    <row r="10" spans="1:28" ht="15.6">
      <c r="A10" s="2" t="s">
        <v>7</v>
      </c>
      <c r="B10" s="2" t="s">
        <v>125</v>
      </c>
      <c r="C10" s="6" t="s">
        <v>126</v>
      </c>
      <c r="D10" s="6" t="s">
        <v>23</v>
      </c>
      <c r="E10" s="8" t="s">
        <v>206</v>
      </c>
      <c r="F10" s="2">
        <f t="shared" si="0"/>
        <v>0.5</v>
      </c>
      <c r="G10" s="5">
        <v>369761.71000000002</v>
      </c>
      <c r="H10" s="2"/>
      <c r="I10" s="2" t="s">
        <v>8</v>
      </c>
      <c r="J10" s="2">
        <v>7</v>
      </c>
      <c r="K10" s="2">
        <f t="shared" si="1"/>
        <v>6.5</v>
      </c>
      <c r="L10" s="5">
        <f t="shared" si="2"/>
        <v>26411.550714285702</v>
      </c>
      <c r="M10" s="5">
        <f t="shared" si="3"/>
        <v>0.83168468733105205</v>
      </c>
      <c r="N10" s="5">
        <f t="shared" si="4"/>
        <v>21966.082297738929</v>
      </c>
      <c r="O10" s="5"/>
      <c r="P10" s="5">
        <v>85754.460000000006</v>
      </c>
      <c r="Q10" s="5">
        <v>0</v>
      </c>
      <c r="R10" s="5">
        <v>112117.28999999999</v>
      </c>
      <c r="S10" s="5">
        <v>64254.190000000002</v>
      </c>
      <c r="T10" s="5">
        <v>107635.77000000002</v>
      </c>
      <c r="U10" s="5">
        <f t="shared" si="5"/>
        <v>0</v>
      </c>
      <c r="V10" s="5"/>
      <c r="W10" s="5">
        <f t="shared" si="7"/>
        <v>5094.3336608816553</v>
      </c>
      <c r="X10" s="5">
        <f t="shared" si="8"/>
        <v>0</v>
      </c>
      <c r="Y10" s="5">
        <f t="shared" si="9"/>
        <v>6660.4452341467741</v>
      </c>
      <c r="Z10" s="5">
        <f t="shared" si="10"/>
        <v>3817.0875657042848</v>
      </c>
      <c r="AA10" s="5">
        <f t="shared" si="11"/>
        <v>6394.2158370062152</v>
      </c>
      <c r="AB10" s="5">
        <f t="shared" si="12"/>
        <v>0</v>
      </c>
    </row>
    <row r="11" spans="1:28" ht="15.6">
      <c r="A11" s="2" t="s">
        <v>7</v>
      </c>
      <c r="B11" s="2" t="s">
        <v>125</v>
      </c>
      <c r="C11" s="6" t="s">
        <v>131</v>
      </c>
      <c r="D11" s="6" t="s">
        <v>67</v>
      </c>
      <c r="E11" s="8" t="s">
        <v>206</v>
      </c>
      <c r="F11" s="2">
        <f t="shared" si="0"/>
        <v>0.5</v>
      </c>
      <c r="G11" s="5">
        <v>17710.43</v>
      </c>
      <c r="H11" s="2"/>
      <c r="I11" s="2" t="s">
        <v>8</v>
      </c>
      <c r="J11" s="2">
        <v>7</v>
      </c>
      <c r="K11" s="2">
        <f t="shared" si="1"/>
        <v>6.5</v>
      </c>
      <c r="L11" s="5">
        <f t="shared" si="2"/>
        <v>1265.0307142857137</v>
      </c>
      <c r="M11" s="5">
        <f t="shared" si="3"/>
        <v>0.83168468733105205</v>
      </c>
      <c r="N11" s="5">
        <f t="shared" si="4"/>
        <v>1052.1066740748913</v>
      </c>
      <c r="O11" s="5"/>
      <c r="P11" s="5">
        <v>4107.3699999999999</v>
      </c>
      <c r="Q11" s="5">
        <v>0</v>
      </c>
      <c r="R11" s="5">
        <v>5370.0699999999997</v>
      </c>
      <c r="S11" s="5">
        <v>3077.5799999999999</v>
      </c>
      <c r="T11" s="5">
        <v>5155.4100000000017</v>
      </c>
      <c r="U11" s="5">
        <f t="shared" si="5"/>
        <v>0</v>
      </c>
      <c r="V11" s="5"/>
      <c r="W11" s="5">
        <f t="shared" si="7"/>
        <v>244.00262387163872</v>
      </c>
      <c r="X11" s="5">
        <f t="shared" si="8"/>
        <v>0</v>
      </c>
      <c r="Y11" s="5">
        <f t="shared" si="9"/>
        <v>319.01464206399004</v>
      </c>
      <c r="Z11" s="5">
        <f t="shared" si="10"/>
        <v>182.82686857402129</v>
      </c>
      <c r="AA11" s="5">
        <f t="shared" si="11"/>
        <v>306.26253956524135</v>
      </c>
      <c r="AB11" s="5">
        <f t="shared" si="12"/>
        <v>0</v>
      </c>
    </row>
    <row r="12" spans="1:28" ht="15.6">
      <c r="A12" s="2" t="s">
        <v>7</v>
      </c>
      <c r="B12" s="2" t="s">
        <v>125</v>
      </c>
      <c r="C12" s="6" t="s">
        <v>132</v>
      </c>
      <c r="D12" s="6" t="s">
        <v>68</v>
      </c>
      <c r="E12" s="8" t="s">
        <v>206</v>
      </c>
      <c r="F12" s="2">
        <f t="shared" si="0"/>
        <v>0.5</v>
      </c>
      <c r="G12" s="5">
        <v>17710.43</v>
      </c>
      <c r="H12" s="2"/>
      <c r="I12" s="2" t="s">
        <v>8</v>
      </c>
      <c r="J12" s="2">
        <v>7</v>
      </c>
      <c r="K12" s="2">
        <f t="shared" si="1"/>
        <v>6.5</v>
      </c>
      <c r="L12" s="5">
        <f t="shared" si="2"/>
        <v>1265.0307142857137</v>
      </c>
      <c r="M12" s="5">
        <f t="shared" si="3"/>
        <v>0.83168468733105205</v>
      </c>
      <c r="N12" s="5">
        <f t="shared" si="4"/>
        <v>1052.1066740748913</v>
      </c>
      <c r="O12" s="5"/>
      <c r="P12" s="5">
        <v>4107.3699999999999</v>
      </c>
      <c r="Q12" s="5">
        <v>0</v>
      </c>
      <c r="R12" s="5">
        <v>5370.0699999999997</v>
      </c>
      <c r="S12" s="5">
        <v>3077.5799999999999</v>
      </c>
      <c r="T12" s="5">
        <v>5155.4100000000017</v>
      </c>
      <c r="U12" s="5">
        <f t="shared" si="5"/>
        <v>0</v>
      </c>
      <c r="V12" s="5"/>
      <c r="W12" s="5">
        <f t="shared" si="7"/>
        <v>244.00262387163872</v>
      </c>
      <c r="X12" s="5">
        <f t="shared" si="8"/>
        <v>0</v>
      </c>
      <c r="Y12" s="5">
        <f t="shared" si="9"/>
        <v>319.01464206399004</v>
      </c>
      <c r="Z12" s="5">
        <f t="shared" si="10"/>
        <v>182.82686857402129</v>
      </c>
      <c r="AA12" s="5">
        <f t="shared" si="11"/>
        <v>306.26253956524135</v>
      </c>
      <c r="AB12" s="5">
        <f t="shared" si="12"/>
        <v>0</v>
      </c>
    </row>
    <row r="13" spans="1:28" ht="15.6">
      <c r="A13" s="2" t="s">
        <v>7</v>
      </c>
      <c r="B13" s="2" t="s">
        <v>125</v>
      </c>
      <c r="C13" s="6" t="s">
        <v>133</v>
      </c>
      <c r="D13" s="6" t="s">
        <v>70</v>
      </c>
      <c r="E13" s="8" t="s">
        <v>206</v>
      </c>
      <c r="F13" s="2">
        <f t="shared" si="0"/>
        <v>0.5</v>
      </c>
      <c r="G13" s="5">
        <v>32334.630000000001</v>
      </c>
      <c r="H13" s="2"/>
      <c r="I13" s="2" t="s">
        <v>8</v>
      </c>
      <c r="J13" s="2">
        <v>7</v>
      </c>
      <c r="K13" s="2">
        <f t="shared" si="1"/>
        <v>6.5</v>
      </c>
      <c r="L13" s="5">
        <f t="shared" si="2"/>
        <v>2309.6164285714276</v>
      </c>
      <c r="M13" s="5">
        <f t="shared" si="3"/>
        <v>0.83168468733105205</v>
      </c>
      <c r="N13" s="5">
        <f t="shared" si="4"/>
        <v>1920.872617251089</v>
      </c>
      <c r="O13" s="5"/>
      <c r="P13" s="5">
        <v>7498.9899999999998</v>
      </c>
      <c r="Q13" s="5">
        <v>0</v>
      </c>
      <c r="R13" s="5">
        <v>9804.3400000000001</v>
      </c>
      <c r="S13" s="5">
        <v>5618.8500000000004</v>
      </c>
      <c r="T13" s="5">
        <v>9412.4499999999989</v>
      </c>
      <c r="U13" s="5"/>
      <c r="V13" s="5"/>
      <c r="W13" s="5">
        <f t="shared" si="7"/>
        <v>445.48536810347736</v>
      </c>
      <c r="X13" s="5">
        <f t="shared" si="8"/>
        <v>0</v>
      </c>
      <c r="Y13" s="5">
        <f t="shared" si="9"/>
        <v>582.43710338480878</v>
      </c>
      <c r="Z13" s="5">
        <f t="shared" si="10"/>
        <v>333.79367895786288</v>
      </c>
      <c r="AA13" s="5">
        <f t="shared" si="11"/>
        <v>559.15646680493978</v>
      </c>
      <c r="AB13" s="5">
        <f t="shared" si="12"/>
        <v>0</v>
      </c>
    </row>
    <row r="14" spans="1:28" ht="15.6">
      <c r="A14" s="2" t="s">
        <v>7</v>
      </c>
      <c r="B14" s="2" t="s">
        <v>125</v>
      </c>
      <c r="C14" s="6" t="s">
        <v>134</v>
      </c>
      <c r="D14" s="6" t="s">
        <v>74</v>
      </c>
      <c r="E14" s="8" t="s">
        <v>206</v>
      </c>
      <c r="F14" s="2">
        <f t="shared" si="0"/>
        <v>0.5</v>
      </c>
      <c r="G14" s="5">
        <v>17710.43</v>
      </c>
      <c r="H14" s="2"/>
      <c r="I14" s="2" t="s">
        <v>8</v>
      </c>
      <c r="J14" s="2">
        <v>7</v>
      </c>
      <c r="K14" s="2">
        <f t="shared" si="1"/>
        <v>6.5</v>
      </c>
      <c r="L14" s="5">
        <f t="shared" si="2"/>
        <v>1265.0307142857137</v>
      </c>
      <c r="M14" s="5">
        <f t="shared" si="3"/>
        <v>0.83168468733105205</v>
      </c>
      <c r="N14" s="5">
        <f t="shared" si="4"/>
        <v>1052.1066740748913</v>
      </c>
      <c r="O14" s="5"/>
      <c r="P14" s="5">
        <v>4107.3699999999999</v>
      </c>
      <c r="Q14" s="5">
        <v>0</v>
      </c>
      <c r="R14" s="5">
        <v>5370.0699999999997</v>
      </c>
      <c r="S14" s="5">
        <v>3077.5799999999999</v>
      </c>
      <c r="T14" s="5">
        <v>5155.4100000000017</v>
      </c>
      <c r="W14" s="5">
        <f t="shared" si="7"/>
        <v>244.00262387163872</v>
      </c>
      <c r="X14" s="5">
        <f t="shared" si="8"/>
        <v>0</v>
      </c>
      <c r="Y14" s="5">
        <f t="shared" si="9"/>
        <v>319.01464206399004</v>
      </c>
      <c r="Z14" s="5">
        <f t="shared" si="10"/>
        <v>182.82686857402129</v>
      </c>
      <c r="AA14" s="5">
        <f t="shared" si="11"/>
        <v>306.26253956524135</v>
      </c>
      <c r="AB14" s="5">
        <f t="shared" si="12"/>
        <v>0</v>
      </c>
    </row>
    <row r="15" spans="1:28" ht="15.6">
      <c r="A15" s="2" t="s">
        <v>7</v>
      </c>
      <c r="B15" s="2" t="s">
        <v>125</v>
      </c>
      <c r="C15" s="6" t="s">
        <v>135</v>
      </c>
      <c r="D15" s="6" t="s">
        <v>75</v>
      </c>
      <c r="E15" s="8" t="s">
        <v>206</v>
      </c>
      <c r="F15" s="2">
        <f t="shared" si="0"/>
        <v>0.5</v>
      </c>
      <c r="G15" s="5">
        <v>17710.43</v>
      </c>
      <c r="H15" s="2"/>
      <c r="I15" s="2" t="s">
        <v>8</v>
      </c>
      <c r="J15" s="2">
        <v>7</v>
      </c>
      <c r="K15" s="2">
        <f t="shared" si="1"/>
        <v>6.5</v>
      </c>
      <c r="L15" s="5">
        <f t="shared" si="2"/>
        <v>1265.0307142857137</v>
      </c>
      <c r="M15" s="5">
        <f t="shared" si="3"/>
        <v>0.83168468733105205</v>
      </c>
      <c r="N15" s="5">
        <f t="shared" si="4"/>
        <v>1052.1066740748913</v>
      </c>
      <c r="O15" s="5"/>
      <c r="P15" s="5">
        <v>4107.3699999999999</v>
      </c>
      <c r="Q15" s="5">
        <v>0</v>
      </c>
      <c r="R15" s="5">
        <v>5370.0699999999997</v>
      </c>
      <c r="S15" s="5">
        <v>3077.5799999999999</v>
      </c>
      <c r="T15" s="5">
        <v>5155.4100000000017</v>
      </c>
      <c r="W15" s="5">
        <f t="shared" si="7"/>
        <v>244.00262387163872</v>
      </c>
      <c r="X15" s="5">
        <f t="shared" si="8"/>
        <v>0</v>
      </c>
      <c r="Y15" s="5">
        <f t="shared" si="9"/>
        <v>319.01464206399004</v>
      </c>
      <c r="Z15" s="5">
        <f t="shared" si="10"/>
        <v>182.82686857402129</v>
      </c>
      <c r="AA15" s="5">
        <f t="shared" si="11"/>
        <v>306.26253956524135</v>
      </c>
      <c r="AB15" s="5">
        <f t="shared" si="12"/>
        <v>0</v>
      </c>
    </row>
    <row r="16" spans="1:28" ht="15.6">
      <c r="A16" s="2" t="s">
        <v>7</v>
      </c>
      <c r="B16" s="2" t="s">
        <v>125</v>
      </c>
      <c r="C16" s="6" t="s">
        <v>136</v>
      </c>
      <c r="D16" s="6" t="s">
        <v>76</v>
      </c>
      <c r="E16" s="8" t="s">
        <v>206</v>
      </c>
      <c r="F16" s="2">
        <f t="shared" si="0"/>
        <v>0.5</v>
      </c>
      <c r="G16" s="5">
        <v>32334.630000000001</v>
      </c>
      <c r="H16" s="2"/>
      <c r="I16" s="2" t="s">
        <v>8</v>
      </c>
      <c r="J16" s="2">
        <v>7</v>
      </c>
      <c r="K16" s="2">
        <f t="shared" si="1"/>
        <v>6.5</v>
      </c>
      <c r="L16" s="5">
        <f t="shared" si="2"/>
        <v>2309.6164285714276</v>
      </c>
      <c r="M16" s="5">
        <f t="shared" si="3"/>
        <v>0.83168468733105205</v>
      </c>
      <c r="N16" s="5">
        <f t="shared" si="4"/>
        <v>1920.872617251089</v>
      </c>
      <c r="O16" s="5"/>
      <c r="P16" s="5">
        <v>7498.9899999999998</v>
      </c>
      <c r="Q16" s="5">
        <v>0</v>
      </c>
      <c r="R16" s="5">
        <v>9804.3400000000001</v>
      </c>
      <c r="S16" s="5">
        <v>5618.8500000000004</v>
      </c>
      <c r="T16" s="5">
        <v>9412.4499999999989</v>
      </c>
      <c r="W16" s="5">
        <f t="shared" si="7"/>
        <v>445.48536810347736</v>
      </c>
      <c r="X16" s="5">
        <f t="shared" si="8"/>
        <v>0</v>
      </c>
      <c r="Y16" s="5">
        <f t="shared" si="9"/>
        <v>582.43710338480878</v>
      </c>
      <c r="Z16" s="5">
        <f t="shared" si="10"/>
        <v>333.79367895786288</v>
      </c>
      <c r="AA16" s="5">
        <f t="shared" si="11"/>
        <v>559.15646680493978</v>
      </c>
      <c r="AB16" s="5">
        <f t="shared" si="12"/>
        <v>0</v>
      </c>
    </row>
    <row r="17" spans="1:28" ht="15.6">
      <c r="A17" s="2" t="s">
        <v>7</v>
      </c>
      <c r="B17" s="2" t="s">
        <v>125</v>
      </c>
      <c r="C17" s="6" t="s">
        <v>137</v>
      </c>
      <c r="D17" s="6" t="s">
        <v>42</v>
      </c>
      <c r="E17" s="8" t="s">
        <v>206</v>
      </c>
      <c r="F17" s="2">
        <f t="shared" si="0"/>
        <v>0.5</v>
      </c>
      <c r="G17" s="5">
        <v>17710.43</v>
      </c>
      <c r="H17" s="2"/>
      <c r="I17" s="2" t="s">
        <v>8</v>
      </c>
      <c r="J17" s="2">
        <v>7</v>
      </c>
      <c r="K17" s="2">
        <f t="shared" si="1"/>
        <v>6.5</v>
      </c>
      <c r="L17" s="5">
        <f t="shared" si="2"/>
        <v>1265.0307142857137</v>
      </c>
      <c r="M17" s="5">
        <f t="shared" si="3"/>
        <v>0.83168468733105205</v>
      </c>
      <c r="N17" s="5">
        <f t="shared" si="4"/>
        <v>1052.1066740748913</v>
      </c>
      <c r="O17" s="5"/>
      <c r="P17" s="5">
        <v>4107.3699999999999</v>
      </c>
      <c r="Q17" s="5">
        <v>0</v>
      </c>
      <c r="R17" s="5">
        <v>5370.0699999999997</v>
      </c>
      <c r="S17" s="5">
        <v>3077.5799999999999</v>
      </c>
      <c r="T17" s="5">
        <v>5155.4100000000017</v>
      </c>
      <c r="W17" s="5">
        <f t="shared" si="7"/>
        <v>244.00262387163872</v>
      </c>
      <c r="X17" s="5">
        <f t="shared" si="8"/>
        <v>0</v>
      </c>
      <c r="Y17" s="5">
        <f t="shared" si="9"/>
        <v>319.01464206399004</v>
      </c>
      <c r="Z17" s="5">
        <f t="shared" si="10"/>
        <v>182.82686857402129</v>
      </c>
      <c r="AA17" s="5">
        <f t="shared" si="11"/>
        <v>306.26253956524135</v>
      </c>
      <c r="AB17" s="5">
        <f t="shared" si="12"/>
        <v>0</v>
      </c>
    </row>
    <row r="18" spans="1:28" ht="15.6">
      <c r="A18" s="2" t="s">
        <v>7</v>
      </c>
      <c r="B18" s="2" t="s">
        <v>125</v>
      </c>
      <c r="C18" s="6" t="s">
        <v>138</v>
      </c>
      <c r="D18" s="6" t="s">
        <v>77</v>
      </c>
      <c r="E18" s="8" t="s">
        <v>206</v>
      </c>
      <c r="F18" s="2">
        <f t="shared" si="0"/>
        <v>0.5</v>
      </c>
      <c r="G18" s="5">
        <v>50045.059999999998</v>
      </c>
      <c r="H18" s="2"/>
      <c r="I18" s="2" t="s">
        <v>8</v>
      </c>
      <c r="J18" s="2">
        <v>7</v>
      </c>
      <c r="K18" s="2">
        <f t="shared" si="1"/>
        <v>6.5</v>
      </c>
      <c r="L18" s="5">
        <f t="shared" si="2"/>
        <v>3574.6471428571413</v>
      </c>
      <c r="M18" s="5">
        <f t="shared" si="3"/>
        <v>0.83168468733105205</v>
      </c>
      <c r="N18" s="5">
        <f t="shared" si="4"/>
        <v>2972.9792913259803</v>
      </c>
      <c r="O18" s="5"/>
      <c r="P18" s="5">
        <v>11606.360000000001</v>
      </c>
      <c r="Q18" s="5">
        <v>0</v>
      </c>
      <c r="R18" s="5">
        <v>15174.41</v>
      </c>
      <c r="S18" s="5">
        <v>8696.4300000000003</v>
      </c>
      <c r="T18" s="5">
        <v>14567.859999999997</v>
      </c>
      <c r="W18" s="5">
        <f t="shared" si="7"/>
        <v>689.48799197511619</v>
      </c>
      <c r="X18" s="5">
        <f t="shared" si="8"/>
        <v>0</v>
      </c>
      <c r="Y18" s="5">
        <f t="shared" si="9"/>
        <v>901.45174544879899</v>
      </c>
      <c r="Z18" s="5">
        <f t="shared" si="10"/>
        <v>516.6205475318842</v>
      </c>
      <c r="AA18" s="5">
        <f t="shared" si="11"/>
        <v>865.41900637018091</v>
      </c>
      <c r="AB18" s="5">
        <f t="shared" si="12"/>
        <v>0</v>
      </c>
    </row>
    <row r="19" spans="1:28" ht="15.6">
      <c r="A19" s="2" t="s">
        <v>7</v>
      </c>
      <c r="B19" s="2" t="s">
        <v>125</v>
      </c>
      <c r="C19" s="6" t="s">
        <v>78</v>
      </c>
      <c r="D19" s="6" t="s">
        <v>79</v>
      </c>
      <c r="E19" s="8" t="s">
        <v>206</v>
      </c>
      <c r="F19" s="2">
        <f t="shared" si="0"/>
        <v>0.5</v>
      </c>
      <c r="G19" s="5">
        <v>115548.05</v>
      </c>
      <c r="H19" s="2"/>
      <c r="I19" s="2" t="s">
        <v>8</v>
      </c>
      <c r="J19" s="2">
        <v>7</v>
      </c>
      <c r="K19" s="2">
        <f t="shared" si="1"/>
        <v>6.5</v>
      </c>
      <c r="L19" s="5">
        <f t="shared" si="2"/>
        <v>8253.4321428571402</v>
      </c>
      <c r="M19" s="5">
        <f t="shared" si="3"/>
        <v>0.83168468733105205</v>
      </c>
      <c r="N19" s="5">
        <f t="shared" si="4"/>
        <v>6864.2531311401954</v>
      </c>
      <c r="O19" s="5"/>
      <c r="P19" s="5">
        <v>26797.689999999999</v>
      </c>
      <c r="Q19" s="5">
        <v>0</v>
      </c>
      <c r="R19" s="5">
        <v>35035.900000000001</v>
      </c>
      <c r="S19" s="5">
        <v>20079</v>
      </c>
      <c r="T19" s="5">
        <v>33635.459999999999</v>
      </c>
      <c r="W19" s="5">
        <f t="shared" si="7"/>
        <v>1591.9448877746036</v>
      </c>
      <c r="X19" s="5">
        <f t="shared" si="8"/>
        <v>0</v>
      </c>
      <c r="Y19" s="5">
        <f t="shared" si="9"/>
        <v>2081.3443954901427</v>
      </c>
      <c r="Z19" s="5">
        <f t="shared" si="10"/>
        <v>1192.8140597800134</v>
      </c>
      <c r="AA19" s="5">
        <f t="shared" si="11"/>
        <v>1998.1497880954353</v>
      </c>
      <c r="AB19" s="5">
        <f t="shared" si="12"/>
        <v>0</v>
      </c>
    </row>
    <row r="20" spans="1:28" ht="15.6">
      <c r="A20" s="2" t="s">
        <v>7</v>
      </c>
      <c r="B20" s="2" t="s">
        <v>125</v>
      </c>
      <c r="C20" s="6" t="s">
        <v>80</v>
      </c>
      <c r="D20" s="6" t="s">
        <v>81</v>
      </c>
      <c r="E20" s="8" t="s">
        <v>206</v>
      </c>
      <c r="F20" s="2">
        <f t="shared" si="0"/>
        <v>0.5</v>
      </c>
      <c r="G20" s="5">
        <v>16776.110000000001</v>
      </c>
      <c r="H20" s="2"/>
      <c r="I20" s="2" t="s">
        <v>8</v>
      </c>
      <c r="J20" s="2">
        <v>7</v>
      </c>
      <c r="K20" s="2">
        <f t="shared" si="1"/>
        <v>6.5</v>
      </c>
      <c r="L20" s="5">
        <f t="shared" si="2"/>
        <v>1198.2935714285709</v>
      </c>
      <c r="M20" s="5">
        <f t="shared" si="3"/>
        <v>0.83168468733105205</v>
      </c>
      <c r="N20" s="5">
        <f t="shared" si="4"/>
        <v>996.60241428438064</v>
      </c>
      <c r="O20" s="5"/>
      <c r="P20" s="5">
        <v>3890.6799999999998</v>
      </c>
      <c r="Q20" s="5">
        <v>0</v>
      </c>
      <c r="R20" s="5">
        <v>5086.7700000000004</v>
      </c>
      <c r="S20" s="5">
        <v>2915.2199999999998</v>
      </c>
      <c r="T20" s="5">
        <v>4883.4400000000005</v>
      </c>
      <c r="W20" s="5">
        <f t="shared" si="7"/>
        <v>231.12992709322685</v>
      </c>
      <c r="X20" s="5">
        <f t="shared" si="8"/>
        <v>0</v>
      </c>
      <c r="Y20" s="5">
        <f t="shared" si="9"/>
        <v>302.18490835535528</v>
      </c>
      <c r="Z20" s="5">
        <f t="shared" si="10"/>
        <v>173.18170244294487</v>
      </c>
      <c r="AA20" s="5">
        <f t="shared" si="11"/>
        <v>290.10587639285365</v>
      </c>
      <c r="AB20" s="5">
        <f t="shared" si="12"/>
        <v>0</v>
      </c>
    </row>
    <row r="21" spans="1:28" ht="15.6">
      <c r="A21" s="2" t="s">
        <v>7</v>
      </c>
      <c r="B21" s="2" t="s">
        <v>125</v>
      </c>
      <c r="C21" s="6" t="s">
        <v>139</v>
      </c>
      <c r="D21" s="6" t="s">
        <v>90</v>
      </c>
      <c r="E21" s="8" t="s">
        <v>206</v>
      </c>
      <c r="F21" s="2">
        <f t="shared" si="0"/>
        <v>0.5</v>
      </c>
      <c r="G21" s="5">
        <v>17710.43</v>
      </c>
      <c r="H21" s="2"/>
      <c r="I21" s="2" t="s">
        <v>8</v>
      </c>
      <c r="J21" s="2">
        <v>7</v>
      </c>
      <c r="K21" s="2">
        <f t="shared" si="1"/>
        <v>6.5</v>
      </c>
      <c r="L21" s="5">
        <f t="shared" si="2"/>
        <v>1265.0307142857137</v>
      </c>
      <c r="M21" s="5">
        <f t="shared" si="3"/>
        <v>0.83168468733105205</v>
      </c>
      <c r="N21" s="5">
        <f t="shared" si="4"/>
        <v>1052.1066740748913</v>
      </c>
      <c r="O21" s="5"/>
      <c r="P21" s="5">
        <v>4107.3699999999999</v>
      </c>
      <c r="Q21" s="5">
        <v>0</v>
      </c>
      <c r="R21" s="5">
        <v>5370.0699999999997</v>
      </c>
      <c r="S21" s="5">
        <v>3077.5799999999999</v>
      </c>
      <c r="T21" s="5">
        <v>5155.4100000000017</v>
      </c>
      <c r="W21" s="5">
        <f t="shared" si="7"/>
        <v>244.00262387163872</v>
      </c>
      <c r="X21" s="5">
        <f t="shared" si="8"/>
        <v>0</v>
      </c>
      <c r="Y21" s="5">
        <f t="shared" si="9"/>
        <v>319.01464206399004</v>
      </c>
      <c r="Z21" s="5">
        <f t="shared" si="10"/>
        <v>182.82686857402129</v>
      </c>
      <c r="AA21" s="5">
        <f t="shared" si="11"/>
        <v>306.26253956524135</v>
      </c>
      <c r="AB21" s="5">
        <f t="shared" si="12"/>
        <v>0</v>
      </c>
    </row>
    <row r="22" spans="1:28" ht="15.6">
      <c r="A22" s="2" t="s">
        <v>7</v>
      </c>
      <c r="B22" s="2" t="s">
        <v>125</v>
      </c>
      <c r="C22" s="6" t="s">
        <v>140</v>
      </c>
      <c r="D22" s="6" t="s">
        <v>91</v>
      </c>
      <c r="E22" s="8" t="s">
        <v>206</v>
      </c>
      <c r="F22" s="2">
        <f t="shared" si="0"/>
        <v>0.5</v>
      </c>
      <c r="G22" s="5">
        <v>17710.43</v>
      </c>
      <c r="H22" s="2"/>
      <c r="I22" s="2" t="s">
        <v>8</v>
      </c>
      <c r="J22" s="2">
        <v>7</v>
      </c>
      <c r="K22" s="2">
        <f t="shared" si="1"/>
        <v>6.5</v>
      </c>
      <c r="L22" s="5">
        <f t="shared" si="2"/>
        <v>1265.0307142857137</v>
      </c>
      <c r="M22" s="5">
        <f t="shared" si="3"/>
        <v>0.83168468733105205</v>
      </c>
      <c r="N22" s="5">
        <f t="shared" si="4"/>
        <v>1052.1066740748913</v>
      </c>
      <c r="O22" s="5"/>
      <c r="P22" s="5">
        <v>4107.3699999999999</v>
      </c>
      <c r="Q22" s="5">
        <v>0</v>
      </c>
      <c r="R22" s="5">
        <v>5370.0699999999997</v>
      </c>
      <c r="S22" s="5">
        <v>3077.5799999999999</v>
      </c>
      <c r="T22" s="5">
        <v>5155.4100000000017</v>
      </c>
      <c r="W22" s="5">
        <f t="shared" si="7"/>
        <v>244.00262387163872</v>
      </c>
      <c r="X22" s="5">
        <f t="shared" si="8"/>
        <v>0</v>
      </c>
      <c r="Y22" s="5">
        <f t="shared" si="9"/>
        <v>319.01464206399004</v>
      </c>
      <c r="Z22" s="5">
        <f t="shared" si="10"/>
        <v>182.82686857402129</v>
      </c>
      <c r="AA22" s="5">
        <f t="shared" si="11"/>
        <v>306.26253956524135</v>
      </c>
      <c r="AB22" s="5">
        <f t="shared" si="12"/>
        <v>0</v>
      </c>
    </row>
    <row r="23" spans="1:28" ht="15.6">
      <c r="A23" s="2" t="s">
        <v>7</v>
      </c>
      <c r="B23" s="2" t="s">
        <v>125</v>
      </c>
      <c r="C23" s="6" t="s">
        <v>141</v>
      </c>
      <c r="D23" s="6" t="s">
        <v>93</v>
      </c>
      <c r="E23" s="8" t="s">
        <v>206</v>
      </c>
      <c r="F23" s="2">
        <f t="shared" si="0"/>
        <v>0.5</v>
      </c>
      <c r="G23" s="5">
        <v>17710.43</v>
      </c>
      <c r="H23" s="2"/>
      <c r="I23" s="2" t="s">
        <v>8</v>
      </c>
      <c r="J23" s="2">
        <v>7</v>
      </c>
      <c r="K23" s="2">
        <f t="shared" si="1"/>
        <v>6.5</v>
      </c>
      <c r="L23" s="5">
        <f t="shared" si="2"/>
        <v>1265.0307142857137</v>
      </c>
      <c r="M23" s="5">
        <f t="shared" si="3"/>
        <v>0.83168468733105205</v>
      </c>
      <c r="N23" s="5">
        <f t="shared" si="4"/>
        <v>1052.1066740748913</v>
      </c>
      <c r="O23" s="5"/>
      <c r="P23" s="5">
        <v>4107.3699999999999</v>
      </c>
      <c r="Q23" s="5">
        <v>0</v>
      </c>
      <c r="R23" s="5">
        <v>5370.0699999999997</v>
      </c>
      <c r="S23" s="5">
        <v>3077.5799999999999</v>
      </c>
      <c r="T23" s="5">
        <v>5155.4100000000017</v>
      </c>
      <c r="W23" s="5">
        <f t="shared" si="7"/>
        <v>244.00262387163872</v>
      </c>
      <c r="X23" s="5">
        <f t="shared" si="8"/>
        <v>0</v>
      </c>
      <c r="Y23" s="5">
        <f t="shared" si="9"/>
        <v>319.01464206399004</v>
      </c>
      <c r="Z23" s="5">
        <f t="shared" si="10"/>
        <v>182.82686857402129</v>
      </c>
      <c r="AA23" s="5">
        <f t="shared" si="11"/>
        <v>306.26253956524135</v>
      </c>
      <c r="AB23" s="5">
        <f t="shared" si="12"/>
        <v>0</v>
      </c>
    </row>
    <row r="24" spans="1:28" ht="15.6">
      <c r="A24" s="2" t="s">
        <v>7</v>
      </c>
      <c r="B24" s="2" t="s">
        <v>125</v>
      </c>
      <c r="C24" s="6" t="s">
        <v>142</v>
      </c>
      <c r="D24" s="6" t="s">
        <v>94</v>
      </c>
      <c r="E24" s="8" t="s">
        <v>206</v>
      </c>
      <c r="F24" s="2">
        <f t="shared" si="0"/>
        <v>0.5</v>
      </c>
      <c r="G24" s="5">
        <v>17710.43</v>
      </c>
      <c r="H24" s="2"/>
      <c r="I24" s="2" t="s">
        <v>8</v>
      </c>
      <c r="J24" s="2">
        <v>7</v>
      </c>
      <c r="K24" s="2">
        <f t="shared" si="1"/>
        <v>6.5</v>
      </c>
      <c r="L24" s="5">
        <f t="shared" si="2"/>
        <v>1265.0307142857137</v>
      </c>
      <c r="M24" s="5">
        <f t="shared" si="3"/>
        <v>0.83168468733105205</v>
      </c>
      <c r="N24" s="5">
        <f t="shared" si="4"/>
        <v>1052.1066740748913</v>
      </c>
      <c r="O24" s="5"/>
      <c r="P24" s="5">
        <v>4107.3699999999999</v>
      </c>
      <c r="Q24" s="5">
        <v>0</v>
      </c>
      <c r="R24" s="5">
        <v>5370.0699999999997</v>
      </c>
      <c r="S24" s="5">
        <v>3077.5799999999999</v>
      </c>
      <c r="T24" s="5">
        <v>5155.4100000000017</v>
      </c>
      <c r="W24" s="5">
        <f t="shared" si="7"/>
        <v>244.00262387163872</v>
      </c>
      <c r="X24" s="5">
        <f t="shared" si="8"/>
        <v>0</v>
      </c>
      <c r="Y24" s="5">
        <f t="shared" si="9"/>
        <v>319.01464206399004</v>
      </c>
      <c r="Z24" s="5">
        <f t="shared" si="10"/>
        <v>182.82686857402129</v>
      </c>
      <c r="AA24" s="5">
        <f t="shared" si="11"/>
        <v>306.26253956524135</v>
      </c>
      <c r="AB24" s="5">
        <f t="shared" si="12"/>
        <v>0</v>
      </c>
    </row>
    <row r="25" spans="1:28" ht="15.6">
      <c r="A25" s="2" t="s">
        <v>7</v>
      </c>
      <c r="B25" s="2" t="s">
        <v>125</v>
      </c>
      <c r="C25" s="6" t="s">
        <v>143</v>
      </c>
      <c r="D25" s="6" t="s">
        <v>95</v>
      </c>
      <c r="E25" s="8" t="s">
        <v>206</v>
      </c>
      <c r="F25" s="2">
        <f t="shared" si="0"/>
        <v>0.5</v>
      </c>
      <c r="G25" s="5">
        <v>17710.43</v>
      </c>
      <c r="H25" s="2"/>
      <c r="I25" s="2" t="s">
        <v>8</v>
      </c>
      <c r="J25" s="2">
        <v>7</v>
      </c>
      <c r="K25" s="2">
        <f t="shared" si="1"/>
        <v>6.5</v>
      </c>
      <c r="L25" s="5">
        <f t="shared" si="2"/>
        <v>1265.0307142857137</v>
      </c>
      <c r="M25" s="5">
        <f t="shared" si="3"/>
        <v>0.83168468733105205</v>
      </c>
      <c r="N25" s="5">
        <f t="shared" si="4"/>
        <v>1052.1066740748913</v>
      </c>
      <c r="O25" s="5"/>
      <c r="P25" s="5">
        <v>4107.3699999999999</v>
      </c>
      <c r="Q25" s="5">
        <v>0</v>
      </c>
      <c r="R25" s="5">
        <v>5370.0699999999997</v>
      </c>
      <c r="S25" s="5">
        <v>3077.5799999999999</v>
      </c>
      <c r="T25" s="5">
        <v>5155.4100000000017</v>
      </c>
      <c r="W25" s="5">
        <f t="shared" si="7"/>
        <v>244.00262387163872</v>
      </c>
      <c r="X25" s="5">
        <f t="shared" si="8"/>
        <v>0</v>
      </c>
      <c r="Y25" s="5">
        <f t="shared" si="9"/>
        <v>319.01464206399004</v>
      </c>
      <c r="Z25" s="5">
        <f t="shared" si="10"/>
        <v>182.82686857402129</v>
      </c>
      <c r="AA25" s="5">
        <f t="shared" si="11"/>
        <v>306.26253956524135</v>
      </c>
      <c r="AB25" s="5">
        <f t="shared" si="12"/>
        <v>0</v>
      </c>
    </row>
    <row r="26" spans="1:28" ht="15.6">
      <c r="A26" s="2" t="s">
        <v>7</v>
      </c>
      <c r="B26" s="2" t="s">
        <v>125</v>
      </c>
      <c r="C26" s="6" t="s">
        <v>144</v>
      </c>
      <c r="D26" s="6" t="s">
        <v>97</v>
      </c>
      <c r="E26" s="8" t="s">
        <v>206</v>
      </c>
      <c r="F26" s="2">
        <f t="shared" si="0"/>
        <v>0.5</v>
      </c>
      <c r="G26" s="5">
        <v>17710.43</v>
      </c>
      <c r="H26" s="2"/>
      <c r="I26" s="2" t="s">
        <v>8</v>
      </c>
      <c r="J26" s="2">
        <v>7</v>
      </c>
      <c r="K26" s="2">
        <f t="shared" si="1"/>
        <v>6.5</v>
      </c>
      <c r="L26" s="5">
        <f t="shared" si="2"/>
        <v>1265.0307142857137</v>
      </c>
      <c r="M26" s="5">
        <f t="shared" si="3"/>
        <v>0.83168468733105205</v>
      </c>
      <c r="N26" s="5">
        <f t="shared" si="4"/>
        <v>1052.1066740748913</v>
      </c>
      <c r="O26" s="5"/>
      <c r="P26" s="5">
        <v>4107.3699999999999</v>
      </c>
      <c r="Q26" s="5">
        <v>0</v>
      </c>
      <c r="R26" s="5">
        <v>5370.0699999999997</v>
      </c>
      <c r="S26" s="5">
        <v>3077.5799999999999</v>
      </c>
      <c r="T26" s="5">
        <v>5155.4100000000017</v>
      </c>
      <c r="W26" s="5">
        <f t="shared" si="7"/>
        <v>244.00262387163872</v>
      </c>
      <c r="X26" s="5">
        <f t="shared" si="8"/>
        <v>0</v>
      </c>
      <c r="Y26" s="5">
        <f t="shared" si="9"/>
        <v>319.01464206399004</v>
      </c>
      <c r="Z26" s="5">
        <f t="shared" si="10"/>
        <v>182.82686857402129</v>
      </c>
      <c r="AA26" s="5">
        <f t="shared" si="11"/>
        <v>306.26253956524135</v>
      </c>
      <c r="AB26" s="5">
        <f t="shared" si="12"/>
        <v>0</v>
      </c>
    </row>
    <row r="27" spans="1:28" ht="15.6">
      <c r="A27" s="2" t="s">
        <v>7</v>
      </c>
      <c r="B27" s="2" t="s">
        <v>125</v>
      </c>
      <c r="C27" s="6" t="s">
        <v>145</v>
      </c>
      <c r="D27" s="6" t="s">
        <v>98</v>
      </c>
      <c r="E27" s="8" t="s">
        <v>206</v>
      </c>
      <c r="F27" s="2">
        <f t="shared" si="0"/>
        <v>0.5</v>
      </c>
      <c r="G27" s="5">
        <v>17710.5</v>
      </c>
      <c r="H27" s="2"/>
      <c r="I27" s="2" t="s">
        <v>8</v>
      </c>
      <c r="J27" s="2">
        <v>7</v>
      </c>
      <c r="K27" s="2">
        <f t="shared" si="1"/>
        <v>6.5</v>
      </c>
      <c r="L27" s="5">
        <f t="shared" si="2"/>
        <v>1265.0357142857138</v>
      </c>
      <c r="M27" s="5">
        <f t="shared" si="3"/>
        <v>0.83168468733105205</v>
      </c>
      <c r="N27" s="5">
        <f t="shared" si="4"/>
        <v>1052.1108324983279</v>
      </c>
      <c r="O27" s="5"/>
      <c r="P27" s="5">
        <v>4107.3900000000003</v>
      </c>
      <c r="Q27" s="5">
        <v>0</v>
      </c>
      <c r="R27" s="5">
        <v>5370.0900000000001</v>
      </c>
      <c r="S27" s="5">
        <v>3077.5900000000001</v>
      </c>
      <c r="T27" s="5">
        <v>5155.4300000000003</v>
      </c>
      <c r="W27" s="5">
        <f t="shared" si="7"/>
        <v>244.00381199262063</v>
      </c>
      <c r="X27" s="5">
        <f t="shared" si="8"/>
        <v>0</v>
      </c>
      <c r="Y27" s="5">
        <f t="shared" si="9"/>
        <v>319.01583018497195</v>
      </c>
      <c r="Z27" s="5">
        <f t="shared" si="10"/>
        <v>182.82746263451224</v>
      </c>
      <c r="AA27" s="5">
        <f t="shared" si="11"/>
        <v>306.26372768622315</v>
      </c>
      <c r="AB27" s="5">
        <f t="shared" si="12"/>
        <v>0</v>
      </c>
    </row>
    <row r="28" spans="1:28" ht="15.6">
      <c r="A28" s="2" t="s">
        <v>7</v>
      </c>
      <c r="B28" s="2" t="s">
        <v>125</v>
      </c>
      <c r="C28" s="6" t="s">
        <v>146</v>
      </c>
      <c r="D28" s="6" t="s">
        <v>99</v>
      </c>
      <c r="E28" s="8" t="s">
        <v>206</v>
      </c>
      <c r="F28" s="2">
        <f t="shared" si="0"/>
        <v>0.5</v>
      </c>
      <c r="G28" s="5">
        <v>17710.43</v>
      </c>
      <c r="H28" s="2"/>
      <c r="I28" s="2" t="s">
        <v>8</v>
      </c>
      <c r="J28" s="2">
        <v>7</v>
      </c>
      <c r="K28" s="2">
        <f t="shared" si="1"/>
        <v>6.5</v>
      </c>
      <c r="L28" s="5">
        <f t="shared" si="2"/>
        <v>1265.0307142857137</v>
      </c>
      <c r="M28" s="5">
        <f t="shared" si="3"/>
        <v>0.83168468733105205</v>
      </c>
      <c r="N28" s="5">
        <f t="shared" si="4"/>
        <v>1052.1066740748913</v>
      </c>
      <c r="O28" s="5"/>
      <c r="P28" s="5">
        <v>4107.3699999999999</v>
      </c>
      <c r="Q28" s="5">
        <v>0</v>
      </c>
      <c r="R28" s="5">
        <v>5370.0699999999997</v>
      </c>
      <c r="S28" s="5">
        <v>3077.5799999999999</v>
      </c>
      <c r="T28" s="5">
        <v>5155.4100000000017</v>
      </c>
      <c r="W28" s="5">
        <f t="shared" si="7"/>
        <v>244.00262387163872</v>
      </c>
      <c r="X28" s="5">
        <f t="shared" si="8"/>
        <v>0</v>
      </c>
      <c r="Y28" s="5">
        <f t="shared" si="9"/>
        <v>319.01464206399004</v>
      </c>
      <c r="Z28" s="5">
        <f t="shared" si="10"/>
        <v>182.82686857402129</v>
      </c>
      <c r="AA28" s="5">
        <f t="shared" si="11"/>
        <v>306.26253956524135</v>
      </c>
      <c r="AB28" s="5">
        <f t="shared" si="12"/>
        <v>0</v>
      </c>
    </row>
    <row r="29" spans="1:28" ht="15.6">
      <c r="A29" s="2" t="s">
        <v>7</v>
      </c>
      <c r="B29" s="2" t="s">
        <v>125</v>
      </c>
      <c r="C29" s="6" t="s">
        <v>147</v>
      </c>
      <c r="D29" s="6" t="s">
        <v>100</v>
      </c>
      <c r="E29" s="8" t="s">
        <v>206</v>
      </c>
      <c r="F29" s="2">
        <f t="shared" si="0"/>
        <v>0.5</v>
      </c>
      <c r="G29" s="5">
        <v>17710.43</v>
      </c>
      <c r="H29" s="2"/>
      <c r="I29" s="2" t="s">
        <v>8</v>
      </c>
      <c r="J29" s="2">
        <v>7</v>
      </c>
      <c r="K29" s="2">
        <f t="shared" si="1"/>
        <v>6.5</v>
      </c>
      <c r="L29" s="5">
        <f t="shared" si="2"/>
        <v>1265.0307142857137</v>
      </c>
      <c r="M29" s="5">
        <f t="shared" si="3"/>
        <v>0.83168468733105205</v>
      </c>
      <c r="N29" s="5">
        <f t="shared" si="4"/>
        <v>1052.1066740748913</v>
      </c>
      <c r="O29" s="5"/>
      <c r="P29" s="5">
        <v>4107.3699999999999</v>
      </c>
      <c r="Q29" s="5">
        <v>0</v>
      </c>
      <c r="R29" s="5">
        <v>5370.0699999999997</v>
      </c>
      <c r="S29" s="5">
        <v>3077.5799999999999</v>
      </c>
      <c r="T29" s="5">
        <v>5155.4100000000017</v>
      </c>
      <c r="W29" s="5">
        <f t="shared" si="7"/>
        <v>244.00262387163872</v>
      </c>
      <c r="X29" s="5">
        <f t="shared" si="8"/>
        <v>0</v>
      </c>
      <c r="Y29" s="5">
        <f t="shared" si="9"/>
        <v>319.01464206399004</v>
      </c>
      <c r="Z29" s="5">
        <f t="shared" si="10"/>
        <v>182.82686857402129</v>
      </c>
      <c r="AA29" s="5">
        <f t="shared" si="11"/>
        <v>306.26253956524135</v>
      </c>
      <c r="AB29" s="5">
        <f t="shared" si="12"/>
        <v>0</v>
      </c>
    </row>
    <row r="30" spans="1:28" ht="15.6">
      <c r="A30" s="2" t="s">
        <v>7</v>
      </c>
      <c r="B30" s="2" t="s">
        <v>125</v>
      </c>
      <c r="C30" s="6" t="s">
        <v>148</v>
      </c>
      <c r="D30" s="6" t="s">
        <v>101</v>
      </c>
      <c r="E30" s="8" t="s">
        <v>206</v>
      </c>
      <c r="F30" s="2">
        <f t="shared" si="0"/>
        <v>0.5</v>
      </c>
      <c r="G30" s="5">
        <v>17710.43</v>
      </c>
      <c r="H30" s="2"/>
      <c r="I30" s="2" t="s">
        <v>8</v>
      </c>
      <c r="J30" s="2">
        <v>7</v>
      </c>
      <c r="K30" s="2">
        <f t="shared" si="1"/>
        <v>6.5</v>
      </c>
      <c r="L30" s="5">
        <f t="shared" si="2"/>
        <v>1265.0307142857137</v>
      </c>
      <c r="M30" s="5">
        <f t="shared" si="3"/>
        <v>0.83168468733105205</v>
      </c>
      <c r="N30" s="5">
        <f t="shared" si="4"/>
        <v>1052.1066740748913</v>
      </c>
      <c r="O30" s="5"/>
      <c r="P30" s="5">
        <v>4107.3699999999999</v>
      </c>
      <c r="Q30" s="5">
        <v>0</v>
      </c>
      <c r="R30" s="5">
        <v>5370.0699999999997</v>
      </c>
      <c r="S30" s="5">
        <v>3077.5799999999999</v>
      </c>
      <c r="T30" s="5">
        <v>5155.4100000000017</v>
      </c>
      <c r="W30" s="5">
        <f t="shared" si="7"/>
        <v>244.00262387163872</v>
      </c>
      <c r="X30" s="5">
        <f t="shared" si="8"/>
        <v>0</v>
      </c>
      <c r="Y30" s="5">
        <f t="shared" si="9"/>
        <v>319.01464206399004</v>
      </c>
      <c r="Z30" s="5">
        <f t="shared" si="10"/>
        <v>182.82686857402129</v>
      </c>
      <c r="AA30" s="5">
        <f t="shared" si="11"/>
        <v>306.26253956524135</v>
      </c>
      <c r="AB30" s="5">
        <f t="shared" si="12"/>
        <v>0</v>
      </c>
    </row>
    <row r="31" spans="1:28" ht="15.6">
      <c r="A31" s="2" t="s">
        <v>7</v>
      </c>
      <c r="B31" s="2" t="s">
        <v>125</v>
      </c>
      <c r="C31" s="6" t="s">
        <v>149</v>
      </c>
      <c r="D31" s="6" t="s">
        <v>108</v>
      </c>
      <c r="E31" s="8" t="s">
        <v>206</v>
      </c>
      <c r="F31" s="2">
        <f t="shared" si="0"/>
        <v>0.5</v>
      </c>
      <c r="G31" s="5">
        <v>17710.43</v>
      </c>
      <c r="H31" s="2"/>
      <c r="I31" s="2" t="s">
        <v>8</v>
      </c>
      <c r="J31" s="2">
        <v>7</v>
      </c>
      <c r="K31" s="2">
        <f t="shared" si="1"/>
        <v>6.5</v>
      </c>
      <c r="L31" s="5">
        <f t="shared" si="2"/>
        <v>1265.0307142857137</v>
      </c>
      <c r="M31" s="5">
        <f t="shared" si="3"/>
        <v>0.83168468733105205</v>
      </c>
      <c r="N31" s="5">
        <f t="shared" si="4"/>
        <v>1052.1066740748913</v>
      </c>
      <c r="O31" s="5"/>
      <c r="P31" s="5">
        <v>4107.3699999999999</v>
      </c>
      <c r="Q31" s="5">
        <v>0</v>
      </c>
      <c r="R31" s="5">
        <v>5370.0699999999997</v>
      </c>
      <c r="S31" s="5">
        <v>3077.5799999999999</v>
      </c>
      <c r="T31" s="5">
        <v>5155.4100000000017</v>
      </c>
      <c r="W31" s="5">
        <f t="shared" si="7"/>
        <v>244.00262387163872</v>
      </c>
      <c r="X31" s="5">
        <f t="shared" si="8"/>
        <v>0</v>
      </c>
      <c r="Y31" s="5">
        <f t="shared" si="9"/>
        <v>319.01464206399004</v>
      </c>
      <c r="Z31" s="5">
        <f t="shared" si="10"/>
        <v>182.82686857402129</v>
      </c>
      <c r="AA31" s="5">
        <f t="shared" si="11"/>
        <v>306.26253956524135</v>
      </c>
      <c r="AB31" s="5">
        <f t="shared" si="12"/>
        <v>0</v>
      </c>
    </row>
    <row r="32" spans="1:28" ht="15.6">
      <c r="A32" s="2" t="s">
        <v>7</v>
      </c>
      <c r="B32" s="2" t="s">
        <v>125</v>
      </c>
      <c r="C32" s="6" t="s">
        <v>150</v>
      </c>
      <c r="D32" s="6" t="s">
        <v>109</v>
      </c>
      <c r="E32" s="8" t="s">
        <v>206</v>
      </c>
      <c r="F32" s="2">
        <f t="shared" si="0"/>
        <v>0.5</v>
      </c>
      <c r="G32" s="5">
        <v>113171.27</v>
      </c>
      <c r="H32" s="2"/>
      <c r="I32" s="2" t="s">
        <v>8</v>
      </c>
      <c r="J32" s="2">
        <v>7</v>
      </c>
      <c r="K32" s="2">
        <f t="shared" si="1"/>
        <v>6.5</v>
      </c>
      <c r="L32" s="5">
        <f t="shared" si="2"/>
        <v>8083.6621428571398</v>
      </c>
      <c r="M32" s="5">
        <f t="shared" si="3"/>
        <v>0.83168468733105205</v>
      </c>
      <c r="N32" s="5">
        <f t="shared" si="4"/>
        <v>6723.0580217720026</v>
      </c>
      <c r="O32" s="5"/>
      <c r="P32" s="5">
        <v>26246.48</v>
      </c>
      <c r="Q32" s="5">
        <v>0</v>
      </c>
      <c r="R32" s="5">
        <v>34315.220000000001</v>
      </c>
      <c r="S32" s="5">
        <v>19665.990000000002</v>
      </c>
      <c r="T32" s="5">
        <v>32943.580000000002</v>
      </c>
      <c r="W32" s="5">
        <f t="shared" si="7"/>
        <v>1559.1996794529073</v>
      </c>
      <c r="X32" s="5">
        <f t="shared" si="8"/>
        <v>0</v>
      </c>
      <c r="Y32" s="5">
        <f t="shared" si="9"/>
        <v>2038.5316440283038</v>
      </c>
      <c r="Z32" s="5">
        <f t="shared" si="10"/>
        <v>1168.2787674432566</v>
      </c>
      <c r="AA32" s="5">
        <f t="shared" si="11"/>
        <v>1957.0479308475349</v>
      </c>
      <c r="AB32" s="5">
        <f t="shared" si="12"/>
        <v>0</v>
      </c>
    </row>
    <row r="33" spans="1:28" ht="15.6">
      <c r="A33" s="2" t="s">
        <v>7</v>
      </c>
      <c r="B33" s="2" t="s">
        <v>125</v>
      </c>
      <c r="C33" s="6" t="s">
        <v>151</v>
      </c>
      <c r="D33" s="6" t="s">
        <v>111</v>
      </c>
      <c r="E33" s="8" t="s">
        <v>206</v>
      </c>
      <c r="F33" s="2">
        <f t="shared" si="0"/>
        <v>0.5</v>
      </c>
      <c r="G33" s="5">
        <v>17710.43</v>
      </c>
      <c r="H33" s="2"/>
      <c r="I33" s="2" t="s">
        <v>8</v>
      </c>
      <c r="J33" s="2">
        <v>7</v>
      </c>
      <c r="K33" s="2">
        <f t="shared" si="1"/>
        <v>6.5</v>
      </c>
      <c r="L33" s="5">
        <f t="shared" si="2"/>
        <v>1265.0307142857137</v>
      </c>
      <c r="M33" s="5">
        <f t="shared" si="3"/>
        <v>0.83168468733105205</v>
      </c>
      <c r="N33" s="5">
        <f t="shared" si="4"/>
        <v>1052.1066740748913</v>
      </c>
      <c r="O33" s="5"/>
      <c r="P33" s="5">
        <v>4107.3699999999999</v>
      </c>
      <c r="Q33" s="5">
        <v>0</v>
      </c>
      <c r="R33" s="5">
        <v>5370.0699999999997</v>
      </c>
      <c r="S33" s="5">
        <v>3077.5799999999999</v>
      </c>
      <c r="T33" s="5">
        <v>5155.4100000000017</v>
      </c>
      <c r="W33" s="5">
        <f t="shared" si="7"/>
        <v>244.00262387163872</v>
      </c>
      <c r="X33" s="5">
        <f t="shared" si="8"/>
        <v>0</v>
      </c>
      <c r="Y33" s="5">
        <f t="shared" si="9"/>
        <v>319.01464206399004</v>
      </c>
      <c r="Z33" s="5">
        <f t="shared" si="10"/>
        <v>182.82686857402129</v>
      </c>
      <c r="AA33" s="5">
        <f t="shared" si="11"/>
        <v>306.26253956524135</v>
      </c>
      <c r="AB33" s="5">
        <f t="shared" si="12"/>
        <v>0</v>
      </c>
    </row>
    <row r="34" spans="1:28" ht="15.6">
      <c r="A34" s="2" t="s">
        <v>7</v>
      </c>
      <c r="B34" s="2" t="s">
        <v>125</v>
      </c>
      <c r="C34" s="6" t="s">
        <v>152</v>
      </c>
      <c r="D34" s="6" t="s">
        <v>112</v>
      </c>
      <c r="E34" s="8" t="s">
        <v>206</v>
      </c>
      <c r="F34" s="2">
        <f t="shared" si="0"/>
        <v>0.5</v>
      </c>
      <c r="G34" s="5">
        <v>17710.43</v>
      </c>
      <c r="H34" s="2"/>
      <c r="I34" s="2" t="s">
        <v>8</v>
      </c>
      <c r="J34" s="2">
        <v>7</v>
      </c>
      <c r="K34" s="2">
        <f t="shared" si="1"/>
        <v>6.5</v>
      </c>
      <c r="L34" s="5">
        <f t="shared" si="2"/>
        <v>1265.0307142857137</v>
      </c>
      <c r="M34" s="5">
        <f t="shared" si="3"/>
        <v>0.83168468733105205</v>
      </c>
      <c r="N34" s="5">
        <f t="shared" si="4"/>
        <v>1052.1066740748913</v>
      </c>
      <c r="O34" s="5"/>
      <c r="P34" s="5">
        <v>4107.3699999999999</v>
      </c>
      <c r="Q34" s="5">
        <v>0</v>
      </c>
      <c r="R34" s="5">
        <v>5370.0699999999997</v>
      </c>
      <c r="S34" s="5">
        <v>3077.5799999999999</v>
      </c>
      <c r="T34" s="5">
        <v>5155.4100000000017</v>
      </c>
      <c r="W34" s="5">
        <f t="shared" si="7"/>
        <v>244.00262387163872</v>
      </c>
      <c r="X34" s="5">
        <f t="shared" si="8"/>
        <v>0</v>
      </c>
      <c r="Y34" s="5">
        <f t="shared" si="9"/>
        <v>319.01464206399004</v>
      </c>
      <c r="Z34" s="5">
        <f t="shared" si="10"/>
        <v>182.82686857402129</v>
      </c>
      <c r="AA34" s="5">
        <f t="shared" si="11"/>
        <v>306.26253956524135</v>
      </c>
      <c r="AB34" s="5">
        <f t="shared" si="12"/>
        <v>0</v>
      </c>
    </row>
    <row r="35" spans="1:28" ht="15.6">
      <c r="A35" s="2" t="s">
        <v>7</v>
      </c>
      <c r="B35" s="2" t="s">
        <v>125</v>
      </c>
      <c r="C35" s="6" t="s">
        <v>153</v>
      </c>
      <c r="D35" s="6" t="s">
        <v>114</v>
      </c>
      <c r="E35" s="8" t="s">
        <v>206</v>
      </c>
      <c r="F35" s="2">
        <f t="shared" si="0"/>
        <v>0.5</v>
      </c>
      <c r="G35" s="5">
        <v>17710.43</v>
      </c>
      <c r="H35" s="2"/>
      <c r="I35" s="2" t="s">
        <v>8</v>
      </c>
      <c r="J35" s="2">
        <v>7</v>
      </c>
      <c r="K35" s="2">
        <f t="shared" si="1"/>
        <v>6.5</v>
      </c>
      <c r="L35" s="5">
        <f t="shared" si="2"/>
        <v>1265.0307142857137</v>
      </c>
      <c r="M35" s="5">
        <f t="shared" si="3"/>
        <v>0.83168468733105205</v>
      </c>
      <c r="N35" s="5">
        <f t="shared" si="4"/>
        <v>1052.1066740748913</v>
      </c>
      <c r="O35" s="5"/>
      <c r="P35" s="5">
        <v>4107.3699999999999</v>
      </c>
      <c r="Q35" s="5">
        <v>0</v>
      </c>
      <c r="R35" s="5">
        <v>5370.0699999999997</v>
      </c>
      <c r="S35" s="5">
        <v>3077.5799999999999</v>
      </c>
      <c r="T35" s="5">
        <v>5155.4100000000017</v>
      </c>
      <c r="W35" s="5">
        <f t="shared" si="7"/>
        <v>244.00262387163872</v>
      </c>
      <c r="X35" s="5">
        <f t="shared" si="8"/>
        <v>0</v>
      </c>
      <c r="Y35" s="5">
        <f t="shared" si="9"/>
        <v>319.01464206399004</v>
      </c>
      <c r="Z35" s="5">
        <f t="shared" si="10"/>
        <v>182.82686857402129</v>
      </c>
      <c r="AA35" s="5">
        <f t="shared" si="11"/>
        <v>306.26253956524135</v>
      </c>
      <c r="AB35" s="5">
        <f t="shared" si="12"/>
        <v>0</v>
      </c>
    </row>
    <row r="36" spans="1:28" ht="15.6">
      <c r="A36" s="2" t="s">
        <v>6</v>
      </c>
      <c r="B36" s="2" t="s">
        <v>125</v>
      </c>
      <c r="C36" s="6" t="s">
        <v>126</v>
      </c>
      <c r="D36" s="6" t="s">
        <v>23</v>
      </c>
      <c r="E36" s="8" t="s">
        <v>207</v>
      </c>
      <c r="F36" s="2">
        <f t="shared" si="0"/>
        <v>1.5</v>
      </c>
      <c r="G36" s="5">
        <v>27658762.300000001</v>
      </c>
      <c r="H36" s="2"/>
      <c r="I36" s="2" t="s">
        <v>8</v>
      </c>
      <c r="J36" s="2">
        <v>7</v>
      </c>
      <c r="K36" s="2">
        <f t="shared" si="1"/>
        <v>5.5</v>
      </c>
      <c r="L36" s="5">
        <f t="shared" si="13" ref="L36:L64">+G36*(1-K36/J36)</f>
        <v>5926877.635714286</v>
      </c>
      <c r="M36" s="5">
        <f t="shared" si="3"/>
        <v>0.83168468733105205</v>
      </c>
      <c r="N36" s="5">
        <f t="shared" si="14" ref="N36:N64">+L36*M36</f>
        <v>4929293.3733084407</v>
      </c>
      <c r="O36" s="5"/>
      <c r="P36" s="5">
        <v>6414569.9199999999</v>
      </c>
      <c r="Q36" s="5">
        <v>0</v>
      </c>
      <c r="R36" s="5">
        <v>8386550.8899999997</v>
      </c>
      <c r="S36" s="5">
        <v>4806315.6399999997</v>
      </c>
      <c r="T36" s="5">
        <v>8051325.8500000024</v>
      </c>
      <c r="U36" s="5">
        <f t="shared" si="15" ref="U36:U45">+G36-SUM(P36:T36)</f>
        <v>0</v>
      </c>
      <c r="V36" s="5"/>
      <c r="W36" s="5">
        <f t="shared" si="16" ref="W36:W64">+P36/$G36*$N36</f>
        <v>1143192.7667739366</v>
      </c>
      <c r="X36" s="5">
        <f t="shared" si="17" ref="X36:X64">+Q36/$G36*$N36</f>
        <v>0</v>
      </c>
      <c r="Y36" s="5">
        <f t="shared" si="18" ref="Y36:Y64">+R36/$G36*$N36</f>
        <v>1494635.5617290582</v>
      </c>
      <c r="Z36" s="5">
        <f t="shared" si="19" ref="Z36:Z64">+S36/$G36*$N36</f>
        <v>856572.66862880252</v>
      </c>
      <c r="AA36" s="5">
        <f t="shared" si="20" ref="AA36:AA64">+T36/$G36*$N36</f>
        <v>1434892.3761766432</v>
      </c>
      <c r="AB36" s="5">
        <f t="shared" si="21" ref="AB36:AB64">+U36/$G36*$N36</f>
        <v>0</v>
      </c>
    </row>
    <row r="37" spans="1:28" ht="15.6">
      <c r="A37" s="2" t="s">
        <v>6</v>
      </c>
      <c r="B37" s="2" t="s">
        <v>125</v>
      </c>
      <c r="C37" s="6" t="s">
        <v>154</v>
      </c>
      <c r="D37" s="6" t="s">
        <v>29</v>
      </c>
      <c r="E37" s="8" t="s">
        <v>207</v>
      </c>
      <c r="F37" s="2">
        <f t="shared" si="22" ref="F37:F68">2021.5-E37</f>
        <v>1.5</v>
      </c>
      <c r="G37" s="5">
        <v>9045.3700000000008</v>
      </c>
      <c r="H37" s="2"/>
      <c r="I37" s="2" t="s">
        <v>8</v>
      </c>
      <c r="J37" s="2">
        <v>7</v>
      </c>
      <c r="K37" s="2">
        <f t="shared" si="23" ref="K37:K64">+J37-F37</f>
        <v>5.5</v>
      </c>
      <c r="L37" s="5">
        <f t="shared" si="13"/>
        <v>1938.2935714285718</v>
      </c>
      <c r="M37" s="5">
        <f t="shared" si="24" ref="M37:M68">$N$206</f>
        <v>0.83168468733105205</v>
      </c>
      <c r="N37" s="5">
        <f t="shared" si="14"/>
        <v>1612.0490829093599</v>
      </c>
      <c r="O37" s="5"/>
      <c r="P37" s="5">
        <v>2097.79</v>
      </c>
      <c r="Q37" s="5">
        <v>0</v>
      </c>
      <c r="R37" s="5">
        <v>2742.6900000000001</v>
      </c>
      <c r="S37" s="5">
        <v>1571.8299999999999</v>
      </c>
      <c r="T37" s="5">
        <v>2633.0600000000013</v>
      </c>
      <c r="U37" s="5">
        <f t="shared" si="15"/>
        <v>0</v>
      </c>
      <c r="V37" s="5"/>
      <c r="W37" s="5">
        <f t="shared" si="16"/>
        <v>373.86424719347309</v>
      </c>
      <c r="X37" s="5">
        <f t="shared" si="17"/>
        <v>0</v>
      </c>
      <c r="Y37" s="5">
        <f t="shared" si="18"/>
        <v>488.79713037771501</v>
      </c>
      <c r="Z37" s="5">
        <f t="shared" si="19"/>
        <v>280.12863044733587</v>
      </c>
      <c r="AA37" s="5">
        <f t="shared" si="20"/>
        <v>469.25907489083596</v>
      </c>
      <c r="AB37" s="5">
        <f t="shared" si="21"/>
        <v>0</v>
      </c>
    </row>
    <row r="38" spans="1:28" ht="15.6">
      <c r="A38" s="2" t="s">
        <v>6</v>
      </c>
      <c r="B38" s="2" t="s">
        <v>125</v>
      </c>
      <c r="C38" s="6" t="s">
        <v>155</v>
      </c>
      <c r="D38" s="6" t="s">
        <v>32</v>
      </c>
      <c r="E38" s="8" t="s">
        <v>207</v>
      </c>
      <c r="F38" s="2">
        <f t="shared" si="22"/>
        <v>1.5</v>
      </c>
      <c r="G38" s="5">
        <v>9170.7099999999991</v>
      </c>
      <c r="H38" s="2"/>
      <c r="I38" s="2" t="s">
        <v>8</v>
      </c>
      <c r="J38" s="2">
        <v>7</v>
      </c>
      <c r="K38" s="2">
        <f t="shared" si="23"/>
        <v>5.5</v>
      </c>
      <c r="L38" s="5">
        <f t="shared" si="13"/>
        <v>1965.1521428571427</v>
      </c>
      <c r="M38" s="5">
        <f t="shared" si="24"/>
        <v>0.83168468733105205</v>
      </c>
      <c r="N38" s="5">
        <f t="shared" si="14"/>
        <v>1634.3869454900896</v>
      </c>
      <c r="O38" s="5"/>
      <c r="P38" s="5">
        <v>2126.8499999999999</v>
      </c>
      <c r="Q38" s="5">
        <v>0</v>
      </c>
      <c r="R38" s="5">
        <v>2780.6999999999998</v>
      </c>
      <c r="S38" s="5">
        <v>1593.6099999999999</v>
      </c>
      <c r="T38" s="5">
        <v>2669.5499999999993</v>
      </c>
      <c r="U38" s="5">
        <f t="shared" si="15"/>
        <v>0</v>
      </c>
      <c r="V38" s="5"/>
      <c r="W38" s="5">
        <f t="shared" si="16"/>
        <v>379.0432665535817</v>
      </c>
      <c r="X38" s="5">
        <f t="shared" si="17"/>
        <v>0</v>
      </c>
      <c r="Y38" s="5">
        <f t="shared" si="18"/>
        <v>495.57120215602635</v>
      </c>
      <c r="Z38" s="5">
        <f t="shared" si="19"/>
        <v>284.01022169520809</v>
      </c>
      <c r="AA38" s="5">
        <f t="shared" si="20"/>
        <v>475.76225508527341</v>
      </c>
      <c r="AB38" s="5">
        <f t="shared" si="21"/>
        <v>0</v>
      </c>
    </row>
    <row r="39" spans="1:28" ht="15.6">
      <c r="A39" s="2" t="s">
        <v>6</v>
      </c>
      <c r="B39" s="2" t="s">
        <v>125</v>
      </c>
      <c r="C39" s="6" t="s">
        <v>156</v>
      </c>
      <c r="D39" s="6" t="s">
        <v>37</v>
      </c>
      <c r="E39" s="8" t="s">
        <v>207</v>
      </c>
      <c r="F39" s="2">
        <f t="shared" si="22"/>
        <v>1.5</v>
      </c>
      <c r="G39" s="5">
        <v>3236.3400000000001</v>
      </c>
      <c r="H39" s="2"/>
      <c r="I39" s="2" t="s">
        <v>8</v>
      </c>
      <c r="J39" s="2">
        <v>7</v>
      </c>
      <c r="K39" s="2">
        <f t="shared" si="23"/>
        <v>5.5</v>
      </c>
      <c r="L39" s="5">
        <f t="shared" si="13"/>
        <v>693.50142857142862</v>
      </c>
      <c r="M39" s="5">
        <f t="shared" si="24"/>
        <v>0.83168468733105205</v>
      </c>
      <c r="N39" s="5">
        <f t="shared" si="14"/>
        <v>576.77451878506656</v>
      </c>
      <c r="O39" s="5"/>
      <c r="P39" s="5">
        <v>750.57000000000005</v>
      </c>
      <c r="Q39" s="5">
        <v>0</v>
      </c>
      <c r="R39" s="5">
        <v>981.30999999999995</v>
      </c>
      <c r="S39" s="5">
        <v>562.38</v>
      </c>
      <c r="T39" s="5">
        <v>942.08000000000004</v>
      </c>
      <c r="U39" s="5">
        <f t="shared" si="15"/>
        <v>0</v>
      </c>
      <c r="V39" s="5"/>
      <c r="W39" s="5">
        <f t="shared" si="16"/>
        <v>133.76519480787167</v>
      </c>
      <c r="X39" s="5">
        <f t="shared" si="17"/>
        <v>0</v>
      </c>
      <c r="Y39" s="5">
        <f t="shared" si="18"/>
        <v>174.88725011246459</v>
      </c>
      <c r="Z39" s="5">
        <f t="shared" si="19"/>
        <v>100.22632167026508</v>
      </c>
      <c r="AA39" s="5">
        <f t="shared" si="20"/>
        <v>167.89575219446519</v>
      </c>
      <c r="AB39" s="5">
        <f t="shared" si="21"/>
        <v>0</v>
      </c>
    </row>
    <row r="40" spans="1:28" ht="15.6">
      <c r="A40" s="2" t="s">
        <v>6</v>
      </c>
      <c r="B40" s="2" t="s">
        <v>125</v>
      </c>
      <c r="C40" s="6" t="s">
        <v>128</v>
      </c>
      <c r="D40" s="6" t="s">
        <v>52</v>
      </c>
      <c r="E40" s="8" t="s">
        <v>207</v>
      </c>
      <c r="F40" s="2">
        <f t="shared" si="22"/>
        <v>1.5</v>
      </c>
      <c r="G40" s="5">
        <v>3236.3099999999999</v>
      </c>
      <c r="H40" s="2"/>
      <c r="I40" s="2" t="s">
        <v>8</v>
      </c>
      <c r="J40" s="2">
        <v>7</v>
      </c>
      <c r="K40" s="2">
        <f t="shared" si="23"/>
        <v>5.5</v>
      </c>
      <c r="L40" s="5">
        <f t="shared" si="13"/>
        <v>693.495</v>
      </c>
      <c r="M40" s="5">
        <f t="shared" si="24"/>
        <v>0.83168468733105205</v>
      </c>
      <c r="N40" s="5">
        <f t="shared" si="14"/>
        <v>576.769172240648</v>
      </c>
      <c r="O40" s="5"/>
      <c r="P40" s="5">
        <v>750.55999999999995</v>
      </c>
      <c r="Q40" s="5">
        <v>0</v>
      </c>
      <c r="R40" s="5">
        <v>981.29999999999995</v>
      </c>
      <c r="S40" s="5">
        <v>562.38</v>
      </c>
      <c r="T40" s="5">
        <v>942.07000000000005</v>
      </c>
      <c r="U40" s="5">
        <f t="shared" si="15"/>
        <v>0</v>
      </c>
      <c r="V40" s="5"/>
      <c r="W40" s="5">
        <f t="shared" si="16"/>
        <v>133.7634126263988</v>
      </c>
      <c r="X40" s="5">
        <f t="shared" si="17"/>
        <v>0</v>
      </c>
      <c r="Y40" s="5">
        <f t="shared" si="18"/>
        <v>174.88546793099175</v>
      </c>
      <c r="Z40" s="5">
        <f t="shared" si="19"/>
        <v>100.22632167026509</v>
      </c>
      <c r="AA40" s="5">
        <f t="shared" si="20"/>
        <v>167.89397001299236</v>
      </c>
      <c r="AB40" s="5">
        <f t="shared" si="21"/>
        <v>0</v>
      </c>
    </row>
    <row r="41" spans="1:28" ht="15.6">
      <c r="A41" s="2" t="s">
        <v>6</v>
      </c>
      <c r="B41" s="2" t="s">
        <v>125</v>
      </c>
      <c r="C41" s="6" t="s">
        <v>157</v>
      </c>
      <c r="D41" s="6" t="s">
        <v>55</v>
      </c>
      <c r="E41" s="8" t="s">
        <v>207</v>
      </c>
      <c r="F41" s="2">
        <f t="shared" si="22"/>
        <v>1.5</v>
      </c>
      <c r="G41" s="5">
        <v>7606.0500000000002</v>
      </c>
      <c r="H41" s="2"/>
      <c r="I41" s="2" t="s">
        <v>8</v>
      </c>
      <c r="J41" s="2">
        <v>7</v>
      </c>
      <c r="K41" s="2">
        <f t="shared" si="23"/>
        <v>5.5</v>
      </c>
      <c r="L41" s="5">
        <f t="shared" si="13"/>
        <v>1629.8678571428573</v>
      </c>
      <c r="M41" s="5">
        <f t="shared" si="24"/>
        <v>0.83168468733105205</v>
      </c>
      <c r="N41" s="5">
        <f t="shared" si="14"/>
        <v>1355.536139158789</v>
      </c>
      <c r="O41" s="5"/>
      <c r="P41" s="5">
        <v>1763.98</v>
      </c>
      <c r="Q41" s="5">
        <v>0</v>
      </c>
      <c r="R41" s="5">
        <v>2306.27</v>
      </c>
      <c r="S41" s="5">
        <v>1321.72</v>
      </c>
      <c r="T41" s="5">
        <v>2214.0799999999999</v>
      </c>
      <c r="U41" s="5">
        <f t="shared" si="15"/>
        <v>0</v>
      </c>
      <c r="V41" s="5"/>
      <c r="W41" s="5">
        <f t="shared" si="16"/>
        <v>314.37324744819199</v>
      </c>
      <c r="X41" s="5">
        <f t="shared" si="17"/>
        <v>0</v>
      </c>
      <c r="Y41" s="5">
        <f t="shared" si="18"/>
        <v>411.01916653949684</v>
      </c>
      <c r="Z41" s="5">
        <f t="shared" si="19"/>
        <v>235.55448962982817</v>
      </c>
      <c r="AA41" s="5">
        <f t="shared" si="20"/>
        <v>394.58923554127193</v>
      </c>
      <c r="AB41" s="5">
        <f t="shared" si="21"/>
        <v>0</v>
      </c>
    </row>
    <row r="42" spans="1:28" ht="15.6">
      <c r="A42" s="2" t="s">
        <v>6</v>
      </c>
      <c r="B42" s="2" t="s">
        <v>125</v>
      </c>
      <c r="C42" s="6" t="s">
        <v>129</v>
      </c>
      <c r="D42" s="6" t="s">
        <v>56</v>
      </c>
      <c r="E42" s="8" t="s">
        <v>207</v>
      </c>
      <c r="F42" s="2">
        <f t="shared" si="22"/>
        <v>1.5</v>
      </c>
      <c r="G42" s="5">
        <v>14865.41</v>
      </c>
      <c r="H42" s="2"/>
      <c r="I42" s="2" t="s">
        <v>8</v>
      </c>
      <c r="J42" s="2">
        <v>7</v>
      </c>
      <c r="K42" s="2">
        <f t="shared" si="23"/>
        <v>5.5</v>
      </c>
      <c r="L42" s="5">
        <f t="shared" si="13"/>
        <v>3185.4450000000002</v>
      </c>
      <c r="M42" s="5">
        <f t="shared" si="24"/>
        <v>0.83168468733105205</v>
      </c>
      <c r="N42" s="5">
        <f t="shared" si="14"/>
        <v>2649.2858288352631</v>
      </c>
      <c r="O42" s="5"/>
      <c r="P42" s="5">
        <v>3447.5599999999999</v>
      </c>
      <c r="Q42" s="5">
        <v>0</v>
      </c>
      <c r="R42" s="5">
        <v>4507.4099999999999</v>
      </c>
      <c r="S42" s="5">
        <v>2583.1900000000001</v>
      </c>
      <c r="T42" s="5">
        <v>4327.25</v>
      </c>
      <c r="U42" s="5">
        <f t="shared" si="15"/>
        <v>0</v>
      </c>
      <c r="V42" s="5"/>
      <c r="W42" s="5">
        <f t="shared" si="16"/>
        <v>614.41775585465177</v>
      </c>
      <c r="X42" s="5">
        <f t="shared" si="17"/>
        <v>0</v>
      </c>
      <c r="Y42" s="5">
        <f t="shared" si="18"/>
        <v>803.30225925489799</v>
      </c>
      <c r="Z42" s="5">
        <f t="shared" si="19"/>
        <v>460.37133588572152</v>
      </c>
      <c r="AA42" s="5">
        <f t="shared" si="20"/>
        <v>771.19447783999192</v>
      </c>
      <c r="AB42" s="5">
        <f t="shared" si="21"/>
        <v>0</v>
      </c>
    </row>
    <row r="43" spans="1:28" ht="15.6">
      <c r="A43" s="2" t="s">
        <v>6</v>
      </c>
      <c r="B43" s="2" t="s">
        <v>125</v>
      </c>
      <c r="C43" s="6" t="s">
        <v>158</v>
      </c>
      <c r="D43" s="6" t="s">
        <v>61</v>
      </c>
      <c r="E43" s="8" t="s">
        <v>207</v>
      </c>
      <c r="F43" s="2">
        <f t="shared" si="22"/>
        <v>1.5</v>
      </c>
      <c r="G43" s="5">
        <v>51285.389999999999</v>
      </c>
      <c r="H43" s="2"/>
      <c r="I43" s="2" t="s">
        <v>8</v>
      </c>
      <c r="J43" s="2">
        <v>7</v>
      </c>
      <c r="K43" s="2">
        <f t="shared" si="23"/>
        <v>5.5</v>
      </c>
      <c r="L43" s="5">
        <f t="shared" si="13"/>
        <v>10989.72642857143</v>
      </c>
      <c r="M43" s="5">
        <f t="shared" si="24"/>
        <v>0.83168468733105205</v>
      </c>
      <c r="N43" s="5">
        <f t="shared" si="14"/>
        <v>9139.9871886002293</v>
      </c>
      <c r="O43" s="5"/>
      <c r="P43" s="5">
        <v>11894.01</v>
      </c>
      <c r="Q43" s="5">
        <v>0</v>
      </c>
      <c r="R43" s="5">
        <v>15550.5</v>
      </c>
      <c r="S43" s="5">
        <v>8911.9599999999991</v>
      </c>
      <c r="T43" s="5">
        <v>14928.919999999998</v>
      </c>
      <c r="U43" s="5">
        <f t="shared" si="15"/>
        <v>0</v>
      </c>
      <c r="V43" s="5"/>
      <c r="W43" s="5">
        <f t="shared" si="16"/>
        <v>2119.7284259919447</v>
      </c>
      <c r="X43" s="5">
        <f t="shared" si="17"/>
        <v>0</v>
      </c>
      <c r="Y43" s="5">
        <f t="shared" si="18"/>
        <v>2771.381299358899</v>
      </c>
      <c r="Z43" s="5">
        <f t="shared" si="19"/>
        <v>1588.2729998800378</v>
      </c>
      <c r="AA43" s="5">
        <f t="shared" si="20"/>
        <v>2660.6044633693482</v>
      </c>
      <c r="AB43" s="5">
        <f t="shared" si="21"/>
        <v>0</v>
      </c>
    </row>
    <row r="44" spans="1:28" ht="15.6">
      <c r="A44" s="2" t="s">
        <v>6</v>
      </c>
      <c r="B44" s="2" t="s">
        <v>125</v>
      </c>
      <c r="C44" s="6" t="s">
        <v>159</v>
      </c>
      <c r="D44" s="6" t="s">
        <v>62</v>
      </c>
      <c r="E44" s="8" t="s">
        <v>207</v>
      </c>
      <c r="F44" s="2">
        <f t="shared" si="22"/>
        <v>1.5</v>
      </c>
      <c r="G44" s="5">
        <v>3236.3099999999999</v>
      </c>
      <c r="H44" s="2"/>
      <c r="I44" s="2" t="s">
        <v>8</v>
      </c>
      <c r="J44" s="2">
        <v>7</v>
      </c>
      <c r="K44" s="2">
        <f t="shared" si="23"/>
        <v>5.5</v>
      </c>
      <c r="L44" s="5">
        <f t="shared" si="13"/>
        <v>693.495</v>
      </c>
      <c r="M44" s="5">
        <f t="shared" si="24"/>
        <v>0.83168468733105205</v>
      </c>
      <c r="N44" s="5">
        <f t="shared" si="14"/>
        <v>576.769172240648</v>
      </c>
      <c r="O44" s="5"/>
      <c r="P44" s="5">
        <v>750.55999999999995</v>
      </c>
      <c r="Q44" s="5">
        <v>0</v>
      </c>
      <c r="R44" s="5">
        <v>981.29999999999995</v>
      </c>
      <c r="S44" s="5">
        <v>562.38</v>
      </c>
      <c r="T44" s="5">
        <v>942.07000000000005</v>
      </c>
      <c r="U44" s="5">
        <f t="shared" si="15"/>
        <v>0</v>
      </c>
      <c r="V44" s="5"/>
      <c r="W44" s="5">
        <f t="shared" si="16"/>
        <v>133.7634126263988</v>
      </c>
      <c r="X44" s="5">
        <f t="shared" si="17"/>
        <v>0</v>
      </c>
      <c r="Y44" s="5">
        <f t="shared" si="18"/>
        <v>174.88546793099175</v>
      </c>
      <c r="Z44" s="5">
        <f t="shared" si="19"/>
        <v>100.22632167026509</v>
      </c>
      <c r="AA44" s="5">
        <f t="shared" si="20"/>
        <v>167.89397001299236</v>
      </c>
      <c r="AB44" s="5">
        <f t="shared" si="21"/>
        <v>0</v>
      </c>
    </row>
    <row r="45" spans="1:28" ht="15.6">
      <c r="A45" s="2" t="s">
        <v>7</v>
      </c>
      <c r="B45" s="2" t="s">
        <v>125</v>
      </c>
      <c r="C45" s="6" t="s">
        <v>126</v>
      </c>
      <c r="D45" s="6" t="s">
        <v>23</v>
      </c>
      <c r="E45" s="8" t="s">
        <v>207</v>
      </c>
      <c r="F45" s="2">
        <f t="shared" si="22"/>
        <v>1.5</v>
      </c>
      <c r="G45" s="5">
        <v>29671533.489999998</v>
      </c>
      <c r="H45" s="2"/>
      <c r="I45" s="2" t="s">
        <v>8</v>
      </c>
      <c r="J45" s="2">
        <v>7</v>
      </c>
      <c r="K45" s="2">
        <f t="shared" si="23"/>
        <v>5.5</v>
      </c>
      <c r="L45" s="5">
        <f t="shared" si="13"/>
        <v>6358185.7478571432</v>
      </c>
      <c r="M45" s="5">
        <f t="shared" si="24"/>
        <v>0.83168468733105205</v>
      </c>
      <c r="N45" s="5">
        <f t="shared" si="14"/>
        <v>5288005.7256993195</v>
      </c>
      <c r="O45" s="5"/>
      <c r="P45" s="5">
        <v>6881368.1600000001</v>
      </c>
      <c r="Q45" s="5">
        <v>0</v>
      </c>
      <c r="R45" s="5">
        <v>8996853.2599999998</v>
      </c>
      <c r="S45" s="5">
        <v>5156078.71</v>
      </c>
      <c r="T45" s="5">
        <v>8637233.3599999994</v>
      </c>
      <c r="U45" s="5">
        <f t="shared" si="15"/>
        <v>0</v>
      </c>
      <c r="V45" s="5"/>
      <c r="W45" s="5">
        <f t="shared" si="16"/>
        <v>1226384.6842627409</v>
      </c>
      <c r="X45" s="5">
        <f t="shared" si="17"/>
        <v>0</v>
      </c>
      <c r="Y45" s="5">
        <f t="shared" si="18"/>
        <v>1603402.5193942408</v>
      </c>
      <c r="Z45" s="5">
        <f t="shared" si="19"/>
        <v>918906.79495299538</v>
      </c>
      <c r="AA45" s="5">
        <f t="shared" si="20"/>
        <v>1539311.7270893427</v>
      </c>
      <c r="AB45" s="5">
        <f t="shared" si="21"/>
        <v>0</v>
      </c>
    </row>
    <row r="46" spans="1:28" ht="15.6">
      <c r="A46" s="2" t="s">
        <v>7</v>
      </c>
      <c r="B46" s="2" t="s">
        <v>125</v>
      </c>
      <c r="C46" s="6" t="s">
        <v>78</v>
      </c>
      <c r="D46" s="6" t="s">
        <v>79</v>
      </c>
      <c r="E46" s="8" t="s">
        <v>207</v>
      </c>
      <c r="F46" s="2">
        <f t="shared" si="22"/>
        <v>1.5</v>
      </c>
      <c r="G46" s="5">
        <v>30153.810000000001</v>
      </c>
      <c r="H46" s="2"/>
      <c r="I46" s="2" t="s">
        <v>8</v>
      </c>
      <c r="J46" s="2">
        <v>7</v>
      </c>
      <c r="K46" s="2">
        <f t="shared" si="23"/>
        <v>5.5</v>
      </c>
      <c r="L46" s="5">
        <f t="shared" si="13"/>
        <v>6461.5307142857155</v>
      </c>
      <c r="M46" s="5">
        <f t="shared" si="24"/>
        <v>0.83168468733105205</v>
      </c>
      <c r="N46" s="5">
        <f t="shared" si="14"/>
        <v>5373.956151790705</v>
      </c>
      <c r="O46" s="5"/>
      <c r="P46" s="5">
        <v>6993.2200000000003</v>
      </c>
      <c r="Q46" s="5">
        <v>0</v>
      </c>
      <c r="R46" s="5">
        <v>9143.0900000000001</v>
      </c>
      <c r="S46" s="5">
        <v>5239.8800000000001</v>
      </c>
      <c r="T46" s="5">
        <v>8777.619999999999</v>
      </c>
      <c r="W46" s="5">
        <f t="shared" si="16"/>
        <v>1246.3187119579845</v>
      </c>
      <c r="X46" s="5">
        <f t="shared" si="17"/>
        <v>0</v>
      </c>
      <c r="Y46" s="5">
        <f t="shared" si="18"/>
        <v>1629.4645602620724</v>
      </c>
      <c r="Z46" s="5">
        <f t="shared" si="19"/>
        <v>933.84170559690733</v>
      </c>
      <c r="AA46" s="5">
        <f t="shared" si="20"/>
        <v>1564.3311739737405</v>
      </c>
      <c r="AB46" s="5">
        <f t="shared" si="21"/>
        <v>0</v>
      </c>
    </row>
    <row r="47" spans="1:28" ht="15.6">
      <c r="A47" s="2" t="s">
        <v>7</v>
      </c>
      <c r="B47" s="2" t="s">
        <v>125</v>
      </c>
      <c r="C47" s="6" t="s">
        <v>160</v>
      </c>
      <c r="D47" s="6" t="s">
        <v>92</v>
      </c>
      <c r="E47" s="8" t="s">
        <v>207</v>
      </c>
      <c r="F47" s="2">
        <f t="shared" si="22"/>
        <v>1.5</v>
      </c>
      <c r="G47" s="5">
        <v>-32.689999999999998</v>
      </c>
      <c r="H47" s="2"/>
      <c r="I47" s="2" t="s">
        <v>8</v>
      </c>
      <c r="J47" s="2">
        <v>7</v>
      </c>
      <c r="K47" s="2">
        <f t="shared" si="23"/>
        <v>5.5</v>
      </c>
      <c r="L47" s="5">
        <f t="shared" si="13"/>
        <v>-7.0049999999999999</v>
      </c>
      <c r="M47" s="5">
        <f t="shared" si="24"/>
        <v>0.83168468733105205</v>
      </c>
      <c r="N47" s="5">
        <f t="shared" si="14"/>
        <v>-5.8259512347540197</v>
      </c>
      <c r="O47" s="5"/>
      <c r="P47" s="5">
        <v>-7.5800000000000001</v>
      </c>
      <c r="Q47" s="5">
        <v>0</v>
      </c>
      <c r="R47" s="5">
        <v>-9.9100000000000001</v>
      </c>
      <c r="S47" s="5">
        <v>-5.6799999999999997</v>
      </c>
      <c r="T47" s="5">
        <v>-9.5199999999999996</v>
      </c>
      <c r="W47" s="5">
        <f t="shared" si="16"/>
        <v>-1.3508935564220088</v>
      </c>
      <c r="X47" s="5">
        <f t="shared" si="17"/>
        <v>0</v>
      </c>
      <c r="Y47" s="5">
        <f t="shared" si="18"/>
        <v>-1.7661418395965842</v>
      </c>
      <c r="Z47" s="5">
        <f t="shared" si="19"/>
        <v>-1.0122790765800804</v>
      </c>
      <c r="AA47" s="5">
        <f t="shared" si="20"/>
        <v>-1.6966367621553464</v>
      </c>
      <c r="AB47" s="5">
        <f t="shared" si="21"/>
        <v>0</v>
      </c>
    </row>
    <row r="48" spans="1:28" ht="15.6">
      <c r="A48" s="2" t="s">
        <v>6</v>
      </c>
      <c r="B48" s="2" t="s">
        <v>125</v>
      </c>
      <c r="C48" s="6" t="s">
        <v>126</v>
      </c>
      <c r="D48" s="6" t="s">
        <v>23</v>
      </c>
      <c r="E48" s="8" t="s">
        <v>208</v>
      </c>
      <c r="F48" s="2">
        <f t="shared" si="22"/>
        <v>2.5</v>
      </c>
      <c r="G48" s="5">
        <v>7757352.2199999997</v>
      </c>
      <c r="H48" s="2"/>
      <c r="I48" s="2" t="s">
        <v>8</v>
      </c>
      <c r="J48" s="2">
        <v>7</v>
      </c>
      <c r="K48" s="2">
        <f t="shared" si="23"/>
        <v>4.5</v>
      </c>
      <c r="L48" s="5">
        <f t="shared" si="13"/>
        <v>2770482.9357142854</v>
      </c>
      <c r="M48" s="5">
        <f t="shared" si="24"/>
        <v>0.83168468733105205</v>
      </c>
      <c r="N48" s="5">
        <f t="shared" si="14"/>
        <v>2304168.2341455505</v>
      </c>
      <c r="O48" s="5"/>
      <c r="P48" s="5">
        <v>1799071.04</v>
      </c>
      <c r="Q48" s="5">
        <v>0</v>
      </c>
      <c r="R48" s="5">
        <v>2352145.3500000001</v>
      </c>
      <c r="S48" s="5">
        <v>1348009.8200000001</v>
      </c>
      <c r="T48" s="5">
        <v>2258126.0099999998</v>
      </c>
      <c r="U48" s="5">
        <f t="shared" si="25" ref="U48:U57">+G48-SUM(P48:T48)</f>
        <v>0</v>
      </c>
      <c r="V48" s="5"/>
      <c r="W48" s="5">
        <f t="shared" si="16"/>
        <v>534378.51263883943</v>
      </c>
      <c r="X48" s="5">
        <f t="shared" si="17"/>
        <v>0</v>
      </c>
      <c r="Y48" s="5">
        <f t="shared" si="18"/>
        <v>698658.31070426351</v>
      </c>
      <c r="Z48" s="5">
        <f t="shared" si="19"/>
        <v>400399.68773781706</v>
      </c>
      <c r="AA48" s="5">
        <f t="shared" si="20"/>
        <v>670731.72306463064</v>
      </c>
      <c r="AB48" s="5">
        <f t="shared" si="21"/>
        <v>0</v>
      </c>
    </row>
    <row r="49" spans="1:28" ht="15.6">
      <c r="A49" s="2" t="s">
        <v>6</v>
      </c>
      <c r="B49" s="2" t="s">
        <v>125</v>
      </c>
      <c r="C49" s="6" t="s">
        <v>161</v>
      </c>
      <c r="D49" s="6" t="s">
        <v>26</v>
      </c>
      <c r="E49" s="8" t="s">
        <v>208</v>
      </c>
      <c r="F49" s="2">
        <f t="shared" si="22"/>
        <v>2.5</v>
      </c>
      <c r="G49" s="5">
        <v>-481.79000000000002</v>
      </c>
      <c r="H49" s="2"/>
      <c r="I49" s="2" t="s">
        <v>8</v>
      </c>
      <c r="J49" s="2">
        <v>7</v>
      </c>
      <c r="K49" s="2">
        <f t="shared" si="23"/>
        <v>4.5</v>
      </c>
      <c r="L49" s="5">
        <f t="shared" si="13"/>
        <v>-172.06785714285712</v>
      </c>
      <c r="M49" s="5">
        <f t="shared" si="24"/>
        <v>0.83168468733105205</v>
      </c>
      <c r="N49" s="5">
        <f t="shared" si="14"/>
        <v>-143.10620196758126</v>
      </c>
      <c r="O49" s="5"/>
      <c r="P49" s="5">
        <v>-111.74</v>
      </c>
      <c r="Q49" s="5">
        <v>0</v>
      </c>
      <c r="R49" s="5">
        <v>-146.09</v>
      </c>
      <c r="S49" s="5">
        <v>-83.719999999999999</v>
      </c>
      <c r="T49" s="5">
        <v>-140.24000000000001</v>
      </c>
      <c r="U49" s="5">
        <f t="shared" si="25"/>
        <v>0</v>
      </c>
      <c r="V49" s="5"/>
      <c r="W49" s="5">
        <f t="shared" si="16"/>
        <v>-33.190159629418474</v>
      </c>
      <c r="X49" s="5">
        <f t="shared" si="17"/>
        <v>0</v>
      </c>
      <c r="Y49" s="5">
        <f t="shared" si="18"/>
        <v>-43.39314856149764</v>
      </c>
      <c r="Z49" s="5">
        <f t="shared" si="19"/>
        <v>-24.867372151198452</v>
      </c>
      <c r="AA49" s="5">
        <f t="shared" si="20"/>
        <v>-41.65552162546669</v>
      </c>
      <c r="AB49" s="5">
        <f t="shared" si="21"/>
        <v>0</v>
      </c>
    </row>
    <row r="50" spans="1:28" ht="15.6">
      <c r="A50" s="2" t="s">
        <v>6</v>
      </c>
      <c r="B50" s="2" t="s">
        <v>125</v>
      </c>
      <c r="C50" s="6" t="s">
        <v>162</v>
      </c>
      <c r="D50" s="6" t="s">
        <v>30</v>
      </c>
      <c r="E50" s="8" t="s">
        <v>208</v>
      </c>
      <c r="F50" s="2">
        <f t="shared" si="22"/>
        <v>2.5</v>
      </c>
      <c r="G50" s="5">
        <v>7386.9300000000003</v>
      </c>
      <c r="H50" s="2"/>
      <c r="I50" s="2" t="s">
        <v>8</v>
      </c>
      <c r="J50" s="2">
        <v>7</v>
      </c>
      <c r="K50" s="2">
        <f t="shared" si="23"/>
        <v>4.5</v>
      </c>
      <c r="L50" s="5">
        <f t="shared" si="13"/>
        <v>2638.1892857142857</v>
      </c>
      <c r="M50" s="5">
        <f t="shared" si="24"/>
        <v>0.83168468733105205</v>
      </c>
      <c r="N50" s="5">
        <f t="shared" si="14"/>
        <v>2194.141631209417</v>
      </c>
      <c r="O50" s="5"/>
      <c r="P50" s="5">
        <v>1713.1600000000001</v>
      </c>
      <c r="Q50" s="5">
        <v>0</v>
      </c>
      <c r="R50" s="5">
        <v>2239.8299999999999</v>
      </c>
      <c r="S50" s="5">
        <v>1283.6400000000001</v>
      </c>
      <c r="T50" s="5">
        <v>2150.3000000000002</v>
      </c>
      <c r="U50" s="5">
        <f t="shared" si="25"/>
        <v>0</v>
      </c>
      <c r="V50" s="5"/>
      <c r="W50" s="5">
        <f t="shared" si="16"/>
        <v>508.86033533859461</v>
      </c>
      <c r="X50" s="5">
        <f t="shared" si="17"/>
        <v>0</v>
      </c>
      <c r="Y50" s="5">
        <f t="shared" si="18"/>
        <v>665.29725472311077</v>
      </c>
      <c r="Z50" s="5">
        <f t="shared" si="19"/>
        <v>381.27990430201129</v>
      </c>
      <c r="AA50" s="5">
        <f t="shared" si="20"/>
        <v>638.70413684570042</v>
      </c>
      <c r="AB50" s="5">
        <f t="shared" si="21"/>
        <v>0</v>
      </c>
    </row>
    <row r="51" spans="1:28" ht="15.6">
      <c r="A51" s="2" t="s">
        <v>6</v>
      </c>
      <c r="B51" s="2" t="s">
        <v>125</v>
      </c>
      <c r="C51" s="6" t="s">
        <v>163</v>
      </c>
      <c r="D51" s="6" t="s">
        <v>53</v>
      </c>
      <c r="E51" s="8" t="s">
        <v>208</v>
      </c>
      <c r="F51" s="2">
        <f t="shared" si="22"/>
        <v>2.5</v>
      </c>
      <c r="G51" s="5">
        <v>2540.5300000000002</v>
      </c>
      <c r="H51" s="2"/>
      <c r="I51" s="2" t="s">
        <v>8</v>
      </c>
      <c r="J51" s="2">
        <v>7</v>
      </c>
      <c r="K51" s="2">
        <f t="shared" si="23"/>
        <v>4.5</v>
      </c>
      <c r="L51" s="5">
        <f t="shared" si="13"/>
        <v>907.3321428571428</v>
      </c>
      <c r="M51" s="5">
        <f t="shared" si="24"/>
        <v>0.83168468733105205</v>
      </c>
      <c r="N51" s="5">
        <f t="shared" si="14"/>
        <v>754.61424953755625</v>
      </c>
      <c r="O51" s="5"/>
      <c r="P51" s="5">
        <v>589.20000000000005</v>
      </c>
      <c r="Q51" s="5">
        <v>0</v>
      </c>
      <c r="R51" s="5">
        <v>770.33000000000004</v>
      </c>
      <c r="S51" s="5">
        <v>441.47000000000003</v>
      </c>
      <c r="T51" s="5">
        <v>739.52999999999997</v>
      </c>
      <c r="U51" s="5">
        <f t="shared" si="25"/>
        <v>0</v>
      </c>
      <c r="V51" s="5"/>
      <c r="W51" s="5">
        <f t="shared" si="16"/>
        <v>175.01022063409138</v>
      </c>
      <c r="X51" s="5">
        <f t="shared" si="17"/>
        <v>0</v>
      </c>
      <c r="Y51" s="5">
        <f t="shared" si="18"/>
        <v>228.81130899704618</v>
      </c>
      <c r="Z51" s="5">
        <f t="shared" si="19"/>
        <v>131.1299424700141</v>
      </c>
      <c r="AA51" s="5">
        <f t="shared" si="20"/>
        <v>219.66277743640458</v>
      </c>
      <c r="AB51" s="5">
        <f t="shared" si="21"/>
        <v>0</v>
      </c>
    </row>
    <row r="52" spans="1:28" ht="15.6">
      <c r="A52" s="2" t="s">
        <v>6</v>
      </c>
      <c r="B52" s="2" t="s">
        <v>125</v>
      </c>
      <c r="C52" s="6" t="s">
        <v>164</v>
      </c>
      <c r="D52" s="6" t="s">
        <v>54</v>
      </c>
      <c r="E52" s="8" t="s">
        <v>208</v>
      </c>
      <c r="F52" s="2">
        <f t="shared" si="22"/>
        <v>2.5</v>
      </c>
      <c r="G52" s="5">
        <v>7740.9499999999998</v>
      </c>
      <c r="H52" s="2"/>
      <c r="I52" s="2" t="s">
        <v>8</v>
      </c>
      <c r="J52" s="2">
        <v>7</v>
      </c>
      <c r="K52" s="2">
        <f t="shared" si="23"/>
        <v>4.5</v>
      </c>
      <c r="L52" s="5">
        <f t="shared" si="13"/>
        <v>2764.6249999999995</v>
      </c>
      <c r="M52" s="5">
        <f t="shared" si="24"/>
        <v>0.83168468733105205</v>
      </c>
      <c r="N52" s="5">
        <f t="shared" si="14"/>
        <v>2299.2962787126094</v>
      </c>
      <c r="O52" s="5"/>
      <c r="P52" s="5">
        <v>1795.27</v>
      </c>
      <c r="Q52" s="5">
        <v>0</v>
      </c>
      <c r="R52" s="5">
        <v>2347.1700000000001</v>
      </c>
      <c r="S52" s="5">
        <v>1345.1600000000001</v>
      </c>
      <c r="T52" s="5">
        <v>2253.3500000000004</v>
      </c>
      <c r="U52" s="5">
        <f t="shared" si="25"/>
        <v>0</v>
      </c>
      <c r="V52" s="5"/>
      <c r="W52" s="5">
        <f t="shared" si="16"/>
        <v>533.2494887945777</v>
      </c>
      <c r="X52" s="5">
        <f t="shared" si="17"/>
        <v>0</v>
      </c>
      <c r="Y52" s="5">
        <f t="shared" si="18"/>
        <v>697.18048127243765</v>
      </c>
      <c r="Z52" s="5">
        <f t="shared" si="19"/>
        <v>399.55320500365639</v>
      </c>
      <c r="AA52" s="5">
        <f t="shared" si="20"/>
        <v>669.31310364193791</v>
      </c>
      <c r="AB52" s="5">
        <f t="shared" si="21"/>
        <v>0</v>
      </c>
    </row>
    <row r="53" spans="1:28" ht="15.6">
      <c r="A53" s="2" t="s">
        <v>6</v>
      </c>
      <c r="B53" s="2" t="s">
        <v>125</v>
      </c>
      <c r="C53" s="6" t="s">
        <v>129</v>
      </c>
      <c r="D53" s="6" t="s">
        <v>56</v>
      </c>
      <c r="E53" s="8" t="s">
        <v>208</v>
      </c>
      <c r="F53" s="2">
        <f t="shared" si="22"/>
        <v>2.5</v>
      </c>
      <c r="G53" s="5">
        <v>19310.720000000001</v>
      </c>
      <c r="H53" s="2"/>
      <c r="I53" s="2" t="s">
        <v>8</v>
      </c>
      <c r="J53" s="2">
        <v>7</v>
      </c>
      <c r="K53" s="2">
        <f t="shared" si="23"/>
        <v>4.5</v>
      </c>
      <c r="L53" s="5">
        <f t="shared" si="13"/>
        <v>6896.6857142857134</v>
      </c>
      <c r="M53" s="5">
        <f t="shared" si="24"/>
        <v>0.83168468733105205</v>
      </c>
      <c r="N53" s="5">
        <f t="shared" si="14"/>
        <v>5735.8679019062465</v>
      </c>
      <c r="O53" s="5"/>
      <c r="P53" s="5">
        <v>4478.5100000000002</v>
      </c>
      <c r="Q53" s="5">
        <v>0</v>
      </c>
      <c r="R53" s="5">
        <v>5855.3000000000002</v>
      </c>
      <c r="S53" s="5">
        <v>3355.6599999999999</v>
      </c>
      <c r="T53" s="5">
        <v>5621.25</v>
      </c>
      <c r="U53" s="5">
        <f t="shared" si="25"/>
        <v>0</v>
      </c>
      <c r="V53" s="5"/>
      <c r="W53" s="5">
        <f t="shared" si="16"/>
        <v>1330.2529246639247</v>
      </c>
      <c r="X53" s="5">
        <f t="shared" si="17"/>
        <v>0</v>
      </c>
      <c r="Y53" s="5">
        <f t="shared" si="18"/>
        <v>1739.2011963319671</v>
      </c>
      <c r="Z53" s="5">
        <f t="shared" si="19"/>
        <v>996.73251353189892</v>
      </c>
      <c r="AA53" s="5">
        <f t="shared" si="20"/>
        <v>1669.6812673784555</v>
      </c>
      <c r="AB53" s="5">
        <f t="shared" si="21"/>
        <v>0</v>
      </c>
    </row>
    <row r="54" spans="1:28" ht="15.6">
      <c r="A54" s="2" t="s">
        <v>6</v>
      </c>
      <c r="B54" s="2" t="s">
        <v>125</v>
      </c>
      <c r="C54" s="6" t="s">
        <v>165</v>
      </c>
      <c r="D54" s="6" t="s">
        <v>57</v>
      </c>
      <c r="E54" s="8" t="s">
        <v>208</v>
      </c>
      <c r="F54" s="2">
        <f t="shared" si="22"/>
        <v>2.5</v>
      </c>
      <c r="G54" s="5">
        <v>7151</v>
      </c>
      <c r="H54" s="2"/>
      <c r="I54" s="2" t="s">
        <v>8</v>
      </c>
      <c r="J54" s="2">
        <v>7</v>
      </c>
      <c r="K54" s="2">
        <f t="shared" si="23"/>
        <v>4.5</v>
      </c>
      <c r="L54" s="5">
        <f t="shared" si="13"/>
        <v>2553.9285714285711</v>
      </c>
      <c r="M54" s="5">
        <f t="shared" si="24"/>
        <v>0.83168468733105205</v>
      </c>
      <c r="N54" s="5">
        <f t="shared" si="14"/>
        <v>2124.0632853944117</v>
      </c>
      <c r="O54" s="5"/>
      <c r="P54" s="5">
        <v>1658.4500000000001</v>
      </c>
      <c r="Q54" s="5">
        <v>0</v>
      </c>
      <c r="R54" s="5">
        <v>2168.29</v>
      </c>
      <c r="S54" s="5">
        <v>1242.6400000000001</v>
      </c>
      <c r="T54" s="5">
        <v>2081.6199999999999</v>
      </c>
      <c r="U54" s="5">
        <f t="shared" si="25"/>
        <v>0</v>
      </c>
      <c r="V54" s="5"/>
      <c r="W54" s="5">
        <f t="shared" si="16"/>
        <v>492.60981060863685</v>
      </c>
      <c r="X54" s="5">
        <f t="shared" si="17"/>
        <v>0</v>
      </c>
      <c r="Y54" s="5">
        <f t="shared" si="18"/>
        <v>644.04771096180241</v>
      </c>
      <c r="Z54" s="5">
        <f t="shared" si="19"/>
        <v>369.10166423752088</v>
      </c>
      <c r="AA54" s="5">
        <f t="shared" si="20"/>
        <v>618.30409958645157</v>
      </c>
      <c r="AB54" s="5">
        <f t="shared" si="21"/>
        <v>0</v>
      </c>
    </row>
    <row r="55" spans="1:28" ht="15.6">
      <c r="A55" s="2" t="s">
        <v>6</v>
      </c>
      <c r="B55" s="2" t="s">
        <v>125</v>
      </c>
      <c r="C55" s="6" t="s">
        <v>158</v>
      </c>
      <c r="D55" s="6" t="s">
        <v>61</v>
      </c>
      <c r="E55" s="8" t="s">
        <v>208</v>
      </c>
      <c r="F55" s="2">
        <f t="shared" si="22"/>
        <v>2.5</v>
      </c>
      <c r="G55" s="5">
        <v>1869.1800000000001</v>
      </c>
      <c r="H55" s="2"/>
      <c r="I55" s="2" t="s">
        <v>8</v>
      </c>
      <c r="J55" s="2">
        <v>7</v>
      </c>
      <c r="K55" s="2">
        <f t="shared" si="23"/>
        <v>4.5</v>
      </c>
      <c r="L55" s="5">
        <f t="shared" si="13"/>
        <v>667.56428571428569</v>
      </c>
      <c r="M55" s="5">
        <f t="shared" si="24"/>
        <v>0.83168468733105205</v>
      </c>
      <c r="N55" s="5">
        <f t="shared" si="14"/>
        <v>555.20299423766278</v>
      </c>
      <c r="O55" s="5"/>
      <c r="P55" s="5">
        <v>433.5</v>
      </c>
      <c r="Q55" s="5">
        <v>0</v>
      </c>
      <c r="R55" s="5">
        <v>566.75999999999999</v>
      </c>
      <c r="S55" s="5">
        <v>324.81</v>
      </c>
      <c r="T55" s="5">
        <v>544.11000000000013</v>
      </c>
      <c r="U55" s="5">
        <f t="shared" si="25"/>
        <v>0</v>
      </c>
      <c r="V55" s="5"/>
      <c r="W55" s="5">
        <f t="shared" si="16"/>
        <v>128.76261141357537</v>
      </c>
      <c r="X55" s="5">
        <f t="shared" si="17"/>
        <v>0</v>
      </c>
      <c r="Y55" s="5">
        <f t="shared" si="18"/>
        <v>168.34486192562392</v>
      </c>
      <c r="Z55" s="5">
        <f t="shared" si="19"/>
        <v>96.478394032856784</v>
      </c>
      <c r="AA55" s="5">
        <f t="shared" si="20"/>
        <v>161.61712686560671</v>
      </c>
      <c r="AB55" s="5">
        <f t="shared" si="21"/>
        <v>0</v>
      </c>
    </row>
    <row r="56" spans="1:28" ht="15.6">
      <c r="A56" s="2" t="s">
        <v>7</v>
      </c>
      <c r="B56" s="2" t="s">
        <v>125</v>
      </c>
      <c r="C56" s="6" t="s">
        <v>126</v>
      </c>
      <c r="D56" s="6" t="s">
        <v>23</v>
      </c>
      <c r="E56" s="8" t="s">
        <v>208</v>
      </c>
      <c r="F56" s="2">
        <f t="shared" si="22"/>
        <v>2.5</v>
      </c>
      <c r="G56" s="5">
        <v>460949.09000000003</v>
      </c>
      <c r="H56" s="2"/>
      <c r="I56" s="2" t="s">
        <v>8</v>
      </c>
      <c r="J56" s="2">
        <v>7</v>
      </c>
      <c r="K56" s="2">
        <f t="shared" si="23"/>
        <v>4.5</v>
      </c>
      <c r="L56" s="5">
        <f t="shared" si="13"/>
        <v>164624.67499999999</v>
      </c>
      <c r="M56" s="5">
        <f t="shared" si="24"/>
        <v>0.83168468733105205</v>
      </c>
      <c r="N56" s="5">
        <f t="shared" si="14"/>
        <v>136915.82135435107</v>
      </c>
      <c r="O56" s="5"/>
      <c r="P56" s="5">
        <v>106902.48</v>
      </c>
      <c r="Q56" s="5">
        <v>0</v>
      </c>
      <c r="R56" s="5">
        <v>139766.67000000001</v>
      </c>
      <c r="S56" s="5">
        <v>80100</v>
      </c>
      <c r="T56" s="5">
        <v>134179.94000000003</v>
      </c>
      <c r="U56" s="5">
        <f t="shared" si="25"/>
        <v>0</v>
      </c>
      <c r="V56" s="5"/>
      <c r="W56" s="5">
        <f t="shared" si="16"/>
        <v>31753.269876326442</v>
      </c>
      <c r="X56" s="5">
        <f t="shared" si="17"/>
        <v>0</v>
      </c>
      <c r="Y56" s="5">
        <f t="shared" si="18"/>
        <v>41514.928299375839</v>
      </c>
      <c r="Z56" s="5">
        <f t="shared" si="19"/>
        <v>23792.122662577596</v>
      </c>
      <c r="AA56" s="5">
        <f t="shared" si="20"/>
        <v>39855.500516071195</v>
      </c>
      <c r="AB56" s="5">
        <f t="shared" si="21"/>
        <v>0</v>
      </c>
    </row>
    <row r="57" spans="1:28" ht="15.6">
      <c r="A57" s="2" t="s">
        <v>7</v>
      </c>
      <c r="B57" s="2" t="s">
        <v>125</v>
      </c>
      <c r="C57" s="6" t="s">
        <v>155</v>
      </c>
      <c r="D57" s="6" t="s">
        <v>32</v>
      </c>
      <c r="E57" s="8" t="s">
        <v>208</v>
      </c>
      <c r="F57" s="2">
        <f t="shared" si="22"/>
        <v>2.5</v>
      </c>
      <c r="G57" s="5">
        <v>123836.22</v>
      </c>
      <c r="H57" s="2"/>
      <c r="I57" s="2" t="s">
        <v>8</v>
      </c>
      <c r="J57" s="2">
        <v>7</v>
      </c>
      <c r="K57" s="2">
        <f t="shared" si="23"/>
        <v>4.5</v>
      </c>
      <c r="L57" s="5">
        <f t="shared" si="13"/>
        <v>44227.221428571422</v>
      </c>
      <c r="M57" s="5">
        <f t="shared" si="24"/>
        <v>0.83168468733105205</v>
      </c>
      <c r="N57" s="5">
        <f t="shared" si="14"/>
        <v>36783.102825342627</v>
      </c>
      <c r="O57" s="5"/>
      <c r="P57" s="5">
        <v>28719.869999999999</v>
      </c>
      <c r="Q57" s="5">
        <v>0</v>
      </c>
      <c r="R57" s="5">
        <v>37549</v>
      </c>
      <c r="S57" s="5">
        <v>21519.259999999998</v>
      </c>
      <c r="T57" s="5">
        <v>36048.090000000011</v>
      </c>
      <c r="U57" s="5">
        <f t="shared" si="25"/>
        <v>0</v>
      </c>
      <c r="V57" s="5"/>
      <c r="W57" s="5">
        <f t="shared" si="16"/>
        <v>8530.6700361208768</v>
      </c>
      <c r="X57" s="5">
        <f t="shared" si="17"/>
        <v>0</v>
      </c>
      <c r="Y57" s="5">
        <f t="shared" si="18"/>
        <v>11153.188687354881</v>
      </c>
      <c r="Z57" s="5">
        <f t="shared" si="19"/>
        <v>6391.871080248432</v>
      </c>
      <c r="AA57" s="5">
        <f t="shared" si="20"/>
        <v>10707.373021618438</v>
      </c>
      <c r="AB57" s="5">
        <f t="shared" si="21"/>
        <v>0</v>
      </c>
    </row>
    <row r="58" spans="1:28" ht="15.6">
      <c r="A58" s="2" t="s">
        <v>7</v>
      </c>
      <c r="B58" s="2" t="s">
        <v>125</v>
      </c>
      <c r="C58" s="6" t="s">
        <v>133</v>
      </c>
      <c r="D58" s="6" t="s">
        <v>70</v>
      </c>
      <c r="E58" s="8" t="s">
        <v>208</v>
      </c>
      <c r="F58" s="2">
        <f t="shared" si="22"/>
        <v>2.5</v>
      </c>
      <c r="G58" s="5">
        <v>-253.83000000000001</v>
      </c>
      <c r="H58" s="2"/>
      <c r="I58" s="2" t="s">
        <v>8</v>
      </c>
      <c r="J58" s="2">
        <v>7</v>
      </c>
      <c r="K58" s="2">
        <f t="shared" si="23"/>
        <v>4.5</v>
      </c>
      <c r="L58" s="5">
        <f t="shared" si="13"/>
        <v>-90.653571428571425</v>
      </c>
      <c r="M58" s="5">
        <f t="shared" si="24"/>
        <v>0.83168468733105205</v>
      </c>
      <c r="N58" s="5">
        <f t="shared" si="14"/>
        <v>-75.395187209014622</v>
      </c>
      <c r="O58" s="5"/>
      <c r="P58" s="5">
        <v>-58.869999999999997</v>
      </c>
      <c r="Q58" s="5">
        <v>0</v>
      </c>
      <c r="R58" s="5">
        <v>-76.969999999999999</v>
      </c>
      <c r="S58" s="5">
        <v>-44.109999999999999</v>
      </c>
      <c r="T58" s="5">
        <v>-73.88000000000001</v>
      </c>
      <c r="U58" s="5">
        <f>SUM(U1:U57)</f>
        <v>0</v>
      </c>
      <c r="V58" s="5"/>
      <c r="W58" s="5">
        <f t="shared" si="16"/>
        <v>-17.48617055113537</v>
      </c>
      <c r="X58" s="5">
        <f t="shared" si="17"/>
        <v>0</v>
      </c>
      <c r="Y58" s="5">
        <f t="shared" si="18"/>
        <v>-22.862417994239667</v>
      </c>
      <c r="Z58" s="5">
        <f t="shared" si="19"/>
        <v>-13.102004127918821</v>
      </c>
      <c r="AA58" s="5">
        <f t="shared" si="20"/>
        <v>-21.944594535720761</v>
      </c>
      <c r="AB58" s="5">
        <f t="shared" si="21"/>
        <v>0</v>
      </c>
    </row>
    <row r="59" spans="1:28" ht="15.6">
      <c r="A59" s="2" t="s">
        <v>7</v>
      </c>
      <c r="B59" s="2" t="s">
        <v>125</v>
      </c>
      <c r="C59" s="6" t="s">
        <v>136</v>
      </c>
      <c r="D59" s="6" t="s">
        <v>76</v>
      </c>
      <c r="E59" s="8" t="s">
        <v>208</v>
      </c>
      <c r="F59" s="2">
        <f t="shared" si="22"/>
        <v>2.5</v>
      </c>
      <c r="G59" s="5">
        <v>-253.78999999999999</v>
      </c>
      <c r="H59" s="2"/>
      <c r="I59" s="2" t="s">
        <v>8</v>
      </c>
      <c r="J59" s="2">
        <v>7</v>
      </c>
      <c r="K59" s="2">
        <f t="shared" si="23"/>
        <v>4.5</v>
      </c>
      <c r="L59" s="5">
        <f t="shared" si="13"/>
        <v>-90.639285714285705</v>
      </c>
      <c r="M59" s="5">
        <f t="shared" si="24"/>
        <v>0.83168468733105205</v>
      </c>
      <c r="N59" s="5">
        <f t="shared" si="14"/>
        <v>-75.383305999195599</v>
      </c>
      <c r="O59" s="5"/>
      <c r="P59" s="5">
        <v>-58.859999999999999</v>
      </c>
      <c r="Q59" s="5">
        <v>0</v>
      </c>
      <c r="R59" s="5">
        <v>-76.950000000000003</v>
      </c>
      <c r="S59" s="5">
        <v>-44.100000000000001</v>
      </c>
      <c r="T59" s="5">
        <v>-73.879999999999995</v>
      </c>
      <c r="W59" s="5">
        <f t="shared" si="16"/>
        <v>-17.483200248680614</v>
      </c>
      <c r="X59" s="5">
        <f t="shared" si="17"/>
        <v>0</v>
      </c>
      <c r="Y59" s="5">
        <f t="shared" si="18"/>
        <v>-22.856477389330159</v>
      </c>
      <c r="Z59" s="5">
        <f t="shared" si="19"/>
        <v>-13.099033825464069</v>
      </c>
      <c r="AA59" s="5">
        <f t="shared" si="20"/>
        <v>-21.944594535720757</v>
      </c>
      <c r="AB59" s="5">
        <f t="shared" si="21"/>
        <v>0</v>
      </c>
    </row>
    <row r="60" spans="1:28" ht="15.6">
      <c r="A60" s="2" t="s">
        <v>7</v>
      </c>
      <c r="B60" s="2" t="s">
        <v>125</v>
      </c>
      <c r="C60" s="6" t="s">
        <v>138</v>
      </c>
      <c r="D60" s="6" t="s">
        <v>77</v>
      </c>
      <c r="E60" s="8" t="s">
        <v>208</v>
      </c>
      <c r="F60" s="2">
        <f t="shared" si="22"/>
        <v>2.5</v>
      </c>
      <c r="G60" s="5">
        <v>-253.83000000000001</v>
      </c>
      <c r="H60" s="2"/>
      <c r="I60" s="2" t="s">
        <v>8</v>
      </c>
      <c r="J60" s="2">
        <v>7</v>
      </c>
      <c r="K60" s="2">
        <f t="shared" si="23"/>
        <v>4.5</v>
      </c>
      <c r="L60" s="5">
        <f t="shared" si="13"/>
        <v>-90.653571428571425</v>
      </c>
      <c r="M60" s="5">
        <f t="shared" si="24"/>
        <v>0.83168468733105205</v>
      </c>
      <c r="N60" s="5">
        <f t="shared" si="14"/>
        <v>-75.395187209014622</v>
      </c>
      <c r="O60" s="5"/>
      <c r="P60" s="5">
        <v>-58.869999999999997</v>
      </c>
      <c r="Q60" s="5">
        <v>0</v>
      </c>
      <c r="R60" s="5">
        <v>-76.969999999999999</v>
      </c>
      <c r="S60" s="5">
        <v>-44.109999999999999</v>
      </c>
      <c r="T60" s="5">
        <v>-73.88000000000001</v>
      </c>
      <c r="W60" s="5">
        <f t="shared" si="16"/>
        <v>-17.48617055113537</v>
      </c>
      <c r="X60" s="5">
        <f t="shared" si="17"/>
        <v>0</v>
      </c>
      <c r="Y60" s="5">
        <f t="shared" si="18"/>
        <v>-22.862417994239667</v>
      </c>
      <c r="Z60" s="5">
        <f t="shared" si="19"/>
        <v>-13.102004127918821</v>
      </c>
      <c r="AA60" s="5">
        <f t="shared" si="20"/>
        <v>-21.944594535720761</v>
      </c>
      <c r="AB60" s="5">
        <f t="shared" si="21"/>
        <v>0</v>
      </c>
    </row>
    <row r="61" spans="1:28" ht="15.6">
      <c r="A61" s="2" t="s">
        <v>7</v>
      </c>
      <c r="B61" s="2" t="s">
        <v>125</v>
      </c>
      <c r="C61" s="6" t="s">
        <v>82</v>
      </c>
      <c r="D61" s="6" t="s">
        <v>83</v>
      </c>
      <c r="E61" s="8" t="s">
        <v>208</v>
      </c>
      <c r="F61" s="2">
        <f t="shared" si="22"/>
        <v>2.5</v>
      </c>
      <c r="G61" s="5">
        <v>3323.3400000000001</v>
      </c>
      <c r="H61" s="2"/>
      <c r="I61" s="2" t="s">
        <v>8</v>
      </c>
      <c r="J61" s="2">
        <v>7</v>
      </c>
      <c r="K61" s="2">
        <f t="shared" si="23"/>
        <v>4.5</v>
      </c>
      <c r="L61" s="5">
        <f t="shared" si="13"/>
        <v>1186.9071428571428</v>
      </c>
      <c r="M61" s="5">
        <f t="shared" si="24"/>
        <v>0.83168468733105205</v>
      </c>
      <c r="N61" s="5">
        <f t="shared" si="14"/>
        <v>987.13249599813514</v>
      </c>
      <c r="O61" s="5"/>
      <c r="P61" s="5">
        <v>770.74000000000001</v>
      </c>
      <c r="Q61" s="5">
        <v>0</v>
      </c>
      <c r="R61" s="5">
        <v>1007.6900000000001</v>
      </c>
      <c r="S61" s="5">
        <v>577.5</v>
      </c>
      <c r="T61" s="5">
        <v>967.41000000000031</v>
      </c>
      <c r="W61" s="5">
        <f t="shared" si="16"/>
        <v>228.93309139769107</v>
      </c>
      <c r="X61" s="5">
        <f t="shared" si="17"/>
        <v>0</v>
      </c>
      <c r="Y61" s="5">
        <f t="shared" si="18"/>
        <v>299.31440806308137</v>
      </c>
      <c r="Z61" s="5">
        <f t="shared" si="19"/>
        <v>171.53496676202946</v>
      </c>
      <c r="AA61" s="5">
        <f t="shared" si="20"/>
        <v>287.35002977533327</v>
      </c>
      <c r="AB61" s="5">
        <f t="shared" si="21"/>
        <v>0</v>
      </c>
    </row>
    <row r="62" spans="1:28" ht="15.6">
      <c r="A62" s="2" t="s">
        <v>7</v>
      </c>
      <c r="B62" s="2" t="s">
        <v>125</v>
      </c>
      <c r="C62" s="6" t="s">
        <v>160</v>
      </c>
      <c r="D62" s="6" t="s">
        <v>92</v>
      </c>
      <c r="E62" s="8" t="s">
        <v>208</v>
      </c>
      <c r="F62" s="2">
        <f t="shared" si="22"/>
        <v>2.5</v>
      </c>
      <c r="G62" s="5">
        <v>144288.25</v>
      </c>
      <c r="H62" s="2"/>
      <c r="I62" s="2" t="s">
        <v>8</v>
      </c>
      <c r="J62" s="2">
        <v>7</v>
      </c>
      <c r="K62" s="2">
        <f t="shared" si="23"/>
        <v>4.5</v>
      </c>
      <c r="L62" s="5">
        <f t="shared" si="13"/>
        <v>51531.517857142848</v>
      </c>
      <c r="M62" s="5">
        <f t="shared" si="24"/>
        <v>0.83168468733105205</v>
      </c>
      <c r="N62" s="5">
        <f t="shared" si="14"/>
        <v>42857.974316712374</v>
      </c>
      <c r="O62" s="5"/>
      <c r="P62" s="5">
        <v>33463.07</v>
      </c>
      <c r="Q62" s="5">
        <v>0</v>
      </c>
      <c r="R62" s="5">
        <v>43750.360000000001</v>
      </c>
      <c r="S62" s="5">
        <v>25073.240000000002</v>
      </c>
      <c r="T62" s="5">
        <v>42001.579999999987</v>
      </c>
      <c r="W62" s="5">
        <f t="shared" si="16"/>
        <v>9939.5438964596797</v>
      </c>
      <c r="X62" s="5">
        <f t="shared" si="17"/>
        <v>0</v>
      </c>
      <c r="Y62" s="5">
        <f t="shared" si="18"/>
        <v>12995.180170436057</v>
      </c>
      <c r="Z62" s="5">
        <f t="shared" si="19"/>
        <v>7447.5106320630084</v>
      </c>
      <c r="AA62" s="5">
        <f t="shared" si="20"/>
        <v>12475.739617753625</v>
      </c>
      <c r="AB62" s="5">
        <f t="shared" si="21"/>
        <v>0</v>
      </c>
    </row>
    <row r="63" spans="1:28" ht="15.6">
      <c r="A63" s="2" t="s">
        <v>7</v>
      </c>
      <c r="B63" s="2" t="s">
        <v>125</v>
      </c>
      <c r="C63" s="6" t="s">
        <v>166</v>
      </c>
      <c r="D63" s="6" t="s">
        <v>104</v>
      </c>
      <c r="E63" s="8" t="s">
        <v>208</v>
      </c>
      <c r="F63" s="2">
        <f t="shared" si="22"/>
        <v>2.5</v>
      </c>
      <c r="G63" s="5">
        <v>1869.1800000000001</v>
      </c>
      <c r="H63" s="2"/>
      <c r="I63" s="2" t="s">
        <v>8</v>
      </c>
      <c r="J63" s="2">
        <v>7</v>
      </c>
      <c r="K63" s="2">
        <f t="shared" si="23"/>
        <v>4.5</v>
      </c>
      <c r="L63" s="5">
        <f t="shared" si="13"/>
        <v>667.56428571428569</v>
      </c>
      <c r="M63" s="5">
        <f t="shared" si="24"/>
        <v>0.83168468733105205</v>
      </c>
      <c r="N63" s="5">
        <f t="shared" si="14"/>
        <v>555.20299423766278</v>
      </c>
      <c r="O63" s="5"/>
      <c r="P63" s="5">
        <v>433.5</v>
      </c>
      <c r="Q63" s="5">
        <v>0</v>
      </c>
      <c r="R63" s="5">
        <v>566.75999999999999</v>
      </c>
      <c r="S63" s="5">
        <v>324.81</v>
      </c>
      <c r="T63" s="5">
        <v>544.11000000000013</v>
      </c>
      <c r="W63" s="5">
        <f t="shared" si="16"/>
        <v>128.76261141357537</v>
      </c>
      <c r="X63" s="5">
        <f t="shared" si="17"/>
        <v>0</v>
      </c>
      <c r="Y63" s="5">
        <f t="shared" si="18"/>
        <v>168.34486192562392</v>
      </c>
      <c r="Z63" s="5">
        <f t="shared" si="19"/>
        <v>96.478394032856784</v>
      </c>
      <c r="AA63" s="5">
        <f t="shared" si="20"/>
        <v>161.61712686560671</v>
      </c>
      <c r="AB63" s="5">
        <f t="shared" si="21"/>
        <v>0</v>
      </c>
    </row>
    <row r="64" spans="1:28" ht="15.6">
      <c r="A64" s="2" t="s">
        <v>7</v>
      </c>
      <c r="B64" s="2" t="s">
        <v>125</v>
      </c>
      <c r="C64" s="6" t="s">
        <v>150</v>
      </c>
      <c r="D64" s="6" t="s">
        <v>109</v>
      </c>
      <c r="E64" s="8" t="s">
        <v>208</v>
      </c>
      <c r="F64" s="2">
        <f t="shared" si="22"/>
        <v>2.5</v>
      </c>
      <c r="G64" s="5">
        <v>88818.630000000005</v>
      </c>
      <c r="H64" s="2"/>
      <c r="I64" s="2" t="s">
        <v>8</v>
      </c>
      <c r="J64" s="2">
        <v>7</v>
      </c>
      <c r="K64" s="2">
        <f t="shared" si="23"/>
        <v>4.5</v>
      </c>
      <c r="L64" s="5">
        <f t="shared" si="13"/>
        <v>31720.939285714285</v>
      </c>
      <c r="M64" s="5">
        <f t="shared" si="24"/>
        <v>0.83168468733105205</v>
      </c>
      <c r="N64" s="5">
        <f t="shared" si="14"/>
        <v>26381.819471686569</v>
      </c>
      <c r="O64" s="5"/>
      <c r="P64" s="5">
        <v>20598.66</v>
      </c>
      <c r="Q64" s="5">
        <v>0</v>
      </c>
      <c r="R64" s="5">
        <v>26931.139999999999</v>
      </c>
      <c r="S64" s="5">
        <v>15434.18</v>
      </c>
      <c r="T64" s="5">
        <v>25854.650000000001</v>
      </c>
      <c r="W64" s="5">
        <f t="shared" si="16"/>
        <v>6118.4250362638022</v>
      </c>
      <c r="X64" s="5">
        <f t="shared" si="17"/>
        <v>0</v>
      </c>
      <c r="Y64" s="5">
        <f t="shared" si="18"/>
        <v>7999.3631251317092</v>
      </c>
      <c r="Z64" s="5">
        <f t="shared" si="19"/>
        <v>4584.4182741111345</v>
      </c>
      <c r="AA64" s="5">
        <f t="shared" si="20"/>
        <v>7679.6130361799223</v>
      </c>
      <c r="AB64" s="5">
        <f t="shared" si="21"/>
        <v>0</v>
      </c>
    </row>
    <row r="65" spans="1:28" ht="15.6">
      <c r="A65" s="2" t="s">
        <v>6</v>
      </c>
      <c r="B65" s="2" t="s">
        <v>125</v>
      </c>
      <c r="C65" s="6" t="s">
        <v>126</v>
      </c>
      <c r="D65" s="6" t="s">
        <v>23</v>
      </c>
      <c r="E65" s="8" t="s">
        <v>209</v>
      </c>
      <c r="F65" s="2">
        <f t="shared" si="22"/>
        <v>3.5</v>
      </c>
      <c r="G65" s="5">
        <v>13140785.99</v>
      </c>
      <c r="H65" s="2"/>
      <c r="I65" s="2" t="s">
        <v>8</v>
      </c>
      <c r="J65" s="2">
        <v>7</v>
      </c>
      <c r="K65" s="2">
        <f>+J65-F65</f>
        <v>3.5</v>
      </c>
      <c r="L65" s="5">
        <f>+G65*(1-K65/J65)</f>
        <v>6570392.9950000001</v>
      </c>
      <c r="M65" s="5">
        <f t="shared" si="24"/>
        <v>0.83168468733105205</v>
      </c>
      <c r="N65" s="5">
        <f>+L65*M65</f>
        <v>5464495.24368871</v>
      </c>
      <c r="O65" s="5"/>
      <c r="P65" s="5">
        <v>3047587.2200000002</v>
      </c>
      <c r="Q65" s="5">
        <v>0</v>
      </c>
      <c r="R65" s="5">
        <v>3984483.0800000001</v>
      </c>
      <c r="S65" s="5">
        <v>2283499.3300000001</v>
      </c>
      <c r="T65" s="5">
        <v>3825216.3599999994</v>
      </c>
      <c r="U65" s="5">
        <f t="shared" si="26" ref="U65:U74">+G65-SUM(P65:T65)</f>
        <v>0</v>
      </c>
      <c r="V65" s="5"/>
      <c r="W65" s="5">
        <f t="shared" si="27" ref="W65:AB69">+P65/$G65*$N65</f>
        <v>1267315.8120899051</v>
      </c>
      <c r="X65" s="5">
        <f t="shared" si="27"/>
        <v>0</v>
      </c>
      <c r="Y65" s="5">
        <f t="shared" si="27"/>
        <v>1656916.7822828339</v>
      </c>
      <c r="Z65" s="5">
        <f t="shared" si="27"/>
        <v>949575.71314585861</v>
      </c>
      <c r="AA65" s="5">
        <f t="shared" si="27"/>
        <v>1590686.9361701123</v>
      </c>
      <c r="AB65" s="5">
        <f t="shared" si="27"/>
        <v>0</v>
      </c>
    </row>
    <row r="66" spans="1:28" ht="15.6">
      <c r="A66" s="2" t="s">
        <v>6</v>
      </c>
      <c r="B66" s="2" t="s">
        <v>125</v>
      </c>
      <c r="C66" s="6" t="s">
        <v>167</v>
      </c>
      <c r="D66" s="6" t="s">
        <v>27</v>
      </c>
      <c r="E66" s="8" t="s">
        <v>209</v>
      </c>
      <c r="F66" s="2">
        <f t="shared" si="22"/>
        <v>3.5</v>
      </c>
      <c r="G66" s="5">
        <v>6511.2200000000003</v>
      </c>
      <c r="H66" s="2"/>
      <c r="I66" s="2" t="s">
        <v>8</v>
      </c>
      <c r="J66" s="2">
        <v>7</v>
      </c>
      <c r="K66" s="2">
        <f>+J66-F66</f>
        <v>3.5</v>
      </c>
      <c r="L66" s="5">
        <f>+G66*(1-K66/J66)</f>
        <v>3255.6100000000001</v>
      </c>
      <c r="M66" s="5">
        <f t="shared" si="24"/>
        <v>0.83168468733105205</v>
      </c>
      <c r="N66" s="5">
        <f>+L66*M66</f>
        <v>2707.6409849218467</v>
      </c>
      <c r="O66" s="5"/>
      <c r="P66" s="5">
        <v>1510.0699999999999</v>
      </c>
      <c r="Q66" s="5">
        <v>0</v>
      </c>
      <c r="R66" s="5">
        <v>1974.3</v>
      </c>
      <c r="S66" s="5">
        <v>1131.47</v>
      </c>
      <c r="T66" s="5">
        <v>1895.3800000000003</v>
      </c>
      <c r="U66" s="5">
        <f t="shared" si="26"/>
        <v>0</v>
      </c>
      <c r="V66" s="5"/>
      <c r="W66" s="5">
        <f t="shared" si="27"/>
        <v>627.95104789900086</v>
      </c>
      <c r="X66" s="5">
        <f t="shared" si="27"/>
        <v>0</v>
      </c>
      <c r="Y66" s="5">
        <f t="shared" si="27"/>
        <v>820.99753909884805</v>
      </c>
      <c r="Z66" s="5">
        <f t="shared" si="27"/>
        <v>470.51313658723279</v>
      </c>
      <c r="AA66" s="5">
        <f t="shared" si="27"/>
        <v>788.17926133676485</v>
      </c>
      <c r="AB66" s="5">
        <f t="shared" si="27"/>
        <v>0</v>
      </c>
    </row>
    <row r="67" spans="1:28" ht="15.6">
      <c r="A67" s="2" t="s">
        <v>6</v>
      </c>
      <c r="B67" s="2" t="s">
        <v>125</v>
      </c>
      <c r="C67" s="6" t="s">
        <v>168</v>
      </c>
      <c r="D67" s="6" t="s">
        <v>31</v>
      </c>
      <c r="E67" s="8" t="s">
        <v>209</v>
      </c>
      <c r="F67" s="2">
        <f t="shared" si="22"/>
        <v>3.5</v>
      </c>
      <c r="G67" s="5">
        <v>6028.9099999999999</v>
      </c>
      <c r="H67" s="2"/>
      <c r="I67" s="2" t="s">
        <v>8</v>
      </c>
      <c r="J67" s="2">
        <v>7</v>
      </c>
      <c r="K67" s="2">
        <f>+J67-F67</f>
        <v>3.5</v>
      </c>
      <c r="L67" s="5">
        <f>+G67*(1-K67/J67)</f>
        <v>3014.4549999999999</v>
      </c>
      <c r="M67" s="5">
        <f t="shared" si="24"/>
        <v>0.83168468733105205</v>
      </c>
      <c r="N67" s="5">
        <f>+L67*M67</f>
        <v>2507.0760641485263</v>
      </c>
      <c r="O67" s="5"/>
      <c r="P67" s="5">
        <v>1398.21</v>
      </c>
      <c r="Q67" s="5">
        <v>0</v>
      </c>
      <c r="R67" s="5">
        <v>1828.06</v>
      </c>
      <c r="S67" s="5">
        <v>1047.6600000000001</v>
      </c>
      <c r="T67" s="5">
        <v>1754.9799999999998</v>
      </c>
      <c r="U67" s="5">
        <f t="shared" si="26"/>
        <v>0</v>
      </c>
      <c r="V67" s="5"/>
      <c r="W67" s="5">
        <f t="shared" si="27"/>
        <v>581.43492333657514</v>
      </c>
      <c r="X67" s="5">
        <f t="shared" si="27"/>
        <v>0</v>
      </c>
      <c r="Y67" s="5">
        <f t="shared" si="27"/>
        <v>760.18475476120148</v>
      </c>
      <c r="Z67" s="5">
        <f t="shared" si="27"/>
        <v>435.66138976462497</v>
      </c>
      <c r="AA67" s="5">
        <f t="shared" si="27"/>
        <v>729.79499628612473</v>
      </c>
      <c r="AB67" s="5">
        <f t="shared" si="27"/>
        <v>0</v>
      </c>
    </row>
    <row r="68" spans="1:28" ht="15.6">
      <c r="A68" s="2" t="s">
        <v>6</v>
      </c>
      <c r="B68" s="2" t="s">
        <v>125</v>
      </c>
      <c r="C68" s="6" t="s">
        <v>155</v>
      </c>
      <c r="D68" s="6" t="s">
        <v>32</v>
      </c>
      <c r="E68" s="8" t="s">
        <v>209</v>
      </c>
      <c r="F68" s="2">
        <f t="shared" si="22"/>
        <v>3.5</v>
      </c>
      <c r="G68" s="5">
        <v>9090.2000000000007</v>
      </c>
      <c r="H68" s="2"/>
      <c r="I68" s="2" t="s">
        <v>8</v>
      </c>
      <c r="J68" s="2">
        <v>7</v>
      </c>
      <c r="K68" s="2">
        <f>+J68-F68</f>
        <v>3.5</v>
      </c>
      <c r="L68" s="5">
        <f>+G68*(1-K68/J68)</f>
        <v>4545.1000000000004</v>
      </c>
      <c r="M68" s="5">
        <f t="shared" si="24"/>
        <v>0.83168468733105205</v>
      </c>
      <c r="N68" s="5">
        <f>+L68*M68</f>
        <v>3780.0900723883651</v>
      </c>
      <c r="O68" s="5"/>
      <c r="P68" s="5">
        <v>2108.1799999999998</v>
      </c>
      <c r="Q68" s="5">
        <v>0</v>
      </c>
      <c r="R68" s="5">
        <v>2756.2800000000002</v>
      </c>
      <c r="S68" s="5">
        <v>1579.6199999999999</v>
      </c>
      <c r="T68" s="5">
        <v>2646.1199999999999</v>
      </c>
      <c r="U68" s="5">
        <f t="shared" si="26"/>
        <v>0</v>
      </c>
      <c r="V68" s="5"/>
      <c r="W68" s="5">
        <f t="shared" si="27"/>
        <v>876.67051206878853</v>
      </c>
      <c r="X68" s="5">
        <f t="shared" si="27"/>
        <v>0</v>
      </c>
      <c r="Y68" s="5">
        <f t="shared" si="27"/>
        <v>1146.1779349984161</v>
      </c>
      <c r="Z68" s="5">
        <f t="shared" si="27"/>
        <v>656.87288290093818</v>
      </c>
      <c r="AA68" s="5">
        <f t="shared" si="27"/>
        <v>1100.3687424202217</v>
      </c>
      <c r="AB68" s="5">
        <f t="shared" si="27"/>
        <v>0</v>
      </c>
    </row>
    <row r="69" spans="1:28" ht="15.6">
      <c r="A69" s="2" t="s">
        <v>6</v>
      </c>
      <c r="B69" s="2" t="s">
        <v>125</v>
      </c>
      <c r="C69" s="6" t="s">
        <v>169</v>
      </c>
      <c r="D69" s="6" t="s">
        <v>34</v>
      </c>
      <c r="E69" s="8" t="s">
        <v>209</v>
      </c>
      <c r="F69" s="2">
        <f t="shared" si="28" ref="F69:F100">2021.5-E69</f>
        <v>3.5</v>
      </c>
      <c r="G69" s="5">
        <v>7193.21</v>
      </c>
      <c r="H69" s="2"/>
      <c r="I69" s="2" t="s">
        <v>8</v>
      </c>
      <c r="J69" s="2">
        <v>7</v>
      </c>
      <c r="K69" s="2">
        <f t="shared" si="29" ref="K69:K100">+J69-F69</f>
        <v>3.5</v>
      </c>
      <c r="L69" s="5">
        <f>+G69*(1-K69/J69)</f>
        <v>3596.605</v>
      </c>
      <c r="M69" s="5">
        <f t="shared" si="30" ref="M69:M100">$N$206</f>
        <v>0.83168468733105205</v>
      </c>
      <c r="N69" s="5">
        <f>+L69*M69</f>
        <v>2991.2413048782987</v>
      </c>
      <c r="O69" s="5"/>
      <c r="P69" s="5">
        <v>1668.24</v>
      </c>
      <c r="Q69" s="5">
        <v>0</v>
      </c>
      <c r="R69" s="5">
        <v>2181.0900000000001</v>
      </c>
      <c r="S69" s="5">
        <v>1249.98</v>
      </c>
      <c r="T69" s="5">
        <v>2093.9000000000001</v>
      </c>
      <c r="U69" s="5">
        <f t="shared" si="26"/>
        <v>0</v>
      </c>
      <c r="V69" s="5"/>
      <c r="W69" s="5">
        <f t="shared" si="27"/>
        <v>693.7248313965772</v>
      </c>
      <c r="X69" s="5">
        <f t="shared" si="27"/>
        <v>0</v>
      </c>
      <c r="Y69" s="5">
        <f t="shared" si="27"/>
        <v>906.98957734544229</v>
      </c>
      <c r="Z69" s="5">
        <f t="shared" si="27"/>
        <v>519.79461273503421</v>
      </c>
      <c r="AA69" s="5">
        <f t="shared" si="27"/>
        <v>870.73228340124513</v>
      </c>
      <c r="AB69" s="5">
        <f t="shared" si="27"/>
        <v>0</v>
      </c>
    </row>
    <row r="70" spans="1:28" ht="15.6">
      <c r="A70" s="2" t="s">
        <v>6</v>
      </c>
      <c r="B70" s="2" t="s">
        <v>125</v>
      </c>
      <c r="C70" s="6" t="s">
        <v>170</v>
      </c>
      <c r="D70" s="6" t="s">
        <v>51</v>
      </c>
      <c r="E70" s="8" t="s">
        <v>209</v>
      </c>
      <c r="F70" s="2">
        <f t="shared" si="28"/>
        <v>3.5</v>
      </c>
      <c r="G70" s="5">
        <v>7093.54</v>
      </c>
      <c r="H70" s="2"/>
      <c r="I70" s="2" t="s">
        <v>8</v>
      </c>
      <c r="J70" s="2">
        <v>7</v>
      </c>
      <c r="K70" s="2">
        <f t="shared" si="29"/>
        <v>3.5</v>
      </c>
      <c r="L70" s="5">
        <f t="shared" si="31" ref="L70:L133">+G70*(1-K70/J70)</f>
        <v>3546.77</v>
      </c>
      <c r="M70" s="5">
        <f t="shared" si="30"/>
        <v>0.83168468733105205</v>
      </c>
      <c r="N70" s="5">
        <f t="shared" si="32" ref="N70:N133">+L70*M70</f>
        <v>2949.7942984851557</v>
      </c>
      <c r="O70" s="5"/>
      <c r="P70" s="5">
        <v>1645.1199999999999</v>
      </c>
      <c r="Q70" s="5">
        <v>0</v>
      </c>
      <c r="R70" s="5">
        <v>2150.8699999999999</v>
      </c>
      <c r="S70" s="5">
        <v>1232.6600000000001</v>
      </c>
      <c r="T70" s="5">
        <v>2064.8900000000003</v>
      </c>
      <c r="U70" s="5">
        <f t="shared" si="26"/>
        <v>0</v>
      </c>
      <c r="V70" s="5"/>
      <c r="W70" s="5">
        <f t="shared" si="33" ref="W70:W133">+P70/$G70*$N70</f>
        <v>684.11055641103019</v>
      </c>
      <c r="X70" s="5">
        <f t="shared" si="34" ref="X70:X133">+Q70/$G70*$N70</f>
        <v>0</v>
      </c>
      <c r="Y70" s="5">
        <f t="shared" si="35" ref="Y70:Y133">+R70/$G70*$N70</f>
        <v>894.42282171986994</v>
      </c>
      <c r="Z70" s="5">
        <f t="shared" si="36" ref="Z70:Z133">+S70/$G70*$N70</f>
        <v>512.59222334274739</v>
      </c>
      <c r="AA70" s="5">
        <f t="shared" si="37" ref="AA70:AA133">+T70/$G70*$N70</f>
        <v>858.66869701150824</v>
      </c>
      <c r="AB70" s="5">
        <f t="shared" si="38" ref="AB70:AB133">+U70/$G70*$N70</f>
        <v>0</v>
      </c>
    </row>
    <row r="71" spans="1:28" ht="15.6">
      <c r="A71" s="2" t="s">
        <v>6</v>
      </c>
      <c r="B71" s="2" t="s">
        <v>125</v>
      </c>
      <c r="C71" s="6" t="s">
        <v>129</v>
      </c>
      <c r="D71" s="6" t="s">
        <v>56</v>
      </c>
      <c r="E71" s="8" t="s">
        <v>209</v>
      </c>
      <c r="F71" s="2">
        <f t="shared" si="28"/>
        <v>3.5</v>
      </c>
      <c r="G71" s="5">
        <v>1515.29</v>
      </c>
      <c r="H71" s="2"/>
      <c r="I71" s="2" t="s">
        <v>8</v>
      </c>
      <c r="J71" s="2">
        <v>7</v>
      </c>
      <c r="K71" s="2">
        <f t="shared" si="29"/>
        <v>3.5</v>
      </c>
      <c r="L71" s="5">
        <f t="shared" si="31"/>
        <v>757.64499999999998</v>
      </c>
      <c r="M71" s="5">
        <f t="shared" si="30"/>
        <v>0.83168468733105205</v>
      </c>
      <c r="N71" s="5">
        <f t="shared" si="32"/>
        <v>630.12174493293492</v>
      </c>
      <c r="O71" s="5"/>
      <c r="P71" s="5">
        <v>351.42000000000002</v>
      </c>
      <c r="Q71" s="5">
        <v>0</v>
      </c>
      <c r="R71" s="5">
        <v>459.45999999999998</v>
      </c>
      <c r="S71" s="5">
        <v>263.31</v>
      </c>
      <c r="T71" s="5">
        <v>441.09999999999985</v>
      </c>
      <c r="U71" s="5">
        <f t="shared" si="26"/>
        <v>0</v>
      </c>
      <c r="V71" s="5"/>
      <c r="W71" s="5">
        <f t="shared" si="33"/>
        <v>146.13531641093917</v>
      </c>
      <c r="X71" s="5">
        <f t="shared" si="34"/>
        <v>0</v>
      </c>
      <c r="Y71" s="5">
        <f t="shared" si="35"/>
        <v>191.06292322056257</v>
      </c>
      <c r="Z71" s="5">
        <f t="shared" si="36"/>
        <v>109.49544751056965</v>
      </c>
      <c r="AA71" s="5">
        <f t="shared" si="37"/>
        <v>183.42805779086348</v>
      </c>
      <c r="AB71" s="5">
        <f t="shared" si="38"/>
        <v>0</v>
      </c>
    </row>
    <row r="72" spans="1:28" ht="15.6">
      <c r="A72" s="2" t="s">
        <v>7</v>
      </c>
      <c r="B72" s="2" t="s">
        <v>125</v>
      </c>
      <c r="C72" s="6" t="s">
        <v>126</v>
      </c>
      <c r="D72" s="6" t="s">
        <v>23</v>
      </c>
      <c r="E72" s="8" t="s">
        <v>209</v>
      </c>
      <c r="F72" s="2">
        <f t="shared" si="28"/>
        <v>3.5</v>
      </c>
      <c r="G72" s="5">
        <v>10269199.49</v>
      </c>
      <c r="H72" s="2"/>
      <c r="I72" s="2" t="s">
        <v>8</v>
      </c>
      <c r="J72" s="2">
        <v>7</v>
      </c>
      <c r="K72" s="2">
        <f t="shared" si="29"/>
        <v>3.5</v>
      </c>
      <c r="L72" s="5">
        <f t="shared" si="31"/>
        <v>5134599.7450000001</v>
      </c>
      <c r="M72" s="5">
        <f t="shared" si="30"/>
        <v>0.83168468733105205</v>
      </c>
      <c r="N72" s="5">
        <f t="shared" si="32"/>
        <v>4270367.9834904242</v>
      </c>
      <c r="O72" s="5"/>
      <c r="P72" s="5">
        <v>2381614.1000000001</v>
      </c>
      <c r="Q72" s="5">
        <v>0</v>
      </c>
      <c r="R72" s="5">
        <v>3113775.0600000001</v>
      </c>
      <c r="S72" s="5">
        <v>1784498.29</v>
      </c>
      <c r="T72" s="5">
        <v>2989312.04</v>
      </c>
      <c r="U72" s="5">
        <f t="shared" si="26"/>
        <v>0</v>
      </c>
      <c r="V72" s="5"/>
      <c r="W72" s="5">
        <f t="shared" si="33"/>
        <v>990375.98905086238</v>
      </c>
      <c r="X72" s="5">
        <f t="shared" si="34"/>
        <v>0</v>
      </c>
      <c r="Y72" s="5">
        <f t="shared" si="35"/>
        <v>1294839.5185976639</v>
      </c>
      <c r="Z72" s="5">
        <f t="shared" si="36"/>
        <v>742069.9511807235</v>
      </c>
      <c r="AA72" s="5">
        <f t="shared" si="37"/>
        <v>1243082.5246611745</v>
      </c>
      <c r="AB72" s="5">
        <f t="shared" si="38"/>
        <v>0</v>
      </c>
    </row>
    <row r="73" spans="1:28" ht="15.6">
      <c r="A73" s="2" t="s">
        <v>7</v>
      </c>
      <c r="B73" s="2" t="s">
        <v>125</v>
      </c>
      <c r="C73" s="6" t="s">
        <v>171</v>
      </c>
      <c r="D73" s="6" t="s">
        <v>66</v>
      </c>
      <c r="E73" s="8" t="s">
        <v>209</v>
      </c>
      <c r="F73" s="2">
        <f t="shared" si="28"/>
        <v>3.5</v>
      </c>
      <c r="G73" s="5">
        <v>13094.43</v>
      </c>
      <c r="H73" s="2"/>
      <c r="I73" s="2" t="s">
        <v>8</v>
      </c>
      <c r="J73" s="2">
        <v>7</v>
      </c>
      <c r="K73" s="2">
        <f t="shared" si="29"/>
        <v>3.5</v>
      </c>
      <c r="L73" s="5">
        <f t="shared" si="31"/>
        <v>6547.2150000000001</v>
      </c>
      <c r="M73" s="5">
        <f t="shared" si="30"/>
        <v>0.83168468733105205</v>
      </c>
      <c r="N73" s="5">
        <f t="shared" si="32"/>
        <v>5445.2184601641738</v>
      </c>
      <c r="O73" s="5"/>
      <c r="P73" s="5">
        <v>3036.8400000000001</v>
      </c>
      <c r="Q73" s="5">
        <v>0</v>
      </c>
      <c r="R73" s="5">
        <v>3970.4299999999998</v>
      </c>
      <c r="S73" s="5">
        <v>2275.4400000000001</v>
      </c>
      <c r="T73" s="5">
        <v>3811.7199999999998</v>
      </c>
      <c r="U73" s="5">
        <f t="shared" si="26"/>
        <v>0</v>
      </c>
      <c r="V73" s="5"/>
      <c r="W73" s="5">
        <f t="shared" si="33"/>
        <v>1262.846662937216</v>
      </c>
      <c r="X73" s="5">
        <f t="shared" si="34"/>
        <v>0</v>
      </c>
      <c r="Y73" s="5">
        <f t="shared" si="35"/>
        <v>1651.0729165599144</v>
      </c>
      <c r="Z73" s="5">
        <f t="shared" si="36"/>
        <v>946.22430247028456</v>
      </c>
      <c r="AA73" s="5">
        <f t="shared" si="37"/>
        <v>1585.0745781967587</v>
      </c>
      <c r="AB73" s="5">
        <f t="shared" si="38"/>
        <v>0</v>
      </c>
    </row>
    <row r="74" spans="1:28" ht="15.6">
      <c r="A74" s="2" t="s">
        <v>7</v>
      </c>
      <c r="B74" s="2" t="s">
        <v>125</v>
      </c>
      <c r="C74" s="6" t="s">
        <v>155</v>
      </c>
      <c r="D74" s="6" t="s">
        <v>32</v>
      </c>
      <c r="E74" s="8" t="s">
        <v>209</v>
      </c>
      <c r="F74" s="2">
        <f t="shared" si="28"/>
        <v>3.5</v>
      </c>
      <c r="G74" s="5">
        <v>622359.90000000002</v>
      </c>
      <c r="H74" s="2"/>
      <c r="I74" s="2" t="s">
        <v>8</v>
      </c>
      <c r="J74" s="2">
        <v>7</v>
      </c>
      <c r="K74" s="2">
        <f t="shared" si="29"/>
        <v>3.5</v>
      </c>
      <c r="L74" s="5">
        <f t="shared" si="31"/>
        <v>311179.95000000001</v>
      </c>
      <c r="M74" s="5">
        <f t="shared" si="30"/>
        <v>0.83168468733105205</v>
      </c>
      <c r="N74" s="5">
        <f t="shared" si="32"/>
        <v>258803.59941944241</v>
      </c>
      <c r="O74" s="5"/>
      <c r="P74" s="5">
        <v>144336.57999999999</v>
      </c>
      <c r="Q74" s="5">
        <v>0</v>
      </c>
      <c r="R74" s="5">
        <v>188708.84</v>
      </c>
      <c r="S74" s="5">
        <v>108148.66</v>
      </c>
      <c r="T74" s="5">
        <v>181165.82000000009</v>
      </c>
      <c r="U74" s="5">
        <f t="shared" si="26"/>
        <v>0</v>
      </c>
      <c r="V74" s="5"/>
      <c r="W74" s="5">
        <f t="shared" si="33"/>
        <v>60021.261703866687</v>
      </c>
      <c r="X74" s="5">
        <f t="shared" si="34"/>
        <v>0</v>
      </c>
      <c r="Y74" s="5">
        <f t="shared" si="35"/>
        <v>78473.126296002767</v>
      </c>
      <c r="Z74" s="5">
        <f t="shared" si="36"/>
        <v>44972.792238686125</v>
      </c>
      <c r="AA74" s="5">
        <f t="shared" si="37"/>
        <v>75336.419180886878</v>
      </c>
      <c r="AB74" s="5">
        <f t="shared" si="38"/>
        <v>0</v>
      </c>
    </row>
    <row r="75" spans="1:28" ht="15.6">
      <c r="A75" s="2" t="s">
        <v>7</v>
      </c>
      <c r="B75" s="2" t="s">
        <v>125</v>
      </c>
      <c r="C75" s="6" t="s">
        <v>133</v>
      </c>
      <c r="D75" s="6" t="s">
        <v>70</v>
      </c>
      <c r="E75" s="8" t="s">
        <v>209</v>
      </c>
      <c r="F75" s="2">
        <f t="shared" si="28"/>
        <v>3.5</v>
      </c>
      <c r="G75" s="5">
        <v>598689.73999999999</v>
      </c>
      <c r="H75" s="2"/>
      <c r="I75" s="2" t="s">
        <v>8</v>
      </c>
      <c r="J75" s="2">
        <v>7</v>
      </c>
      <c r="K75" s="2">
        <f t="shared" si="29"/>
        <v>3.5</v>
      </c>
      <c r="L75" s="5">
        <f t="shared" si="31"/>
        <v>299344.87</v>
      </c>
      <c r="M75" s="5">
        <f t="shared" si="30"/>
        <v>0.83168468733105205</v>
      </c>
      <c r="N75" s="5">
        <f t="shared" si="32"/>
        <v>248960.54461010441</v>
      </c>
      <c r="O75" s="5"/>
      <c r="P75" s="5">
        <v>138847.04000000001</v>
      </c>
      <c r="Q75" s="5">
        <v>0</v>
      </c>
      <c r="R75" s="5">
        <v>181531.69</v>
      </c>
      <c r="S75" s="5">
        <v>104035.45</v>
      </c>
      <c r="T75" s="5">
        <v>174275.55999999994</v>
      </c>
      <c r="W75" s="5">
        <f t="shared" si="33"/>
        <v>57738.478524621038</v>
      </c>
      <c r="X75" s="5">
        <f t="shared" si="34"/>
        <v>0</v>
      </c>
      <c r="Y75" s="5">
        <f t="shared" si="35"/>
        <v>75488.563419163736</v>
      </c>
      <c r="Z75" s="5">
        <f t="shared" si="36"/>
        <v>43262.345352297642</v>
      </c>
      <c r="AA75" s="5">
        <f t="shared" si="37"/>
        <v>72471.15731402197</v>
      </c>
      <c r="AB75" s="5">
        <f t="shared" si="38"/>
        <v>0</v>
      </c>
    </row>
    <row r="76" spans="1:28" ht="15.6">
      <c r="A76" s="2" t="s">
        <v>7</v>
      </c>
      <c r="B76" s="2" t="s">
        <v>125</v>
      </c>
      <c r="C76" s="6" t="s">
        <v>172</v>
      </c>
      <c r="D76" s="6" t="s">
        <v>73</v>
      </c>
      <c r="E76" s="8" t="s">
        <v>209</v>
      </c>
      <c r="F76" s="2">
        <f t="shared" si="28"/>
        <v>3.5</v>
      </c>
      <c r="G76" s="5">
        <v>6973.9899999999998</v>
      </c>
      <c r="H76" s="2"/>
      <c r="I76" s="2" t="s">
        <v>8</v>
      </c>
      <c r="J76" s="2">
        <v>7</v>
      </c>
      <c r="K76" s="2">
        <f t="shared" si="29"/>
        <v>3.5</v>
      </c>
      <c r="L76" s="5">
        <f t="shared" si="31"/>
        <v>3486.9949999999999</v>
      </c>
      <c r="M76" s="5">
        <f t="shared" si="30"/>
        <v>0.83168468733105205</v>
      </c>
      <c r="N76" s="5">
        <f t="shared" si="32"/>
        <v>2900.0803462999415</v>
      </c>
      <c r="O76" s="5"/>
      <c r="P76" s="5">
        <v>1617.4000000000001</v>
      </c>
      <c r="Q76" s="5">
        <v>0</v>
      </c>
      <c r="R76" s="5">
        <v>2114.6199999999999</v>
      </c>
      <c r="S76" s="5">
        <v>1211.8800000000001</v>
      </c>
      <c r="T76" s="5">
        <v>2030.0900000000002</v>
      </c>
      <c r="W76" s="5">
        <f t="shared" si="33"/>
        <v>672.58340664462173</v>
      </c>
      <c r="X76" s="5">
        <f t="shared" si="34"/>
        <v>0</v>
      </c>
      <c r="Y76" s="5">
        <f t="shared" si="35"/>
        <v>879.34853676199452</v>
      </c>
      <c r="Z76" s="5">
        <f t="shared" si="36"/>
        <v>503.9510194413777</v>
      </c>
      <c r="AA76" s="5">
        <f t="shared" si="37"/>
        <v>844.19738345194776</v>
      </c>
      <c r="AB76" s="5">
        <f t="shared" si="38"/>
        <v>0</v>
      </c>
    </row>
    <row r="77" spans="1:28" ht="15.6">
      <c r="A77" s="2" t="s">
        <v>7</v>
      </c>
      <c r="B77" s="2" t="s">
        <v>125</v>
      </c>
      <c r="C77" s="6" t="s">
        <v>136</v>
      </c>
      <c r="D77" s="6" t="s">
        <v>76</v>
      </c>
      <c r="E77" s="8" t="s">
        <v>209</v>
      </c>
      <c r="F77" s="2">
        <f t="shared" si="28"/>
        <v>3.5</v>
      </c>
      <c r="G77" s="5">
        <v>598689.76000000001</v>
      </c>
      <c r="H77" s="2"/>
      <c r="I77" s="2" t="s">
        <v>8</v>
      </c>
      <c r="J77" s="2">
        <v>7</v>
      </c>
      <c r="K77" s="2">
        <f t="shared" si="29"/>
        <v>3.5</v>
      </c>
      <c r="L77" s="5">
        <f t="shared" si="31"/>
        <v>299344.88</v>
      </c>
      <c r="M77" s="5">
        <f t="shared" si="30"/>
        <v>0.83168468733105205</v>
      </c>
      <c r="N77" s="5">
        <f t="shared" si="32"/>
        <v>248960.55292695129</v>
      </c>
      <c r="O77" s="5"/>
      <c r="P77" s="5">
        <v>138847.04000000001</v>
      </c>
      <c r="Q77" s="5">
        <v>0</v>
      </c>
      <c r="R77" s="5">
        <v>181531.70000000001</v>
      </c>
      <c r="S77" s="5">
        <v>104035.46000000001</v>
      </c>
      <c r="T77" s="5">
        <v>174275.55999999994</v>
      </c>
      <c r="W77" s="5">
        <f t="shared" si="33"/>
        <v>57738.478524621038</v>
      </c>
      <c r="X77" s="5">
        <f t="shared" si="34"/>
        <v>0</v>
      </c>
      <c r="Y77" s="5">
        <f t="shared" si="35"/>
        <v>75488.567577587164</v>
      </c>
      <c r="Z77" s="5">
        <f t="shared" si="36"/>
        <v>43262.349510721091</v>
      </c>
      <c r="AA77" s="5">
        <f t="shared" si="37"/>
        <v>72471.15731402197</v>
      </c>
      <c r="AB77" s="5">
        <f t="shared" si="38"/>
        <v>0</v>
      </c>
    </row>
    <row r="78" spans="1:28" ht="15.6">
      <c r="A78" s="2" t="s">
        <v>7</v>
      </c>
      <c r="B78" s="2" t="s">
        <v>125</v>
      </c>
      <c r="C78" s="6" t="s">
        <v>138</v>
      </c>
      <c r="D78" s="6" t="s">
        <v>77</v>
      </c>
      <c r="E78" s="8" t="s">
        <v>209</v>
      </c>
      <c r="F78" s="2">
        <f t="shared" si="28"/>
        <v>3.5</v>
      </c>
      <c r="G78" s="5">
        <v>598689.73999999999</v>
      </c>
      <c r="H78" s="2"/>
      <c r="I78" s="2" t="s">
        <v>8</v>
      </c>
      <c r="J78" s="2">
        <v>7</v>
      </c>
      <c r="K78" s="2">
        <f t="shared" si="29"/>
        <v>3.5</v>
      </c>
      <c r="L78" s="5">
        <f t="shared" si="31"/>
        <v>299344.87</v>
      </c>
      <c r="M78" s="5">
        <f t="shared" si="30"/>
        <v>0.83168468733105205</v>
      </c>
      <c r="N78" s="5">
        <f t="shared" si="32"/>
        <v>248960.54461010441</v>
      </c>
      <c r="O78" s="5"/>
      <c r="P78" s="5">
        <v>138847.04000000001</v>
      </c>
      <c r="Q78" s="5">
        <v>0</v>
      </c>
      <c r="R78" s="5">
        <v>181531.69</v>
      </c>
      <c r="S78" s="5">
        <v>104035.45</v>
      </c>
      <c r="T78" s="5">
        <v>174275.55999999994</v>
      </c>
      <c r="W78" s="5">
        <f t="shared" si="33"/>
        <v>57738.478524621038</v>
      </c>
      <c r="X78" s="5">
        <f t="shared" si="34"/>
        <v>0</v>
      </c>
      <c r="Y78" s="5">
        <f t="shared" si="35"/>
        <v>75488.563419163736</v>
      </c>
      <c r="Z78" s="5">
        <f t="shared" si="36"/>
        <v>43262.345352297642</v>
      </c>
      <c r="AA78" s="5">
        <f t="shared" si="37"/>
        <v>72471.15731402197</v>
      </c>
      <c r="AB78" s="5">
        <f t="shared" si="38"/>
        <v>0</v>
      </c>
    </row>
    <row r="79" spans="1:28" ht="15.6">
      <c r="A79" s="2" t="s">
        <v>7</v>
      </c>
      <c r="B79" s="2" t="s">
        <v>125</v>
      </c>
      <c r="C79" s="6" t="s">
        <v>84</v>
      </c>
      <c r="D79" s="6" t="s">
        <v>85</v>
      </c>
      <c r="E79" s="8" t="s">
        <v>209</v>
      </c>
      <c r="F79" s="2">
        <f t="shared" si="28"/>
        <v>3.5</v>
      </c>
      <c r="G79" s="5">
        <v>5948.3400000000001</v>
      </c>
      <c r="H79" s="2"/>
      <c r="I79" s="2" t="s">
        <v>8</v>
      </c>
      <c r="J79" s="2">
        <v>7</v>
      </c>
      <c r="K79" s="2">
        <f t="shared" si="29"/>
        <v>3.5</v>
      </c>
      <c r="L79" s="5">
        <f t="shared" si="31"/>
        <v>2974.1700000000001</v>
      </c>
      <c r="M79" s="5">
        <f t="shared" si="30"/>
        <v>0.83168468733105205</v>
      </c>
      <c r="N79" s="5">
        <f t="shared" si="32"/>
        <v>2473.571646519395</v>
      </c>
      <c r="O79" s="5"/>
      <c r="P79" s="5">
        <v>1379.53</v>
      </c>
      <c r="Q79" s="5">
        <v>0</v>
      </c>
      <c r="R79" s="5">
        <v>1803.6300000000001</v>
      </c>
      <c r="S79" s="5">
        <v>1033.6500000000001</v>
      </c>
      <c r="T79" s="5">
        <v>1731.5300000000002</v>
      </c>
      <c r="W79" s="5">
        <f t="shared" si="33"/>
        <v>573.66698835690306</v>
      </c>
      <c r="X79" s="5">
        <f t="shared" si="34"/>
        <v>0</v>
      </c>
      <c r="Y79" s="5">
        <f t="shared" si="35"/>
        <v>750.02572630545274</v>
      </c>
      <c r="Z79" s="5">
        <f t="shared" si="36"/>
        <v>429.835438529871</v>
      </c>
      <c r="AA79" s="5">
        <f t="shared" si="37"/>
        <v>720.04349332716822</v>
      </c>
      <c r="AB79" s="5">
        <f t="shared" si="38"/>
        <v>0</v>
      </c>
    </row>
    <row r="80" spans="1:28" ht="15.6">
      <c r="A80" s="2" t="s">
        <v>7</v>
      </c>
      <c r="B80" s="2" t="s">
        <v>125</v>
      </c>
      <c r="C80" s="6" t="s">
        <v>173</v>
      </c>
      <c r="D80" s="6" t="s">
        <v>102</v>
      </c>
      <c r="E80" s="8" t="s">
        <v>209</v>
      </c>
      <c r="F80" s="2">
        <f t="shared" si="28"/>
        <v>3.5</v>
      </c>
      <c r="G80" s="5">
        <v>24.079999999999998</v>
      </c>
      <c r="H80" s="2"/>
      <c r="I80" s="2" t="s">
        <v>8</v>
      </c>
      <c r="J80" s="2">
        <v>7</v>
      </c>
      <c r="K80" s="2">
        <f t="shared" si="29"/>
        <v>3.5</v>
      </c>
      <c r="L80" s="5">
        <f t="shared" si="31"/>
        <v>12.039999999999999</v>
      </c>
      <c r="M80" s="5">
        <f t="shared" si="30"/>
        <v>0.83168468733105205</v>
      </c>
      <c r="N80" s="5">
        <f t="shared" si="32"/>
        <v>10.013483635465866</v>
      </c>
      <c r="O80" s="5"/>
      <c r="P80" s="5">
        <v>5.5800000000000001</v>
      </c>
      <c r="Q80" s="5">
        <v>0</v>
      </c>
      <c r="R80" s="5">
        <v>7.2999999999999998</v>
      </c>
      <c r="S80" s="5">
        <v>4.1799999999999997</v>
      </c>
      <c r="T80" s="5">
        <v>7.0199999999999996</v>
      </c>
      <c r="W80" s="5">
        <f t="shared" si="33"/>
        <v>2.320400277653635</v>
      </c>
      <c r="X80" s="5">
        <f t="shared" si="34"/>
        <v>0</v>
      </c>
      <c r="Y80" s="5">
        <f t="shared" si="35"/>
        <v>3.0356491087583399</v>
      </c>
      <c r="Z80" s="5">
        <f t="shared" si="36"/>
        <v>1.7382209965218987</v>
      </c>
      <c r="AA80" s="5">
        <f t="shared" si="37"/>
        <v>2.9192132525319923</v>
      </c>
      <c r="AB80" s="5">
        <f t="shared" si="38"/>
        <v>0</v>
      </c>
    </row>
    <row r="81" spans="1:28" ht="15.6">
      <c r="A81" s="2" t="s">
        <v>7</v>
      </c>
      <c r="B81" s="2" t="s">
        <v>125</v>
      </c>
      <c r="C81" s="6" t="s">
        <v>174</v>
      </c>
      <c r="D81" s="6" t="s">
        <v>103</v>
      </c>
      <c r="E81" s="8" t="s">
        <v>209</v>
      </c>
      <c r="F81" s="2">
        <f t="shared" si="28"/>
        <v>3.5</v>
      </c>
      <c r="G81" s="5">
        <v>8637.2700000000004</v>
      </c>
      <c r="H81" s="2"/>
      <c r="I81" s="2" t="s">
        <v>8</v>
      </c>
      <c r="J81" s="2">
        <v>7</v>
      </c>
      <c r="K81" s="2">
        <f t="shared" si="29"/>
        <v>3.5</v>
      </c>
      <c r="L81" s="5">
        <f t="shared" si="31"/>
        <v>4318.6350000000002</v>
      </c>
      <c r="M81" s="5">
        <f t="shared" si="30"/>
        <v>0.83168468733105205</v>
      </c>
      <c r="N81" s="5">
        <f t="shared" si="32"/>
        <v>3591.742599671938</v>
      </c>
      <c r="O81" s="5"/>
      <c r="P81" s="5">
        <v>2003.1400000000001</v>
      </c>
      <c r="Q81" s="5">
        <v>0</v>
      </c>
      <c r="R81" s="5">
        <v>2618.9499999999998</v>
      </c>
      <c r="S81" s="5">
        <v>1500.9100000000001</v>
      </c>
      <c r="T81" s="5">
        <v>2514.2700000000004</v>
      </c>
      <c r="W81" s="5">
        <f t="shared" si="33"/>
        <v>832.99043229016183</v>
      </c>
      <c r="X81" s="5">
        <f t="shared" si="34"/>
        <v>0</v>
      </c>
      <c r="Y81" s="5">
        <f t="shared" si="35"/>
        <v>1089.0703059428292</v>
      </c>
      <c r="Z81" s="5">
        <f t="shared" si="36"/>
        <v>624.14193203102468</v>
      </c>
      <c r="AA81" s="5">
        <f t="shared" si="37"/>
        <v>1045.5399294079223</v>
      </c>
      <c r="AB81" s="5">
        <f t="shared" si="38"/>
        <v>0</v>
      </c>
    </row>
    <row r="82" spans="1:28" ht="15.6">
      <c r="A82" s="2" t="s">
        <v>7</v>
      </c>
      <c r="B82" s="2" t="s">
        <v>125</v>
      </c>
      <c r="C82" s="6" t="s">
        <v>175</v>
      </c>
      <c r="D82" s="6" t="s">
        <v>105</v>
      </c>
      <c r="E82" s="8" t="s">
        <v>209</v>
      </c>
      <c r="F82" s="2">
        <f t="shared" si="28"/>
        <v>3.5</v>
      </c>
      <c r="G82" s="5">
        <v>20756.169999999998</v>
      </c>
      <c r="H82" s="2"/>
      <c r="I82" s="2" t="s">
        <v>8</v>
      </c>
      <c r="J82" s="2">
        <v>7</v>
      </c>
      <c r="K82" s="2">
        <f t="shared" si="29"/>
        <v>3.5</v>
      </c>
      <c r="L82" s="5">
        <f t="shared" si="31"/>
        <v>10378.084999999999</v>
      </c>
      <c r="M82" s="5">
        <f t="shared" si="30"/>
        <v>0.83168468733105205</v>
      </c>
      <c r="N82" s="5">
        <f t="shared" si="32"/>
        <v>8631.2943783200808</v>
      </c>
      <c r="O82" s="5"/>
      <c r="P82" s="5">
        <v>4813.7299999999996</v>
      </c>
      <c r="Q82" s="5">
        <v>0</v>
      </c>
      <c r="R82" s="5">
        <v>6293.5799999999999</v>
      </c>
      <c r="S82" s="5">
        <v>3606.8400000000001</v>
      </c>
      <c r="T82" s="5">
        <v>6042.0199999999986</v>
      </c>
      <c r="W82" s="5">
        <f t="shared" si="33"/>
        <v>2001.7527649730523</v>
      </c>
      <c r="X82" s="5">
        <f t="shared" si="34"/>
        <v>0</v>
      </c>
      <c r="Y82" s="5">
        <f t="shared" si="35"/>
        <v>2617.1370572464812</v>
      </c>
      <c r="Z82" s="5">
        <f t="shared" si="36"/>
        <v>1499.8767988265661</v>
      </c>
      <c r="AA82" s="5">
        <f t="shared" si="37"/>
        <v>2512.527757273981</v>
      </c>
      <c r="AB82" s="5">
        <f t="shared" si="38"/>
        <v>0</v>
      </c>
    </row>
    <row r="83" spans="1:28" ht="15.6">
      <c r="A83" s="2" t="s">
        <v>7</v>
      </c>
      <c r="B83" s="2" t="s">
        <v>125</v>
      </c>
      <c r="C83" s="6" t="s">
        <v>176</v>
      </c>
      <c r="D83" s="6" t="s">
        <v>106</v>
      </c>
      <c r="E83" s="8" t="s">
        <v>209</v>
      </c>
      <c r="F83" s="2">
        <f t="shared" si="28"/>
        <v>3.5</v>
      </c>
      <c r="G83" s="5">
        <v>7385.29</v>
      </c>
      <c r="H83" s="2"/>
      <c r="I83" s="2" t="s">
        <v>8</v>
      </c>
      <c r="J83" s="2">
        <v>7</v>
      </c>
      <c r="K83" s="2">
        <f t="shared" si="29"/>
        <v>3.5</v>
      </c>
      <c r="L83" s="5">
        <f t="shared" si="31"/>
        <v>3692.645</v>
      </c>
      <c r="M83" s="5">
        <f t="shared" si="30"/>
        <v>0.83168468733105205</v>
      </c>
      <c r="N83" s="5">
        <f t="shared" si="32"/>
        <v>3071.1163022495725</v>
      </c>
      <c r="O83" s="5"/>
      <c r="P83" s="5">
        <v>1712.78</v>
      </c>
      <c r="Q83" s="5">
        <v>0</v>
      </c>
      <c r="R83" s="5">
        <v>2239.3299999999999</v>
      </c>
      <c r="S83" s="5">
        <v>1283.3599999999999</v>
      </c>
      <c r="T83" s="5">
        <v>2149.8200000000006</v>
      </c>
      <c r="W83" s="5">
        <f t="shared" si="33"/>
        <v>712.24644938343965</v>
      </c>
      <c r="X83" s="5">
        <f t="shared" si="34"/>
        <v>0</v>
      </c>
      <c r="Y83" s="5">
        <f t="shared" si="35"/>
        <v>931.20823544052223</v>
      </c>
      <c r="Z83" s="5">
        <f t="shared" si="36"/>
        <v>533.67543016658942</v>
      </c>
      <c r="AA83" s="5">
        <f t="shared" si="37"/>
        <v>893.98618725902134</v>
      </c>
      <c r="AB83" s="5">
        <f t="shared" si="38"/>
        <v>0</v>
      </c>
    </row>
    <row r="84" spans="1:28" ht="15.6">
      <c r="A84" s="2" t="s">
        <v>7</v>
      </c>
      <c r="B84" s="2" t="s">
        <v>125</v>
      </c>
      <c r="C84" s="6" t="s">
        <v>150</v>
      </c>
      <c r="D84" s="6" t="s">
        <v>109</v>
      </c>
      <c r="E84" s="8" t="s">
        <v>209</v>
      </c>
      <c r="F84" s="2">
        <f t="shared" si="28"/>
        <v>3.5</v>
      </c>
      <c r="G84" s="5">
        <v>777069.90000000002</v>
      </c>
      <c r="H84" s="2"/>
      <c r="I84" s="2" t="s">
        <v>8</v>
      </c>
      <c r="J84" s="2">
        <v>7</v>
      </c>
      <c r="K84" s="2">
        <f t="shared" si="29"/>
        <v>3.5</v>
      </c>
      <c r="L84" s="5">
        <f t="shared" si="31"/>
        <v>388534.95000000001</v>
      </c>
      <c r="M84" s="5">
        <f t="shared" si="30"/>
        <v>0.83168468733105205</v>
      </c>
      <c r="N84" s="5">
        <f t="shared" si="32"/>
        <v>323138.56840793596</v>
      </c>
      <c r="O84" s="5"/>
      <c r="P84" s="5">
        <v>180216.64000000001</v>
      </c>
      <c r="Q84" s="5">
        <v>0</v>
      </c>
      <c r="R84" s="5">
        <v>235619.23000000001</v>
      </c>
      <c r="S84" s="5">
        <v>135032.91</v>
      </c>
      <c r="T84" s="5">
        <v>226201.12000000002</v>
      </c>
      <c r="W84" s="5">
        <f t="shared" si="33"/>
        <v>74941.709945126393</v>
      </c>
      <c r="X84" s="5">
        <f t="shared" si="34"/>
        <v>0</v>
      </c>
      <c r="Y84" s="5">
        <f t="shared" si="35"/>
        <v>97980.452815866622</v>
      </c>
      <c r="Z84" s="5">
        <f t="shared" si="36"/>
        <v>56152.401766376046</v>
      </c>
      <c r="AA84" s="5">
        <f t="shared" si="37"/>
        <v>94064.003880566917</v>
      </c>
      <c r="AB84" s="5">
        <f t="shared" si="38"/>
        <v>0</v>
      </c>
    </row>
    <row r="85" spans="1:28" ht="15.6">
      <c r="A85" s="2" t="s">
        <v>7</v>
      </c>
      <c r="B85" s="2" t="s">
        <v>125</v>
      </c>
      <c r="C85" s="6" t="s">
        <v>177</v>
      </c>
      <c r="D85" s="6" t="s">
        <v>113</v>
      </c>
      <c r="E85" s="8" t="s">
        <v>209</v>
      </c>
      <c r="F85" s="2">
        <f t="shared" si="28"/>
        <v>3.5</v>
      </c>
      <c r="G85" s="5">
        <v>6968.0299999999997</v>
      </c>
      <c r="H85" s="2"/>
      <c r="I85" s="2" t="s">
        <v>8</v>
      </c>
      <c r="J85" s="2">
        <v>7</v>
      </c>
      <c r="K85" s="2">
        <f t="shared" si="29"/>
        <v>3.5</v>
      </c>
      <c r="L85" s="5">
        <f t="shared" si="31"/>
        <v>3484.0149999999999</v>
      </c>
      <c r="M85" s="5">
        <f t="shared" si="30"/>
        <v>0.83168468733105205</v>
      </c>
      <c r="N85" s="5">
        <f t="shared" si="32"/>
        <v>2897.6019259316954</v>
      </c>
      <c r="O85" s="5"/>
      <c r="P85" s="5">
        <v>1616.01</v>
      </c>
      <c r="Q85" s="5">
        <v>0</v>
      </c>
      <c r="R85" s="5">
        <v>2112.8099999999999</v>
      </c>
      <c r="S85" s="5">
        <v>1210.8499999999999</v>
      </c>
      <c r="T85" s="5">
        <v>2028.3599999999997</v>
      </c>
      <c r="W85" s="5">
        <f t="shared" si="33"/>
        <v>672.00538578692681</v>
      </c>
      <c r="X85" s="5">
        <f t="shared" si="34"/>
        <v>0</v>
      </c>
      <c r="Y85" s="5">
        <f t="shared" si="35"/>
        <v>878.5958621199602</v>
      </c>
      <c r="Z85" s="5">
        <f t="shared" si="36"/>
        <v>503.52270182740222</v>
      </c>
      <c r="AA85" s="5">
        <f t="shared" si="37"/>
        <v>843.47797619740629</v>
      </c>
      <c r="AB85" s="5">
        <f t="shared" si="38"/>
        <v>0</v>
      </c>
    </row>
    <row r="86" spans="1:28" ht="15.6">
      <c r="A86" s="2" t="s">
        <v>6</v>
      </c>
      <c r="B86" s="2" t="s">
        <v>125</v>
      </c>
      <c r="C86" s="6" t="s">
        <v>126</v>
      </c>
      <c r="D86" s="6" t="s">
        <v>23</v>
      </c>
      <c r="E86" s="8" t="s">
        <v>210</v>
      </c>
      <c r="F86" s="2">
        <f t="shared" si="28"/>
        <v>4.5</v>
      </c>
      <c r="G86" s="5">
        <v>13587620.34</v>
      </c>
      <c r="H86" s="2"/>
      <c r="I86" s="2" t="s">
        <v>8</v>
      </c>
      <c r="J86" s="2">
        <v>7</v>
      </c>
      <c r="K86" s="2">
        <f t="shared" si="29"/>
        <v>2.5</v>
      </c>
      <c r="L86" s="5">
        <f t="shared" si="31"/>
        <v>8734898.7899999991</v>
      </c>
      <c r="M86" s="5">
        <f t="shared" si="30"/>
        <v>0.83168468733105205</v>
      </c>
      <c r="N86" s="5">
        <f t="shared" si="32"/>
        <v>7264681.5690295342</v>
      </c>
      <c r="O86" s="5"/>
      <c r="P86" s="5">
        <v>3151216.23</v>
      </c>
      <c r="Q86" s="5">
        <v>0</v>
      </c>
      <c r="R86" s="5">
        <v>4119969.9500000002</v>
      </c>
      <c r="S86" s="5">
        <v>2361146.5800000001</v>
      </c>
      <c r="T86" s="5">
        <v>3955287.5799999991</v>
      </c>
      <c r="U86" s="5">
        <f t="shared" si="39" ref="U86:U92">+G86-SUM(P86:T86)</f>
        <v>0</v>
      </c>
      <c r="V86" s="5"/>
      <c r="W86" s="5">
        <f t="shared" si="33"/>
        <v>1684811.7546171984</v>
      </c>
      <c r="X86" s="5">
        <f t="shared" si="34"/>
        <v>0</v>
      </c>
      <c r="Y86" s="5">
        <f t="shared" si="35"/>
        <v>2202760.2340794089</v>
      </c>
      <c r="Z86" s="5">
        <f t="shared" si="36"/>
        <v>1262397.5068693389</v>
      </c>
      <c r="AA86" s="5">
        <f t="shared" si="37"/>
        <v>2114712.073463588</v>
      </c>
      <c r="AB86" s="5">
        <f t="shared" si="38"/>
        <v>0</v>
      </c>
    </row>
    <row r="87" spans="1:28" ht="15.6">
      <c r="A87" s="2" t="s">
        <v>6</v>
      </c>
      <c r="B87" s="2" t="s">
        <v>125</v>
      </c>
      <c r="C87" s="6" t="s">
        <v>126</v>
      </c>
      <c r="D87" s="6" t="s">
        <v>23</v>
      </c>
      <c r="E87" s="8" t="s">
        <v>210</v>
      </c>
      <c r="F87" s="2">
        <f t="shared" si="28"/>
        <v>4.5</v>
      </c>
      <c r="G87" s="5">
        <v>1220745.6100000001</v>
      </c>
      <c r="H87" s="2"/>
      <c r="I87" s="2" t="s">
        <v>8</v>
      </c>
      <c r="J87" s="2">
        <v>7</v>
      </c>
      <c r="K87" s="2">
        <f t="shared" si="29"/>
        <v>2.5</v>
      </c>
      <c r="L87" s="5">
        <f t="shared" si="31"/>
        <v>784765.03500000003</v>
      </c>
      <c r="M87" s="5">
        <f t="shared" si="30"/>
        <v>0.83168468733105205</v>
      </c>
      <c r="N87" s="5">
        <f t="shared" si="32"/>
        <v>652677.06276231713</v>
      </c>
      <c r="O87" s="5"/>
      <c r="P87" s="5">
        <v>283113.09999999998</v>
      </c>
      <c r="Q87" s="5">
        <v>0</v>
      </c>
      <c r="R87" s="5">
        <v>370148.34999999998</v>
      </c>
      <c r="S87" s="5">
        <v>212131.28</v>
      </c>
      <c r="T87" s="5">
        <v>355352.88000000012</v>
      </c>
      <c r="U87" s="5">
        <f t="shared" si="39"/>
        <v>0</v>
      </c>
      <c r="V87" s="5"/>
      <c r="W87" s="5">
        <f t="shared" si="33"/>
        <v>151367.67646253025</v>
      </c>
      <c r="X87" s="5">
        <f t="shared" si="34"/>
        <v>0</v>
      </c>
      <c r="Y87" s="5">
        <f t="shared" si="35"/>
        <v>197901.45947304953</v>
      </c>
      <c r="Z87" s="5">
        <f t="shared" si="36"/>
        <v>113416.93110853019</v>
      </c>
      <c r="AA87" s="5">
        <f t="shared" si="37"/>
        <v>189990.99571820718</v>
      </c>
      <c r="AB87" s="5">
        <f t="shared" si="38"/>
        <v>0</v>
      </c>
    </row>
    <row r="88" spans="1:28" ht="15.6">
      <c r="A88" s="2" t="s">
        <v>6</v>
      </c>
      <c r="B88" s="2" t="s">
        <v>125</v>
      </c>
      <c r="C88" s="6" t="s">
        <v>155</v>
      </c>
      <c r="D88" s="6" t="s">
        <v>32</v>
      </c>
      <c r="E88" s="8" t="s">
        <v>210</v>
      </c>
      <c r="F88" s="2">
        <f t="shared" si="28"/>
        <v>4.5</v>
      </c>
      <c r="G88" s="5">
        <v>7092.2600000000002</v>
      </c>
      <c r="H88" s="2"/>
      <c r="I88" s="2" t="s">
        <v>8</v>
      </c>
      <c r="J88" s="2">
        <v>7</v>
      </c>
      <c r="K88" s="2">
        <f t="shared" si="29"/>
        <v>2.5</v>
      </c>
      <c r="L88" s="5">
        <f t="shared" si="31"/>
        <v>4559.3099999999995</v>
      </c>
      <c r="M88" s="5">
        <f t="shared" si="30"/>
        <v>0.83168468733105205</v>
      </c>
      <c r="N88" s="5">
        <f t="shared" si="32"/>
        <v>3791.9083117953387</v>
      </c>
      <c r="O88" s="5"/>
      <c r="P88" s="5">
        <v>1644.8199999999999</v>
      </c>
      <c r="Q88" s="5">
        <v>0</v>
      </c>
      <c r="R88" s="5">
        <v>2150.48</v>
      </c>
      <c r="S88" s="5">
        <v>1232.4400000000001</v>
      </c>
      <c r="T88" s="5">
        <v>2064.5200000000004</v>
      </c>
      <c r="U88" s="5">
        <f t="shared" si="39"/>
        <v>0</v>
      </c>
      <c r="V88" s="5"/>
      <c r="W88" s="5">
        <f t="shared" si="33"/>
        <v>879.4103190530534</v>
      </c>
      <c r="X88" s="5">
        <f t="shared" si="34"/>
        <v>0</v>
      </c>
      <c r="Y88" s="5">
        <f t="shared" si="35"/>
        <v>1149.7636841217948</v>
      </c>
      <c r="Z88" s="5">
        <f t="shared" si="36"/>
        <v>658.92952032060964</v>
      </c>
      <c r="AA88" s="5">
        <f t="shared" si="37"/>
        <v>1103.804788299881</v>
      </c>
      <c r="AB88" s="5">
        <f t="shared" si="38"/>
        <v>0</v>
      </c>
    </row>
    <row r="89" spans="1:28" ht="15.6">
      <c r="A89" s="2" t="s">
        <v>6</v>
      </c>
      <c r="B89" s="2" t="s">
        <v>125</v>
      </c>
      <c r="C89" s="6" t="s">
        <v>178</v>
      </c>
      <c r="D89" s="6" t="s">
        <v>45</v>
      </c>
      <c r="E89" s="8" t="s">
        <v>210</v>
      </c>
      <c r="F89" s="2">
        <f t="shared" si="28"/>
        <v>4.5</v>
      </c>
      <c r="G89" s="5">
        <v>6814.3400000000001</v>
      </c>
      <c r="H89" s="2"/>
      <c r="I89" s="2" t="s">
        <v>8</v>
      </c>
      <c r="J89" s="2">
        <v>7</v>
      </c>
      <c r="K89" s="2">
        <f t="shared" si="29"/>
        <v>2.5</v>
      </c>
      <c r="L89" s="5">
        <f t="shared" si="31"/>
        <v>4380.6471428571422</v>
      </c>
      <c r="M89" s="5">
        <f t="shared" si="30"/>
        <v>0.83168468733105205</v>
      </c>
      <c r="N89" s="5">
        <f t="shared" si="32"/>
        <v>3643.3171493148088</v>
      </c>
      <c r="O89" s="5"/>
      <c r="P89" s="5">
        <v>1580.3699999999999</v>
      </c>
      <c r="Q89" s="5">
        <v>0</v>
      </c>
      <c r="R89" s="5">
        <v>2066.21</v>
      </c>
      <c r="S89" s="5">
        <v>1184.1400000000001</v>
      </c>
      <c r="T89" s="5">
        <v>1983.6200000000001</v>
      </c>
      <c r="U89" s="5">
        <f t="shared" si="39"/>
        <v>0</v>
      </c>
      <c r="V89" s="5"/>
      <c r="W89" s="5">
        <f t="shared" si="33"/>
        <v>844.95184027545497</v>
      </c>
      <c r="X89" s="5">
        <f t="shared" si="34"/>
        <v>0</v>
      </c>
      <c r="Y89" s="5">
        <f t="shared" si="35"/>
        <v>1104.7083543066167</v>
      </c>
      <c r="Z89" s="5">
        <f t="shared" si="36"/>
        <v>633.10571077898055</v>
      </c>
      <c r="AA89" s="5">
        <f t="shared" si="37"/>
        <v>1060.5512439537565</v>
      </c>
      <c r="AB89" s="5">
        <f t="shared" si="38"/>
        <v>0</v>
      </c>
    </row>
    <row r="90" spans="1:28" ht="15.6">
      <c r="A90" s="2" t="s">
        <v>6</v>
      </c>
      <c r="B90" s="2" t="s">
        <v>125</v>
      </c>
      <c r="C90" s="6" t="s">
        <v>157</v>
      </c>
      <c r="D90" s="6" t="s">
        <v>55</v>
      </c>
      <c r="E90" s="8" t="s">
        <v>210</v>
      </c>
      <c r="F90" s="2">
        <f t="shared" si="28"/>
        <v>4.5</v>
      </c>
      <c r="G90" s="5">
        <v>12249</v>
      </c>
      <c r="H90" s="2"/>
      <c r="I90" s="2" t="s">
        <v>8</v>
      </c>
      <c r="J90" s="2">
        <v>7</v>
      </c>
      <c r="K90" s="2">
        <f t="shared" si="29"/>
        <v>2.5</v>
      </c>
      <c r="L90" s="5">
        <f t="shared" si="31"/>
        <v>7874.3571428571422</v>
      </c>
      <c r="M90" s="5">
        <f t="shared" si="30"/>
        <v>0.83168468733105205</v>
      </c>
      <c r="N90" s="5">
        <f t="shared" si="32"/>
        <v>6548.9822582901788</v>
      </c>
      <c r="O90" s="5"/>
      <c r="P90" s="5">
        <v>2840.77</v>
      </c>
      <c r="Q90" s="5">
        <v>0</v>
      </c>
      <c r="R90" s="5">
        <v>3714.0799999999999</v>
      </c>
      <c r="S90" s="5">
        <v>2128.5300000000002</v>
      </c>
      <c r="T90" s="5">
        <v>3565.6199999999994</v>
      </c>
      <c r="U90" s="5">
        <f t="shared" si="39"/>
        <v>0</v>
      </c>
      <c r="V90" s="5"/>
      <c r="W90" s="5">
        <f t="shared" si="33"/>
        <v>1518.8302987903496</v>
      </c>
      <c r="X90" s="5">
        <f t="shared" si="34"/>
        <v>0</v>
      </c>
      <c r="Y90" s="5">
        <f t="shared" si="35"/>
        <v>1985.7493694073301</v>
      </c>
      <c r="Z90" s="5">
        <f t="shared" si="36"/>
        <v>1138.0280191230627</v>
      </c>
      <c r="AA90" s="5">
        <f t="shared" si="37"/>
        <v>1906.3745709694363</v>
      </c>
      <c r="AB90" s="5">
        <f t="shared" si="38"/>
        <v>0</v>
      </c>
    </row>
    <row r="91" spans="1:28" ht="15.6">
      <c r="A91" s="2" t="s">
        <v>6</v>
      </c>
      <c r="B91" s="2" t="s">
        <v>125</v>
      </c>
      <c r="C91" s="6" t="s">
        <v>129</v>
      </c>
      <c r="D91" s="6" t="s">
        <v>56</v>
      </c>
      <c r="E91" s="8" t="s">
        <v>210</v>
      </c>
      <c r="F91" s="2">
        <f t="shared" si="28"/>
        <v>4.5</v>
      </c>
      <c r="G91" s="5">
        <v>5369.3900000000003</v>
      </c>
      <c r="H91" s="2"/>
      <c r="I91" s="2" t="s">
        <v>8</v>
      </c>
      <c r="J91" s="2">
        <v>7</v>
      </c>
      <c r="K91" s="2">
        <f t="shared" si="29"/>
        <v>2.5</v>
      </c>
      <c r="L91" s="5">
        <f t="shared" si="31"/>
        <v>3451.7507142857144</v>
      </c>
      <c r="M91" s="5">
        <f t="shared" si="30"/>
        <v>0.83168468733105205</v>
      </c>
      <c r="N91" s="5">
        <f t="shared" si="32"/>
        <v>2870.7682135554501</v>
      </c>
      <c r="O91" s="5"/>
      <c r="P91" s="5">
        <v>1245.26</v>
      </c>
      <c r="Q91" s="5">
        <v>0</v>
      </c>
      <c r="R91" s="5">
        <v>1628.0799999999999</v>
      </c>
      <c r="S91" s="5">
        <v>933.04999999999995</v>
      </c>
      <c r="T91" s="5">
        <v>1563.0000000000002</v>
      </c>
      <c r="U91" s="5">
        <f t="shared" si="39"/>
        <v>0</v>
      </c>
      <c r="V91" s="5"/>
      <c r="W91" s="5">
        <f t="shared" si="33"/>
        <v>665.78379026519951</v>
      </c>
      <c r="X91" s="5">
        <f t="shared" si="34"/>
        <v>0</v>
      </c>
      <c r="Y91" s="5">
        <f t="shared" si="35"/>
        <v>870.46020369638939</v>
      </c>
      <c r="Z91" s="5">
        <f t="shared" si="36"/>
        <v>498.85932697343873</v>
      </c>
      <c r="AA91" s="5">
        <f t="shared" si="37"/>
        <v>835.66489262042217</v>
      </c>
      <c r="AB91" s="5">
        <f t="shared" si="38"/>
        <v>0</v>
      </c>
    </row>
    <row r="92" spans="1:28" ht="15.6">
      <c r="A92" s="2" t="s">
        <v>7</v>
      </c>
      <c r="B92" s="2" t="s">
        <v>125</v>
      </c>
      <c r="C92" s="6" t="s">
        <v>155</v>
      </c>
      <c r="D92" s="6" t="s">
        <v>32</v>
      </c>
      <c r="E92" s="8" t="s">
        <v>210</v>
      </c>
      <c r="F92" s="2">
        <f t="shared" si="28"/>
        <v>4.5</v>
      </c>
      <c r="G92" s="5">
        <v>10800.780000000001</v>
      </c>
      <c r="H92" s="2"/>
      <c r="I92" s="2" t="s">
        <v>8</v>
      </c>
      <c r="J92" s="2">
        <v>7</v>
      </c>
      <c r="K92" s="2">
        <f t="shared" si="29"/>
        <v>2.5</v>
      </c>
      <c r="L92" s="5">
        <f t="shared" si="31"/>
        <v>6943.3585714285709</v>
      </c>
      <c r="M92" s="5">
        <f t="shared" si="30"/>
        <v>0.83168468733105205</v>
      </c>
      <c r="N92" s="5">
        <f t="shared" si="32"/>
        <v>5774.6850025059512</v>
      </c>
      <c r="O92" s="5"/>
      <c r="P92" s="5">
        <v>2504.9000000000001</v>
      </c>
      <c r="Q92" s="5">
        <v>0</v>
      </c>
      <c r="R92" s="5">
        <v>3274.96</v>
      </c>
      <c r="S92" s="5">
        <v>1876.8699999999999</v>
      </c>
      <c r="T92" s="5">
        <v>3144.0500000000011</v>
      </c>
      <c r="U92" s="5">
        <f t="shared" si="39"/>
        <v>0</v>
      </c>
      <c r="V92" s="5"/>
      <c r="W92" s="5">
        <f t="shared" si="33"/>
        <v>1339.2559114042836</v>
      </c>
      <c r="X92" s="5">
        <f t="shared" si="34"/>
        <v>0</v>
      </c>
      <c r="Y92" s="5">
        <f t="shared" si="35"/>
        <v>1750.9719108996653</v>
      </c>
      <c r="Z92" s="5">
        <f t="shared" si="36"/>
        <v>1003.4768822856631</v>
      </c>
      <c r="AA92" s="5">
        <f t="shared" si="37"/>
        <v>1680.9802979163396</v>
      </c>
      <c r="AB92" s="5">
        <f t="shared" si="38"/>
        <v>0</v>
      </c>
    </row>
    <row r="93" spans="1:28" ht="15.6">
      <c r="A93" s="2" t="s">
        <v>7</v>
      </c>
      <c r="B93" s="2" t="s">
        <v>125</v>
      </c>
      <c r="C93" s="6" t="s">
        <v>173</v>
      </c>
      <c r="D93" s="6" t="s">
        <v>102</v>
      </c>
      <c r="E93" s="8" t="s">
        <v>210</v>
      </c>
      <c r="F93" s="2">
        <f t="shared" si="28"/>
        <v>4.5</v>
      </c>
      <c r="G93" s="5">
        <v>13675.219999999999</v>
      </c>
      <c r="H93" s="2"/>
      <c r="I93" s="2" t="s">
        <v>8</v>
      </c>
      <c r="J93" s="2">
        <v>7</v>
      </c>
      <c r="K93" s="2">
        <f t="shared" si="29"/>
        <v>2.5</v>
      </c>
      <c r="L93" s="5">
        <f t="shared" si="31"/>
        <v>8791.2128571428566</v>
      </c>
      <c r="M93" s="5">
        <f t="shared" si="30"/>
        <v>0.83168468733105205</v>
      </c>
      <c r="N93" s="5">
        <f t="shared" si="32"/>
        <v>7311.5171163535815</v>
      </c>
      <c r="O93" s="5"/>
      <c r="P93" s="5">
        <v>3171.5300000000002</v>
      </c>
      <c r="Q93" s="5">
        <v>0</v>
      </c>
      <c r="R93" s="5">
        <v>4146.5299999999997</v>
      </c>
      <c r="S93" s="5">
        <v>2376.3699999999999</v>
      </c>
      <c r="T93" s="5">
        <v>3980.7899999999991</v>
      </c>
      <c r="W93" s="5">
        <f t="shared" si="33"/>
        <v>1695.6726019785331</v>
      </c>
      <c r="X93" s="5">
        <f t="shared" si="34"/>
        <v>0</v>
      </c>
      <c r="Y93" s="5">
        <f t="shared" si="35"/>
        <v>2216.9606827878174</v>
      </c>
      <c r="Z93" s="5">
        <f t="shared" si="36"/>
        <v>1270.5367759925734</v>
      </c>
      <c r="AA93" s="5">
        <f t="shared" si="37"/>
        <v>2128.3470555946574</v>
      </c>
      <c r="AB93" s="5">
        <f t="shared" si="38"/>
        <v>0</v>
      </c>
    </row>
    <row r="94" spans="1:28" ht="15.6">
      <c r="A94" s="2" t="s">
        <v>7</v>
      </c>
      <c r="B94" s="2" t="s">
        <v>125</v>
      </c>
      <c r="C94" s="6" t="s">
        <v>150</v>
      </c>
      <c r="D94" s="6" t="s">
        <v>109</v>
      </c>
      <c r="E94" s="8" t="s">
        <v>210</v>
      </c>
      <c r="F94" s="2">
        <f t="shared" si="28"/>
        <v>4.5</v>
      </c>
      <c r="G94" s="5">
        <v>60399.699999999997</v>
      </c>
      <c r="H94" s="2"/>
      <c r="I94" s="2" t="s">
        <v>8</v>
      </c>
      <c r="J94" s="2">
        <v>7</v>
      </c>
      <c r="K94" s="2">
        <f t="shared" si="29"/>
        <v>2.5</v>
      </c>
      <c r="L94" s="5">
        <f t="shared" si="31"/>
        <v>38828.378571428562</v>
      </c>
      <c r="M94" s="5">
        <f t="shared" si="30"/>
        <v>0.83168468733105205</v>
      </c>
      <c r="N94" s="5">
        <f t="shared" si="32"/>
        <v>32292.967891750286</v>
      </c>
      <c r="O94" s="5"/>
      <c r="P94" s="5">
        <v>14007.790000000001</v>
      </c>
      <c r="Q94" s="5">
        <v>0</v>
      </c>
      <c r="R94" s="5">
        <v>18314.09</v>
      </c>
      <c r="S94" s="5">
        <v>10495.77</v>
      </c>
      <c r="T94" s="5">
        <v>17582.049999999996</v>
      </c>
      <c r="W94" s="5">
        <f t="shared" si="33"/>
        <v>7489.3271440815233</v>
      </c>
      <c r="X94" s="5">
        <f t="shared" si="34"/>
        <v>0</v>
      </c>
      <c r="Y94" s="5">
        <f t="shared" si="35"/>
        <v>9791.7095670446215</v>
      </c>
      <c r="Z94" s="5">
        <f t="shared" si="36"/>
        <v>5611.6100511955519</v>
      </c>
      <c r="AA94" s="5">
        <f t="shared" si="37"/>
        <v>9400.3211294285902</v>
      </c>
      <c r="AB94" s="5">
        <f t="shared" si="38"/>
        <v>0</v>
      </c>
    </row>
    <row r="95" spans="1:28" ht="15.6">
      <c r="A95" s="2" t="s">
        <v>6</v>
      </c>
      <c r="B95" s="2" t="s">
        <v>125</v>
      </c>
      <c r="C95" s="6" t="s">
        <v>126</v>
      </c>
      <c r="D95" s="6" t="s">
        <v>23</v>
      </c>
      <c r="E95" s="8" t="s">
        <v>211</v>
      </c>
      <c r="F95" s="2">
        <f t="shared" si="28"/>
        <v>5.5</v>
      </c>
      <c r="G95" s="5">
        <v>51037818.399999999</v>
      </c>
      <c r="H95" s="2"/>
      <c r="I95" s="2" t="s">
        <v>8</v>
      </c>
      <c r="J95" s="2">
        <v>7</v>
      </c>
      <c r="K95" s="2">
        <f t="shared" si="29"/>
        <v>1.5</v>
      </c>
      <c r="L95" s="5">
        <f t="shared" si="31"/>
        <v>40101143.028571427</v>
      </c>
      <c r="M95" s="5">
        <f t="shared" si="30"/>
        <v>0.83168468733105205</v>
      </c>
      <c r="N95" s="5">
        <v>11836709.65</v>
      </c>
      <c r="O95" s="5"/>
      <c r="P95" s="5">
        <v>11836598.15</v>
      </c>
      <c r="Q95" s="5">
        <v>0</v>
      </c>
      <c r="R95" s="5">
        <v>15475430.779999999</v>
      </c>
      <c r="S95" s="5">
        <v>8868938.6099999994</v>
      </c>
      <c r="T95" s="5">
        <v>14856850.859999999</v>
      </c>
      <c r="U95" s="5">
        <f t="shared" si="40" ref="U95:U100">+G95-SUM(P95:T95)</f>
        <v>0</v>
      </c>
      <c r="V95" s="5"/>
      <c r="W95" s="5">
        <f t="shared" si="33"/>
        <v>2745148.2045572144</v>
      </c>
      <c r="X95" s="5">
        <f t="shared" si="34"/>
        <v>0</v>
      </c>
      <c r="Y95" s="5">
        <f t="shared" si="35"/>
        <v>3589067.6089621619</v>
      </c>
      <c r="Z95" s="5">
        <f t="shared" si="36"/>
        <v>2056887.5105023021</v>
      </c>
      <c r="AA95" s="5">
        <f t="shared" si="37"/>
        <v>3445606.3259783224</v>
      </c>
      <c r="AB95" s="5">
        <f t="shared" si="38"/>
        <v>0</v>
      </c>
    </row>
    <row r="96" spans="1:28" ht="15.6">
      <c r="A96" s="2" t="s">
        <v>6</v>
      </c>
      <c r="B96" s="2" t="s">
        <v>125</v>
      </c>
      <c r="C96" s="6" t="s">
        <v>155</v>
      </c>
      <c r="D96" s="6" t="s">
        <v>32</v>
      </c>
      <c r="E96" s="8" t="s">
        <v>211</v>
      </c>
      <c r="F96" s="2">
        <f t="shared" si="28"/>
        <v>5.5</v>
      </c>
      <c r="G96" s="5">
        <v>31574.43</v>
      </c>
      <c r="H96" s="2"/>
      <c r="I96" s="2" t="s">
        <v>8</v>
      </c>
      <c r="J96" s="2">
        <v>7</v>
      </c>
      <c r="K96" s="2">
        <f t="shared" si="29"/>
        <v>1.5</v>
      </c>
      <c r="L96" s="5">
        <f t="shared" si="31"/>
        <v>24808.480714285713</v>
      </c>
      <c r="M96" s="5">
        <f t="shared" si="30"/>
        <v>0.83168468733105205</v>
      </c>
      <c r="N96" s="5">
        <v>7322.75</v>
      </c>
      <c r="O96" s="5"/>
      <c r="P96" s="5">
        <v>7322.6800000000003</v>
      </c>
      <c r="Q96" s="5">
        <v>0</v>
      </c>
      <c r="R96" s="5">
        <v>9573.8400000000001</v>
      </c>
      <c r="S96" s="5">
        <v>5486.75</v>
      </c>
      <c r="T96" s="5">
        <v>9191.1599999999999</v>
      </c>
      <c r="U96" s="5">
        <f t="shared" si="40"/>
        <v>0</v>
      </c>
      <c r="V96" s="5"/>
      <c r="W96" s="5">
        <f t="shared" si="33"/>
        <v>1698.2778460292079</v>
      </c>
      <c r="X96" s="5">
        <f t="shared" si="34"/>
        <v>0</v>
      </c>
      <c r="Y96" s="5">
        <f t="shared" si="35"/>
        <v>2220.3674574647903</v>
      </c>
      <c r="Z96" s="5">
        <f t="shared" si="36"/>
        <v>1272.4884839567967</v>
      </c>
      <c r="AA96" s="5">
        <f t="shared" si="37"/>
        <v>2131.6162125492051</v>
      </c>
      <c r="AB96" s="5">
        <f t="shared" si="38"/>
        <v>0</v>
      </c>
    </row>
    <row r="97" spans="1:28" ht="15.6">
      <c r="A97" s="2" t="s">
        <v>6</v>
      </c>
      <c r="B97" s="2" t="s">
        <v>125</v>
      </c>
      <c r="C97" s="6" t="s">
        <v>157</v>
      </c>
      <c r="D97" s="6" t="s">
        <v>55</v>
      </c>
      <c r="E97" s="8" t="s">
        <v>211</v>
      </c>
      <c r="F97" s="2">
        <f t="shared" si="28"/>
        <v>5.5</v>
      </c>
      <c r="G97" s="5">
        <v>214918</v>
      </c>
      <c r="H97" s="2"/>
      <c r="I97" s="2" t="s">
        <v>8</v>
      </c>
      <c r="J97" s="2">
        <v>7</v>
      </c>
      <c r="K97" s="2">
        <f t="shared" si="29"/>
        <v>1.5</v>
      </c>
      <c r="L97" s="5">
        <f t="shared" si="31"/>
        <v>168864.14285714284</v>
      </c>
      <c r="M97" s="5">
        <f t="shared" si="30"/>
        <v>0.83168468733105205</v>
      </c>
      <c r="N97" s="5">
        <v>49843.860000000001</v>
      </c>
      <c r="O97" s="5"/>
      <c r="P97" s="5">
        <v>49843.389999999999</v>
      </c>
      <c r="Q97" s="5">
        <v>0</v>
      </c>
      <c r="R97" s="5">
        <v>65166.360000000001</v>
      </c>
      <c r="S97" s="5">
        <v>37346.709999999999</v>
      </c>
      <c r="T97" s="5">
        <v>62561.539999999986</v>
      </c>
      <c r="U97" s="5">
        <f t="shared" si="40"/>
        <v>0</v>
      </c>
      <c r="V97" s="5"/>
      <c r="W97" s="5">
        <f t="shared" si="33"/>
        <v>11559.696968543352</v>
      </c>
      <c r="X97" s="5">
        <f t="shared" si="34"/>
        <v>0</v>
      </c>
      <c r="Y97" s="5">
        <f t="shared" si="35"/>
        <v>15113.405692169106</v>
      </c>
      <c r="Z97" s="5">
        <f t="shared" si="36"/>
        <v>8661.4624400962221</v>
      </c>
      <c r="AA97" s="5">
        <f t="shared" si="37"/>
        <v>14509.294899191316</v>
      </c>
      <c r="AB97" s="5">
        <f t="shared" si="38"/>
        <v>0</v>
      </c>
    </row>
    <row r="98" spans="1:28" ht="15.6">
      <c r="A98" s="2" t="s">
        <v>6</v>
      </c>
      <c r="B98" s="2" t="s">
        <v>125</v>
      </c>
      <c r="C98" s="6" t="s">
        <v>129</v>
      </c>
      <c r="D98" s="6" t="s">
        <v>56</v>
      </c>
      <c r="E98" s="8" t="s">
        <v>211</v>
      </c>
      <c r="F98" s="2">
        <f t="shared" si="28"/>
        <v>5.5</v>
      </c>
      <c r="G98" s="5">
        <v>7038.4899999999998</v>
      </c>
      <c r="H98" s="2"/>
      <c r="I98" s="2" t="s">
        <v>8</v>
      </c>
      <c r="J98" s="2">
        <v>7</v>
      </c>
      <c r="K98" s="2">
        <f t="shared" si="29"/>
        <v>1.5</v>
      </c>
      <c r="L98" s="5">
        <f t="shared" si="31"/>
        <v>5530.2421428571424</v>
      </c>
      <c r="M98" s="5">
        <f t="shared" si="30"/>
        <v>0.83168468733105205</v>
      </c>
      <c r="N98" s="5">
        <v>1632.3699999999999</v>
      </c>
      <c r="O98" s="5"/>
      <c r="P98" s="5">
        <v>1632.3499999999999</v>
      </c>
      <c r="Q98" s="5">
        <v>0</v>
      </c>
      <c r="R98" s="5">
        <v>2134.1799999999998</v>
      </c>
      <c r="S98" s="5">
        <v>1223.0899999999999</v>
      </c>
      <c r="T98" s="5">
        <v>2048.8699999999999</v>
      </c>
      <c r="U98" s="5">
        <f t="shared" si="40"/>
        <v>0</v>
      </c>
      <c r="V98" s="5"/>
      <c r="W98" s="5">
        <f t="shared" si="33"/>
        <v>378.57540033444673</v>
      </c>
      <c r="X98" s="5">
        <f t="shared" si="34"/>
        <v>0</v>
      </c>
      <c r="Y98" s="5">
        <f t="shared" si="35"/>
        <v>494.96005629048273</v>
      </c>
      <c r="Z98" s="5">
        <f t="shared" si="36"/>
        <v>283.6596234845826</v>
      </c>
      <c r="AA98" s="5">
        <f t="shared" si="37"/>
        <v>475.17491989048784</v>
      </c>
      <c r="AB98" s="5">
        <f t="shared" si="38"/>
        <v>0</v>
      </c>
    </row>
    <row r="99" spans="1:28" ht="15.6">
      <c r="A99" s="2" t="s">
        <v>7</v>
      </c>
      <c r="B99" s="2" t="s">
        <v>125</v>
      </c>
      <c r="C99" s="6" t="s">
        <v>126</v>
      </c>
      <c r="D99" s="6" t="s">
        <v>23</v>
      </c>
      <c r="E99" s="8" t="s">
        <v>211</v>
      </c>
      <c r="F99" s="2">
        <f t="shared" si="28"/>
        <v>5.5</v>
      </c>
      <c r="G99" s="5">
        <v>104752.06</v>
      </c>
      <c r="H99" s="2"/>
      <c r="I99" s="2" t="s">
        <v>8</v>
      </c>
      <c r="J99" s="2">
        <v>7</v>
      </c>
      <c r="K99" s="2">
        <f t="shared" si="29"/>
        <v>1.5</v>
      </c>
      <c r="L99" s="5">
        <f t="shared" si="31"/>
        <v>82305.190000000002</v>
      </c>
      <c r="M99" s="5">
        <f t="shared" si="30"/>
        <v>0.83168468733105205</v>
      </c>
      <c r="N99" s="5">
        <v>24294.139999999999</v>
      </c>
      <c r="O99" s="5"/>
      <c r="P99" s="5">
        <v>24293.91</v>
      </c>
      <c r="Q99" s="5">
        <v>0</v>
      </c>
      <c r="R99" s="5">
        <v>31762.389999999999</v>
      </c>
      <c r="S99" s="5">
        <v>18202.959999999999</v>
      </c>
      <c r="T99" s="5">
        <v>30492.799999999996</v>
      </c>
      <c r="U99" s="5">
        <f t="shared" si="40"/>
        <v>0</v>
      </c>
      <c r="V99" s="5"/>
      <c r="W99" s="5">
        <f t="shared" si="33"/>
        <v>5634.2534045382972</v>
      </c>
      <c r="X99" s="5">
        <f t="shared" si="34"/>
        <v>0</v>
      </c>
      <c r="Y99" s="5">
        <f t="shared" si="35"/>
        <v>7366.3462980546637</v>
      </c>
      <c r="Z99" s="5">
        <f t="shared" si="36"/>
        <v>4221.6378241573484</v>
      </c>
      <c r="AA99" s="5">
        <f t="shared" si="37"/>
        <v>7071.90247324969</v>
      </c>
      <c r="AB99" s="5">
        <f t="shared" si="38"/>
        <v>0</v>
      </c>
    </row>
    <row r="100" spans="1:28" ht="15.6">
      <c r="A100" s="2" t="s">
        <v>7</v>
      </c>
      <c r="B100" s="2" t="s">
        <v>125</v>
      </c>
      <c r="C100" s="6" t="s">
        <v>155</v>
      </c>
      <c r="D100" s="6" t="s">
        <v>32</v>
      </c>
      <c r="E100" s="8" t="s">
        <v>211</v>
      </c>
      <c r="F100" s="2">
        <f t="shared" si="28"/>
        <v>5.5</v>
      </c>
      <c r="G100" s="5">
        <v>22416.419999999998</v>
      </c>
      <c r="H100" s="2"/>
      <c r="I100" s="2" t="s">
        <v>8</v>
      </c>
      <c r="J100" s="2">
        <v>7</v>
      </c>
      <c r="K100" s="2">
        <f t="shared" si="29"/>
        <v>1.5</v>
      </c>
      <c r="L100" s="5">
        <f t="shared" si="31"/>
        <v>17612.901428571426</v>
      </c>
      <c r="M100" s="5">
        <f t="shared" si="30"/>
        <v>0.83168468733105205</v>
      </c>
      <c r="N100" s="5">
        <v>5198.8199999999997</v>
      </c>
      <c r="O100" s="5"/>
      <c r="P100" s="5">
        <v>5198.7799999999997</v>
      </c>
      <c r="Q100" s="5">
        <v>0</v>
      </c>
      <c r="R100" s="5">
        <v>6796.9899999999998</v>
      </c>
      <c r="S100" s="5">
        <v>3895.3400000000001</v>
      </c>
      <c r="T100" s="5">
        <v>6525.3099999999995</v>
      </c>
      <c r="U100" s="5">
        <f t="shared" si="40"/>
        <v>0</v>
      </c>
      <c r="V100" s="5"/>
      <c r="W100" s="5">
        <f t="shared" si="33"/>
        <v>1205.7019559590692</v>
      </c>
      <c r="X100" s="5">
        <f t="shared" si="34"/>
        <v>0</v>
      </c>
      <c r="Y100" s="5">
        <f t="shared" si="35"/>
        <v>1576.3590953327962</v>
      </c>
      <c r="Z100" s="5">
        <f t="shared" si="36"/>
        <v>903.40792592215894</v>
      </c>
      <c r="AA100" s="5">
        <f t="shared" si="37"/>
        <v>1513.3510227859754</v>
      </c>
      <c r="AB100" s="5">
        <f t="shared" si="38"/>
        <v>0</v>
      </c>
    </row>
    <row r="101" spans="1:28" ht="15.6">
      <c r="A101" s="2" t="s">
        <v>7</v>
      </c>
      <c r="B101" s="2" t="s">
        <v>125</v>
      </c>
      <c r="C101" s="6" t="s">
        <v>150</v>
      </c>
      <c r="D101" s="6" t="s">
        <v>109</v>
      </c>
      <c r="E101" s="8" t="s">
        <v>211</v>
      </c>
      <c r="F101" s="2">
        <f t="shared" si="41" ref="F101:F132">2021.5-E101</f>
        <v>5.5</v>
      </c>
      <c r="G101" s="5">
        <v>51476.970000000001</v>
      </c>
      <c r="H101" s="2"/>
      <c r="I101" s="2" t="s">
        <v>8</v>
      </c>
      <c r="J101" s="2">
        <v>7</v>
      </c>
      <c r="K101" s="2">
        <f t="shared" si="42" ref="K101:K120">+J101-F101</f>
        <v>1.5</v>
      </c>
      <c r="L101" s="5">
        <f t="shared" si="31"/>
        <v>40446.190714285716</v>
      </c>
      <c r="M101" s="5">
        <f t="shared" si="43" ref="M101:M120">$N$206</f>
        <v>0.83168468733105205</v>
      </c>
      <c r="N101" s="5">
        <v>11938.56</v>
      </c>
      <c r="O101" s="5"/>
      <c r="P101" s="5">
        <v>11938.450000000001</v>
      </c>
      <c r="Q101" s="5">
        <v>0</v>
      </c>
      <c r="R101" s="5">
        <v>15608.59</v>
      </c>
      <c r="S101" s="5">
        <v>8945.25</v>
      </c>
      <c r="T101" s="5">
        <v>14984.680000000004</v>
      </c>
      <c r="W101" s="5">
        <f t="shared" si="33"/>
        <v>2768.7702215573295</v>
      </c>
      <c r="X101" s="5">
        <f t="shared" si="34"/>
        <v>0</v>
      </c>
      <c r="Y101" s="5">
        <f t="shared" si="35"/>
        <v>3619.950595973306</v>
      </c>
      <c r="Z101" s="5">
        <f t="shared" si="36"/>
        <v>2074.5860496451128</v>
      </c>
      <c r="AA101" s="5">
        <f t="shared" si="37"/>
        <v>3475.2531328242521</v>
      </c>
      <c r="AB101" s="5">
        <f t="shared" si="38"/>
        <v>0</v>
      </c>
    </row>
    <row r="102" spans="1:28" ht="15.6">
      <c r="A102" s="2" t="s">
        <v>6</v>
      </c>
      <c r="B102" s="2" t="s">
        <v>125</v>
      </c>
      <c r="C102" s="6" t="s">
        <v>126</v>
      </c>
      <c r="D102" s="6" t="s">
        <v>23</v>
      </c>
      <c r="E102" s="8" t="s">
        <v>212</v>
      </c>
      <c r="F102" s="2">
        <f t="shared" si="41"/>
        <v>6.5</v>
      </c>
      <c r="G102" s="5">
        <v>10303590.779999999</v>
      </c>
      <c r="H102" s="2"/>
      <c r="I102" s="2" t="s">
        <v>8</v>
      </c>
      <c r="J102" s="2">
        <v>7</v>
      </c>
      <c r="K102" s="2">
        <f t="shared" si="42"/>
        <v>0.5</v>
      </c>
      <c r="L102" s="5">
        <f t="shared" si="31"/>
        <v>9567620.0099999998</v>
      </c>
      <c r="M102" s="5">
        <f t="shared" si="43"/>
        <v>0.83168468733105205</v>
      </c>
      <c r="N102" s="5">
        <v>2389612.5699999998</v>
      </c>
      <c r="O102" s="5"/>
      <c r="P102" s="5">
        <v>2389590.0600000001</v>
      </c>
      <c r="Q102" s="5">
        <v>0</v>
      </c>
      <c r="R102" s="5">
        <v>3124203.0099999998</v>
      </c>
      <c r="S102" s="5">
        <v>1790474.53</v>
      </c>
      <c r="T102" s="5">
        <v>2999323.1799999988</v>
      </c>
      <c r="U102" s="5">
        <f t="shared" si="44" ref="U102:U115">+G102-SUM(P102:T102)</f>
        <v>0</v>
      </c>
      <c r="V102" s="5"/>
      <c r="W102" s="5">
        <f t="shared" si="33"/>
        <v>554194.60714675765</v>
      </c>
      <c r="X102" s="5">
        <f t="shared" si="34"/>
        <v>0</v>
      </c>
      <c r="Y102" s="5">
        <f t="shared" si="35"/>
        <v>724566.31317493331</v>
      </c>
      <c r="Z102" s="5">
        <f t="shared" si="36"/>
        <v>415247.5126882749</v>
      </c>
      <c r="AA102" s="5">
        <f t="shared" si="37"/>
        <v>695604.13699003391</v>
      </c>
      <c r="AB102" s="5">
        <f t="shared" si="38"/>
        <v>0</v>
      </c>
    </row>
    <row r="103" spans="1:28" ht="15.6">
      <c r="A103" s="2" t="s">
        <v>6</v>
      </c>
      <c r="B103" s="2" t="s">
        <v>125</v>
      </c>
      <c r="C103" s="6" t="s">
        <v>126</v>
      </c>
      <c r="D103" s="6" t="s">
        <v>23</v>
      </c>
      <c r="E103" s="8" t="s">
        <v>212</v>
      </c>
      <c r="F103" s="2">
        <f t="shared" si="41"/>
        <v>6.5</v>
      </c>
      <c r="G103" s="5">
        <v>1017532.62</v>
      </c>
      <c r="H103" s="2"/>
      <c r="I103" s="2" t="s">
        <v>8</v>
      </c>
      <c r="J103" s="2">
        <v>7</v>
      </c>
      <c r="K103" s="2">
        <f t="shared" si="42"/>
        <v>0.5</v>
      </c>
      <c r="L103" s="5">
        <f t="shared" si="31"/>
        <v>944851.71857142856</v>
      </c>
      <c r="M103" s="5">
        <f t="shared" si="43"/>
        <v>0.83168468733105205</v>
      </c>
      <c r="N103" s="5">
        <v>235986.54000000001</v>
      </c>
      <c r="O103" s="5"/>
      <c r="P103" s="5">
        <v>235984.32000000001</v>
      </c>
      <c r="Q103" s="5">
        <v>0</v>
      </c>
      <c r="R103" s="5">
        <v>308531.13</v>
      </c>
      <c r="S103" s="5">
        <v>176818.57999999999</v>
      </c>
      <c r="T103" s="5">
        <v>296198.59000000008</v>
      </c>
      <c r="U103" s="5">
        <f t="shared" si="44"/>
        <v>0</v>
      </c>
      <c r="V103" s="5"/>
      <c r="W103" s="5">
        <f t="shared" si="33"/>
        <v>54729.570410286018</v>
      </c>
      <c r="X103" s="5">
        <f t="shared" si="34"/>
        <v>0</v>
      </c>
      <c r="Y103" s="5">
        <f t="shared" si="35"/>
        <v>71554.653305355663</v>
      </c>
      <c r="Z103" s="5">
        <f t="shared" si="36"/>
        <v>41007.830198026677</v>
      </c>
      <c r="AA103" s="5">
        <f t="shared" si="37"/>
        <v>68694.486086331686</v>
      </c>
      <c r="AB103" s="5">
        <f t="shared" si="38"/>
        <v>0</v>
      </c>
    </row>
    <row r="104" spans="1:28" ht="15.6">
      <c r="A104" s="2" t="s">
        <v>6</v>
      </c>
      <c r="B104" s="2" t="s">
        <v>125</v>
      </c>
      <c r="C104" s="6" t="s">
        <v>179</v>
      </c>
      <c r="D104" s="6" t="s">
        <v>33</v>
      </c>
      <c r="E104" s="8" t="s">
        <v>212</v>
      </c>
      <c r="F104" s="2">
        <f t="shared" si="41"/>
        <v>6.5</v>
      </c>
      <c r="G104" s="5">
        <v>224349.95999999999</v>
      </c>
      <c r="H104" s="2"/>
      <c r="I104" s="2" t="s">
        <v>8</v>
      </c>
      <c r="J104" s="2">
        <v>7</v>
      </c>
      <c r="K104" s="2">
        <f t="shared" si="42"/>
        <v>0.5</v>
      </c>
      <c r="L104" s="5">
        <f t="shared" si="31"/>
        <v>208324.96285714285</v>
      </c>
      <c r="M104" s="5">
        <f t="shared" si="43"/>
        <v>0.83168468733105205</v>
      </c>
      <c r="N104" s="5">
        <v>52031.330000000002</v>
      </c>
      <c r="O104" s="5"/>
      <c r="P104" s="5">
        <v>52030.839999999997</v>
      </c>
      <c r="Q104" s="5">
        <v>0</v>
      </c>
      <c r="R104" s="5">
        <v>68026.270000000004</v>
      </c>
      <c r="S104" s="5">
        <v>38985.720000000001</v>
      </c>
      <c r="T104" s="5">
        <v>65307.12999999999</v>
      </c>
      <c r="U104" s="5">
        <f t="shared" si="44"/>
        <v>0</v>
      </c>
      <c r="V104" s="5"/>
      <c r="W104" s="5">
        <f t="shared" si="33"/>
        <v>12067.012653878788</v>
      </c>
      <c r="X104" s="5">
        <f t="shared" si="34"/>
        <v>0</v>
      </c>
      <c r="Y104" s="5">
        <f t="shared" si="35"/>
        <v>15776.679002033701</v>
      </c>
      <c r="Z104" s="5">
        <f t="shared" si="36"/>
        <v>9041.583348655824</v>
      </c>
      <c r="AA104" s="5">
        <f t="shared" si="37"/>
        <v>15146.054995431688</v>
      </c>
      <c r="AB104" s="5">
        <f t="shared" si="38"/>
        <v>0</v>
      </c>
    </row>
    <row r="105" spans="1:28" ht="15.6">
      <c r="A105" s="2" t="s">
        <v>6</v>
      </c>
      <c r="B105" s="2" t="s">
        <v>125</v>
      </c>
      <c r="C105" s="6" t="s">
        <v>133</v>
      </c>
      <c r="D105" s="6" t="s">
        <v>35</v>
      </c>
      <c r="E105" s="8" t="s">
        <v>212</v>
      </c>
      <c r="F105" s="2">
        <f t="shared" si="41"/>
        <v>6.5</v>
      </c>
      <c r="G105" s="5">
        <v>169137.01999999999</v>
      </c>
      <c r="H105" s="2"/>
      <c r="I105" s="2" t="s">
        <v>8</v>
      </c>
      <c r="J105" s="2">
        <v>7</v>
      </c>
      <c r="K105" s="2">
        <f t="shared" si="42"/>
        <v>0.5</v>
      </c>
      <c r="L105" s="5">
        <f t="shared" si="31"/>
        <v>157055.80428571429</v>
      </c>
      <c r="M105" s="5">
        <f t="shared" si="43"/>
        <v>0.83168468733105205</v>
      </c>
      <c r="N105" s="5">
        <v>39226.32</v>
      </c>
      <c r="O105" s="5"/>
      <c r="P105" s="5">
        <v>39225.949999999997</v>
      </c>
      <c r="Q105" s="5">
        <v>0</v>
      </c>
      <c r="R105" s="5">
        <v>51284.879999999997</v>
      </c>
      <c r="S105" s="5">
        <v>29391.259999999998</v>
      </c>
      <c r="T105" s="5">
        <v>49234.930000000008</v>
      </c>
      <c r="U105" s="5">
        <f t="shared" si="44"/>
        <v>0</v>
      </c>
      <c r="V105" s="5"/>
      <c r="W105" s="5">
        <f t="shared" si="33"/>
        <v>9097.2967775121015</v>
      </c>
      <c r="X105" s="5">
        <f t="shared" si="34"/>
        <v>0</v>
      </c>
      <c r="Y105" s="5">
        <f t="shared" si="35"/>
        <v>11894.008266443385</v>
      </c>
      <c r="Z105" s="5">
        <f t="shared" si="36"/>
        <v>6816.431848942354</v>
      </c>
      <c r="AA105" s="5">
        <f t="shared" si="37"/>
        <v>11418.58310710216</v>
      </c>
      <c r="AB105" s="5">
        <f t="shared" si="38"/>
        <v>0</v>
      </c>
    </row>
    <row r="106" spans="1:28" ht="15.6">
      <c r="A106" s="2" t="s">
        <v>6</v>
      </c>
      <c r="B106" s="2" t="s">
        <v>125</v>
      </c>
      <c r="C106" s="6" t="s">
        <v>133</v>
      </c>
      <c r="D106" s="6" t="s">
        <v>35</v>
      </c>
      <c r="E106" s="8" t="s">
        <v>212</v>
      </c>
      <c r="F106" s="2">
        <f t="shared" si="41"/>
        <v>6.5</v>
      </c>
      <c r="G106" s="5">
        <v>220040.48999999999</v>
      </c>
      <c r="H106" s="2"/>
      <c r="I106" s="2" t="s">
        <v>8</v>
      </c>
      <c r="J106" s="2">
        <v>7</v>
      </c>
      <c r="K106" s="2">
        <f t="shared" si="42"/>
        <v>0.5</v>
      </c>
      <c r="L106" s="5">
        <f t="shared" si="31"/>
        <v>204323.31214285715</v>
      </c>
      <c r="M106" s="5">
        <f t="shared" si="43"/>
        <v>0.83168468733105205</v>
      </c>
      <c r="N106" s="5">
        <v>51031.870000000003</v>
      </c>
      <c r="O106" s="5"/>
      <c r="P106" s="5">
        <v>51031.389999999999</v>
      </c>
      <c r="Q106" s="5">
        <v>0</v>
      </c>
      <c r="R106" s="5">
        <v>66719.570000000007</v>
      </c>
      <c r="S106" s="5">
        <v>38236.849999999999</v>
      </c>
      <c r="T106" s="5">
        <v>64052.679999999971</v>
      </c>
      <c r="U106" s="5">
        <f t="shared" si="44"/>
        <v>0</v>
      </c>
      <c r="V106" s="5"/>
      <c r="W106" s="5">
        <f t="shared" si="33"/>
        <v>11835.218420024879</v>
      </c>
      <c r="X106" s="5">
        <f t="shared" si="34"/>
        <v>0</v>
      </c>
      <c r="Y106" s="5">
        <f t="shared" si="35"/>
        <v>15473.626797940236</v>
      </c>
      <c r="Z106" s="5">
        <f t="shared" si="36"/>
        <v>8867.9040771518921</v>
      </c>
      <c r="AA106" s="5">
        <f t="shared" si="37"/>
        <v>14855.120704882991</v>
      </c>
      <c r="AB106" s="5">
        <f t="shared" si="38"/>
        <v>0</v>
      </c>
    </row>
    <row r="107" spans="1:28" ht="15.6">
      <c r="A107" s="2" t="s">
        <v>6</v>
      </c>
      <c r="B107" s="2" t="s">
        <v>125</v>
      </c>
      <c r="C107" s="6" t="s">
        <v>156</v>
      </c>
      <c r="D107" s="6" t="s">
        <v>37</v>
      </c>
      <c r="E107" s="8" t="s">
        <v>212</v>
      </c>
      <c r="F107" s="2">
        <f t="shared" si="41"/>
        <v>6.5</v>
      </c>
      <c r="G107" s="5">
        <v>2426.2600000000002</v>
      </c>
      <c r="H107" s="2"/>
      <c r="I107" s="2" t="s">
        <v>8</v>
      </c>
      <c r="J107" s="2">
        <v>7</v>
      </c>
      <c r="K107" s="2">
        <f t="shared" si="42"/>
        <v>0.5</v>
      </c>
      <c r="L107" s="5">
        <f t="shared" si="31"/>
        <v>2252.9557142857147</v>
      </c>
      <c r="M107" s="5">
        <f t="shared" si="43"/>
        <v>0.83168468733105205</v>
      </c>
      <c r="N107" s="5">
        <v>562.70000000000005</v>
      </c>
      <c r="O107" s="5"/>
      <c r="P107" s="5">
        <v>562.69000000000005</v>
      </c>
      <c r="Q107" s="5">
        <v>0</v>
      </c>
      <c r="R107" s="5">
        <v>735.67999999999995</v>
      </c>
      <c r="S107" s="5">
        <v>421.62</v>
      </c>
      <c r="T107" s="5">
        <v>706.27000000000032</v>
      </c>
      <c r="U107" s="5">
        <f t="shared" si="44"/>
        <v>0</v>
      </c>
      <c r="V107" s="5"/>
      <c r="W107" s="5">
        <f t="shared" si="33"/>
        <v>130.49947779710337</v>
      </c>
      <c r="X107" s="5">
        <f t="shared" si="34"/>
        <v>0</v>
      </c>
      <c r="Y107" s="5">
        <f t="shared" si="35"/>
        <v>170.61944556642732</v>
      </c>
      <c r="Z107" s="5">
        <f t="shared" si="36"/>
        <v>97.782419856074796</v>
      </c>
      <c r="AA107" s="5">
        <f t="shared" si="37"/>
        <v>163.7986567803946</v>
      </c>
      <c r="AB107" s="5">
        <f t="shared" si="38"/>
        <v>0</v>
      </c>
    </row>
    <row r="108" spans="1:28" ht="15.6">
      <c r="A108" s="2" t="s">
        <v>6</v>
      </c>
      <c r="B108" s="2" t="s">
        <v>125</v>
      </c>
      <c r="C108" s="6" t="s">
        <v>180</v>
      </c>
      <c r="D108" s="6" t="s">
        <v>39</v>
      </c>
      <c r="E108" s="8" t="s">
        <v>212</v>
      </c>
      <c r="F108" s="2">
        <f t="shared" si="41"/>
        <v>6.5</v>
      </c>
      <c r="G108" s="5">
        <v>166907.17000000001</v>
      </c>
      <c r="H108" s="2"/>
      <c r="I108" s="2" t="s">
        <v>8</v>
      </c>
      <c r="J108" s="2">
        <v>7</v>
      </c>
      <c r="K108" s="2">
        <f t="shared" si="42"/>
        <v>0.5</v>
      </c>
      <c r="L108" s="5">
        <f t="shared" si="31"/>
        <v>154985.2292857143</v>
      </c>
      <c r="M108" s="5">
        <f t="shared" si="43"/>
        <v>0.83168468733105205</v>
      </c>
      <c r="N108" s="5">
        <v>38709.169999999998</v>
      </c>
      <c r="O108" s="5"/>
      <c r="P108" s="5">
        <v>38708.809999999998</v>
      </c>
      <c r="Q108" s="5">
        <v>0</v>
      </c>
      <c r="R108" s="5">
        <v>50608.75</v>
      </c>
      <c r="S108" s="5">
        <v>29003.779999999999</v>
      </c>
      <c r="T108" s="5">
        <v>48585.830000000016</v>
      </c>
      <c r="U108" s="5">
        <f t="shared" si="44"/>
        <v>0</v>
      </c>
      <c r="V108" s="5"/>
      <c r="W108" s="5">
        <f t="shared" si="33"/>
        <v>8977.3609293579157</v>
      </c>
      <c r="X108" s="5">
        <f t="shared" si="34"/>
        <v>0</v>
      </c>
      <c r="Y108" s="5">
        <f t="shared" si="35"/>
        <v>11737.199230191847</v>
      </c>
      <c r="Z108" s="5">
        <f t="shared" si="36"/>
        <v>6726.5669333594233</v>
      </c>
      <c r="AA108" s="5">
        <f t="shared" si="37"/>
        <v>11268.042907090812</v>
      </c>
      <c r="AB108" s="5">
        <f t="shared" si="38"/>
        <v>0</v>
      </c>
    </row>
    <row r="109" spans="1:28" ht="15.6">
      <c r="A109" s="2" t="s">
        <v>6</v>
      </c>
      <c r="B109" s="2" t="s">
        <v>125</v>
      </c>
      <c r="C109" s="6" t="s">
        <v>136</v>
      </c>
      <c r="D109" s="6" t="s">
        <v>40</v>
      </c>
      <c r="E109" s="8" t="s">
        <v>212</v>
      </c>
      <c r="F109" s="2">
        <f t="shared" si="41"/>
        <v>6.5</v>
      </c>
      <c r="G109" s="5">
        <v>47777.5</v>
      </c>
      <c r="H109" s="2"/>
      <c r="I109" s="2" t="s">
        <v>8</v>
      </c>
      <c r="J109" s="2">
        <v>7</v>
      </c>
      <c r="K109" s="2">
        <f t="shared" si="42"/>
        <v>0.5</v>
      </c>
      <c r="L109" s="5">
        <f t="shared" si="31"/>
        <v>44364.821428571428</v>
      </c>
      <c r="M109" s="5">
        <f t="shared" si="43"/>
        <v>0.83168468733105205</v>
      </c>
      <c r="N109" s="5">
        <v>11080.58</v>
      </c>
      <c r="O109" s="5"/>
      <c r="P109" s="5">
        <v>11080.469999999999</v>
      </c>
      <c r="Q109" s="5">
        <v>0</v>
      </c>
      <c r="R109" s="5">
        <v>14486.85</v>
      </c>
      <c r="S109" s="5">
        <v>8302.3899999999994</v>
      </c>
      <c r="T109" s="5">
        <v>13907.790000000001</v>
      </c>
      <c r="U109" s="5">
        <f t="shared" si="44"/>
        <v>0</v>
      </c>
      <c r="V109" s="5"/>
      <c r="W109" s="5">
        <f t="shared" si="33"/>
        <v>2569.7877509832033</v>
      </c>
      <c r="X109" s="5">
        <f t="shared" si="34"/>
        <v>0</v>
      </c>
      <c r="Y109" s="5">
        <f t="shared" si="35"/>
        <v>3359.7969833708335</v>
      </c>
      <c r="Z109" s="5">
        <f t="shared" si="36"/>
        <v>1925.4941465375962</v>
      </c>
      <c r="AA109" s="5">
        <f t="shared" si="37"/>
        <v>3225.5011191083672</v>
      </c>
      <c r="AB109" s="5">
        <f t="shared" si="38"/>
        <v>0</v>
      </c>
    </row>
    <row r="110" spans="1:28" ht="15.6">
      <c r="A110" s="2" t="s">
        <v>6</v>
      </c>
      <c r="B110" s="2" t="s">
        <v>125</v>
      </c>
      <c r="C110" s="6" t="s">
        <v>136</v>
      </c>
      <c r="D110" s="6" t="s">
        <v>40</v>
      </c>
      <c r="E110" s="8" t="s">
        <v>212</v>
      </c>
      <c r="F110" s="2">
        <f t="shared" si="41"/>
        <v>6.5</v>
      </c>
      <c r="G110" s="5">
        <v>1237573.1399999999</v>
      </c>
      <c r="H110" s="2"/>
      <c r="I110" s="2" t="s">
        <v>8</v>
      </c>
      <c r="J110" s="2">
        <v>7</v>
      </c>
      <c r="K110" s="2">
        <f t="shared" si="42"/>
        <v>0.5</v>
      </c>
      <c r="L110" s="5">
        <f t="shared" si="31"/>
        <v>1149175.0585714285</v>
      </c>
      <c r="M110" s="5">
        <f t="shared" si="43"/>
        <v>0.83168468733105205</v>
      </c>
      <c r="N110" s="5">
        <v>287018.41999999998</v>
      </c>
      <c r="O110" s="5"/>
      <c r="P110" s="5">
        <v>287015.71999999997</v>
      </c>
      <c r="Q110" s="5">
        <v>0</v>
      </c>
      <c r="R110" s="5">
        <v>375250.71000000002</v>
      </c>
      <c r="S110" s="5">
        <v>215055.42999999999</v>
      </c>
      <c r="T110" s="5">
        <v>360251.27999999997</v>
      </c>
      <c r="U110" s="5">
        <f t="shared" si="44"/>
        <v>0</v>
      </c>
      <c r="V110" s="5"/>
      <c r="W110" s="5">
        <f t="shared" si="33"/>
        <v>66564.791855099887</v>
      </c>
      <c r="X110" s="5">
        <f t="shared" si="34"/>
        <v>0</v>
      </c>
      <c r="Y110" s="5">
        <f t="shared" si="35"/>
        <v>87028.283344997457</v>
      </c>
      <c r="Z110" s="5">
        <f t="shared" si="36"/>
        <v>49875.734803860236</v>
      </c>
      <c r="AA110" s="5">
        <f t="shared" si="37"/>
        <v>83549.609996042418</v>
      </c>
      <c r="AB110" s="5">
        <f t="shared" si="38"/>
        <v>0</v>
      </c>
    </row>
    <row r="111" spans="1:28" ht="15.6">
      <c r="A111" s="2" t="s">
        <v>6</v>
      </c>
      <c r="B111" s="2" t="s">
        <v>125</v>
      </c>
      <c r="C111" s="6" t="s">
        <v>181</v>
      </c>
      <c r="D111" s="6" t="s">
        <v>43</v>
      </c>
      <c r="E111" s="8" t="s">
        <v>212</v>
      </c>
      <c r="F111" s="2">
        <f t="shared" si="41"/>
        <v>6.5</v>
      </c>
      <c r="G111" s="5">
        <v>2512.9699999999998</v>
      </c>
      <c r="H111" s="2"/>
      <c r="I111" s="2" t="s">
        <v>8</v>
      </c>
      <c r="J111" s="2">
        <v>7</v>
      </c>
      <c r="K111" s="2">
        <f t="shared" si="42"/>
        <v>0.5</v>
      </c>
      <c r="L111" s="5">
        <f t="shared" si="31"/>
        <v>2333.4721428571429</v>
      </c>
      <c r="M111" s="5">
        <f t="shared" si="43"/>
        <v>0.83168468733105205</v>
      </c>
      <c r="N111" s="5">
        <v>582.80999999999995</v>
      </c>
      <c r="O111" s="5"/>
      <c r="P111" s="5">
        <v>582.79999999999995</v>
      </c>
      <c r="Q111" s="5">
        <v>0</v>
      </c>
      <c r="R111" s="5">
        <v>761.97000000000003</v>
      </c>
      <c r="S111" s="5">
        <v>436.68000000000001</v>
      </c>
      <c r="T111" s="5">
        <v>731.51999999999975</v>
      </c>
      <c r="U111" s="5">
        <f t="shared" si="44"/>
        <v>0</v>
      </c>
      <c r="V111" s="5"/>
      <c r="W111" s="5">
        <f t="shared" si="33"/>
        <v>135.16343927703076</v>
      </c>
      <c r="X111" s="5">
        <f t="shared" si="34"/>
        <v>0</v>
      </c>
      <c r="Y111" s="5">
        <f t="shared" si="35"/>
        <v>176.7166881021262</v>
      </c>
      <c r="Z111" s="5">
        <f t="shared" si="36"/>
        <v>101.27517272390837</v>
      </c>
      <c r="AA111" s="5">
        <f t="shared" si="37"/>
        <v>169.65469989693463</v>
      </c>
      <c r="AB111" s="5">
        <f t="shared" si="38"/>
        <v>0</v>
      </c>
    </row>
    <row r="112" spans="1:28" ht="15.6">
      <c r="A112" s="2" t="s">
        <v>6</v>
      </c>
      <c r="B112" s="2" t="s">
        <v>125</v>
      </c>
      <c r="C112" s="6" t="s">
        <v>182</v>
      </c>
      <c r="D112" s="6" t="s">
        <v>49</v>
      </c>
      <c r="E112" s="8" t="s">
        <v>212</v>
      </c>
      <c r="F112" s="2">
        <f t="shared" si="41"/>
        <v>6.5</v>
      </c>
      <c r="G112" s="5">
        <v>1005.63</v>
      </c>
      <c r="H112" s="2"/>
      <c r="I112" s="2" t="s">
        <v>8</v>
      </c>
      <c r="J112" s="2">
        <v>7</v>
      </c>
      <c r="K112" s="2">
        <f t="shared" si="42"/>
        <v>0.5</v>
      </c>
      <c r="L112" s="5">
        <f t="shared" si="31"/>
        <v>933.7992857142857</v>
      </c>
      <c r="M112" s="5">
        <f t="shared" si="43"/>
        <v>0.83168468733105205</v>
      </c>
      <c r="N112" s="5">
        <v>233.22999999999999</v>
      </c>
      <c r="O112" s="5"/>
      <c r="P112" s="5">
        <v>233.22</v>
      </c>
      <c r="Q112" s="5">
        <v>0</v>
      </c>
      <c r="R112" s="5">
        <v>304.92000000000002</v>
      </c>
      <c r="S112" s="5">
        <v>174.75</v>
      </c>
      <c r="T112" s="5">
        <v>292.73999999999995</v>
      </c>
      <c r="U112" s="5">
        <f t="shared" si="44"/>
        <v>0</v>
      </c>
      <c r="V112" s="5"/>
      <c r="W112" s="5">
        <f t="shared" si="33"/>
        <v>54.089377405208673</v>
      </c>
      <c r="X112" s="5">
        <f t="shared" si="34"/>
        <v>0</v>
      </c>
      <c r="Y112" s="5">
        <f t="shared" si="35"/>
        <v>70.71834730467468</v>
      </c>
      <c r="Z112" s="5">
        <f t="shared" si="36"/>
        <v>40.528765549953754</v>
      </c>
      <c r="AA112" s="5">
        <f t="shared" si="37"/>
        <v>67.89350974016287</v>
      </c>
      <c r="AB112" s="5">
        <f t="shared" si="38"/>
        <v>0</v>
      </c>
    </row>
    <row r="113" spans="1:28" ht="15.6">
      <c r="A113" s="2" t="s">
        <v>6</v>
      </c>
      <c r="B113" s="2" t="s">
        <v>125</v>
      </c>
      <c r="C113" s="6" t="s">
        <v>183</v>
      </c>
      <c r="D113" s="6" t="s">
        <v>60</v>
      </c>
      <c r="E113" s="8" t="s">
        <v>212</v>
      </c>
      <c r="F113" s="2">
        <f t="shared" si="41"/>
        <v>6.5</v>
      </c>
      <c r="G113" s="5">
        <v>6271.9399999999996</v>
      </c>
      <c r="H113" s="2"/>
      <c r="I113" s="2" t="s">
        <v>8</v>
      </c>
      <c r="J113" s="2">
        <v>7</v>
      </c>
      <c r="K113" s="2">
        <f t="shared" si="42"/>
        <v>0.5</v>
      </c>
      <c r="L113" s="5">
        <f t="shared" si="31"/>
        <v>5823.9442857142858</v>
      </c>
      <c r="M113" s="5">
        <f t="shared" si="43"/>
        <v>0.83168468733105205</v>
      </c>
      <c r="N113" s="5">
        <v>1454.5899999999999</v>
      </c>
      <c r="O113" s="5"/>
      <c r="P113" s="5">
        <v>1454.5799999999999</v>
      </c>
      <c r="Q113" s="5">
        <v>0</v>
      </c>
      <c r="R113" s="5">
        <v>1901.75</v>
      </c>
      <c r="S113" s="5">
        <v>1089.8900000000001</v>
      </c>
      <c r="T113" s="5">
        <v>1825.7199999999996</v>
      </c>
      <c r="U113" s="5">
        <f t="shared" si="44"/>
        <v>0</v>
      </c>
      <c r="V113" s="5"/>
      <c r="W113" s="5">
        <f t="shared" si="33"/>
        <v>337.34658211016045</v>
      </c>
      <c r="X113" s="5">
        <f t="shared" si="34"/>
        <v>0</v>
      </c>
      <c r="Y113" s="5">
        <f t="shared" si="35"/>
        <v>441.05436794675973</v>
      </c>
      <c r="Z113" s="5">
        <f t="shared" si="36"/>
        <v>252.76757990350674</v>
      </c>
      <c r="AA113" s="5">
        <f t="shared" si="37"/>
        <v>423.42147003957297</v>
      </c>
      <c r="AB113" s="5">
        <f t="shared" si="38"/>
        <v>0</v>
      </c>
    </row>
    <row r="114" spans="1:28" ht="15.6">
      <c r="A114" s="2" t="s">
        <v>7</v>
      </c>
      <c r="B114" s="2" t="s">
        <v>125</v>
      </c>
      <c r="C114" s="6" t="s">
        <v>155</v>
      </c>
      <c r="D114" s="6" t="s">
        <v>32</v>
      </c>
      <c r="E114" s="8" t="s">
        <v>212</v>
      </c>
      <c r="F114" s="2">
        <f t="shared" si="41"/>
        <v>6.5</v>
      </c>
      <c r="G114" s="5">
        <v>34447.209999999999</v>
      </c>
      <c r="H114" s="2"/>
      <c r="I114" s="2" t="s">
        <v>8</v>
      </c>
      <c r="J114" s="2">
        <v>7</v>
      </c>
      <c r="K114" s="2">
        <f t="shared" si="42"/>
        <v>0.5</v>
      </c>
      <c r="L114" s="5">
        <f t="shared" si="31"/>
        <v>31986.695</v>
      </c>
      <c r="M114" s="5">
        <f t="shared" si="43"/>
        <v>0.83168468733105205</v>
      </c>
      <c r="N114" s="5">
        <v>7989.0100000000002</v>
      </c>
      <c r="O114" s="5"/>
      <c r="P114" s="5">
        <v>7988.9300000000003</v>
      </c>
      <c r="Q114" s="5">
        <v>0</v>
      </c>
      <c r="R114" s="5">
        <v>10444.91</v>
      </c>
      <c r="S114" s="5">
        <v>5985.96</v>
      </c>
      <c r="T114" s="5">
        <v>10027.41</v>
      </c>
      <c r="U114" s="5">
        <f t="shared" si="44"/>
        <v>0</v>
      </c>
      <c r="V114" s="5"/>
      <c r="W114" s="5">
        <f t="shared" si="33"/>
        <v>1852.7956737076822</v>
      </c>
      <c r="X114" s="5">
        <f t="shared" si="34"/>
        <v>0</v>
      </c>
      <c r="Y114" s="5">
        <f t="shared" si="35"/>
        <v>2422.3874862173161</v>
      </c>
      <c r="Z114" s="5">
        <f t="shared" si="36"/>
        <v>1388.2661121060312</v>
      </c>
      <c r="AA114" s="5">
        <f t="shared" si="37"/>
        <v>2325.5607279689707</v>
      </c>
      <c r="AB114" s="5">
        <f t="shared" si="38"/>
        <v>0</v>
      </c>
    </row>
    <row r="115" spans="1:28" ht="15.6">
      <c r="A115" s="2" t="s">
        <v>7</v>
      </c>
      <c r="B115" s="2" t="s">
        <v>125</v>
      </c>
      <c r="C115" s="6" t="s">
        <v>184</v>
      </c>
      <c r="D115" s="6" t="s">
        <v>69</v>
      </c>
      <c r="E115" s="8" t="s">
        <v>212</v>
      </c>
      <c r="F115" s="2">
        <f t="shared" si="41"/>
        <v>6.5</v>
      </c>
      <c r="G115" s="5">
        <v>4959.6899999999996</v>
      </c>
      <c r="H115" s="2"/>
      <c r="I115" s="2" t="s">
        <v>8</v>
      </c>
      <c r="J115" s="2">
        <v>7</v>
      </c>
      <c r="K115" s="2">
        <f t="shared" si="42"/>
        <v>0.5</v>
      </c>
      <c r="L115" s="5">
        <f t="shared" si="31"/>
        <v>4605.426428571428</v>
      </c>
      <c r="M115" s="5">
        <f t="shared" si="43"/>
        <v>0.83168468733105205</v>
      </c>
      <c r="N115" s="5">
        <v>1150.25</v>
      </c>
      <c r="O115" s="5"/>
      <c r="P115" s="5">
        <v>1150.24</v>
      </c>
      <c r="Q115" s="5">
        <v>0</v>
      </c>
      <c r="R115" s="5">
        <v>1503.8499999999999</v>
      </c>
      <c r="S115" s="5">
        <v>861.85000000000002</v>
      </c>
      <c r="T115" s="5">
        <v>1443.75</v>
      </c>
      <c r="U115" s="5">
        <f t="shared" si="44"/>
        <v>0</v>
      </c>
      <c r="V115" s="5"/>
      <c r="W115" s="5">
        <f t="shared" si="33"/>
        <v>266.76335819375811</v>
      </c>
      <c r="X115" s="5">
        <f t="shared" si="34"/>
        <v>0</v>
      </c>
      <c r="Y115" s="5">
        <f t="shared" si="35"/>
        <v>348.77249636570025</v>
      </c>
      <c r="Z115" s="5">
        <f t="shared" si="36"/>
        <v>199.88002526367578</v>
      </c>
      <c r="AA115" s="5">
        <f t="shared" si="37"/>
        <v>334.83412017686595</v>
      </c>
      <c r="AB115" s="5">
        <f t="shared" si="38"/>
        <v>0</v>
      </c>
    </row>
    <row r="116" spans="1:28" ht="15.6">
      <c r="A116" s="2" t="s">
        <v>7</v>
      </c>
      <c r="B116" s="2" t="s">
        <v>125</v>
      </c>
      <c r="C116" s="6" t="s">
        <v>185</v>
      </c>
      <c r="D116" s="6" t="s">
        <v>72</v>
      </c>
      <c r="E116" s="8" t="s">
        <v>212</v>
      </c>
      <c r="F116" s="2">
        <f t="shared" si="41"/>
        <v>6.5</v>
      </c>
      <c r="G116" s="5">
        <v>1742.79</v>
      </c>
      <c r="H116" s="2"/>
      <c r="I116" s="2" t="s">
        <v>8</v>
      </c>
      <c r="J116" s="2">
        <v>7</v>
      </c>
      <c r="K116" s="2">
        <f t="shared" si="42"/>
        <v>0.5</v>
      </c>
      <c r="L116" s="5">
        <f t="shared" si="31"/>
        <v>1618.3050000000001</v>
      </c>
      <c r="M116" s="5">
        <f t="shared" si="43"/>
        <v>0.83168468733105205</v>
      </c>
      <c r="N116" s="5">
        <v>404.19</v>
      </c>
      <c r="O116" s="5"/>
      <c r="P116" s="5">
        <v>404.18000000000001</v>
      </c>
      <c r="Q116" s="5">
        <v>0</v>
      </c>
      <c r="R116" s="5">
        <v>528.44000000000005</v>
      </c>
      <c r="S116" s="5">
        <v>302.85000000000002</v>
      </c>
      <c r="T116" s="5">
        <v>507.31999999999982</v>
      </c>
      <c r="W116" s="5">
        <f t="shared" si="33"/>
        <v>93.737922641282083</v>
      </c>
      <c r="X116" s="5">
        <f t="shared" si="34"/>
        <v>0</v>
      </c>
      <c r="Y116" s="5">
        <f t="shared" si="35"/>
        <v>122.55645465030213</v>
      </c>
      <c r="Z116" s="5">
        <f t="shared" si="36"/>
        <v>70.237344430482167</v>
      </c>
      <c r="AA116" s="5">
        <f t="shared" si="37"/>
        <v>117.65827827793362</v>
      </c>
      <c r="AB116" s="5">
        <f t="shared" si="38"/>
        <v>0</v>
      </c>
    </row>
    <row r="117" spans="1:28" ht="15.6">
      <c r="A117" s="2" t="s">
        <v>7</v>
      </c>
      <c r="B117" s="2" t="s">
        <v>125</v>
      </c>
      <c r="C117" s="6" t="s">
        <v>86</v>
      </c>
      <c r="D117" s="6" t="s">
        <v>87</v>
      </c>
      <c r="E117" s="8" t="s">
        <v>212</v>
      </c>
      <c r="F117" s="2">
        <f t="shared" si="41"/>
        <v>6.5</v>
      </c>
      <c r="G117" s="5">
        <v>5050.04</v>
      </c>
      <c r="H117" s="2"/>
      <c r="I117" s="2" t="s">
        <v>8</v>
      </c>
      <c r="J117" s="2">
        <v>7</v>
      </c>
      <c r="K117" s="2">
        <f t="shared" si="42"/>
        <v>0.5</v>
      </c>
      <c r="L117" s="5">
        <f t="shared" si="31"/>
        <v>4689.3228571428572</v>
      </c>
      <c r="M117" s="5">
        <f t="shared" si="43"/>
        <v>0.83168468733105205</v>
      </c>
      <c r="N117" s="5">
        <v>1171.21</v>
      </c>
      <c r="O117" s="5"/>
      <c r="P117" s="5">
        <v>1171.2000000000001</v>
      </c>
      <c r="Q117" s="5">
        <v>0</v>
      </c>
      <c r="R117" s="5">
        <v>1531.25</v>
      </c>
      <c r="S117" s="5">
        <v>877.55999999999995</v>
      </c>
      <c r="T117" s="5">
        <v>1470.0300000000002</v>
      </c>
      <c r="W117" s="5">
        <f t="shared" si="33"/>
        <v>271.62579939960875</v>
      </c>
      <c r="X117" s="5">
        <f t="shared" si="34"/>
        <v>0</v>
      </c>
      <c r="Y117" s="5">
        <f t="shared" si="35"/>
        <v>355.12893214707213</v>
      </c>
      <c r="Z117" s="5">
        <f t="shared" si="36"/>
        <v>203.52453596407156</v>
      </c>
      <c r="AA117" s="5">
        <f t="shared" si="37"/>
        <v>340.93073248924765</v>
      </c>
      <c r="AB117" s="5">
        <f t="shared" si="38"/>
        <v>0</v>
      </c>
    </row>
    <row r="118" spans="1:28" ht="15.6">
      <c r="A118" s="2" t="s">
        <v>7</v>
      </c>
      <c r="B118" s="2" t="s">
        <v>125</v>
      </c>
      <c r="C118" s="6" t="s">
        <v>88</v>
      </c>
      <c r="D118" s="6" t="s">
        <v>89</v>
      </c>
      <c r="E118" s="8" t="s">
        <v>212</v>
      </c>
      <c r="F118" s="2">
        <f t="shared" si="41"/>
        <v>6.5</v>
      </c>
      <c r="G118" s="5">
        <v>2824.8600000000001</v>
      </c>
      <c r="H118" s="2"/>
      <c r="I118" s="2" t="s">
        <v>8</v>
      </c>
      <c r="J118" s="2">
        <v>7</v>
      </c>
      <c r="K118" s="2">
        <f t="shared" si="42"/>
        <v>0.5</v>
      </c>
      <c r="L118" s="5">
        <f t="shared" si="31"/>
        <v>2623.0842857142861</v>
      </c>
      <c r="M118" s="5">
        <f t="shared" si="43"/>
        <v>0.83168468733105205</v>
      </c>
      <c r="N118" s="5">
        <v>655.13999999999999</v>
      </c>
      <c r="O118" s="5"/>
      <c r="P118" s="5">
        <v>655.13999999999999</v>
      </c>
      <c r="Q118" s="5">
        <v>0</v>
      </c>
      <c r="R118" s="5">
        <v>856.53999999999996</v>
      </c>
      <c r="S118" s="5">
        <v>490.88</v>
      </c>
      <c r="T118" s="5">
        <v>822.3000000000003</v>
      </c>
      <c r="W118" s="5">
        <f t="shared" si="33"/>
        <v>151.93971368492595</v>
      </c>
      <c r="X118" s="5">
        <f t="shared" si="34"/>
        <v>0</v>
      </c>
      <c r="Y118" s="5">
        <f t="shared" si="35"/>
        <v>198.64829251715128</v>
      </c>
      <c r="Z118" s="5">
        <f t="shared" si="36"/>
        <v>113.84462352116564</v>
      </c>
      <c r="AA118" s="5">
        <f t="shared" si="37"/>
        <v>190.7073702767571</v>
      </c>
      <c r="AB118" s="5">
        <f t="shared" si="38"/>
        <v>0</v>
      </c>
    </row>
    <row r="119" spans="1:28" ht="15.6">
      <c r="A119" s="2" t="s">
        <v>7</v>
      </c>
      <c r="B119" s="2" t="s">
        <v>125</v>
      </c>
      <c r="C119" s="6" t="s">
        <v>186</v>
      </c>
      <c r="D119" s="6" t="s">
        <v>96</v>
      </c>
      <c r="E119" s="8" t="s">
        <v>212</v>
      </c>
      <c r="F119" s="2">
        <f t="shared" si="41"/>
        <v>6.5</v>
      </c>
      <c r="G119" s="5">
        <v>6923.7299999999996</v>
      </c>
      <c r="H119" s="2"/>
      <c r="I119" s="2" t="s">
        <v>8</v>
      </c>
      <c r="J119" s="2">
        <v>7</v>
      </c>
      <c r="K119" s="2">
        <f t="shared" si="42"/>
        <v>0.5</v>
      </c>
      <c r="L119" s="5">
        <f t="shared" si="31"/>
        <v>6429.1778571428567</v>
      </c>
      <c r="M119" s="5">
        <f t="shared" si="43"/>
        <v>0.83168468733105205</v>
      </c>
      <c r="N119" s="5">
        <v>1605.75</v>
      </c>
      <c r="O119" s="5"/>
      <c r="P119" s="5">
        <v>1605.74</v>
      </c>
      <c r="Q119" s="5">
        <v>0</v>
      </c>
      <c r="R119" s="5">
        <v>2099.3800000000001</v>
      </c>
      <c r="S119" s="5">
        <v>1203.1500000000001</v>
      </c>
      <c r="T119" s="5">
        <v>2015.4599999999996</v>
      </c>
      <c r="W119" s="5">
        <f t="shared" si="33"/>
        <v>372.4028818281476</v>
      </c>
      <c r="X119" s="5">
        <f t="shared" si="34"/>
        <v>0</v>
      </c>
      <c r="Y119" s="5">
        <f t="shared" si="35"/>
        <v>486.88776642070104</v>
      </c>
      <c r="Z119" s="5">
        <f t="shared" si="36"/>
        <v>279.03429401493128</v>
      </c>
      <c r="AA119" s="5">
        <f t="shared" si="37"/>
        <v>467.42505773622014</v>
      </c>
      <c r="AB119" s="5">
        <f t="shared" si="38"/>
        <v>0</v>
      </c>
    </row>
    <row r="120" spans="1:28" ht="15.6">
      <c r="A120" s="2" t="s">
        <v>7</v>
      </c>
      <c r="B120" s="2" t="s">
        <v>125</v>
      </c>
      <c r="C120" s="6" t="s">
        <v>150</v>
      </c>
      <c r="D120" s="6" t="s">
        <v>109</v>
      </c>
      <c r="E120" s="8" t="s">
        <v>212</v>
      </c>
      <c r="F120" s="2">
        <f t="shared" si="41"/>
        <v>6.5</v>
      </c>
      <c r="G120" s="5">
        <v>776510.44999999995</v>
      </c>
      <c r="H120" s="2"/>
      <c r="I120" s="2" t="s">
        <v>8</v>
      </c>
      <c r="J120" s="2">
        <v>7</v>
      </c>
      <c r="K120" s="2">
        <f t="shared" si="42"/>
        <v>0.5</v>
      </c>
      <c r="L120" s="5">
        <f t="shared" si="31"/>
        <v>721045.41785714286</v>
      </c>
      <c r="M120" s="5">
        <f t="shared" si="43"/>
        <v>0.83168468733105205</v>
      </c>
      <c r="N120" s="5">
        <v>180088.59</v>
      </c>
      <c r="O120" s="5"/>
      <c r="P120" s="5">
        <v>180086.89000000001</v>
      </c>
      <c r="Q120" s="5">
        <v>0</v>
      </c>
      <c r="R120" s="5">
        <v>235449.60000000001</v>
      </c>
      <c r="S120" s="5">
        <v>134935.70000000001</v>
      </c>
      <c r="T120" s="5">
        <v>226038.25999999995</v>
      </c>
      <c r="W120" s="5">
        <f t="shared" si="33"/>
        <v>41765.817958515698</v>
      </c>
      <c r="X120" s="5">
        <f t="shared" si="34"/>
        <v>0</v>
      </c>
      <c r="Y120" s="5">
        <f t="shared" si="35"/>
        <v>54605.558083685806</v>
      </c>
      <c r="Z120" s="5">
        <f t="shared" si="36"/>
        <v>31294.337318529328</v>
      </c>
      <c r="AA120" s="5">
        <f t="shared" si="37"/>
        <v>52422.876639269169</v>
      </c>
      <c r="AB120" s="5">
        <f t="shared" si="38"/>
        <v>0</v>
      </c>
    </row>
    <row r="121" spans="1:28" ht="15.6">
      <c r="A121" s="2" t="s">
        <v>6</v>
      </c>
      <c r="B121" s="2" t="s">
        <v>125</v>
      </c>
      <c r="C121" s="6" t="s">
        <v>126</v>
      </c>
      <c r="D121" s="6" t="s">
        <v>23</v>
      </c>
      <c r="E121" s="8" t="s">
        <v>213</v>
      </c>
      <c r="F121" s="2">
        <f t="shared" si="41"/>
        <v>7.5</v>
      </c>
      <c r="G121" s="5">
        <v>28635339.530000001</v>
      </c>
      <c r="H121" s="2"/>
      <c r="I121" s="2" t="s">
        <v>8</v>
      </c>
      <c r="J121" s="2">
        <v>7</v>
      </c>
      <c r="K121" s="2">
        <v>0</v>
      </c>
      <c r="L121" s="5">
        <f t="shared" si="31"/>
        <v>28635339.530000001</v>
      </c>
      <c r="M121" s="2">
        <v>1</v>
      </c>
      <c r="N121" s="5">
        <f t="shared" si="32"/>
        <v>28635339.530000001</v>
      </c>
      <c r="O121" s="5"/>
      <c r="P121" s="5">
        <v>6641055.9400000004</v>
      </c>
      <c r="Q121" s="5">
        <v>0</v>
      </c>
      <c r="R121" s="5">
        <v>8682663.7300000004</v>
      </c>
      <c r="S121" s="5">
        <v>4976017.3200000003</v>
      </c>
      <c r="T121" s="5">
        <v>8335602.5399999991</v>
      </c>
      <c r="U121" s="5">
        <f t="shared" si="45" ref="U121:U133">+G121-SUM(P121:T121)</f>
        <v>0</v>
      </c>
      <c r="V121" s="5"/>
      <c r="W121" s="5">
        <f t="shared" si="33"/>
        <v>6641055.9400000004</v>
      </c>
      <c r="X121" s="5">
        <f t="shared" si="34"/>
        <v>0</v>
      </c>
      <c r="Y121" s="5">
        <f t="shared" si="35"/>
        <v>8682663.7300000004</v>
      </c>
      <c r="Z121" s="5">
        <f t="shared" si="36"/>
        <v>4976017.3200000003</v>
      </c>
      <c r="AA121" s="5">
        <f t="shared" si="37"/>
        <v>8335602.5399999991</v>
      </c>
      <c r="AB121" s="5">
        <f t="shared" si="38"/>
        <v>0</v>
      </c>
    </row>
    <row r="122" spans="1:28" ht="15.6">
      <c r="A122" s="2" t="s">
        <v>6</v>
      </c>
      <c r="B122" s="2" t="s">
        <v>125</v>
      </c>
      <c r="C122" s="6" t="s">
        <v>187</v>
      </c>
      <c r="D122" s="6" t="s">
        <v>25</v>
      </c>
      <c r="E122" s="8" t="s">
        <v>213</v>
      </c>
      <c r="F122" s="2">
        <f t="shared" si="41"/>
        <v>7.5</v>
      </c>
      <c r="G122" s="5">
        <v>11595.74</v>
      </c>
      <c r="H122" s="2"/>
      <c r="I122" s="2" t="s">
        <v>8</v>
      </c>
      <c r="J122" s="2">
        <v>7</v>
      </c>
      <c r="K122" s="2">
        <v>0</v>
      </c>
      <c r="L122" s="5">
        <f t="shared" si="31"/>
        <v>11595.74</v>
      </c>
      <c r="M122" s="2">
        <v>1</v>
      </c>
      <c r="N122" s="5">
        <f t="shared" si="32"/>
        <v>11595.74</v>
      </c>
      <c r="O122" s="5"/>
      <c r="P122" s="5">
        <v>2689.2600000000002</v>
      </c>
      <c r="Q122" s="5">
        <v>0</v>
      </c>
      <c r="R122" s="5">
        <v>3516</v>
      </c>
      <c r="S122" s="5">
        <v>2015.01</v>
      </c>
      <c r="T122" s="5">
        <v>3375.4699999999993</v>
      </c>
      <c r="U122" s="5">
        <f t="shared" si="45"/>
        <v>0</v>
      </c>
      <c r="V122" s="5"/>
      <c r="W122" s="5">
        <f t="shared" si="33"/>
        <v>2689.2600000000002</v>
      </c>
      <c r="X122" s="5">
        <f t="shared" si="34"/>
        <v>0</v>
      </c>
      <c r="Y122" s="5">
        <f t="shared" si="35"/>
        <v>3515.9999999999995</v>
      </c>
      <c r="Z122" s="5">
        <f t="shared" si="36"/>
        <v>2015.01</v>
      </c>
      <c r="AA122" s="5">
        <f t="shared" si="37"/>
        <v>3375.4699999999993</v>
      </c>
      <c r="AB122" s="5">
        <f t="shared" si="38"/>
        <v>0</v>
      </c>
    </row>
    <row r="123" spans="1:28" ht="15.6">
      <c r="A123" s="2" t="s">
        <v>6</v>
      </c>
      <c r="B123" s="2" t="s">
        <v>125</v>
      </c>
      <c r="C123" s="6" t="s">
        <v>188</v>
      </c>
      <c r="D123" s="6" t="s">
        <v>28</v>
      </c>
      <c r="E123" s="8" t="s">
        <v>213</v>
      </c>
      <c r="F123" s="2">
        <f t="shared" si="41"/>
        <v>7.5</v>
      </c>
      <c r="G123" s="5">
        <v>5797.8699999999999</v>
      </c>
      <c r="H123" s="2"/>
      <c r="I123" s="2" t="s">
        <v>8</v>
      </c>
      <c r="J123" s="2">
        <v>7</v>
      </c>
      <c r="K123" s="2">
        <v>0</v>
      </c>
      <c r="L123" s="5">
        <f t="shared" si="31"/>
        <v>5797.8699999999999</v>
      </c>
      <c r="M123" s="2">
        <v>1</v>
      </c>
      <c r="N123" s="5">
        <f t="shared" si="32"/>
        <v>5797.8699999999999</v>
      </c>
      <c r="O123" s="5"/>
      <c r="P123" s="5">
        <v>1344.6300000000001</v>
      </c>
      <c r="Q123" s="5">
        <v>0</v>
      </c>
      <c r="R123" s="5">
        <v>1758</v>
      </c>
      <c r="S123" s="5">
        <v>1007.51</v>
      </c>
      <c r="T123" s="5">
        <v>1687.7299999999998</v>
      </c>
      <c r="U123" s="5">
        <f t="shared" si="45"/>
        <v>0</v>
      </c>
      <c r="V123" s="5"/>
      <c r="W123" s="5">
        <f t="shared" si="33"/>
        <v>1344.6300000000001</v>
      </c>
      <c r="X123" s="5">
        <f t="shared" si="34"/>
        <v>0</v>
      </c>
      <c r="Y123" s="5">
        <f t="shared" si="35"/>
        <v>1757.9999999999998</v>
      </c>
      <c r="Z123" s="5">
        <f t="shared" si="36"/>
        <v>1007.5100000000001</v>
      </c>
      <c r="AA123" s="5">
        <f t="shared" si="37"/>
        <v>1687.7299999999998</v>
      </c>
      <c r="AB123" s="5">
        <f t="shared" si="38"/>
        <v>0</v>
      </c>
    </row>
    <row r="124" spans="1:28" ht="15.6">
      <c r="A124" s="2" t="s">
        <v>6</v>
      </c>
      <c r="B124" s="2" t="s">
        <v>125</v>
      </c>
      <c r="C124" s="6" t="s">
        <v>155</v>
      </c>
      <c r="D124" s="6" t="s">
        <v>32</v>
      </c>
      <c r="E124" s="8" t="s">
        <v>213</v>
      </c>
      <c r="F124" s="2">
        <f t="shared" si="41"/>
        <v>7.5</v>
      </c>
      <c r="G124" s="5">
        <v>1221.1400000000001</v>
      </c>
      <c r="H124" s="2"/>
      <c r="I124" s="2" t="s">
        <v>8</v>
      </c>
      <c r="J124" s="2">
        <v>7</v>
      </c>
      <c r="K124" s="2">
        <v>0</v>
      </c>
      <c r="L124" s="5">
        <f t="shared" si="31"/>
        <v>1221.1400000000001</v>
      </c>
      <c r="M124" s="2">
        <v>1</v>
      </c>
      <c r="N124" s="5">
        <f t="shared" si="32"/>
        <v>1221.1400000000001</v>
      </c>
      <c r="O124" s="5"/>
      <c r="P124" s="5">
        <v>283.19999999999999</v>
      </c>
      <c r="Q124" s="5">
        <v>0</v>
      </c>
      <c r="R124" s="5">
        <v>370.26999999999998</v>
      </c>
      <c r="S124" s="5">
        <v>212.19999999999999</v>
      </c>
      <c r="T124" s="5">
        <v>355.47000000000008</v>
      </c>
      <c r="U124" s="5">
        <f t="shared" si="45"/>
        <v>0</v>
      </c>
      <c r="V124" s="5"/>
      <c r="W124" s="5">
        <f t="shared" si="33"/>
        <v>283.19999999999999</v>
      </c>
      <c r="X124" s="5">
        <f t="shared" si="34"/>
        <v>0</v>
      </c>
      <c r="Y124" s="5">
        <f t="shared" si="35"/>
        <v>370.26999999999998</v>
      </c>
      <c r="Z124" s="5">
        <f t="shared" si="36"/>
        <v>212.19999999999999</v>
      </c>
      <c r="AA124" s="5">
        <f t="shared" si="37"/>
        <v>355.47000000000008</v>
      </c>
      <c r="AB124" s="5">
        <f t="shared" si="38"/>
        <v>0</v>
      </c>
    </row>
    <row r="125" spans="1:28" ht="15.6">
      <c r="A125" s="2" t="s">
        <v>6</v>
      </c>
      <c r="B125" s="2" t="s">
        <v>125</v>
      </c>
      <c r="C125" s="6" t="s">
        <v>133</v>
      </c>
      <c r="D125" s="6" t="s">
        <v>35</v>
      </c>
      <c r="E125" s="8" t="s">
        <v>213</v>
      </c>
      <c r="F125" s="2">
        <f t="shared" si="41"/>
        <v>7.5</v>
      </c>
      <c r="G125" s="5">
        <v>66000.809999999998</v>
      </c>
      <c r="H125" s="2"/>
      <c r="I125" s="2" t="s">
        <v>8</v>
      </c>
      <c r="J125" s="2">
        <v>7</v>
      </c>
      <c r="K125" s="2">
        <v>0</v>
      </c>
      <c r="L125" s="5">
        <f t="shared" si="31"/>
        <v>66000.809999999998</v>
      </c>
      <c r="M125" s="2">
        <v>1</v>
      </c>
      <c r="N125" s="5">
        <f t="shared" si="32"/>
        <v>66000.809999999998</v>
      </c>
      <c r="O125" s="5"/>
      <c r="P125" s="5">
        <v>15306.790000000001</v>
      </c>
      <c r="Q125" s="5">
        <v>0</v>
      </c>
      <c r="R125" s="5">
        <v>20012.43</v>
      </c>
      <c r="S125" s="5">
        <v>11469.09</v>
      </c>
      <c r="T125" s="5">
        <v>19212.499999999996</v>
      </c>
      <c r="U125" s="5">
        <f t="shared" si="45"/>
        <v>0</v>
      </c>
      <c r="V125" s="5"/>
      <c r="W125" s="5">
        <f t="shared" si="33"/>
        <v>15306.790000000001</v>
      </c>
      <c r="X125" s="5">
        <f t="shared" si="34"/>
        <v>0</v>
      </c>
      <c r="Y125" s="5">
        <f t="shared" si="35"/>
        <v>20012.43</v>
      </c>
      <c r="Z125" s="5">
        <f t="shared" si="36"/>
        <v>11469.09</v>
      </c>
      <c r="AA125" s="5">
        <f t="shared" si="37"/>
        <v>19212.499999999996</v>
      </c>
      <c r="AB125" s="5">
        <f t="shared" si="38"/>
        <v>0</v>
      </c>
    </row>
    <row r="126" spans="1:28" ht="15.6">
      <c r="A126" s="2" t="s">
        <v>6</v>
      </c>
      <c r="B126" s="2" t="s">
        <v>125</v>
      </c>
      <c r="C126" s="6" t="s">
        <v>127</v>
      </c>
      <c r="D126" s="6" t="s">
        <v>36</v>
      </c>
      <c r="E126" s="8" t="s">
        <v>213</v>
      </c>
      <c r="F126" s="2">
        <f t="shared" si="41"/>
        <v>7.5</v>
      </c>
      <c r="G126" s="5">
        <v>5797.8699999999999</v>
      </c>
      <c r="H126" s="2"/>
      <c r="I126" s="2" t="s">
        <v>8</v>
      </c>
      <c r="J126" s="2">
        <v>7</v>
      </c>
      <c r="K126" s="2">
        <v>0</v>
      </c>
      <c r="L126" s="5">
        <f t="shared" si="31"/>
        <v>5797.8699999999999</v>
      </c>
      <c r="M126" s="2">
        <v>1</v>
      </c>
      <c r="N126" s="5">
        <f t="shared" si="32"/>
        <v>5797.8699999999999</v>
      </c>
      <c r="O126" s="5"/>
      <c r="P126" s="5">
        <v>1344.6300000000001</v>
      </c>
      <c r="Q126" s="5">
        <v>0</v>
      </c>
      <c r="R126" s="5">
        <v>1758</v>
      </c>
      <c r="S126" s="5">
        <v>1007.51</v>
      </c>
      <c r="T126" s="5">
        <v>1687.7299999999998</v>
      </c>
      <c r="U126" s="5">
        <f t="shared" si="45"/>
        <v>0</v>
      </c>
      <c r="V126" s="5"/>
      <c r="W126" s="5">
        <f t="shared" si="33"/>
        <v>1344.6300000000001</v>
      </c>
      <c r="X126" s="5">
        <f t="shared" si="34"/>
        <v>0</v>
      </c>
      <c r="Y126" s="5">
        <f t="shared" si="35"/>
        <v>1757.9999999999998</v>
      </c>
      <c r="Z126" s="5">
        <f t="shared" si="36"/>
        <v>1007.5100000000001</v>
      </c>
      <c r="AA126" s="5">
        <f t="shared" si="37"/>
        <v>1687.7299999999998</v>
      </c>
      <c r="AB126" s="5">
        <f t="shared" si="38"/>
        <v>0</v>
      </c>
    </row>
    <row r="127" spans="1:28" ht="15.6">
      <c r="A127" s="2" t="s">
        <v>6</v>
      </c>
      <c r="B127" s="2" t="s">
        <v>125</v>
      </c>
      <c r="C127" s="6" t="s">
        <v>156</v>
      </c>
      <c r="D127" s="6" t="s">
        <v>37</v>
      </c>
      <c r="E127" s="8" t="s">
        <v>213</v>
      </c>
      <c r="F127" s="2">
        <f t="shared" si="41"/>
        <v>7.5</v>
      </c>
      <c r="G127" s="5">
        <v>11595.74</v>
      </c>
      <c r="H127" s="2"/>
      <c r="I127" s="2" t="s">
        <v>8</v>
      </c>
      <c r="J127" s="2">
        <v>7</v>
      </c>
      <c r="K127" s="2">
        <v>0</v>
      </c>
      <c r="L127" s="5">
        <f t="shared" si="31"/>
        <v>11595.74</v>
      </c>
      <c r="M127" s="2">
        <v>1</v>
      </c>
      <c r="N127" s="5">
        <f t="shared" si="32"/>
        <v>11595.74</v>
      </c>
      <c r="O127" s="5"/>
      <c r="P127" s="5">
        <v>2689.2600000000002</v>
      </c>
      <c r="Q127" s="5">
        <v>0</v>
      </c>
      <c r="R127" s="5">
        <v>3516</v>
      </c>
      <c r="S127" s="5">
        <v>2015.01</v>
      </c>
      <c r="T127" s="5">
        <v>3375.4699999999993</v>
      </c>
      <c r="U127" s="5">
        <f t="shared" si="45"/>
        <v>0</v>
      </c>
      <c r="V127" s="5"/>
      <c r="W127" s="5">
        <f t="shared" si="33"/>
        <v>2689.2600000000002</v>
      </c>
      <c r="X127" s="5">
        <f t="shared" si="34"/>
        <v>0</v>
      </c>
      <c r="Y127" s="5">
        <f t="shared" si="35"/>
        <v>3515.9999999999995</v>
      </c>
      <c r="Z127" s="5">
        <f t="shared" si="36"/>
        <v>2015.01</v>
      </c>
      <c r="AA127" s="5">
        <f t="shared" si="37"/>
        <v>3375.4699999999993</v>
      </c>
      <c r="AB127" s="5">
        <f t="shared" si="38"/>
        <v>0</v>
      </c>
    </row>
    <row r="128" spans="1:28" ht="15.6">
      <c r="A128" s="2" t="s">
        <v>6</v>
      </c>
      <c r="B128" s="2" t="s">
        <v>125</v>
      </c>
      <c r="C128" s="6" t="s">
        <v>189</v>
      </c>
      <c r="D128" s="6" t="s">
        <v>44</v>
      </c>
      <c r="E128" s="8" t="s">
        <v>213</v>
      </c>
      <c r="F128" s="2">
        <f t="shared" si="41"/>
        <v>7.5</v>
      </c>
      <c r="G128" s="5">
        <v>5797.8699999999999</v>
      </c>
      <c r="H128" s="2"/>
      <c r="I128" s="2" t="s">
        <v>8</v>
      </c>
      <c r="J128" s="2">
        <v>7</v>
      </c>
      <c r="K128" s="2">
        <v>0</v>
      </c>
      <c r="L128" s="5">
        <f t="shared" si="31"/>
        <v>5797.8699999999999</v>
      </c>
      <c r="M128" s="2">
        <v>1</v>
      </c>
      <c r="N128" s="5">
        <f t="shared" si="32"/>
        <v>5797.8699999999999</v>
      </c>
      <c r="O128" s="5"/>
      <c r="P128" s="5">
        <v>1344.6300000000001</v>
      </c>
      <c r="Q128" s="5">
        <v>0</v>
      </c>
      <c r="R128" s="5">
        <v>1758</v>
      </c>
      <c r="S128" s="5">
        <v>1007.51</v>
      </c>
      <c r="T128" s="5">
        <v>1687.7299999999998</v>
      </c>
      <c r="U128" s="5">
        <f t="shared" si="45"/>
        <v>0</v>
      </c>
      <c r="V128" s="5"/>
      <c r="W128" s="5">
        <f t="shared" si="33"/>
        <v>1344.6300000000001</v>
      </c>
      <c r="X128" s="5">
        <f t="shared" si="34"/>
        <v>0</v>
      </c>
      <c r="Y128" s="5">
        <f t="shared" si="35"/>
        <v>1757.9999999999998</v>
      </c>
      <c r="Z128" s="5">
        <f t="shared" si="36"/>
        <v>1007.5100000000001</v>
      </c>
      <c r="AA128" s="5">
        <f t="shared" si="37"/>
        <v>1687.7299999999998</v>
      </c>
      <c r="AB128" s="5">
        <f t="shared" si="38"/>
        <v>0</v>
      </c>
    </row>
    <row r="129" spans="1:28" ht="15.6">
      <c r="A129" s="2" t="s">
        <v>6</v>
      </c>
      <c r="B129" s="2" t="s">
        <v>125</v>
      </c>
      <c r="C129" s="6" t="s">
        <v>190</v>
      </c>
      <c r="D129" s="6" t="s">
        <v>47</v>
      </c>
      <c r="E129" s="8" t="s">
        <v>213</v>
      </c>
      <c r="F129" s="2">
        <f t="shared" si="41"/>
        <v>7.5</v>
      </c>
      <c r="G129" s="5">
        <v>16499.09</v>
      </c>
      <c r="H129" s="2"/>
      <c r="I129" s="2" t="s">
        <v>8</v>
      </c>
      <c r="J129" s="2">
        <v>7</v>
      </c>
      <c r="K129" s="2">
        <v>0</v>
      </c>
      <c r="L129" s="5">
        <f t="shared" si="31"/>
        <v>16499.09</v>
      </c>
      <c r="M129" s="2">
        <v>1</v>
      </c>
      <c r="N129" s="5">
        <f t="shared" si="32"/>
        <v>16499.09</v>
      </c>
      <c r="O129" s="5"/>
      <c r="P129" s="5">
        <v>3826.4400000000001</v>
      </c>
      <c r="Q129" s="5">
        <v>0</v>
      </c>
      <c r="R129" s="5">
        <v>5002.7700000000004</v>
      </c>
      <c r="S129" s="5">
        <v>2867.0799999999999</v>
      </c>
      <c r="T129" s="5">
        <v>4802.7999999999993</v>
      </c>
      <c r="U129" s="5">
        <f t="shared" si="45"/>
        <v>0</v>
      </c>
      <c r="V129" s="5"/>
      <c r="W129" s="5">
        <f t="shared" si="33"/>
        <v>3826.4400000000001</v>
      </c>
      <c r="X129" s="5">
        <f t="shared" si="34"/>
        <v>0</v>
      </c>
      <c r="Y129" s="5">
        <f t="shared" si="35"/>
        <v>5002.7700000000004</v>
      </c>
      <c r="Z129" s="5">
        <f t="shared" si="36"/>
        <v>2867.0799999999999</v>
      </c>
      <c r="AA129" s="5">
        <f t="shared" si="37"/>
        <v>4802.7999999999993</v>
      </c>
      <c r="AB129" s="5">
        <f t="shared" si="38"/>
        <v>0</v>
      </c>
    </row>
    <row r="130" spans="1:28" ht="15.6">
      <c r="A130" s="2" t="s">
        <v>6</v>
      </c>
      <c r="B130" s="2" t="s">
        <v>125</v>
      </c>
      <c r="C130" s="6" t="s">
        <v>191</v>
      </c>
      <c r="D130" s="6" t="s">
        <v>48</v>
      </c>
      <c r="E130" s="8" t="s">
        <v>213</v>
      </c>
      <c r="F130" s="2">
        <f t="shared" si="41"/>
        <v>7.5</v>
      </c>
      <c r="G130" s="5">
        <v>5797.8699999999999</v>
      </c>
      <c r="H130" s="2"/>
      <c r="I130" s="2" t="s">
        <v>8</v>
      </c>
      <c r="J130" s="2">
        <v>7</v>
      </c>
      <c r="K130" s="2">
        <v>0</v>
      </c>
      <c r="L130" s="5">
        <f t="shared" si="31"/>
        <v>5797.8699999999999</v>
      </c>
      <c r="M130" s="2">
        <v>1</v>
      </c>
      <c r="N130" s="5">
        <f t="shared" si="32"/>
        <v>5797.8699999999999</v>
      </c>
      <c r="O130" s="5"/>
      <c r="P130" s="5">
        <v>1344.6300000000001</v>
      </c>
      <c r="Q130" s="5">
        <v>0</v>
      </c>
      <c r="R130" s="5">
        <v>1758</v>
      </c>
      <c r="S130" s="5">
        <v>1007.51</v>
      </c>
      <c r="T130" s="5">
        <v>1687.7299999999998</v>
      </c>
      <c r="U130" s="5">
        <f t="shared" si="45"/>
        <v>0</v>
      </c>
      <c r="V130" s="5"/>
      <c r="W130" s="5">
        <f t="shared" si="33"/>
        <v>1344.6300000000001</v>
      </c>
      <c r="X130" s="5">
        <f t="shared" si="34"/>
        <v>0</v>
      </c>
      <c r="Y130" s="5">
        <f t="shared" si="35"/>
        <v>1757.9999999999998</v>
      </c>
      <c r="Z130" s="5">
        <f t="shared" si="36"/>
        <v>1007.5100000000001</v>
      </c>
      <c r="AA130" s="5">
        <f t="shared" si="37"/>
        <v>1687.7299999999998</v>
      </c>
      <c r="AB130" s="5">
        <f t="shared" si="38"/>
        <v>0</v>
      </c>
    </row>
    <row r="131" spans="1:28" ht="15.6">
      <c r="A131" s="2" t="s">
        <v>6</v>
      </c>
      <c r="B131" s="2" t="s">
        <v>125</v>
      </c>
      <c r="C131" s="6" t="s">
        <v>192</v>
      </c>
      <c r="D131" s="6" t="s">
        <v>50</v>
      </c>
      <c r="E131" s="8" t="s">
        <v>213</v>
      </c>
      <c r="F131" s="2">
        <f t="shared" si="41"/>
        <v>7.5</v>
      </c>
      <c r="G131" s="5">
        <v>16461.34</v>
      </c>
      <c r="H131" s="2"/>
      <c r="I131" s="2" t="s">
        <v>8</v>
      </c>
      <c r="J131" s="2">
        <v>7</v>
      </c>
      <c r="K131" s="2">
        <v>0</v>
      </c>
      <c r="L131" s="5">
        <f t="shared" si="31"/>
        <v>16461.34</v>
      </c>
      <c r="M131" s="2">
        <v>1</v>
      </c>
      <c r="N131" s="5">
        <f t="shared" si="32"/>
        <v>16461.34</v>
      </c>
      <c r="O131" s="5"/>
      <c r="P131" s="5">
        <v>3817.6799999999998</v>
      </c>
      <c r="Q131" s="5">
        <v>0</v>
      </c>
      <c r="R131" s="5">
        <v>4991.3199999999997</v>
      </c>
      <c r="S131" s="5">
        <v>2860.52</v>
      </c>
      <c r="T131" s="5">
        <v>4791.8199999999997</v>
      </c>
      <c r="U131" s="5">
        <f t="shared" si="45"/>
        <v>0</v>
      </c>
      <c r="V131" s="5"/>
      <c r="W131" s="5">
        <f t="shared" si="33"/>
        <v>3817.6799999999998</v>
      </c>
      <c r="X131" s="5">
        <f t="shared" si="34"/>
        <v>0</v>
      </c>
      <c r="Y131" s="5">
        <f t="shared" si="35"/>
        <v>4991.3199999999997</v>
      </c>
      <c r="Z131" s="5">
        <f t="shared" si="36"/>
        <v>2860.52</v>
      </c>
      <c r="AA131" s="5">
        <f t="shared" si="37"/>
        <v>4791.8199999999997</v>
      </c>
      <c r="AB131" s="5">
        <f t="shared" si="38"/>
        <v>0</v>
      </c>
    </row>
    <row r="132" spans="1:28" ht="15.6">
      <c r="A132" s="2" t="s">
        <v>6</v>
      </c>
      <c r="B132" s="2" t="s">
        <v>125</v>
      </c>
      <c r="C132" s="6" t="s">
        <v>128</v>
      </c>
      <c r="D132" s="6" t="s">
        <v>52</v>
      </c>
      <c r="E132" s="8" t="s">
        <v>213</v>
      </c>
      <c r="F132" s="2">
        <f t="shared" si="41"/>
        <v>7.5</v>
      </c>
      <c r="G132" s="5">
        <v>26302.200000000001</v>
      </c>
      <c r="H132" s="2"/>
      <c r="I132" s="2" t="s">
        <v>8</v>
      </c>
      <c r="J132" s="2">
        <v>7</v>
      </c>
      <c r="K132" s="2">
        <v>0</v>
      </c>
      <c r="L132" s="5">
        <f t="shared" si="31"/>
        <v>26302.200000000001</v>
      </c>
      <c r="M132" s="2">
        <v>1</v>
      </c>
      <c r="N132" s="5">
        <f t="shared" si="32"/>
        <v>26302.200000000001</v>
      </c>
      <c r="O132" s="5"/>
      <c r="P132" s="5">
        <v>6099.96</v>
      </c>
      <c r="Q132" s="5">
        <v>0</v>
      </c>
      <c r="R132" s="5">
        <v>7975.2200000000003</v>
      </c>
      <c r="S132" s="5">
        <v>4570.5799999999999</v>
      </c>
      <c r="T132" s="5">
        <v>7656.4400000000005</v>
      </c>
      <c r="U132" s="5">
        <f t="shared" si="45"/>
        <v>0</v>
      </c>
      <c r="V132" s="5"/>
      <c r="W132" s="5">
        <f t="shared" si="33"/>
        <v>6099.96</v>
      </c>
      <c r="X132" s="5">
        <f t="shared" si="34"/>
        <v>0</v>
      </c>
      <c r="Y132" s="5">
        <f t="shared" si="35"/>
        <v>7975.2200000000003</v>
      </c>
      <c r="Z132" s="5">
        <f t="shared" si="36"/>
        <v>4570.5799999999999</v>
      </c>
      <c r="AA132" s="5">
        <f t="shared" si="37"/>
        <v>7656.4400000000014</v>
      </c>
      <c r="AB132" s="5">
        <f t="shared" si="38"/>
        <v>0</v>
      </c>
    </row>
    <row r="133" spans="1:28" ht="15.6">
      <c r="A133" s="2" t="s">
        <v>6</v>
      </c>
      <c r="B133" s="2" t="s">
        <v>125</v>
      </c>
      <c r="C133" s="6" t="s">
        <v>163</v>
      </c>
      <c r="D133" s="6" t="s">
        <v>53</v>
      </c>
      <c r="E133" s="8" t="s">
        <v>213</v>
      </c>
      <c r="F133" s="2">
        <f t="shared" si="46" ref="F133:F164">2021.5-E133</f>
        <v>7.5</v>
      </c>
      <c r="G133" s="5">
        <v>9045.3700000000008</v>
      </c>
      <c r="H133" s="2"/>
      <c r="I133" s="2" t="s">
        <v>8</v>
      </c>
      <c r="J133" s="2">
        <v>7</v>
      </c>
      <c r="K133" s="2">
        <v>0</v>
      </c>
      <c r="L133" s="5">
        <f t="shared" si="31"/>
        <v>9045.3700000000008</v>
      </c>
      <c r="M133" s="2">
        <v>1</v>
      </c>
      <c r="N133" s="5">
        <f t="shared" si="32"/>
        <v>9045.3700000000008</v>
      </c>
      <c r="O133" s="5"/>
      <c r="P133" s="5">
        <v>2097.79</v>
      </c>
      <c r="Q133" s="5">
        <v>0</v>
      </c>
      <c r="R133" s="5">
        <v>2742.6900000000001</v>
      </c>
      <c r="S133" s="5">
        <v>1571.8299999999999</v>
      </c>
      <c r="T133" s="5">
        <v>2633.0600000000013</v>
      </c>
      <c r="U133" s="5">
        <f t="shared" si="45"/>
        <v>0</v>
      </c>
      <c r="V133" s="5"/>
      <c r="W133" s="5">
        <f t="shared" si="33"/>
        <v>2097.79</v>
      </c>
      <c r="X133" s="5">
        <f t="shared" si="34"/>
        <v>0</v>
      </c>
      <c r="Y133" s="5">
        <f t="shared" si="35"/>
        <v>2742.6900000000001</v>
      </c>
      <c r="Z133" s="5">
        <f t="shared" si="36"/>
        <v>1571.8299999999999</v>
      </c>
      <c r="AA133" s="5">
        <f t="shared" si="37"/>
        <v>2633.0600000000013</v>
      </c>
      <c r="AB133" s="5">
        <f t="shared" si="38"/>
        <v>0</v>
      </c>
    </row>
    <row r="134" spans="1:28" ht="15.6">
      <c r="A134" s="2" t="s">
        <v>6</v>
      </c>
      <c r="B134" s="2" t="s">
        <v>125</v>
      </c>
      <c r="C134" s="6" t="s">
        <v>129</v>
      </c>
      <c r="D134" s="6" t="s">
        <v>56</v>
      </c>
      <c r="E134" s="8" t="s">
        <v>213</v>
      </c>
      <c r="F134" s="2">
        <f t="shared" si="46"/>
        <v>7.5</v>
      </c>
      <c r="G134" s="5">
        <v>25390.029999999999</v>
      </c>
      <c r="H134" s="2"/>
      <c r="I134" s="2" t="s">
        <v>8</v>
      </c>
      <c r="J134" s="2">
        <v>7</v>
      </c>
      <c r="K134" s="2">
        <v>0</v>
      </c>
      <c r="L134" s="5">
        <f t="shared" si="47" ref="L134:L183">+G134*(1-K134/J134)</f>
        <v>25390.029999999999</v>
      </c>
      <c r="M134" s="2">
        <v>1</v>
      </c>
      <c r="N134" s="5">
        <f t="shared" si="48" ref="N134:N183">+L134*M134</f>
        <v>25390.029999999999</v>
      </c>
      <c r="O134" s="5"/>
      <c r="P134" s="5">
        <v>5888.4099999999999</v>
      </c>
      <c r="Q134" s="5">
        <v>0</v>
      </c>
      <c r="R134" s="5">
        <v>7698.6400000000003</v>
      </c>
      <c r="S134" s="5">
        <v>4412.0699999999997</v>
      </c>
      <c r="T134" s="5">
        <v>7390.9099999999999</v>
      </c>
      <c r="W134" s="5">
        <f t="shared" si="49" ref="W134:W184">+P134/$G134*$N134</f>
        <v>5888.4099999999999</v>
      </c>
      <c r="X134" s="5">
        <f t="shared" si="50" ref="X134:X184">+Q134/$G134*$N134</f>
        <v>0</v>
      </c>
      <c r="Y134" s="5">
        <f t="shared" si="51" ref="Y134:Y184">+R134/$G134*$N134</f>
        <v>7698.6400000000003</v>
      </c>
      <c r="Z134" s="5">
        <f t="shared" si="52" ref="Z134:Z184">+S134/$G134*$N134</f>
        <v>4412.0699999999997</v>
      </c>
      <c r="AA134" s="5">
        <f t="shared" si="53" ref="AA134:AA184">+T134/$G134*$N134</f>
        <v>7390.9099999999999</v>
      </c>
      <c r="AB134" s="5">
        <f t="shared" si="54" ref="AB134:AB184">+U134/$G134*$N134</f>
        <v>0</v>
      </c>
    </row>
    <row r="135" spans="1:28" ht="15.6">
      <c r="A135" s="2" t="s">
        <v>6</v>
      </c>
      <c r="B135" s="2" t="s">
        <v>125</v>
      </c>
      <c r="C135" s="6" t="s">
        <v>193</v>
      </c>
      <c r="D135" s="6" t="s">
        <v>57</v>
      </c>
      <c r="E135" s="8" t="s">
        <v>213</v>
      </c>
      <c r="F135" s="2">
        <f t="shared" si="46"/>
        <v>7.5</v>
      </c>
      <c r="G135" s="5">
        <v>6276.1899999999996</v>
      </c>
      <c r="H135" s="2"/>
      <c r="I135" s="2" t="s">
        <v>8</v>
      </c>
      <c r="J135" s="2">
        <v>7</v>
      </c>
      <c r="K135" s="2">
        <v>0</v>
      </c>
      <c r="L135" s="5">
        <f t="shared" si="47"/>
        <v>6276.1899999999996</v>
      </c>
      <c r="M135" s="2">
        <v>1</v>
      </c>
      <c r="N135" s="5">
        <f t="shared" si="48"/>
        <v>6276.1899999999996</v>
      </c>
      <c r="O135" s="5"/>
      <c r="P135" s="5">
        <v>1455.56</v>
      </c>
      <c r="Q135" s="5">
        <v>0</v>
      </c>
      <c r="R135" s="5">
        <v>1903.03</v>
      </c>
      <c r="S135" s="5">
        <v>1090.6300000000001</v>
      </c>
      <c r="T135" s="5">
        <v>1826.9699999999994</v>
      </c>
      <c r="W135" s="5">
        <f t="shared" si="49"/>
        <v>1455.56</v>
      </c>
      <c r="X135" s="5">
        <f t="shared" si="50"/>
        <v>0</v>
      </c>
      <c r="Y135" s="5">
        <f t="shared" si="51"/>
        <v>1903.0300000000002</v>
      </c>
      <c r="Z135" s="5">
        <f t="shared" si="52"/>
        <v>1090.6300000000001</v>
      </c>
      <c r="AA135" s="5">
        <f t="shared" si="53"/>
        <v>1826.9699999999994</v>
      </c>
      <c r="AB135" s="5">
        <f t="shared" si="54"/>
        <v>0</v>
      </c>
    </row>
    <row r="136" spans="1:28" ht="15.6">
      <c r="A136" s="2" t="s">
        <v>6</v>
      </c>
      <c r="B136" s="2" t="s">
        <v>125</v>
      </c>
      <c r="C136" s="6" t="s">
        <v>194</v>
      </c>
      <c r="D136" s="6" t="s">
        <v>59</v>
      </c>
      <c r="E136" s="8" t="s">
        <v>213</v>
      </c>
      <c r="F136" s="2">
        <f t="shared" si="46"/>
        <v>7.5</v>
      </c>
      <c r="G136" s="5">
        <v>7027.1999999999998</v>
      </c>
      <c r="H136" s="2"/>
      <c r="I136" s="2" t="s">
        <v>8</v>
      </c>
      <c r="J136" s="2">
        <v>7</v>
      </c>
      <c r="K136" s="2">
        <v>0</v>
      </c>
      <c r="L136" s="5">
        <f t="shared" si="47"/>
        <v>7027.1999999999998</v>
      </c>
      <c r="M136" s="2">
        <v>1</v>
      </c>
      <c r="N136" s="5">
        <f t="shared" si="48"/>
        <v>7027.1999999999998</v>
      </c>
      <c r="O136" s="5"/>
      <c r="P136" s="5">
        <v>1629.74</v>
      </c>
      <c r="Q136" s="5">
        <v>0</v>
      </c>
      <c r="R136" s="5">
        <v>2130.75</v>
      </c>
      <c r="S136" s="5">
        <v>1221.1300000000001</v>
      </c>
      <c r="T136" s="5">
        <v>2045.5799999999999</v>
      </c>
      <c r="W136" s="5">
        <f t="shared" si="49"/>
        <v>1629.74</v>
      </c>
      <c r="X136" s="5">
        <f t="shared" si="50"/>
        <v>0</v>
      </c>
      <c r="Y136" s="5">
        <f t="shared" si="51"/>
        <v>2130.75</v>
      </c>
      <c r="Z136" s="5">
        <f t="shared" si="52"/>
        <v>1221.1300000000001</v>
      </c>
      <c r="AA136" s="5">
        <f t="shared" si="53"/>
        <v>2045.5800000000002</v>
      </c>
      <c r="AB136" s="5">
        <f t="shared" si="54"/>
        <v>0</v>
      </c>
    </row>
    <row r="137" spans="1:28" ht="15.6">
      <c r="A137" s="2" t="s">
        <v>6</v>
      </c>
      <c r="B137" s="2" t="s">
        <v>125</v>
      </c>
      <c r="C137" s="6" t="s">
        <v>158</v>
      </c>
      <c r="D137" s="6" t="s">
        <v>61</v>
      </c>
      <c r="E137" s="8" t="s">
        <v>213</v>
      </c>
      <c r="F137" s="2">
        <f t="shared" si="46"/>
        <v>7.5</v>
      </c>
      <c r="G137" s="5">
        <v>55766.709999999999</v>
      </c>
      <c r="H137" s="2"/>
      <c r="I137" s="2" t="s">
        <v>8</v>
      </c>
      <c r="J137" s="2">
        <v>7</v>
      </c>
      <c r="K137" s="2">
        <v>0</v>
      </c>
      <c r="L137" s="5">
        <f t="shared" si="47"/>
        <v>55766.709999999999</v>
      </c>
      <c r="M137" s="2">
        <v>1</v>
      </c>
      <c r="N137" s="5">
        <f t="shared" si="48"/>
        <v>55766.709999999999</v>
      </c>
      <c r="O137" s="5"/>
      <c r="P137" s="5">
        <v>12933.31</v>
      </c>
      <c r="Q137" s="5">
        <v>0</v>
      </c>
      <c r="R137" s="5">
        <v>16909.299999999999</v>
      </c>
      <c r="S137" s="5">
        <v>9690.6900000000005</v>
      </c>
      <c r="T137" s="5">
        <v>16233.410000000002</v>
      </c>
      <c r="W137" s="5">
        <f t="shared" si="49"/>
        <v>12933.31</v>
      </c>
      <c r="X137" s="5">
        <f t="shared" si="50"/>
        <v>0</v>
      </c>
      <c r="Y137" s="5">
        <f t="shared" si="51"/>
        <v>16909.299999999999</v>
      </c>
      <c r="Z137" s="5">
        <f t="shared" si="52"/>
        <v>9690.6900000000005</v>
      </c>
      <c r="AA137" s="5">
        <f t="shared" si="53"/>
        <v>16233.410000000002</v>
      </c>
      <c r="AB137" s="5">
        <f t="shared" si="54"/>
        <v>0</v>
      </c>
    </row>
    <row r="138" spans="1:28" ht="15.6">
      <c r="A138" s="2" t="s">
        <v>6</v>
      </c>
      <c r="B138" s="2" t="s">
        <v>125</v>
      </c>
      <c r="C138" s="6" t="s">
        <v>159</v>
      </c>
      <c r="D138" s="6" t="s">
        <v>62</v>
      </c>
      <c r="E138" s="8" t="s">
        <v>213</v>
      </c>
      <c r="F138" s="2">
        <f t="shared" si="46"/>
        <v>7.5</v>
      </c>
      <c r="G138" s="5">
        <v>3397.7399999999998</v>
      </c>
      <c r="H138" s="2"/>
      <c r="I138" s="2" t="s">
        <v>8</v>
      </c>
      <c r="J138" s="2">
        <v>7</v>
      </c>
      <c r="K138" s="2">
        <v>0</v>
      </c>
      <c r="L138" s="5">
        <f t="shared" si="47"/>
        <v>3397.7399999999998</v>
      </c>
      <c r="M138" s="2">
        <v>1</v>
      </c>
      <c r="N138" s="5">
        <f t="shared" si="48"/>
        <v>3397.7399999999998</v>
      </c>
      <c r="O138" s="5"/>
      <c r="P138" s="5">
        <v>788</v>
      </c>
      <c r="Q138" s="5">
        <v>0</v>
      </c>
      <c r="R138" s="5">
        <v>1030.25</v>
      </c>
      <c r="S138" s="5">
        <v>590.42999999999995</v>
      </c>
      <c r="T138" s="5">
        <v>989.05999999999983</v>
      </c>
      <c r="W138" s="5">
        <f t="shared" si="49"/>
        <v>788</v>
      </c>
      <c r="X138" s="5">
        <f t="shared" si="50"/>
        <v>0</v>
      </c>
      <c r="Y138" s="5">
        <f t="shared" si="51"/>
        <v>1030.25</v>
      </c>
      <c r="Z138" s="5">
        <f t="shared" si="52"/>
        <v>590.42999999999995</v>
      </c>
      <c r="AA138" s="5">
        <f t="shared" si="53"/>
        <v>989.05999999999983</v>
      </c>
      <c r="AB138" s="5">
        <f t="shared" si="54"/>
        <v>0</v>
      </c>
    </row>
    <row r="139" spans="1:28" ht="15.6">
      <c r="A139" s="2" t="s">
        <v>6</v>
      </c>
      <c r="B139" s="2" t="s">
        <v>125</v>
      </c>
      <c r="C139" s="6" t="s">
        <v>195</v>
      </c>
      <c r="D139" s="6" t="s">
        <v>63</v>
      </c>
      <c r="E139" s="8" t="s">
        <v>213</v>
      </c>
      <c r="F139" s="2">
        <f t="shared" si="46"/>
        <v>7.5</v>
      </c>
      <c r="G139" s="5">
        <v>5797.8699999999999</v>
      </c>
      <c r="H139" s="2"/>
      <c r="I139" s="2" t="s">
        <v>8</v>
      </c>
      <c r="J139" s="2">
        <v>7</v>
      </c>
      <c r="K139" s="2">
        <v>0</v>
      </c>
      <c r="L139" s="5">
        <f t="shared" si="47"/>
        <v>5797.8699999999999</v>
      </c>
      <c r="M139" s="2">
        <v>1</v>
      </c>
      <c r="N139" s="5">
        <f t="shared" si="48"/>
        <v>5797.8699999999999</v>
      </c>
      <c r="O139" s="5"/>
      <c r="P139" s="5">
        <v>1344.6300000000001</v>
      </c>
      <c r="Q139" s="5">
        <v>0</v>
      </c>
      <c r="R139" s="5">
        <v>1758</v>
      </c>
      <c r="S139" s="5">
        <v>1007.51</v>
      </c>
      <c r="T139" s="5">
        <v>1687.7299999999998</v>
      </c>
      <c r="W139" s="5">
        <f t="shared" si="49"/>
        <v>1344.6300000000001</v>
      </c>
      <c r="X139" s="5">
        <f t="shared" si="50"/>
        <v>0</v>
      </c>
      <c r="Y139" s="5">
        <f t="shared" si="51"/>
        <v>1757.9999999999998</v>
      </c>
      <c r="Z139" s="5">
        <f t="shared" si="52"/>
        <v>1007.5100000000001</v>
      </c>
      <c r="AA139" s="5">
        <f t="shared" si="53"/>
        <v>1687.7299999999998</v>
      </c>
      <c r="AB139" s="5">
        <f t="shared" si="54"/>
        <v>0</v>
      </c>
    </row>
    <row r="140" spans="1:28" ht="15.6">
      <c r="A140" s="2" t="s">
        <v>7</v>
      </c>
      <c r="B140" s="2" t="s">
        <v>125</v>
      </c>
      <c r="C140" s="6" t="s">
        <v>155</v>
      </c>
      <c r="D140" s="6" t="s">
        <v>32</v>
      </c>
      <c r="E140" s="8" t="s">
        <v>213</v>
      </c>
      <c r="F140" s="2">
        <f t="shared" si="46"/>
        <v>7.5</v>
      </c>
      <c r="G140" s="5">
        <v>4938.3599999999997</v>
      </c>
      <c r="H140" s="2"/>
      <c r="I140" s="2" t="s">
        <v>8</v>
      </c>
      <c r="J140" s="2">
        <v>7</v>
      </c>
      <c r="K140" s="2">
        <v>0</v>
      </c>
      <c r="L140" s="5">
        <f t="shared" si="47"/>
        <v>4938.3599999999997</v>
      </c>
      <c r="M140" s="2">
        <v>1</v>
      </c>
      <c r="N140" s="5">
        <f t="shared" si="48"/>
        <v>4938.3599999999997</v>
      </c>
      <c r="O140" s="5"/>
      <c r="P140" s="5">
        <v>1145.3</v>
      </c>
      <c r="Q140" s="5">
        <v>0</v>
      </c>
      <c r="R140" s="5">
        <v>1497.3800000000001</v>
      </c>
      <c r="S140" s="5">
        <v>858.14999999999998</v>
      </c>
      <c r="T140" s="5">
        <v>1437.5299999999993</v>
      </c>
      <c r="U140" s="5">
        <f t="shared" si="55" ref="U140:U157">+G140-SUM(P140:T140)</f>
        <v>0</v>
      </c>
      <c r="V140" s="5"/>
      <c r="W140" s="5">
        <f t="shared" si="49"/>
        <v>1145.3</v>
      </c>
      <c r="X140" s="5">
        <f t="shared" si="50"/>
        <v>0</v>
      </c>
      <c r="Y140" s="5">
        <f t="shared" si="51"/>
        <v>1497.3800000000001</v>
      </c>
      <c r="Z140" s="5">
        <f t="shared" si="52"/>
        <v>858.14999999999998</v>
      </c>
      <c r="AA140" s="5">
        <f t="shared" si="53"/>
        <v>1437.5299999999993</v>
      </c>
      <c r="AB140" s="5">
        <f t="shared" si="54"/>
        <v>0</v>
      </c>
    </row>
    <row r="141" spans="1:28" ht="15.6">
      <c r="A141" s="2" t="s">
        <v>7</v>
      </c>
      <c r="B141" s="2" t="s">
        <v>125</v>
      </c>
      <c r="C141" s="6" t="s">
        <v>184</v>
      </c>
      <c r="D141" s="6" t="s">
        <v>69</v>
      </c>
      <c r="E141" s="8" t="s">
        <v>213</v>
      </c>
      <c r="F141" s="2">
        <f t="shared" si="46"/>
        <v>7.5</v>
      </c>
      <c r="G141" s="5">
        <v>40874.330000000002</v>
      </c>
      <c r="H141" s="2"/>
      <c r="I141" s="2" t="s">
        <v>8</v>
      </c>
      <c r="J141" s="2">
        <v>7</v>
      </c>
      <c r="K141" s="2">
        <v>0</v>
      </c>
      <c r="L141" s="5">
        <f t="shared" si="47"/>
        <v>40874.330000000002</v>
      </c>
      <c r="M141" s="2">
        <v>1</v>
      </c>
      <c r="N141" s="5">
        <f t="shared" si="48"/>
        <v>40874.330000000002</v>
      </c>
      <c r="O141" s="5"/>
      <c r="P141" s="5">
        <v>9479.5</v>
      </c>
      <c r="Q141" s="5">
        <v>0</v>
      </c>
      <c r="R141" s="5">
        <v>12393.709999999999</v>
      </c>
      <c r="S141" s="5">
        <v>7102.8100000000004</v>
      </c>
      <c r="T141" s="5">
        <v>11898.310000000001</v>
      </c>
      <c r="U141" s="5">
        <f t="shared" si="55"/>
        <v>0</v>
      </c>
      <c r="V141" s="5"/>
      <c r="W141" s="5">
        <f t="shared" si="49"/>
        <v>9479.5</v>
      </c>
      <c r="X141" s="5">
        <f t="shared" si="50"/>
        <v>0</v>
      </c>
      <c r="Y141" s="5">
        <f t="shared" si="51"/>
        <v>12393.709999999999</v>
      </c>
      <c r="Z141" s="5">
        <f t="shared" si="52"/>
        <v>7102.8100000000004</v>
      </c>
      <c r="AA141" s="5">
        <f t="shared" si="53"/>
        <v>11898.310000000001</v>
      </c>
      <c r="AB141" s="5">
        <f t="shared" si="54"/>
        <v>0</v>
      </c>
    </row>
    <row r="142" spans="1:28" ht="15.6">
      <c r="A142" s="2" t="s">
        <v>7</v>
      </c>
      <c r="B142" s="2" t="s">
        <v>125</v>
      </c>
      <c r="C142" s="6" t="s">
        <v>84</v>
      </c>
      <c r="D142" s="6" t="s">
        <v>85</v>
      </c>
      <c r="E142" s="8" t="s">
        <v>213</v>
      </c>
      <c r="F142" s="2">
        <f t="shared" si="46"/>
        <v>7.5</v>
      </c>
      <c r="G142" s="5">
        <v>10015.139999999999</v>
      </c>
      <c r="H142" s="2"/>
      <c r="I142" s="2" t="s">
        <v>8</v>
      </c>
      <c r="J142" s="2">
        <v>7</v>
      </c>
      <c r="K142" s="2">
        <v>0</v>
      </c>
      <c r="L142" s="5">
        <f t="shared" si="47"/>
        <v>10015.139999999999</v>
      </c>
      <c r="M142" s="2">
        <v>1</v>
      </c>
      <c r="N142" s="5">
        <f t="shared" si="48"/>
        <v>10015.139999999999</v>
      </c>
      <c r="O142" s="5"/>
      <c r="P142" s="5">
        <v>2322.6900000000001</v>
      </c>
      <c r="Q142" s="5">
        <v>0</v>
      </c>
      <c r="R142" s="5">
        <v>3036.7399999999998</v>
      </c>
      <c r="S142" s="5">
        <v>1740.3499999999999</v>
      </c>
      <c r="T142" s="5">
        <v>2915.3599999999992</v>
      </c>
      <c r="U142" s="5">
        <f t="shared" si="55"/>
        <v>0</v>
      </c>
      <c r="V142" s="5"/>
      <c r="W142" s="5">
        <f t="shared" si="49"/>
        <v>2322.6900000000001</v>
      </c>
      <c r="X142" s="5">
        <f t="shared" si="50"/>
        <v>0</v>
      </c>
      <c r="Y142" s="5">
        <f t="shared" si="51"/>
        <v>3036.7399999999998</v>
      </c>
      <c r="Z142" s="5">
        <f t="shared" si="52"/>
        <v>1740.3499999999999</v>
      </c>
      <c r="AA142" s="5">
        <f t="shared" si="53"/>
        <v>2915.3599999999992</v>
      </c>
      <c r="AB142" s="5">
        <f t="shared" si="54"/>
        <v>0</v>
      </c>
    </row>
    <row r="143" spans="1:28" ht="15.6">
      <c r="A143" s="2" t="s">
        <v>7</v>
      </c>
      <c r="B143" s="2" t="s">
        <v>125</v>
      </c>
      <c r="C143" s="6" t="s">
        <v>86</v>
      </c>
      <c r="D143" s="6" t="s">
        <v>87</v>
      </c>
      <c r="E143" s="8" t="s">
        <v>213</v>
      </c>
      <c r="F143" s="2">
        <f t="shared" si="46"/>
        <v>7.5</v>
      </c>
      <c r="G143" s="5">
        <v>5050.0900000000001</v>
      </c>
      <c r="H143" s="2"/>
      <c r="I143" s="2" t="s">
        <v>8</v>
      </c>
      <c r="J143" s="2">
        <v>7</v>
      </c>
      <c r="K143" s="2">
        <v>0</v>
      </c>
      <c r="L143" s="5">
        <f t="shared" si="47"/>
        <v>5050.0900000000001</v>
      </c>
      <c r="M143" s="2">
        <v>1</v>
      </c>
      <c r="N143" s="5">
        <f t="shared" si="48"/>
        <v>5050.0900000000001</v>
      </c>
      <c r="O143" s="5"/>
      <c r="P143" s="5">
        <v>1171.21</v>
      </c>
      <c r="Q143" s="5">
        <v>0</v>
      </c>
      <c r="R143" s="5">
        <v>1531.26</v>
      </c>
      <c r="S143" s="5">
        <v>877.55999999999995</v>
      </c>
      <c r="T143" s="5">
        <v>1470.06</v>
      </c>
      <c r="U143" s="5">
        <f t="shared" si="55"/>
        <v>0</v>
      </c>
      <c r="V143" s="5"/>
      <c r="W143" s="5">
        <f t="shared" si="49"/>
        <v>1171.21</v>
      </c>
      <c r="X143" s="5">
        <f t="shared" si="50"/>
        <v>0</v>
      </c>
      <c r="Y143" s="5">
        <f t="shared" si="51"/>
        <v>1531.26</v>
      </c>
      <c r="Z143" s="5">
        <f t="shared" si="52"/>
        <v>877.55999999999995</v>
      </c>
      <c r="AA143" s="5">
        <f t="shared" si="53"/>
        <v>1470.06</v>
      </c>
      <c r="AB143" s="5">
        <f t="shared" si="54"/>
        <v>0</v>
      </c>
    </row>
    <row r="144" spans="1:28" ht="15.6">
      <c r="A144" s="2" t="s">
        <v>7</v>
      </c>
      <c r="B144" s="2" t="s">
        <v>125</v>
      </c>
      <c r="C144" s="6" t="s">
        <v>186</v>
      </c>
      <c r="D144" s="6" t="s">
        <v>96</v>
      </c>
      <c r="E144" s="8" t="s">
        <v>213</v>
      </c>
      <c r="F144" s="2">
        <f t="shared" si="46"/>
        <v>7.5</v>
      </c>
      <c r="G144" s="5">
        <v>27979.810000000001</v>
      </c>
      <c r="H144" s="2"/>
      <c r="I144" s="2" t="s">
        <v>8</v>
      </c>
      <c r="J144" s="2">
        <v>7</v>
      </c>
      <c r="K144" s="2">
        <v>0</v>
      </c>
      <c r="L144" s="5">
        <f t="shared" si="47"/>
        <v>27979.810000000001</v>
      </c>
      <c r="M144" s="2">
        <v>1</v>
      </c>
      <c r="N144" s="5">
        <f t="shared" si="48"/>
        <v>27979.810000000001</v>
      </c>
      <c r="O144" s="5"/>
      <c r="P144" s="5">
        <v>6489.0299999999997</v>
      </c>
      <c r="Q144" s="5">
        <v>0</v>
      </c>
      <c r="R144" s="5">
        <v>8483.8999999999996</v>
      </c>
      <c r="S144" s="5">
        <v>4862.1000000000004</v>
      </c>
      <c r="T144" s="5">
        <v>8144.7800000000025</v>
      </c>
      <c r="U144" s="5">
        <f t="shared" si="55"/>
        <v>0</v>
      </c>
      <c r="V144" s="5"/>
      <c r="W144" s="5">
        <f t="shared" si="49"/>
        <v>6489.0299999999997</v>
      </c>
      <c r="X144" s="5">
        <f t="shared" si="50"/>
        <v>0</v>
      </c>
      <c r="Y144" s="5">
        <f t="shared" si="51"/>
        <v>8483.8999999999996</v>
      </c>
      <c r="Z144" s="5">
        <f t="shared" si="52"/>
        <v>4862.1000000000004</v>
      </c>
      <c r="AA144" s="5">
        <f t="shared" si="53"/>
        <v>8144.7800000000025</v>
      </c>
      <c r="AB144" s="5">
        <f t="shared" si="54"/>
        <v>0</v>
      </c>
    </row>
    <row r="145" spans="1:28" ht="15.6">
      <c r="A145" s="2" t="s">
        <v>7</v>
      </c>
      <c r="B145" s="2" t="s">
        <v>125</v>
      </c>
      <c r="C145" s="6" t="s">
        <v>166</v>
      </c>
      <c r="D145" s="6" t="s">
        <v>104</v>
      </c>
      <c r="E145" s="8" t="s">
        <v>213</v>
      </c>
      <c r="F145" s="2">
        <f t="shared" si="46"/>
        <v>7.5</v>
      </c>
      <c r="G145" s="5">
        <v>17132.259999999998</v>
      </c>
      <c r="H145" s="2"/>
      <c r="I145" s="2" t="s">
        <v>8</v>
      </c>
      <c r="J145" s="2">
        <v>7</v>
      </c>
      <c r="K145" s="2">
        <v>0</v>
      </c>
      <c r="L145" s="5">
        <f t="shared" si="47"/>
        <v>17132.259999999998</v>
      </c>
      <c r="M145" s="2">
        <v>1</v>
      </c>
      <c r="N145" s="5">
        <f t="shared" si="48"/>
        <v>17132.259999999998</v>
      </c>
      <c r="O145" s="5"/>
      <c r="P145" s="5">
        <v>3973.2800000000002</v>
      </c>
      <c r="Q145" s="5">
        <v>0</v>
      </c>
      <c r="R145" s="5">
        <v>5194.7600000000002</v>
      </c>
      <c r="S145" s="5">
        <v>2977.1100000000001</v>
      </c>
      <c r="T145" s="5">
        <v>4987.1099999999969</v>
      </c>
      <c r="U145" s="5">
        <f t="shared" si="55"/>
        <v>0</v>
      </c>
      <c r="V145" s="5"/>
      <c r="W145" s="5">
        <f t="shared" si="49"/>
        <v>3973.2800000000002</v>
      </c>
      <c r="X145" s="5">
        <f t="shared" si="50"/>
        <v>0</v>
      </c>
      <c r="Y145" s="5">
        <f t="shared" si="51"/>
        <v>5194.7600000000002</v>
      </c>
      <c r="Z145" s="5">
        <f t="shared" si="52"/>
        <v>2977.1100000000001</v>
      </c>
      <c r="AA145" s="5">
        <f t="shared" si="53"/>
        <v>4987.1099999999979</v>
      </c>
      <c r="AB145" s="5">
        <f t="shared" si="54"/>
        <v>0</v>
      </c>
    </row>
    <row r="146" spans="1:28" ht="15.6">
      <c r="A146" s="2" t="s">
        <v>7</v>
      </c>
      <c r="B146" s="2" t="s">
        <v>125</v>
      </c>
      <c r="C146" s="6" t="s">
        <v>175</v>
      </c>
      <c r="D146" s="6" t="s">
        <v>105</v>
      </c>
      <c r="E146" s="8" t="s">
        <v>213</v>
      </c>
      <c r="F146" s="2">
        <f t="shared" si="46"/>
        <v>7.5</v>
      </c>
      <c r="G146" s="5">
        <v>14497.08</v>
      </c>
      <c r="H146" s="2"/>
      <c r="I146" s="2" t="s">
        <v>8</v>
      </c>
      <c r="J146" s="2">
        <v>7</v>
      </c>
      <c r="K146" s="2">
        <v>0</v>
      </c>
      <c r="L146" s="5">
        <f t="shared" si="47"/>
        <v>14497.08</v>
      </c>
      <c r="M146" s="2">
        <v>1</v>
      </c>
      <c r="N146" s="5">
        <f t="shared" si="48"/>
        <v>14497.08</v>
      </c>
      <c r="O146" s="5"/>
      <c r="P146" s="5">
        <v>3362.1399999999999</v>
      </c>
      <c r="Q146" s="5">
        <v>0</v>
      </c>
      <c r="R146" s="5">
        <v>4395.7299999999996</v>
      </c>
      <c r="S146" s="5">
        <v>2519.1900000000001</v>
      </c>
      <c r="T146" s="5">
        <v>4220.0200000000004</v>
      </c>
      <c r="U146" s="5">
        <f t="shared" si="55"/>
        <v>0</v>
      </c>
      <c r="V146" s="5"/>
      <c r="W146" s="5">
        <f t="shared" si="49"/>
        <v>3362.1399999999999</v>
      </c>
      <c r="X146" s="5">
        <f t="shared" si="50"/>
        <v>0</v>
      </c>
      <c r="Y146" s="5">
        <f t="shared" si="51"/>
        <v>4395.7299999999996</v>
      </c>
      <c r="Z146" s="5">
        <f t="shared" si="52"/>
        <v>2519.1900000000001</v>
      </c>
      <c r="AA146" s="5">
        <f t="shared" si="53"/>
        <v>4220.0200000000004</v>
      </c>
      <c r="AB146" s="5">
        <f t="shared" si="54"/>
        <v>0</v>
      </c>
    </row>
    <row r="147" spans="1:28" ht="15.6">
      <c r="A147" s="2" t="s">
        <v>7</v>
      </c>
      <c r="B147" s="2" t="s">
        <v>125</v>
      </c>
      <c r="C147" s="6" t="s">
        <v>150</v>
      </c>
      <c r="D147" s="6" t="s">
        <v>109</v>
      </c>
      <c r="E147" s="8" t="s">
        <v>213</v>
      </c>
      <c r="F147" s="2">
        <f t="shared" si="46"/>
        <v>7.5</v>
      </c>
      <c r="G147" s="5">
        <v>34846.669999999998</v>
      </c>
      <c r="H147" s="2"/>
      <c r="I147" s="2" t="s">
        <v>8</v>
      </c>
      <c r="J147" s="2">
        <v>7</v>
      </c>
      <c r="K147" s="2">
        <v>0</v>
      </c>
      <c r="L147" s="5">
        <f t="shared" si="47"/>
        <v>34846.669999999998</v>
      </c>
      <c r="M147" s="2">
        <v>1</v>
      </c>
      <c r="N147" s="5">
        <f t="shared" si="48"/>
        <v>34846.669999999998</v>
      </c>
      <c r="O147" s="5"/>
      <c r="P147" s="5">
        <v>8081.5799999999999</v>
      </c>
      <c r="Q147" s="5">
        <v>0</v>
      </c>
      <c r="R147" s="5">
        <v>10566.030000000001</v>
      </c>
      <c r="S147" s="5">
        <v>6055.3699999999999</v>
      </c>
      <c r="T147" s="5">
        <v>10143.689999999995</v>
      </c>
      <c r="U147" s="5">
        <f t="shared" si="55"/>
        <v>0</v>
      </c>
      <c r="V147" s="5"/>
      <c r="W147" s="5">
        <f t="shared" si="49"/>
        <v>8081.5799999999999</v>
      </c>
      <c r="X147" s="5">
        <f t="shared" si="50"/>
        <v>0</v>
      </c>
      <c r="Y147" s="5">
        <f t="shared" si="51"/>
        <v>10566.030000000001</v>
      </c>
      <c r="Z147" s="5">
        <f t="shared" si="52"/>
        <v>6055.369999999999</v>
      </c>
      <c r="AA147" s="5">
        <f t="shared" si="53"/>
        <v>10143.689999999995</v>
      </c>
      <c r="AB147" s="5">
        <f t="shared" si="54"/>
        <v>0</v>
      </c>
    </row>
    <row r="148" spans="1:28" ht="15.6">
      <c r="A148" s="2" t="s">
        <v>6</v>
      </c>
      <c r="B148" s="2" t="s">
        <v>125</v>
      </c>
      <c r="C148" s="6" t="s">
        <v>126</v>
      </c>
      <c r="D148" s="6" t="s">
        <v>23</v>
      </c>
      <c r="E148" s="8" t="s">
        <v>214</v>
      </c>
      <c r="F148" s="2">
        <f t="shared" si="46"/>
        <v>8.5</v>
      </c>
      <c r="G148" s="5">
        <v>14101587.6</v>
      </c>
      <c r="H148" s="2"/>
      <c r="I148" s="2" t="s">
        <v>8</v>
      </c>
      <c r="J148" s="2">
        <v>7</v>
      </c>
      <c r="K148" s="2">
        <v>0</v>
      </c>
      <c r="L148" s="5">
        <f t="shared" si="47"/>
        <v>14101587.6</v>
      </c>
      <c r="M148" s="2">
        <v>1</v>
      </c>
      <c r="N148" s="5">
        <f t="shared" si="48"/>
        <v>14101587.6</v>
      </c>
      <c r="O148" s="5"/>
      <c r="P148" s="5">
        <v>3270414.5899999999</v>
      </c>
      <c r="Q148" s="5">
        <v>0</v>
      </c>
      <c r="R148" s="5">
        <v>4275812.5199999996</v>
      </c>
      <c r="S148" s="5">
        <v>2450459.6499999999</v>
      </c>
      <c r="T148" s="5">
        <v>4104900.8400000003</v>
      </c>
      <c r="U148" s="5">
        <f t="shared" si="55"/>
        <v>0</v>
      </c>
      <c r="V148" s="5"/>
      <c r="W148" s="5">
        <f t="shared" si="49"/>
        <v>3270414.5899999999</v>
      </c>
      <c r="X148" s="5">
        <f t="shared" si="50"/>
        <v>0</v>
      </c>
      <c r="Y148" s="5">
        <f t="shared" si="51"/>
        <v>4275812.5199999996</v>
      </c>
      <c r="Z148" s="5">
        <f t="shared" si="52"/>
        <v>2450459.6499999999</v>
      </c>
      <c r="AA148" s="5">
        <f t="shared" si="53"/>
        <v>4104900.8400000003</v>
      </c>
      <c r="AB148" s="5">
        <f t="shared" si="54"/>
        <v>0</v>
      </c>
    </row>
    <row r="149" spans="1:28" ht="15.6">
      <c r="A149" s="2" t="s">
        <v>6</v>
      </c>
      <c r="B149" s="2" t="s">
        <v>125</v>
      </c>
      <c r="C149" s="6" t="s">
        <v>126</v>
      </c>
      <c r="D149" s="6" t="s">
        <v>23</v>
      </c>
      <c r="E149" s="8" t="s">
        <v>214</v>
      </c>
      <c r="F149" s="2">
        <f t="shared" si="46"/>
        <v>8.5</v>
      </c>
      <c r="G149" s="5">
        <v>780785.93999999994</v>
      </c>
      <c r="H149" s="2"/>
      <c r="I149" s="2" t="s">
        <v>8</v>
      </c>
      <c r="J149" s="2">
        <v>7</v>
      </c>
      <c r="K149" s="2">
        <v>0</v>
      </c>
      <c r="L149" s="5">
        <f t="shared" si="47"/>
        <v>780785.93999999994</v>
      </c>
      <c r="M149" s="2">
        <v>1</v>
      </c>
      <c r="N149" s="5">
        <f t="shared" si="48"/>
        <v>780785.93999999994</v>
      </c>
      <c r="O149" s="5"/>
      <c r="P149" s="5">
        <v>181078.45999999999</v>
      </c>
      <c r="Q149" s="5">
        <v>0</v>
      </c>
      <c r="R149" s="5">
        <v>236745.98999999999</v>
      </c>
      <c r="S149" s="5">
        <v>135678.66</v>
      </c>
      <c r="T149" s="5">
        <v>227282.82999999999</v>
      </c>
      <c r="U149" s="5">
        <f t="shared" si="55"/>
        <v>0</v>
      </c>
      <c r="V149" s="5"/>
      <c r="W149" s="5">
        <f t="shared" si="49"/>
        <v>181078.45999999999</v>
      </c>
      <c r="X149" s="5">
        <f t="shared" si="50"/>
        <v>0</v>
      </c>
      <c r="Y149" s="5">
        <f t="shared" si="51"/>
        <v>236745.99000000002</v>
      </c>
      <c r="Z149" s="5">
        <f t="shared" si="52"/>
        <v>135678.66</v>
      </c>
      <c r="AA149" s="5">
        <f t="shared" si="53"/>
        <v>227282.82999999999</v>
      </c>
      <c r="AB149" s="5">
        <f t="shared" si="54"/>
        <v>0</v>
      </c>
    </row>
    <row r="150" spans="1:28" ht="15.6">
      <c r="A150" s="2" t="s">
        <v>6</v>
      </c>
      <c r="B150" s="2" t="s">
        <v>125</v>
      </c>
      <c r="C150" s="6" t="s">
        <v>179</v>
      </c>
      <c r="D150" s="6" t="s">
        <v>33</v>
      </c>
      <c r="E150" s="8" t="s">
        <v>214</v>
      </c>
      <c r="F150" s="2">
        <f t="shared" si="46"/>
        <v>8.5</v>
      </c>
      <c r="G150" s="5">
        <v>1034013.89</v>
      </c>
      <c r="H150" s="2"/>
      <c r="I150" s="2" t="s">
        <v>8</v>
      </c>
      <c r="J150" s="2">
        <v>7</v>
      </c>
      <c r="K150" s="2">
        <v>0</v>
      </c>
      <c r="L150" s="5">
        <f t="shared" si="47"/>
        <v>1034013.89</v>
      </c>
      <c r="M150" s="2">
        <v>1</v>
      </c>
      <c r="N150" s="5">
        <f t="shared" si="48"/>
        <v>1034013.89</v>
      </c>
      <c r="O150" s="5"/>
      <c r="P150" s="5">
        <v>239806.62</v>
      </c>
      <c r="Q150" s="5">
        <v>0</v>
      </c>
      <c r="R150" s="5">
        <v>313528.48999999999</v>
      </c>
      <c r="S150" s="5">
        <v>179682.56</v>
      </c>
      <c r="T150" s="5">
        <v>300996.22000000003</v>
      </c>
      <c r="U150" s="5">
        <f t="shared" si="55"/>
        <v>0</v>
      </c>
      <c r="V150" s="5"/>
      <c r="W150" s="5">
        <f t="shared" si="49"/>
        <v>239806.62</v>
      </c>
      <c r="X150" s="5">
        <f t="shared" si="50"/>
        <v>0</v>
      </c>
      <c r="Y150" s="5">
        <f t="shared" si="51"/>
        <v>313528.48999999999</v>
      </c>
      <c r="Z150" s="5">
        <f t="shared" si="52"/>
        <v>179682.56</v>
      </c>
      <c r="AA150" s="5">
        <f t="shared" si="53"/>
        <v>300996.22000000003</v>
      </c>
      <c r="AB150" s="5">
        <f t="shared" si="54"/>
        <v>0</v>
      </c>
    </row>
    <row r="151" spans="1:28" ht="15.6">
      <c r="A151" s="2" t="s">
        <v>6</v>
      </c>
      <c r="B151" s="2" t="s">
        <v>125</v>
      </c>
      <c r="C151" s="6" t="s">
        <v>196</v>
      </c>
      <c r="D151" s="6" t="s">
        <v>41</v>
      </c>
      <c r="E151" s="8" t="s">
        <v>214</v>
      </c>
      <c r="F151" s="2">
        <f t="shared" si="46"/>
        <v>8.5</v>
      </c>
      <c r="G151" s="5">
        <v>8381.7999999999993</v>
      </c>
      <c r="H151" s="2"/>
      <c r="I151" s="2" t="s">
        <v>8</v>
      </c>
      <c r="J151" s="2">
        <v>7</v>
      </c>
      <c r="K151" s="2">
        <v>0</v>
      </c>
      <c r="L151" s="5">
        <f t="shared" si="47"/>
        <v>8381.7999999999993</v>
      </c>
      <c r="M151" s="2">
        <v>1</v>
      </c>
      <c r="N151" s="5">
        <f t="shared" si="48"/>
        <v>8381.7999999999993</v>
      </c>
      <c r="O151" s="5"/>
      <c r="P151" s="5">
        <v>1943.8900000000001</v>
      </c>
      <c r="Q151" s="5">
        <v>0</v>
      </c>
      <c r="R151" s="5">
        <v>2541.4899999999998</v>
      </c>
      <c r="S151" s="5">
        <v>1456.52</v>
      </c>
      <c r="T151" s="5">
        <v>2439.8999999999992</v>
      </c>
      <c r="U151" s="5">
        <f t="shared" si="55"/>
        <v>0</v>
      </c>
      <c r="V151" s="5"/>
      <c r="W151" s="5">
        <f t="shared" si="49"/>
        <v>1943.8900000000001</v>
      </c>
      <c r="X151" s="5">
        <f t="shared" si="50"/>
        <v>0</v>
      </c>
      <c r="Y151" s="5">
        <f t="shared" si="51"/>
        <v>2541.4899999999998</v>
      </c>
      <c r="Z151" s="5">
        <f t="shared" si="52"/>
        <v>1456.52</v>
      </c>
      <c r="AA151" s="5">
        <f t="shared" si="53"/>
        <v>2439.8999999999992</v>
      </c>
      <c r="AB151" s="5">
        <f t="shared" si="54"/>
        <v>0</v>
      </c>
    </row>
    <row r="152" spans="1:28" ht="15.6">
      <c r="A152" s="2" t="s">
        <v>6</v>
      </c>
      <c r="B152" s="2" t="s">
        <v>125</v>
      </c>
      <c r="C152" s="6" t="s">
        <v>197</v>
      </c>
      <c r="D152" s="6" t="s">
        <v>46</v>
      </c>
      <c r="E152" s="8" t="s">
        <v>214</v>
      </c>
      <c r="F152" s="2">
        <f t="shared" si="46"/>
        <v>8.5</v>
      </c>
      <c r="G152" s="5">
        <v>178308.75</v>
      </c>
      <c r="H152" s="2"/>
      <c r="I152" s="2" t="s">
        <v>8</v>
      </c>
      <c r="J152" s="2">
        <v>7</v>
      </c>
      <c r="K152" s="2">
        <v>0</v>
      </c>
      <c r="L152" s="5">
        <f t="shared" si="47"/>
        <v>178308.75</v>
      </c>
      <c r="M152" s="2">
        <v>1</v>
      </c>
      <c r="N152" s="5">
        <f t="shared" si="48"/>
        <v>178308.75</v>
      </c>
      <c r="O152" s="5"/>
      <c r="P152" s="5">
        <v>41353.040000000001</v>
      </c>
      <c r="Q152" s="5">
        <v>0</v>
      </c>
      <c r="R152" s="5">
        <v>54065.879999999997</v>
      </c>
      <c r="S152" s="5">
        <v>30985.049999999999</v>
      </c>
      <c r="T152" s="5">
        <v>51904.779999999984</v>
      </c>
      <c r="U152" s="5">
        <f t="shared" si="55"/>
        <v>0</v>
      </c>
      <c r="V152" s="5"/>
      <c r="W152" s="5">
        <f t="shared" si="49"/>
        <v>41353.040000000001</v>
      </c>
      <c r="X152" s="5">
        <f t="shared" si="50"/>
        <v>0</v>
      </c>
      <c r="Y152" s="5">
        <f t="shared" si="51"/>
        <v>54065.87999999999</v>
      </c>
      <c r="Z152" s="5">
        <f t="shared" si="52"/>
        <v>30985.049999999999</v>
      </c>
      <c r="AA152" s="5">
        <f t="shared" si="53"/>
        <v>51904.779999999984</v>
      </c>
      <c r="AB152" s="5">
        <f t="shared" si="54"/>
        <v>0</v>
      </c>
    </row>
    <row r="153" spans="1:28" ht="15.6">
      <c r="A153" s="2" t="s">
        <v>6</v>
      </c>
      <c r="B153" s="2" t="s">
        <v>125</v>
      </c>
      <c r="C153" s="6" t="s">
        <v>128</v>
      </c>
      <c r="D153" s="6" t="s">
        <v>52</v>
      </c>
      <c r="E153" s="8" t="s">
        <v>214</v>
      </c>
      <c r="F153" s="2">
        <f t="shared" si="46"/>
        <v>8.5</v>
      </c>
      <c r="G153" s="5">
        <v>8381.7999999999993</v>
      </c>
      <c r="H153" s="2"/>
      <c r="I153" s="2" t="s">
        <v>8</v>
      </c>
      <c r="J153" s="2">
        <v>7</v>
      </c>
      <c r="K153" s="2">
        <v>0</v>
      </c>
      <c r="L153" s="5">
        <f t="shared" si="47"/>
        <v>8381.7999999999993</v>
      </c>
      <c r="M153" s="2">
        <v>1</v>
      </c>
      <c r="N153" s="5">
        <f t="shared" si="48"/>
        <v>8381.7999999999993</v>
      </c>
      <c r="O153" s="5"/>
      <c r="P153" s="5">
        <v>1943.8900000000001</v>
      </c>
      <c r="Q153" s="5">
        <v>0</v>
      </c>
      <c r="R153" s="5">
        <v>2541.4899999999998</v>
      </c>
      <c r="S153" s="5">
        <v>1456.52</v>
      </c>
      <c r="T153" s="5">
        <v>2439.8999999999992</v>
      </c>
      <c r="U153" s="5">
        <f t="shared" si="55"/>
        <v>0</v>
      </c>
      <c r="V153" s="5"/>
      <c r="W153" s="5">
        <f t="shared" si="49"/>
        <v>1943.8900000000001</v>
      </c>
      <c r="X153" s="5">
        <f t="shared" si="50"/>
        <v>0</v>
      </c>
      <c r="Y153" s="5">
        <f t="shared" si="51"/>
        <v>2541.4899999999998</v>
      </c>
      <c r="Z153" s="5">
        <f t="shared" si="52"/>
        <v>1456.52</v>
      </c>
      <c r="AA153" s="5">
        <f t="shared" si="53"/>
        <v>2439.8999999999992</v>
      </c>
      <c r="AB153" s="5">
        <f t="shared" si="54"/>
        <v>0</v>
      </c>
    </row>
    <row r="154" spans="1:28" ht="15.6">
      <c r="A154" s="2" t="s">
        <v>6</v>
      </c>
      <c r="B154" s="2" t="s">
        <v>125</v>
      </c>
      <c r="C154" s="6" t="s">
        <v>129</v>
      </c>
      <c r="D154" s="6" t="s">
        <v>56</v>
      </c>
      <c r="E154" s="8" t="s">
        <v>214</v>
      </c>
      <c r="F154" s="2">
        <f t="shared" si="46"/>
        <v>8.5</v>
      </c>
      <c r="G154" s="5">
        <v>38.990000000000002</v>
      </c>
      <c r="H154" s="2"/>
      <c r="I154" s="2" t="s">
        <v>8</v>
      </c>
      <c r="J154" s="2">
        <v>7</v>
      </c>
      <c r="K154" s="2">
        <v>0</v>
      </c>
      <c r="L154" s="5">
        <f t="shared" si="47"/>
        <v>38.990000000000002</v>
      </c>
      <c r="M154" s="2">
        <v>1</v>
      </c>
      <c r="N154" s="5">
        <f t="shared" si="48"/>
        <v>38.990000000000002</v>
      </c>
      <c r="O154" s="5"/>
      <c r="P154" s="5">
        <v>9.0399999999999991</v>
      </c>
      <c r="Q154" s="5">
        <v>0</v>
      </c>
      <c r="R154" s="5">
        <v>11.82</v>
      </c>
      <c r="S154" s="5">
        <v>6.7800000000000002</v>
      </c>
      <c r="T154" s="5">
        <v>11.350000000000001</v>
      </c>
      <c r="U154" s="5">
        <f t="shared" si="55"/>
        <v>0</v>
      </c>
      <c r="V154" s="5"/>
      <c r="W154" s="5">
        <f t="shared" si="49"/>
        <v>9.0399999999999991</v>
      </c>
      <c r="X154" s="5">
        <f t="shared" si="50"/>
        <v>0</v>
      </c>
      <c r="Y154" s="5">
        <f t="shared" si="51"/>
        <v>11.819999999999999</v>
      </c>
      <c r="Z154" s="5">
        <f t="shared" si="52"/>
        <v>6.7800000000000002</v>
      </c>
      <c r="AA154" s="5">
        <f t="shared" si="53"/>
        <v>11.350000000000003</v>
      </c>
      <c r="AB154" s="5">
        <f t="shared" si="54"/>
        <v>0</v>
      </c>
    </row>
    <row r="155" spans="1:28" ht="15.6">
      <c r="A155" s="2" t="s">
        <v>6</v>
      </c>
      <c r="B155" s="2" t="s">
        <v>125</v>
      </c>
      <c r="C155" s="6" t="s">
        <v>198</v>
      </c>
      <c r="D155" s="6" t="s">
        <v>58</v>
      </c>
      <c r="E155" s="8" t="s">
        <v>214</v>
      </c>
      <c r="F155" s="2">
        <f t="shared" si="46"/>
        <v>8.5</v>
      </c>
      <c r="G155" s="5">
        <v>8381.7999999999993</v>
      </c>
      <c r="H155" s="2"/>
      <c r="I155" s="2" t="s">
        <v>8</v>
      </c>
      <c r="J155" s="2">
        <v>7</v>
      </c>
      <c r="K155" s="2">
        <v>0</v>
      </c>
      <c r="L155" s="5">
        <f t="shared" si="47"/>
        <v>8381.7999999999993</v>
      </c>
      <c r="M155" s="2">
        <v>1</v>
      </c>
      <c r="N155" s="5">
        <f t="shared" si="48"/>
        <v>8381.7999999999993</v>
      </c>
      <c r="O155" s="5"/>
      <c r="P155" s="5">
        <v>1943.8900000000001</v>
      </c>
      <c r="Q155" s="5">
        <v>0</v>
      </c>
      <c r="R155" s="5">
        <v>2541.4899999999998</v>
      </c>
      <c r="S155" s="5">
        <v>1456.52</v>
      </c>
      <c r="T155" s="5">
        <v>2439.8999999999992</v>
      </c>
      <c r="U155" s="5">
        <f t="shared" si="55"/>
        <v>0</v>
      </c>
      <c r="V155" s="5"/>
      <c r="W155" s="5">
        <f t="shared" si="49"/>
        <v>1943.8900000000001</v>
      </c>
      <c r="X155" s="5">
        <f t="shared" si="50"/>
        <v>0</v>
      </c>
      <c r="Y155" s="5">
        <f t="shared" si="51"/>
        <v>2541.4899999999998</v>
      </c>
      <c r="Z155" s="5">
        <f t="shared" si="52"/>
        <v>1456.52</v>
      </c>
      <c r="AA155" s="5">
        <f t="shared" si="53"/>
        <v>2439.8999999999992</v>
      </c>
      <c r="AB155" s="5">
        <f t="shared" si="54"/>
        <v>0</v>
      </c>
    </row>
    <row r="156" spans="1:28" ht="15.6">
      <c r="A156" s="2" t="s">
        <v>6</v>
      </c>
      <c r="B156" s="2" t="s">
        <v>125</v>
      </c>
      <c r="C156" s="6" t="s">
        <v>199</v>
      </c>
      <c r="D156" s="6" t="s">
        <v>65</v>
      </c>
      <c r="E156" s="8" t="s">
        <v>214</v>
      </c>
      <c r="F156" s="2">
        <f t="shared" si="46"/>
        <v>8.5</v>
      </c>
      <c r="G156" s="5">
        <v>178310.5</v>
      </c>
      <c r="H156" s="2"/>
      <c r="I156" s="2" t="s">
        <v>8</v>
      </c>
      <c r="J156" s="2">
        <v>7</v>
      </c>
      <c r="K156" s="2">
        <v>0</v>
      </c>
      <c r="L156" s="5">
        <f t="shared" si="47"/>
        <v>178310.5</v>
      </c>
      <c r="M156" s="2">
        <v>1</v>
      </c>
      <c r="N156" s="5">
        <f t="shared" si="48"/>
        <v>178310.5</v>
      </c>
      <c r="O156" s="5"/>
      <c r="P156" s="5">
        <v>41353.449999999997</v>
      </c>
      <c r="Q156" s="5">
        <v>0</v>
      </c>
      <c r="R156" s="5">
        <v>54066.410000000003</v>
      </c>
      <c r="S156" s="5">
        <v>30985.349999999999</v>
      </c>
      <c r="T156" s="5">
        <v>51905.289999999986</v>
      </c>
      <c r="U156" s="5">
        <f t="shared" si="55"/>
        <v>0</v>
      </c>
      <c r="V156" s="5"/>
      <c r="W156" s="5">
        <f t="shared" si="49"/>
        <v>41353.449999999997</v>
      </c>
      <c r="X156" s="5">
        <f t="shared" si="50"/>
        <v>0</v>
      </c>
      <c r="Y156" s="5">
        <f t="shared" si="51"/>
        <v>54066.410000000011</v>
      </c>
      <c r="Z156" s="5">
        <f t="shared" si="52"/>
        <v>30985.350000000002</v>
      </c>
      <c r="AA156" s="5">
        <f t="shared" si="53"/>
        <v>51905.289999999986</v>
      </c>
      <c r="AB156" s="5">
        <f t="shared" si="54"/>
        <v>0</v>
      </c>
    </row>
    <row r="157" spans="1:28" ht="15.6">
      <c r="A157" s="2" t="s">
        <v>7</v>
      </c>
      <c r="B157" s="2" t="s">
        <v>125</v>
      </c>
      <c r="C157" s="6" t="s">
        <v>155</v>
      </c>
      <c r="D157" s="6" t="s">
        <v>32</v>
      </c>
      <c r="E157" s="8" t="s">
        <v>214</v>
      </c>
      <c r="F157" s="2">
        <f t="shared" si="46"/>
        <v>8.5</v>
      </c>
      <c r="G157" s="5">
        <v>503.25</v>
      </c>
      <c r="H157" s="2"/>
      <c r="I157" s="2" t="s">
        <v>8</v>
      </c>
      <c r="J157" s="2">
        <v>7</v>
      </c>
      <c r="K157" s="2">
        <v>0</v>
      </c>
      <c r="L157" s="5">
        <f t="shared" si="47"/>
        <v>503.25</v>
      </c>
      <c r="M157" s="2">
        <v>1</v>
      </c>
      <c r="N157" s="5">
        <f t="shared" si="48"/>
        <v>503.25</v>
      </c>
      <c r="O157" s="5"/>
      <c r="P157" s="5">
        <v>116.70999999999999</v>
      </c>
      <c r="Q157" s="5">
        <v>0</v>
      </c>
      <c r="R157" s="5">
        <v>152.59</v>
      </c>
      <c r="S157" s="5">
        <v>87.450000000000003</v>
      </c>
      <c r="T157" s="5">
        <v>146.5</v>
      </c>
      <c r="U157" s="5">
        <f t="shared" si="55"/>
        <v>0</v>
      </c>
      <c r="V157" s="5"/>
      <c r="W157" s="5">
        <f t="shared" si="49"/>
        <v>116.70999999999999</v>
      </c>
      <c r="X157" s="5">
        <f t="shared" si="50"/>
        <v>0</v>
      </c>
      <c r="Y157" s="5">
        <f t="shared" si="51"/>
        <v>152.59</v>
      </c>
      <c r="Z157" s="5">
        <f t="shared" si="52"/>
        <v>87.450000000000003</v>
      </c>
      <c r="AA157" s="5">
        <f t="shared" si="53"/>
        <v>146.5</v>
      </c>
      <c r="AB157" s="5">
        <f t="shared" si="54"/>
        <v>0</v>
      </c>
    </row>
    <row r="158" spans="1:28" ht="15.6">
      <c r="A158" s="2" t="s">
        <v>6</v>
      </c>
      <c r="B158" s="2" t="s">
        <v>125</v>
      </c>
      <c r="C158" s="6" t="s">
        <v>126</v>
      </c>
      <c r="D158" s="6" t="s">
        <v>23</v>
      </c>
      <c r="E158" s="8" t="s">
        <v>215</v>
      </c>
      <c r="F158" s="2">
        <f t="shared" si="46"/>
        <v>9.5</v>
      </c>
      <c r="G158" s="5">
        <v>38341449.039999999</v>
      </c>
      <c r="H158" s="2"/>
      <c r="I158" s="2" t="s">
        <v>8</v>
      </c>
      <c r="J158" s="2">
        <v>7</v>
      </c>
      <c r="K158" s="2">
        <v>0</v>
      </c>
      <c r="L158" s="5">
        <f t="shared" si="47"/>
        <v>38341449.039999999</v>
      </c>
      <c r="M158" s="2">
        <v>1</v>
      </c>
      <c r="N158" s="5">
        <f t="shared" si="48"/>
        <v>38341449.039999999</v>
      </c>
      <c r="O158" s="5"/>
      <c r="P158" s="5">
        <v>8892079.2300000004</v>
      </c>
      <c r="Q158" s="5">
        <v>0</v>
      </c>
      <c r="R158" s="5">
        <v>11625701.48</v>
      </c>
      <c r="S158" s="5">
        <v>6662666.4000000004</v>
      </c>
      <c r="T158" s="5">
        <v>11161001.929999998</v>
      </c>
      <c r="W158" s="5">
        <f t="shared" si="49"/>
        <v>8892079.2300000004</v>
      </c>
      <c r="X158" s="5">
        <f t="shared" si="50"/>
        <v>0</v>
      </c>
      <c r="Y158" s="5">
        <f t="shared" si="51"/>
        <v>11625701.48</v>
      </c>
      <c r="Z158" s="5">
        <f t="shared" si="52"/>
        <v>6662666.4000000004</v>
      </c>
      <c r="AA158" s="5">
        <f t="shared" si="53"/>
        <v>11161001.93</v>
      </c>
      <c r="AB158" s="5">
        <f t="shared" si="54"/>
        <v>0</v>
      </c>
    </row>
    <row r="159" spans="1:28" ht="15.6">
      <c r="A159" s="2" t="s">
        <v>6</v>
      </c>
      <c r="B159" s="2" t="s">
        <v>125</v>
      </c>
      <c r="C159" s="6" t="s">
        <v>126</v>
      </c>
      <c r="D159" s="6" t="s">
        <v>23</v>
      </c>
      <c r="E159" s="8" t="s">
        <v>215</v>
      </c>
      <c r="F159" s="2">
        <f t="shared" si="46"/>
        <v>9.5</v>
      </c>
      <c r="G159" s="5">
        <v>38197.830000000002</v>
      </c>
      <c r="H159" s="2"/>
      <c r="I159" s="2" t="s">
        <v>8</v>
      </c>
      <c r="J159" s="2">
        <v>7</v>
      </c>
      <c r="K159" s="2">
        <v>0</v>
      </c>
      <c r="L159" s="5">
        <f t="shared" si="47"/>
        <v>38197.830000000002</v>
      </c>
      <c r="M159" s="2">
        <v>1</v>
      </c>
      <c r="N159" s="5">
        <f t="shared" si="48"/>
        <v>38197.830000000002</v>
      </c>
      <c r="O159" s="5"/>
      <c r="P159" s="5">
        <v>8858.7700000000004</v>
      </c>
      <c r="Q159" s="5">
        <v>0</v>
      </c>
      <c r="R159" s="5">
        <v>11582.15</v>
      </c>
      <c r="S159" s="5">
        <v>6637.71</v>
      </c>
      <c r="T159" s="5">
        <v>11119.200000000004</v>
      </c>
      <c r="U159" s="5">
        <f>+G159-SUM(P159:T159)</f>
        <v>0</v>
      </c>
      <c r="V159" s="5"/>
      <c r="W159" s="5">
        <f t="shared" si="49"/>
        <v>8858.7700000000004</v>
      </c>
      <c r="X159" s="5">
        <f t="shared" si="50"/>
        <v>0</v>
      </c>
      <c r="Y159" s="5">
        <f t="shared" si="51"/>
        <v>11582.150000000002</v>
      </c>
      <c r="Z159" s="5">
        <f t="shared" si="52"/>
        <v>6637.71</v>
      </c>
      <c r="AA159" s="5">
        <f t="shared" si="53"/>
        <v>11119.200000000004</v>
      </c>
      <c r="AB159" s="5">
        <f t="shared" si="54"/>
        <v>0</v>
      </c>
    </row>
    <row r="160" spans="1:28" ht="15.6">
      <c r="A160" s="2" t="s">
        <v>6</v>
      </c>
      <c r="B160" s="2" t="s">
        <v>125</v>
      </c>
      <c r="C160" s="6" t="s">
        <v>156</v>
      </c>
      <c r="D160" s="6" t="s">
        <v>37</v>
      </c>
      <c r="E160" s="8" t="s">
        <v>215</v>
      </c>
      <c r="F160" s="2">
        <f t="shared" si="46"/>
        <v>9.5</v>
      </c>
      <c r="G160" s="5">
        <v>12710</v>
      </c>
      <c r="H160" s="2"/>
      <c r="I160" s="2" t="s">
        <v>8</v>
      </c>
      <c r="J160" s="2">
        <v>7</v>
      </c>
      <c r="K160" s="2">
        <v>0</v>
      </c>
      <c r="L160" s="5">
        <f t="shared" si="47"/>
        <v>12710</v>
      </c>
      <c r="M160" s="2">
        <v>1</v>
      </c>
      <c r="N160" s="5">
        <f t="shared" si="48"/>
        <v>12710</v>
      </c>
      <c r="O160" s="5"/>
      <c r="P160" s="5">
        <v>2947.6799999999998</v>
      </c>
      <c r="Q160" s="5">
        <v>0</v>
      </c>
      <c r="R160" s="5">
        <v>3853.8600000000001</v>
      </c>
      <c r="S160" s="5">
        <v>2208.6399999999999</v>
      </c>
      <c r="T160" s="5">
        <v>3699.8199999999993</v>
      </c>
      <c r="U160" s="5">
        <f>+G160-SUM(P160:T160)</f>
        <v>0</v>
      </c>
      <c r="V160" s="5"/>
      <c r="W160" s="5">
        <f t="shared" si="49"/>
        <v>2947.6799999999998</v>
      </c>
      <c r="X160" s="5">
        <f t="shared" si="50"/>
        <v>0</v>
      </c>
      <c r="Y160" s="5">
        <f t="shared" si="51"/>
        <v>3853.8600000000006</v>
      </c>
      <c r="Z160" s="5">
        <f t="shared" si="52"/>
        <v>2208.6399999999999</v>
      </c>
      <c r="AA160" s="5">
        <f t="shared" si="53"/>
        <v>3699.8199999999988</v>
      </c>
      <c r="AB160" s="5">
        <f t="shared" si="54"/>
        <v>0</v>
      </c>
    </row>
    <row r="161" spans="1:28" ht="15.6">
      <c r="A161" s="2" t="s">
        <v>6</v>
      </c>
      <c r="B161" s="2" t="s">
        <v>125</v>
      </c>
      <c r="C161" s="6" t="s">
        <v>136</v>
      </c>
      <c r="D161" s="6" t="s">
        <v>40</v>
      </c>
      <c r="E161" s="8" t="s">
        <v>215</v>
      </c>
      <c r="F161" s="2">
        <f t="shared" si="46"/>
        <v>9.5</v>
      </c>
      <c r="G161" s="5">
        <v>9105.9899999999998</v>
      </c>
      <c r="H161" s="2"/>
      <c r="I161" s="2" t="s">
        <v>8</v>
      </c>
      <c r="J161" s="2">
        <v>7</v>
      </c>
      <c r="K161" s="2">
        <v>0</v>
      </c>
      <c r="L161" s="5">
        <f t="shared" si="47"/>
        <v>9105.9899999999998</v>
      </c>
      <c r="M161" s="2">
        <v>1</v>
      </c>
      <c r="N161" s="5">
        <f t="shared" si="48"/>
        <v>9105.9899999999998</v>
      </c>
      <c r="O161" s="5"/>
      <c r="P161" s="5">
        <v>2111.8400000000001</v>
      </c>
      <c r="Q161" s="5">
        <v>0</v>
      </c>
      <c r="R161" s="5">
        <v>2761.0700000000002</v>
      </c>
      <c r="S161" s="5">
        <v>1582.3699999999999</v>
      </c>
      <c r="T161" s="5">
        <v>2650.71</v>
      </c>
      <c r="U161" s="5">
        <f>+G161-SUM(P161:T161)</f>
        <v>0</v>
      </c>
      <c r="V161" s="5"/>
      <c r="W161" s="5">
        <f t="shared" si="49"/>
        <v>2111.8400000000001</v>
      </c>
      <c r="X161" s="5">
        <f t="shared" si="50"/>
        <v>0</v>
      </c>
      <c r="Y161" s="5">
        <f t="shared" si="51"/>
        <v>2761.0700000000002</v>
      </c>
      <c r="Z161" s="5">
        <f t="shared" si="52"/>
        <v>1582.3699999999999</v>
      </c>
      <c r="AA161" s="5">
        <f t="shared" si="53"/>
        <v>2650.71</v>
      </c>
      <c r="AB161" s="5">
        <f t="shared" si="54"/>
        <v>0</v>
      </c>
    </row>
    <row r="162" spans="1:28" ht="15.6">
      <c r="A162" s="2" t="s">
        <v>7</v>
      </c>
      <c r="B162" s="2" t="s">
        <v>125</v>
      </c>
      <c r="C162" s="6" t="s">
        <v>200</v>
      </c>
      <c r="D162" s="6" t="s">
        <v>110</v>
      </c>
      <c r="E162" s="8" t="s">
        <v>215</v>
      </c>
      <c r="F162" s="2">
        <f t="shared" si="46"/>
        <v>9.5</v>
      </c>
      <c r="G162" s="5">
        <v>-1682</v>
      </c>
      <c r="H162" s="2"/>
      <c r="I162" s="2" t="s">
        <v>8</v>
      </c>
      <c r="J162" s="2">
        <v>7</v>
      </c>
      <c r="K162" s="2">
        <v>0</v>
      </c>
      <c r="L162" s="5">
        <f t="shared" si="47"/>
        <v>-1682</v>
      </c>
      <c r="M162" s="2">
        <v>1</v>
      </c>
      <c r="N162" s="5">
        <f t="shared" si="48"/>
        <v>-1682</v>
      </c>
      <c r="O162" s="5"/>
      <c r="P162" s="5">
        <v>-390.08999999999998</v>
      </c>
      <c r="Q162" s="5">
        <v>0</v>
      </c>
      <c r="R162" s="5">
        <v>-510.00999999999999</v>
      </c>
      <c r="S162" s="5">
        <v>-292.27999999999997</v>
      </c>
      <c r="T162" s="5">
        <v>-489.62000000000012</v>
      </c>
      <c r="U162" s="5">
        <f>+G162-SUM(P162:T162)</f>
        <v>0</v>
      </c>
      <c r="V162" s="5"/>
      <c r="W162" s="5">
        <f t="shared" si="49"/>
        <v>-390.08999999999998</v>
      </c>
      <c r="X162" s="5">
        <f t="shared" si="50"/>
        <v>0</v>
      </c>
      <c r="Y162" s="5">
        <f t="shared" si="51"/>
        <v>-510.00999999999999</v>
      </c>
      <c r="Z162" s="5">
        <f t="shared" si="52"/>
        <v>-292.27999999999997</v>
      </c>
      <c r="AA162" s="5">
        <f t="shared" si="53"/>
        <v>-489.62000000000012</v>
      </c>
      <c r="AB162" s="5">
        <f t="shared" si="54"/>
        <v>0</v>
      </c>
    </row>
    <row r="163" spans="1:28" ht="15.6">
      <c r="A163" s="2" t="s">
        <v>6</v>
      </c>
      <c r="B163" s="2" t="s">
        <v>125</v>
      </c>
      <c r="C163" s="6" t="s">
        <v>126</v>
      </c>
      <c r="D163" s="6" t="s">
        <v>23</v>
      </c>
      <c r="E163" s="8" t="s">
        <v>216</v>
      </c>
      <c r="F163" s="2">
        <f t="shared" si="46"/>
        <v>10.5</v>
      </c>
      <c r="G163" s="5">
        <v>391995.79999999999</v>
      </c>
      <c r="H163" s="2"/>
      <c r="I163" s="2" t="s">
        <v>8</v>
      </c>
      <c r="J163" s="2">
        <v>7</v>
      </c>
      <c r="K163" s="2">
        <v>0</v>
      </c>
      <c r="L163" s="5">
        <f t="shared" si="47"/>
        <v>391995.79999999999</v>
      </c>
      <c r="M163" s="2">
        <v>1</v>
      </c>
      <c r="N163" s="5">
        <f t="shared" si="48"/>
        <v>391995.79999999999</v>
      </c>
      <c r="O163" s="5"/>
      <c r="P163" s="5">
        <v>90910.949999999997</v>
      </c>
      <c r="Q163" s="5">
        <v>0</v>
      </c>
      <c r="R163" s="5">
        <v>118859</v>
      </c>
      <c r="S163" s="5">
        <v>68117.850000000006</v>
      </c>
      <c r="T163" s="5">
        <v>114107.99999999997</v>
      </c>
      <c r="W163" s="5">
        <f t="shared" si="49"/>
        <v>90910.949999999997</v>
      </c>
      <c r="X163" s="5">
        <f t="shared" si="50"/>
        <v>0</v>
      </c>
      <c r="Y163" s="5">
        <f t="shared" si="51"/>
        <v>118859</v>
      </c>
      <c r="Z163" s="5">
        <f t="shared" si="52"/>
        <v>68117.850000000006</v>
      </c>
      <c r="AA163" s="5">
        <f t="shared" si="53"/>
        <v>114107.99999999999</v>
      </c>
      <c r="AB163" s="5">
        <f t="shared" si="54"/>
        <v>0</v>
      </c>
    </row>
    <row r="164" spans="1:28" ht="15.6">
      <c r="A164" s="2" t="s">
        <v>7</v>
      </c>
      <c r="B164" s="2" t="s">
        <v>125</v>
      </c>
      <c r="C164" s="6" t="s">
        <v>175</v>
      </c>
      <c r="D164" s="6" t="s">
        <v>105</v>
      </c>
      <c r="E164" s="8" t="s">
        <v>216</v>
      </c>
      <c r="F164" s="2">
        <f t="shared" si="46"/>
        <v>10.5</v>
      </c>
      <c r="G164" s="5">
        <v>41.810000000000002</v>
      </c>
      <c r="H164" s="2"/>
      <c r="I164" s="2" t="s">
        <v>8</v>
      </c>
      <c r="J164" s="2">
        <v>7</v>
      </c>
      <c r="K164" s="2">
        <v>0</v>
      </c>
      <c r="L164" s="5">
        <f t="shared" si="47"/>
        <v>41.810000000000002</v>
      </c>
      <c r="M164" s="2">
        <v>1</v>
      </c>
      <c r="N164" s="5">
        <f t="shared" si="48"/>
        <v>41.810000000000002</v>
      </c>
      <c r="O164" s="5"/>
      <c r="P164" s="5">
        <v>9.6999999999999993</v>
      </c>
      <c r="Q164" s="5">
        <v>0</v>
      </c>
      <c r="R164" s="5">
        <v>12.68</v>
      </c>
      <c r="S164" s="5">
        <v>7.2699999999999996</v>
      </c>
      <c r="T164" s="5">
        <v>12.16</v>
      </c>
      <c r="W164" s="5">
        <f t="shared" si="49"/>
        <v>9.6999999999999993</v>
      </c>
      <c r="X164" s="5">
        <f t="shared" si="50"/>
        <v>0</v>
      </c>
      <c r="Y164" s="5">
        <f t="shared" si="51"/>
        <v>12.68</v>
      </c>
      <c r="Z164" s="5">
        <f t="shared" si="52"/>
        <v>7.2699999999999996</v>
      </c>
      <c r="AA164" s="5">
        <f t="shared" si="53"/>
        <v>12.16</v>
      </c>
      <c r="AB164" s="5">
        <f t="shared" si="54"/>
        <v>0</v>
      </c>
    </row>
    <row r="165" spans="1:28" ht="15.6">
      <c r="A165" s="2" t="s">
        <v>7</v>
      </c>
      <c r="B165" s="2" t="s">
        <v>125</v>
      </c>
      <c r="C165" s="6" t="s">
        <v>150</v>
      </c>
      <c r="D165" s="6" t="s">
        <v>109</v>
      </c>
      <c r="E165" s="8" t="s">
        <v>216</v>
      </c>
      <c r="F165" s="2">
        <f t="shared" si="56" ref="F165:F183">2021.5-E165</f>
        <v>10.5</v>
      </c>
      <c r="G165" s="5">
        <v>811060.75</v>
      </c>
      <c r="H165" s="2"/>
      <c r="I165" s="2" t="s">
        <v>8</v>
      </c>
      <c r="J165" s="2">
        <v>7</v>
      </c>
      <c r="K165" s="2">
        <v>0</v>
      </c>
      <c r="L165" s="5">
        <f t="shared" si="47"/>
        <v>811060.75</v>
      </c>
      <c r="M165" s="2">
        <v>1</v>
      </c>
      <c r="N165" s="5">
        <f t="shared" si="48"/>
        <v>811060.75</v>
      </c>
      <c r="O165" s="5"/>
      <c r="P165" s="5">
        <v>188099.73999999999</v>
      </c>
      <c r="Q165" s="5">
        <v>0</v>
      </c>
      <c r="R165" s="5">
        <v>245925.76000000001</v>
      </c>
      <c r="S165" s="5">
        <v>140939.57000000001</v>
      </c>
      <c r="T165" s="5">
        <v>236095.67999999999</v>
      </c>
      <c r="U165" s="5">
        <f>+G165-SUM(P165:T165)</f>
        <v>0</v>
      </c>
      <c r="V165" s="5"/>
      <c r="W165" s="5">
        <f t="shared" si="49"/>
        <v>188099.73999999999</v>
      </c>
      <c r="X165" s="5">
        <f t="shared" si="50"/>
        <v>0</v>
      </c>
      <c r="Y165" s="5">
        <f t="shared" si="51"/>
        <v>245925.76000000001</v>
      </c>
      <c r="Z165" s="5">
        <f t="shared" si="52"/>
        <v>140939.57000000001</v>
      </c>
      <c r="AA165" s="5">
        <f t="shared" si="53"/>
        <v>236095.67999999996</v>
      </c>
      <c r="AB165" s="5">
        <f t="shared" si="54"/>
        <v>0</v>
      </c>
    </row>
    <row r="166" spans="1:28" ht="15.6">
      <c r="A166" s="2" t="s">
        <v>6</v>
      </c>
      <c r="B166" s="2" t="s">
        <v>125</v>
      </c>
      <c r="C166" s="6" t="s">
        <v>126</v>
      </c>
      <c r="D166" s="6" t="s">
        <v>23</v>
      </c>
      <c r="E166" s="8" t="s">
        <v>217</v>
      </c>
      <c r="F166" s="2">
        <f t="shared" si="56"/>
        <v>11.5</v>
      </c>
      <c r="G166" s="5">
        <v>462172.94</v>
      </c>
      <c r="H166" s="2"/>
      <c r="I166" s="2" t="s">
        <v>8</v>
      </c>
      <c r="J166" s="2">
        <v>7</v>
      </c>
      <c r="K166" s="2">
        <v>0</v>
      </c>
      <c r="L166" s="5">
        <f t="shared" si="47"/>
        <v>462172.94</v>
      </c>
      <c r="M166" s="2">
        <v>1</v>
      </c>
      <c r="N166" s="5">
        <f t="shared" si="48"/>
        <v>462172.94</v>
      </c>
      <c r="O166" s="5"/>
      <c r="P166" s="5">
        <v>107186.31</v>
      </c>
      <c r="Q166" s="5">
        <v>0</v>
      </c>
      <c r="R166" s="5">
        <v>140137.76000000001</v>
      </c>
      <c r="S166" s="5">
        <v>80312.669999999998</v>
      </c>
      <c r="T166" s="5">
        <v>134536.20000000001</v>
      </c>
      <c r="U166" s="5">
        <f>+G166-SUM(P166:T166)</f>
        <v>0</v>
      </c>
      <c r="V166" s="5"/>
      <c r="W166" s="5">
        <f t="shared" si="49"/>
        <v>107186.31</v>
      </c>
      <c r="X166" s="5">
        <f t="shared" si="50"/>
        <v>0</v>
      </c>
      <c r="Y166" s="5">
        <f t="shared" si="51"/>
        <v>140137.76000000001</v>
      </c>
      <c r="Z166" s="5">
        <f t="shared" si="52"/>
        <v>80312.669999999998</v>
      </c>
      <c r="AA166" s="5">
        <f t="shared" si="53"/>
        <v>134536.20000000001</v>
      </c>
      <c r="AB166" s="5">
        <f t="shared" si="54"/>
        <v>0</v>
      </c>
    </row>
    <row r="167" spans="1:28" ht="15.6">
      <c r="A167" s="2" t="s">
        <v>6</v>
      </c>
      <c r="B167" s="2" t="s">
        <v>125</v>
      </c>
      <c r="C167" s="6" t="s">
        <v>179</v>
      </c>
      <c r="D167" s="6" t="s">
        <v>33</v>
      </c>
      <c r="E167" s="8" t="s">
        <v>217</v>
      </c>
      <c r="F167" s="2">
        <f t="shared" si="56"/>
        <v>11.5</v>
      </c>
      <c r="G167" s="5">
        <v>994082.90000000002</v>
      </c>
      <c r="H167" s="2"/>
      <c r="I167" s="2" t="s">
        <v>8</v>
      </c>
      <c r="J167" s="2">
        <v>7</v>
      </c>
      <c r="K167" s="2">
        <v>0</v>
      </c>
      <c r="L167" s="5">
        <f t="shared" si="47"/>
        <v>994082.90000000002</v>
      </c>
      <c r="M167" s="2">
        <v>1</v>
      </c>
      <c r="N167" s="5">
        <f t="shared" si="48"/>
        <v>994082.90000000002</v>
      </c>
      <c r="O167" s="5"/>
      <c r="P167" s="5">
        <v>230545.89999999999</v>
      </c>
      <c r="Q167" s="5">
        <v>0</v>
      </c>
      <c r="R167" s="5">
        <v>301420.82000000001</v>
      </c>
      <c r="S167" s="5">
        <v>172743.67000000001</v>
      </c>
      <c r="T167" s="5">
        <v>289372.51000000001</v>
      </c>
      <c r="U167" s="5">
        <f>+G167-SUM(P167:T167)</f>
        <v>0</v>
      </c>
      <c r="V167" s="5"/>
      <c r="W167" s="5">
        <f t="shared" si="49"/>
        <v>230545.89999999999</v>
      </c>
      <c r="X167" s="5">
        <f t="shared" si="50"/>
        <v>0</v>
      </c>
      <c r="Y167" s="5">
        <f t="shared" si="51"/>
        <v>301420.82000000001</v>
      </c>
      <c r="Z167" s="5">
        <f t="shared" si="52"/>
        <v>172743.67000000001</v>
      </c>
      <c r="AA167" s="5">
        <f t="shared" si="53"/>
        <v>289372.51000000001</v>
      </c>
      <c r="AB167" s="5">
        <f t="shared" si="54"/>
        <v>0</v>
      </c>
    </row>
    <row r="168" spans="1:28" ht="15.6">
      <c r="A168" s="2" t="s">
        <v>6</v>
      </c>
      <c r="B168" s="2" t="s">
        <v>125</v>
      </c>
      <c r="C168" s="6" t="s">
        <v>201</v>
      </c>
      <c r="D168" s="6" t="s">
        <v>38</v>
      </c>
      <c r="E168" s="8" t="s">
        <v>217</v>
      </c>
      <c r="F168" s="2">
        <f t="shared" si="56"/>
        <v>11.5</v>
      </c>
      <c r="G168" s="5">
        <v>3391905.3999999999</v>
      </c>
      <c r="H168" s="2"/>
      <c r="I168" s="2" t="s">
        <v>8</v>
      </c>
      <c r="J168" s="2">
        <v>7</v>
      </c>
      <c r="K168" s="2">
        <v>0</v>
      </c>
      <c r="L168" s="5">
        <f t="shared" si="47"/>
        <v>3391905.3999999999</v>
      </c>
      <c r="M168" s="2">
        <v>1</v>
      </c>
      <c r="N168" s="5">
        <f t="shared" si="48"/>
        <v>3391905.3999999999</v>
      </c>
      <c r="O168" s="5"/>
      <c r="P168" s="5">
        <v>786644.54000000004</v>
      </c>
      <c r="Q168" s="5">
        <v>0</v>
      </c>
      <c r="R168" s="5">
        <v>1028476.51</v>
      </c>
      <c r="S168" s="5">
        <v>589417.83999999997</v>
      </c>
      <c r="T168" s="5">
        <v>987366.50999999989</v>
      </c>
      <c r="W168" s="5">
        <f t="shared" si="49"/>
        <v>786644.54000000004</v>
      </c>
      <c r="X168" s="5">
        <f t="shared" si="50"/>
        <v>0</v>
      </c>
      <c r="Y168" s="5">
        <f t="shared" si="51"/>
        <v>1028476.51</v>
      </c>
      <c r="Z168" s="5">
        <f t="shared" si="52"/>
        <v>589417.83999999997</v>
      </c>
      <c r="AA168" s="5">
        <f t="shared" si="53"/>
        <v>987366.51000000001</v>
      </c>
      <c r="AB168" s="5">
        <f t="shared" si="54"/>
        <v>0</v>
      </c>
    </row>
    <row r="169" spans="1:28" ht="15.6">
      <c r="A169" s="2" t="s">
        <v>6</v>
      </c>
      <c r="B169" s="2" t="s">
        <v>125</v>
      </c>
      <c r="C169" s="6" t="s">
        <v>181</v>
      </c>
      <c r="D169" s="6" t="s">
        <v>43</v>
      </c>
      <c r="E169" s="8" t="s">
        <v>217</v>
      </c>
      <c r="F169" s="2">
        <f t="shared" si="56"/>
        <v>11.5</v>
      </c>
      <c r="G169" s="5">
        <v>11040.870000000001</v>
      </c>
      <c r="H169" s="2"/>
      <c r="I169" s="2" t="s">
        <v>8</v>
      </c>
      <c r="J169" s="2">
        <v>7</v>
      </c>
      <c r="K169" s="2">
        <v>0</v>
      </c>
      <c r="L169" s="5">
        <f t="shared" si="47"/>
        <v>11040.870000000001</v>
      </c>
      <c r="M169" s="2">
        <v>1</v>
      </c>
      <c r="N169" s="5">
        <f t="shared" si="48"/>
        <v>11040.870000000001</v>
      </c>
      <c r="O169" s="5"/>
      <c r="P169" s="5">
        <v>2560.5799999999999</v>
      </c>
      <c r="Q169" s="5">
        <v>0</v>
      </c>
      <c r="R169" s="5">
        <v>3347.7600000000002</v>
      </c>
      <c r="S169" s="5">
        <v>1918.5899999999999</v>
      </c>
      <c r="T169" s="5">
        <v>3213.9400000000005</v>
      </c>
      <c r="W169" s="5">
        <f t="shared" si="49"/>
        <v>2560.5799999999999</v>
      </c>
      <c r="X169" s="5">
        <f t="shared" si="50"/>
        <v>0</v>
      </c>
      <c r="Y169" s="5">
        <f t="shared" si="51"/>
        <v>3347.7600000000002</v>
      </c>
      <c r="Z169" s="5">
        <f t="shared" si="52"/>
        <v>1918.5899999999999</v>
      </c>
      <c r="AA169" s="5">
        <f t="shared" si="53"/>
        <v>3213.9400000000005</v>
      </c>
      <c r="AB169" s="5">
        <f t="shared" si="54"/>
        <v>0</v>
      </c>
    </row>
    <row r="170" spans="1:28" ht="15.6">
      <c r="A170" s="2" t="s">
        <v>6</v>
      </c>
      <c r="B170" s="2" t="s">
        <v>125</v>
      </c>
      <c r="C170" s="6" t="s">
        <v>181</v>
      </c>
      <c r="D170" s="6" t="s">
        <v>43</v>
      </c>
      <c r="E170" s="8" t="s">
        <v>217</v>
      </c>
      <c r="F170" s="2">
        <f t="shared" si="56"/>
        <v>11.5</v>
      </c>
      <c r="G170" s="5">
        <v>10459.59</v>
      </c>
      <c r="H170" s="2"/>
      <c r="I170" s="2" t="s">
        <v>8</v>
      </c>
      <c r="J170" s="2">
        <v>7</v>
      </c>
      <c r="K170" s="2">
        <v>0</v>
      </c>
      <c r="L170" s="5">
        <f t="shared" si="47"/>
        <v>10459.59</v>
      </c>
      <c r="M170" s="2">
        <v>1</v>
      </c>
      <c r="N170" s="5">
        <f t="shared" si="48"/>
        <v>10459.59</v>
      </c>
      <c r="O170" s="5"/>
      <c r="P170" s="5">
        <v>2425.77</v>
      </c>
      <c r="Q170" s="5">
        <v>0</v>
      </c>
      <c r="R170" s="5">
        <v>3171.5</v>
      </c>
      <c r="S170" s="5">
        <v>1817.5799999999999</v>
      </c>
      <c r="T170" s="5">
        <v>3044.7399999999998</v>
      </c>
      <c r="U170" s="5">
        <f>+G170-SUM(P170:T170)</f>
        <v>0</v>
      </c>
      <c r="V170" s="5"/>
      <c r="W170" s="5">
        <f t="shared" si="49"/>
        <v>2425.77</v>
      </c>
      <c r="X170" s="5">
        <f t="shared" si="50"/>
        <v>0</v>
      </c>
      <c r="Y170" s="5">
        <f t="shared" si="51"/>
        <v>3171.5</v>
      </c>
      <c r="Z170" s="5">
        <f t="shared" si="52"/>
        <v>1817.5799999999999</v>
      </c>
      <c r="AA170" s="5">
        <f t="shared" si="53"/>
        <v>3044.7399999999998</v>
      </c>
      <c r="AB170" s="5">
        <f t="shared" si="54"/>
        <v>0</v>
      </c>
    </row>
    <row r="171" spans="1:28" ht="15.6">
      <c r="A171" s="2" t="s">
        <v>6</v>
      </c>
      <c r="B171" s="2" t="s">
        <v>125</v>
      </c>
      <c r="C171" s="6" t="s">
        <v>128</v>
      </c>
      <c r="D171" s="6" t="s">
        <v>52</v>
      </c>
      <c r="E171" s="8" t="s">
        <v>217</v>
      </c>
      <c r="F171" s="2">
        <f t="shared" si="56"/>
        <v>11.5</v>
      </c>
      <c r="G171" s="5">
        <v>40563.5</v>
      </c>
      <c r="H171" s="2"/>
      <c r="I171" s="2" t="s">
        <v>8</v>
      </c>
      <c r="J171" s="2">
        <v>7</v>
      </c>
      <c r="K171" s="2">
        <v>0</v>
      </c>
      <c r="L171" s="5">
        <f t="shared" si="47"/>
        <v>40563.5</v>
      </c>
      <c r="M171" s="2">
        <v>1</v>
      </c>
      <c r="N171" s="5">
        <f t="shared" si="48"/>
        <v>40563.5</v>
      </c>
      <c r="O171" s="5"/>
      <c r="P171" s="5">
        <v>9407.4099999999999</v>
      </c>
      <c r="Q171" s="5">
        <v>0</v>
      </c>
      <c r="R171" s="5">
        <v>12299.459999999999</v>
      </c>
      <c r="S171" s="5">
        <v>7048.8000000000002</v>
      </c>
      <c r="T171" s="5">
        <v>11807.830000000002</v>
      </c>
      <c r="U171" s="5">
        <f>+G171-SUM(P171:T171)</f>
        <v>0</v>
      </c>
      <c r="V171" s="5"/>
      <c r="W171" s="5">
        <f t="shared" si="49"/>
        <v>9407.4099999999999</v>
      </c>
      <c r="X171" s="5">
        <f t="shared" si="50"/>
        <v>0</v>
      </c>
      <c r="Y171" s="5">
        <f t="shared" si="51"/>
        <v>12299.460000000001</v>
      </c>
      <c r="Z171" s="5">
        <f t="shared" si="52"/>
        <v>7048.8000000000011</v>
      </c>
      <c r="AA171" s="5">
        <f t="shared" si="53"/>
        <v>11807.830000000002</v>
      </c>
      <c r="AB171" s="5">
        <f t="shared" si="54"/>
        <v>0</v>
      </c>
    </row>
    <row r="172" spans="1:28" ht="15.6">
      <c r="A172" s="2" t="s">
        <v>6</v>
      </c>
      <c r="B172" s="2" t="s">
        <v>125</v>
      </c>
      <c r="C172" s="6" t="s">
        <v>130</v>
      </c>
      <c r="D172" s="6" t="s">
        <v>64</v>
      </c>
      <c r="E172" s="8" t="s">
        <v>217</v>
      </c>
      <c r="F172" s="2">
        <f t="shared" si="56"/>
        <v>11.5</v>
      </c>
      <c r="G172" s="5">
        <v>700.11000000000001</v>
      </c>
      <c r="H172" s="2"/>
      <c r="I172" s="2" t="s">
        <v>8</v>
      </c>
      <c r="J172" s="2">
        <v>7</v>
      </c>
      <c r="K172" s="2">
        <v>0</v>
      </c>
      <c r="L172" s="5">
        <f t="shared" si="47"/>
        <v>700.11000000000001</v>
      </c>
      <c r="M172" s="2">
        <v>1</v>
      </c>
      <c r="N172" s="5">
        <f t="shared" si="48"/>
        <v>700.11000000000001</v>
      </c>
      <c r="O172" s="5"/>
      <c r="P172" s="5">
        <v>162.37000000000001</v>
      </c>
      <c r="Q172" s="5">
        <v>0</v>
      </c>
      <c r="R172" s="5">
        <v>212.28</v>
      </c>
      <c r="S172" s="5">
        <v>121.66</v>
      </c>
      <c r="T172" s="5">
        <v>203.80000000000004</v>
      </c>
      <c r="U172" s="5">
        <f>+G172-SUM(P172:T172)</f>
        <v>0</v>
      </c>
      <c r="V172" s="5"/>
      <c r="W172" s="5">
        <f t="shared" si="49"/>
        <v>162.37000000000001</v>
      </c>
      <c r="X172" s="5">
        <f t="shared" si="50"/>
        <v>0</v>
      </c>
      <c r="Y172" s="5">
        <f t="shared" si="51"/>
        <v>212.28</v>
      </c>
      <c r="Z172" s="5">
        <f t="shared" si="52"/>
        <v>121.65999999999998</v>
      </c>
      <c r="AA172" s="5">
        <f t="shared" si="53"/>
        <v>203.80000000000004</v>
      </c>
      <c r="AB172" s="5">
        <f t="shared" si="54"/>
        <v>0</v>
      </c>
    </row>
    <row r="173" spans="1:28" ht="15.6">
      <c r="A173" s="2" t="s">
        <v>7</v>
      </c>
      <c r="B173" s="2" t="s">
        <v>125</v>
      </c>
      <c r="C173" s="6" t="s">
        <v>175</v>
      </c>
      <c r="D173" s="6" t="s">
        <v>105</v>
      </c>
      <c r="E173" s="8" t="s">
        <v>217</v>
      </c>
      <c r="F173" s="2">
        <f t="shared" si="56"/>
        <v>11.5</v>
      </c>
      <c r="G173" s="5">
        <v>2615.5</v>
      </c>
      <c r="H173" s="2"/>
      <c r="I173" s="2" t="s">
        <v>8</v>
      </c>
      <c r="J173" s="2">
        <v>7</v>
      </c>
      <c r="K173" s="2">
        <v>0</v>
      </c>
      <c r="L173" s="5">
        <f t="shared" si="47"/>
        <v>2615.5</v>
      </c>
      <c r="M173" s="2">
        <v>1</v>
      </c>
      <c r="N173" s="5">
        <f t="shared" si="48"/>
        <v>2615.5</v>
      </c>
      <c r="O173" s="5"/>
      <c r="P173" s="5">
        <v>606.58000000000004</v>
      </c>
      <c r="Q173" s="5">
        <v>0</v>
      </c>
      <c r="R173" s="5">
        <v>793.05999999999995</v>
      </c>
      <c r="S173" s="5">
        <v>454.5</v>
      </c>
      <c r="T173" s="5">
        <v>761.36000000000013</v>
      </c>
      <c r="U173" s="5">
        <f>+G173-SUM(P173:T173)</f>
        <v>0</v>
      </c>
      <c r="V173" s="5"/>
      <c r="W173" s="5">
        <f t="shared" si="49"/>
        <v>606.58000000000004</v>
      </c>
      <c r="X173" s="5">
        <f t="shared" si="50"/>
        <v>0</v>
      </c>
      <c r="Y173" s="5">
        <f t="shared" si="51"/>
        <v>793.05999999999995</v>
      </c>
      <c r="Z173" s="5">
        <f t="shared" si="52"/>
        <v>454.5</v>
      </c>
      <c r="AA173" s="5">
        <f t="shared" si="53"/>
        <v>761.36000000000013</v>
      </c>
      <c r="AB173" s="5">
        <f t="shared" si="54"/>
        <v>0</v>
      </c>
    </row>
    <row r="174" spans="1:28" ht="15.6">
      <c r="A174" s="2" t="s">
        <v>7</v>
      </c>
      <c r="B174" s="2" t="s">
        <v>125</v>
      </c>
      <c r="C174" s="6" t="s">
        <v>200</v>
      </c>
      <c r="D174" s="6" t="s">
        <v>110</v>
      </c>
      <c r="E174" s="8" t="s">
        <v>217</v>
      </c>
      <c r="F174" s="2">
        <f t="shared" si="56"/>
        <v>11.5</v>
      </c>
      <c r="G174" s="5">
        <v>3802.3400000000001</v>
      </c>
      <c r="H174" s="2"/>
      <c r="I174" s="2" t="s">
        <v>8</v>
      </c>
      <c r="J174" s="2">
        <v>7</v>
      </c>
      <c r="K174" s="2">
        <v>0</v>
      </c>
      <c r="L174" s="5">
        <f t="shared" si="47"/>
        <v>3802.3400000000001</v>
      </c>
      <c r="M174" s="2">
        <v>1</v>
      </c>
      <c r="N174" s="5">
        <f t="shared" si="48"/>
        <v>3802.3400000000001</v>
      </c>
      <c r="O174" s="5"/>
      <c r="P174" s="5">
        <v>881.83000000000004</v>
      </c>
      <c r="Q174" s="5">
        <v>0</v>
      </c>
      <c r="R174" s="5">
        <v>1152.9300000000001</v>
      </c>
      <c r="S174" s="5">
        <v>660.74000000000001</v>
      </c>
      <c r="T174" s="5">
        <v>1106.8400000000002</v>
      </c>
      <c r="U174" s="5">
        <f>+G174-SUM(P174:T174)</f>
        <v>0</v>
      </c>
      <c r="V174" s="5"/>
      <c r="W174" s="5">
        <f t="shared" si="49"/>
        <v>881.83000000000004</v>
      </c>
      <c r="X174" s="5">
        <f t="shared" si="50"/>
        <v>0</v>
      </c>
      <c r="Y174" s="5">
        <f t="shared" si="51"/>
        <v>1152.9300000000001</v>
      </c>
      <c r="Z174" s="5">
        <f t="shared" si="52"/>
        <v>660.74000000000001</v>
      </c>
      <c r="AA174" s="5">
        <f t="shared" si="53"/>
        <v>1106.8400000000002</v>
      </c>
      <c r="AB174" s="5">
        <f t="shared" si="54"/>
        <v>0</v>
      </c>
    </row>
    <row r="175" spans="1:28" ht="15.6">
      <c r="A175" s="2" t="s">
        <v>6</v>
      </c>
      <c r="B175" s="2" t="s">
        <v>125</v>
      </c>
      <c r="C175" s="6" t="s">
        <v>202</v>
      </c>
      <c r="D175" s="6" t="s">
        <v>24</v>
      </c>
      <c r="E175" s="8" t="s">
        <v>218</v>
      </c>
      <c r="F175" s="2">
        <f t="shared" si="56"/>
        <v>12.5</v>
      </c>
      <c r="G175" s="5">
        <v>6691.0799999999999</v>
      </c>
      <c r="H175" s="2"/>
      <c r="I175" s="2" t="s">
        <v>8</v>
      </c>
      <c r="J175" s="2">
        <v>7</v>
      </c>
      <c r="K175" s="2">
        <v>0</v>
      </c>
      <c r="L175" s="5">
        <f t="shared" si="47"/>
        <v>6691.0799999999999</v>
      </c>
      <c r="M175" s="2">
        <v>1</v>
      </c>
      <c r="N175" s="5">
        <f t="shared" si="48"/>
        <v>6691.0799999999999</v>
      </c>
      <c r="O175" s="5"/>
      <c r="P175" s="5">
        <v>1551.78</v>
      </c>
      <c r="Q175" s="5">
        <v>0</v>
      </c>
      <c r="R175" s="5">
        <v>2028.8399999999999</v>
      </c>
      <c r="S175" s="5">
        <v>1162.72</v>
      </c>
      <c r="T175" s="5">
        <v>1947.74</v>
      </c>
      <c r="W175" s="5">
        <f t="shared" si="49"/>
        <v>1551.78</v>
      </c>
      <c r="X175" s="5">
        <f t="shared" si="50"/>
        <v>0</v>
      </c>
      <c r="Y175" s="5">
        <f t="shared" si="51"/>
        <v>2028.8399999999999</v>
      </c>
      <c r="Z175" s="5">
        <f t="shared" si="52"/>
        <v>1162.72</v>
      </c>
      <c r="AA175" s="5">
        <f t="shared" si="53"/>
        <v>1947.74</v>
      </c>
      <c r="AB175" s="5">
        <f t="shared" si="54"/>
        <v>0</v>
      </c>
    </row>
    <row r="176" spans="1:28" ht="15.6">
      <c r="A176" s="2" t="s">
        <v>6</v>
      </c>
      <c r="B176" s="2" t="s">
        <v>125</v>
      </c>
      <c r="C176" s="6" t="s">
        <v>179</v>
      </c>
      <c r="D176" s="6" t="s">
        <v>33</v>
      </c>
      <c r="E176" s="8" t="s">
        <v>218</v>
      </c>
      <c r="F176" s="2">
        <f t="shared" si="56"/>
        <v>12.5</v>
      </c>
      <c r="G176" s="5">
        <v>2135532.6299999999</v>
      </c>
      <c r="H176" s="2"/>
      <c r="I176" s="2" t="s">
        <v>8</v>
      </c>
      <c r="J176" s="2">
        <v>7</v>
      </c>
      <c r="K176" s="2">
        <v>0</v>
      </c>
      <c r="L176" s="5">
        <f t="shared" si="47"/>
        <v>2135532.6299999999</v>
      </c>
      <c r="M176" s="2">
        <v>1</v>
      </c>
      <c r="N176" s="5">
        <f t="shared" si="48"/>
        <v>2135532.6299999999</v>
      </c>
      <c r="O176" s="5"/>
      <c r="P176" s="5">
        <v>495268.84999999998</v>
      </c>
      <c r="Q176" s="5">
        <v>0</v>
      </c>
      <c r="R176" s="5">
        <v>647525.46999999997</v>
      </c>
      <c r="S176" s="5">
        <v>371095.56</v>
      </c>
      <c r="T176" s="5">
        <v>621642.74999999977</v>
      </c>
      <c r="W176" s="5">
        <f t="shared" si="49"/>
        <v>495268.84999999998</v>
      </c>
      <c r="X176" s="5">
        <f t="shared" si="50"/>
        <v>0</v>
      </c>
      <c r="Y176" s="5">
        <f t="shared" si="51"/>
        <v>647525.46999999997</v>
      </c>
      <c r="Z176" s="5">
        <f t="shared" si="52"/>
        <v>371095.56000000006</v>
      </c>
      <c r="AA176" s="5">
        <f t="shared" si="53"/>
        <v>621642.74999999977</v>
      </c>
      <c r="AB176" s="5">
        <f t="shared" si="54"/>
        <v>0</v>
      </c>
    </row>
    <row r="177" spans="1:28" ht="15.6">
      <c r="A177" s="2" t="s">
        <v>6</v>
      </c>
      <c r="B177" s="2" t="s">
        <v>125</v>
      </c>
      <c r="C177" s="6" t="s">
        <v>133</v>
      </c>
      <c r="D177" s="6" t="s">
        <v>35</v>
      </c>
      <c r="E177" s="8" t="s">
        <v>218</v>
      </c>
      <c r="F177" s="2">
        <f t="shared" si="56"/>
        <v>12.5</v>
      </c>
      <c r="G177" s="5">
        <v>42325.75</v>
      </c>
      <c r="H177" s="2"/>
      <c r="I177" s="2" t="s">
        <v>8</v>
      </c>
      <c r="J177" s="2">
        <v>7</v>
      </c>
      <c r="K177" s="2">
        <v>0</v>
      </c>
      <c r="L177" s="5">
        <f t="shared" si="47"/>
        <v>42325.75</v>
      </c>
      <c r="M177" s="2">
        <v>1</v>
      </c>
      <c r="N177" s="5">
        <f t="shared" si="48"/>
        <v>42325.75</v>
      </c>
      <c r="O177" s="5"/>
      <c r="P177" s="5">
        <v>9816.1100000000006</v>
      </c>
      <c r="Q177" s="5">
        <v>0</v>
      </c>
      <c r="R177" s="5">
        <v>12833.799999999999</v>
      </c>
      <c r="S177" s="5">
        <v>7355.0299999999997</v>
      </c>
      <c r="T177" s="5">
        <v>12320.810000000001</v>
      </c>
      <c r="U177" s="5">
        <f>+G177-SUM(P177:T177)</f>
        <v>0</v>
      </c>
      <c r="V177" s="5"/>
      <c r="W177" s="5">
        <f t="shared" si="49"/>
        <v>9816.1100000000006</v>
      </c>
      <c r="X177" s="5">
        <f t="shared" si="50"/>
        <v>0</v>
      </c>
      <c r="Y177" s="5">
        <f t="shared" si="51"/>
        <v>12833.799999999999</v>
      </c>
      <c r="Z177" s="5">
        <f t="shared" si="52"/>
        <v>7355.0299999999997</v>
      </c>
      <c r="AA177" s="5">
        <f t="shared" si="53"/>
        <v>12320.810000000001</v>
      </c>
      <c r="AB177" s="5">
        <f t="shared" si="54"/>
        <v>0</v>
      </c>
    </row>
    <row r="178" spans="1:28" ht="15.6">
      <c r="A178" s="2" t="s">
        <v>6</v>
      </c>
      <c r="B178" s="2" t="s">
        <v>125</v>
      </c>
      <c r="C178" s="6" t="s">
        <v>203</v>
      </c>
      <c r="D178" s="6" t="s">
        <v>42</v>
      </c>
      <c r="E178" s="8" t="s">
        <v>218</v>
      </c>
      <c r="F178" s="2">
        <f t="shared" si="56"/>
        <v>12.5</v>
      </c>
      <c r="G178" s="5">
        <v>775.92999999999995</v>
      </c>
      <c r="H178" s="2"/>
      <c r="I178" s="2" t="s">
        <v>8</v>
      </c>
      <c r="J178" s="2">
        <v>7</v>
      </c>
      <c r="K178" s="2">
        <v>0</v>
      </c>
      <c r="L178" s="5">
        <f t="shared" si="47"/>
        <v>775.92999999999995</v>
      </c>
      <c r="M178" s="2">
        <v>1</v>
      </c>
      <c r="N178" s="5">
        <f t="shared" si="48"/>
        <v>775.92999999999995</v>
      </c>
      <c r="O178" s="5"/>
      <c r="P178" s="5">
        <v>179.94999999999999</v>
      </c>
      <c r="Q178" s="5">
        <v>0</v>
      </c>
      <c r="R178" s="5">
        <v>235.27000000000001</v>
      </c>
      <c r="S178" s="5">
        <v>134.83000000000001</v>
      </c>
      <c r="T178" s="5">
        <v>225.88000000000002</v>
      </c>
      <c r="U178" s="5">
        <f>+G178-SUM(P178:T178)</f>
        <v>0</v>
      </c>
      <c r="V178" s="5"/>
      <c r="W178" s="5">
        <f t="shared" si="49"/>
        <v>179.94999999999999</v>
      </c>
      <c r="X178" s="5">
        <f t="shared" si="50"/>
        <v>0</v>
      </c>
      <c r="Y178" s="5">
        <f t="shared" si="51"/>
        <v>235.27000000000001</v>
      </c>
      <c r="Z178" s="5">
        <f t="shared" si="52"/>
        <v>134.83000000000001</v>
      </c>
      <c r="AA178" s="5">
        <f t="shared" si="53"/>
        <v>225.88000000000002</v>
      </c>
      <c r="AB178" s="5">
        <f t="shared" si="54"/>
        <v>0</v>
      </c>
    </row>
    <row r="179" spans="1:28" ht="15.6">
      <c r="A179" s="2" t="s">
        <v>7</v>
      </c>
      <c r="B179" s="2" t="s">
        <v>125</v>
      </c>
      <c r="C179" s="6" t="s">
        <v>204</v>
      </c>
      <c r="D179" s="6" t="s">
        <v>71</v>
      </c>
      <c r="E179" s="8" t="s">
        <v>218</v>
      </c>
      <c r="F179" s="2">
        <f t="shared" si="56"/>
        <v>12.5</v>
      </c>
      <c r="G179" s="5">
        <v>39169</v>
      </c>
      <c r="H179" s="2"/>
      <c r="I179" s="2" t="s">
        <v>8</v>
      </c>
      <c r="J179" s="2">
        <v>7</v>
      </c>
      <c r="K179" s="2">
        <v>0</v>
      </c>
      <c r="L179" s="5">
        <f t="shared" si="47"/>
        <v>39169</v>
      </c>
      <c r="M179" s="2">
        <v>1</v>
      </c>
      <c r="N179" s="5">
        <f t="shared" si="48"/>
        <v>39169</v>
      </c>
      <c r="O179" s="5"/>
      <c r="P179" s="5">
        <v>9084</v>
      </c>
      <c r="Q179" s="5">
        <v>0</v>
      </c>
      <c r="R179" s="5">
        <v>11876.629999999999</v>
      </c>
      <c r="S179" s="5">
        <v>6806.4700000000003</v>
      </c>
      <c r="T179" s="5">
        <v>11401.900000000002</v>
      </c>
      <c r="U179" s="5">
        <f>+G179-SUM(P179:T179)</f>
        <v>0</v>
      </c>
      <c r="V179" s="5"/>
      <c r="W179" s="5">
        <f t="shared" si="49"/>
        <v>9084</v>
      </c>
      <c r="X179" s="5">
        <f t="shared" si="50"/>
        <v>0</v>
      </c>
      <c r="Y179" s="5">
        <f t="shared" si="51"/>
        <v>11876.629999999999</v>
      </c>
      <c r="Z179" s="5">
        <f t="shared" si="52"/>
        <v>6806.4700000000003</v>
      </c>
      <c r="AA179" s="5">
        <f t="shared" si="53"/>
        <v>11401.900000000002</v>
      </c>
      <c r="AB179" s="5">
        <f t="shared" si="54"/>
        <v>0</v>
      </c>
    </row>
    <row r="180" spans="1:28" ht="15.6">
      <c r="A180" s="2" t="s">
        <v>7</v>
      </c>
      <c r="B180" s="2" t="s">
        <v>125</v>
      </c>
      <c r="C180" s="6" t="s">
        <v>205</v>
      </c>
      <c r="D180" s="6" t="s">
        <v>107</v>
      </c>
      <c r="E180" s="8" t="s">
        <v>218</v>
      </c>
      <c r="F180" s="2">
        <f t="shared" si="56"/>
        <v>12.5</v>
      </c>
      <c r="G180" s="5">
        <v>7973.8500000000004</v>
      </c>
      <c r="H180" s="2"/>
      <c r="I180" s="2" t="s">
        <v>8</v>
      </c>
      <c r="J180" s="2">
        <v>7</v>
      </c>
      <c r="K180" s="2">
        <v>0</v>
      </c>
      <c r="L180" s="5">
        <f t="shared" si="47"/>
        <v>7973.8500000000004</v>
      </c>
      <c r="M180" s="2">
        <v>1</v>
      </c>
      <c r="N180" s="5">
        <f t="shared" si="48"/>
        <v>7973.8500000000004</v>
      </c>
      <c r="O180" s="5"/>
      <c r="P180" s="5">
        <v>1849.28</v>
      </c>
      <c r="Q180" s="5">
        <v>0</v>
      </c>
      <c r="R180" s="5">
        <v>2417.79</v>
      </c>
      <c r="S180" s="5">
        <v>1385.6300000000001</v>
      </c>
      <c r="T180" s="5">
        <v>2321.1500000000005</v>
      </c>
      <c r="U180" s="5">
        <f>+G180-SUM(P180:T180)</f>
        <v>0</v>
      </c>
      <c r="V180" s="5"/>
      <c r="W180" s="5">
        <f t="shared" si="49"/>
        <v>1849.28</v>
      </c>
      <c r="X180" s="5">
        <f t="shared" si="50"/>
        <v>0</v>
      </c>
      <c r="Y180" s="5">
        <f t="shared" si="51"/>
        <v>2417.79</v>
      </c>
      <c r="Z180" s="5">
        <f t="shared" si="52"/>
        <v>1385.6300000000001</v>
      </c>
      <c r="AA180" s="5">
        <f t="shared" si="53"/>
        <v>2321.1500000000005</v>
      </c>
      <c r="AB180" s="5">
        <f t="shared" si="54"/>
        <v>0</v>
      </c>
    </row>
    <row r="181" spans="1:28" ht="15.6">
      <c r="A181" s="2" t="s">
        <v>6</v>
      </c>
      <c r="B181" s="2" t="s">
        <v>125</v>
      </c>
      <c r="C181" s="6" t="s">
        <v>181</v>
      </c>
      <c r="D181" s="6" t="s">
        <v>43</v>
      </c>
      <c r="E181" s="8" t="s">
        <v>219</v>
      </c>
      <c r="F181" s="2">
        <f t="shared" si="56"/>
        <v>13.5</v>
      </c>
      <c r="G181" s="5">
        <v>74379.919999999998</v>
      </c>
      <c r="H181" s="2"/>
      <c r="I181" s="2" t="s">
        <v>8</v>
      </c>
      <c r="J181" s="2">
        <v>7</v>
      </c>
      <c r="K181" s="2">
        <v>0</v>
      </c>
      <c r="L181" s="5">
        <f t="shared" si="47"/>
        <v>74379.919999999998</v>
      </c>
      <c r="M181" s="2">
        <v>1</v>
      </c>
      <c r="N181" s="5">
        <f t="shared" si="48"/>
        <v>74379.919999999998</v>
      </c>
      <c r="O181" s="5"/>
      <c r="P181" s="5">
        <v>17250.060000000001</v>
      </c>
      <c r="Q181" s="5">
        <v>0</v>
      </c>
      <c r="R181" s="5">
        <v>22553.110000000001</v>
      </c>
      <c r="S181" s="5">
        <v>12925.139999999999</v>
      </c>
      <c r="T181" s="5">
        <v>21651.610000000001</v>
      </c>
      <c r="W181" s="5">
        <f t="shared" si="49"/>
        <v>17250.060000000001</v>
      </c>
      <c r="X181" s="5">
        <f t="shared" si="50"/>
        <v>0</v>
      </c>
      <c r="Y181" s="5">
        <f t="shared" si="51"/>
        <v>22553.110000000001</v>
      </c>
      <c r="Z181" s="5">
        <f t="shared" si="52"/>
        <v>12925.139999999999</v>
      </c>
      <c r="AA181" s="5">
        <f t="shared" si="53"/>
        <v>21651.610000000001</v>
      </c>
      <c r="AB181" s="5">
        <f t="shared" si="54"/>
        <v>0</v>
      </c>
    </row>
    <row r="182" spans="1:28" ht="15.6">
      <c r="A182" s="2" t="s">
        <v>7</v>
      </c>
      <c r="B182" s="2" t="s">
        <v>125</v>
      </c>
      <c r="C182" s="6" t="s">
        <v>166</v>
      </c>
      <c r="D182" s="6" t="s">
        <v>104</v>
      </c>
      <c r="E182" s="8" t="s">
        <v>219</v>
      </c>
      <c r="F182" s="2">
        <f t="shared" si="56"/>
        <v>13.5</v>
      </c>
      <c r="G182" s="5">
        <v>28760.900000000001</v>
      </c>
      <c r="H182" s="2"/>
      <c r="I182" s="2" t="s">
        <v>8</v>
      </c>
      <c r="J182" s="2">
        <v>7</v>
      </c>
      <c r="K182" s="2">
        <v>0</v>
      </c>
      <c r="L182" s="5">
        <f t="shared" si="47"/>
        <v>28760.900000000001</v>
      </c>
      <c r="M182" s="2">
        <v>1</v>
      </c>
      <c r="N182" s="5">
        <f t="shared" si="48"/>
        <v>28760.900000000001</v>
      </c>
      <c r="O182" s="5"/>
      <c r="P182" s="5">
        <v>6670.1800000000003</v>
      </c>
      <c r="Q182" s="5">
        <v>0</v>
      </c>
      <c r="R182" s="5">
        <v>8720.7399999999998</v>
      </c>
      <c r="S182" s="5">
        <v>4997.8400000000001</v>
      </c>
      <c r="T182" s="5">
        <v>8372.1400000000012</v>
      </c>
      <c r="W182" s="5">
        <f t="shared" si="49"/>
        <v>6670.1800000000003</v>
      </c>
      <c r="X182" s="5">
        <f t="shared" si="50"/>
        <v>0</v>
      </c>
      <c r="Y182" s="5">
        <f t="shared" si="51"/>
        <v>8720.7399999999998</v>
      </c>
      <c r="Z182" s="5">
        <f t="shared" si="52"/>
        <v>4997.8400000000001</v>
      </c>
      <c r="AA182" s="5">
        <f t="shared" si="53"/>
        <v>8372.1400000000012</v>
      </c>
      <c r="AB182" s="5">
        <f t="shared" si="54"/>
        <v>0</v>
      </c>
    </row>
    <row r="183" spans="1:28" ht="15.6">
      <c r="A183" s="2" t="s">
        <v>7</v>
      </c>
      <c r="B183" s="2" t="s">
        <v>125</v>
      </c>
      <c r="C183" s="6" t="s">
        <v>175</v>
      </c>
      <c r="D183" s="6" t="s">
        <v>105</v>
      </c>
      <c r="E183" s="8" t="s">
        <v>219</v>
      </c>
      <c r="F183" s="2">
        <f t="shared" si="56"/>
        <v>13.5</v>
      </c>
      <c r="G183" s="5">
        <v>1840.29</v>
      </c>
      <c r="H183" s="2"/>
      <c r="I183" s="2" t="s">
        <v>8</v>
      </c>
      <c r="J183" s="2">
        <v>7</v>
      </c>
      <c r="K183" s="2">
        <v>0</v>
      </c>
      <c r="L183" s="5">
        <f t="shared" si="47"/>
        <v>1840.29</v>
      </c>
      <c r="M183" s="2">
        <v>1</v>
      </c>
      <c r="N183" s="5">
        <f t="shared" si="48"/>
        <v>1840.29</v>
      </c>
      <c r="O183" s="5"/>
      <c r="P183" s="5">
        <v>426.80000000000001</v>
      </c>
      <c r="Q183" s="5">
        <v>0</v>
      </c>
      <c r="R183" s="5">
        <v>558</v>
      </c>
      <c r="S183" s="5">
        <v>319.79000000000002</v>
      </c>
      <c r="T183" s="5">
        <v>535.70000000000005</v>
      </c>
      <c r="U183" s="5">
        <f>+G183-SUM(P183:T183)</f>
        <v>0</v>
      </c>
      <c r="V183" s="5"/>
      <c r="W183" s="5">
        <f t="shared" si="49"/>
        <v>426.80000000000001</v>
      </c>
      <c r="X183" s="5">
        <f t="shared" si="50"/>
        <v>0</v>
      </c>
      <c r="Y183" s="5">
        <f t="shared" si="51"/>
        <v>558</v>
      </c>
      <c r="Z183" s="5">
        <f t="shared" si="52"/>
        <v>319.79000000000002</v>
      </c>
      <c r="AA183" s="5">
        <f t="shared" si="53"/>
        <v>535.70000000000005</v>
      </c>
      <c r="AB183" s="5">
        <f t="shared" si="54"/>
        <v>0</v>
      </c>
    </row>
    <row r="184" spans="3:28" ht="15.6">
      <c r="C184" s="7"/>
      <c r="D184" s="6" t="s">
        <v>124</v>
      </c>
      <c r="E184" s="8"/>
      <c r="G184" s="5">
        <f>SUM(G5:G183)</f>
        <v>285151594.33000004</v>
      </c>
      <c r="H184" s="2"/>
      <c r="I184" s="2"/>
      <c r="J184" s="2"/>
      <c r="K184" s="2"/>
      <c r="L184" s="5"/>
      <c r="M184" s="2"/>
      <c r="N184" s="5">
        <f>SUM(N5:N183)</f>
        <v>140518721.77122808</v>
      </c>
      <c r="O184" s="5"/>
      <c r="P184" s="5">
        <f t="shared" si="57" ref="P184:V184">SUM(P5:P183)</f>
        <v>66131839.870000027</v>
      </c>
      <c r="Q184" s="5">
        <f t="shared" si="57"/>
        <v>0</v>
      </c>
      <c r="R184" s="5">
        <f t="shared" si="57"/>
        <v>86462233.299999997</v>
      </c>
      <c r="S184" s="5">
        <f t="shared" si="57"/>
        <v>49551334.030000031</v>
      </c>
      <c r="T184" s="5">
        <f t="shared" si="57"/>
        <v>83006187.12999998</v>
      </c>
      <c r="U184" s="4">
        <f t="shared" si="57"/>
        <v>0</v>
      </c>
      <c r="V184" s="4">
        <f t="shared" si="57"/>
        <v>0</v>
      </c>
      <c r="W184" s="5">
        <f t="shared" si="49"/>
        <v>32588846.745698433</v>
      </c>
      <c r="X184" s="5">
        <f t="shared" si="50"/>
        <v>0</v>
      </c>
      <c r="Y184" s="5">
        <f t="shared" si="51"/>
        <v>42607380.587678827</v>
      </c>
      <c r="Z184" s="5">
        <f t="shared" si="52"/>
        <v>24418205.117579497</v>
      </c>
      <c r="AA184" s="5">
        <f t="shared" si="53"/>
        <v>40904289.320271313</v>
      </c>
      <c r="AB184" s="5">
        <f t="shared" si="54"/>
        <v>0</v>
      </c>
    </row>
    <row r="185" spans="5:28" ht="15.6">
      <c r="E185" s="8"/>
      <c r="H185" s="2"/>
      <c r="I185" s="2"/>
      <c r="J185" s="2"/>
      <c r="K185" s="2"/>
      <c r="L185" s="5"/>
      <c r="M185" s="2"/>
      <c r="N185" s="5"/>
      <c r="O185" s="5"/>
      <c r="W185" s="5"/>
      <c r="X185" s="5"/>
      <c r="Y185" s="5"/>
      <c r="Z185" s="5"/>
      <c r="AA185" s="5"/>
      <c r="AB185" s="5"/>
    </row>
    <row r="186" spans="2:28" ht="15.6">
      <c r="B186" s="5"/>
      <c r="C186" s="5"/>
      <c r="D186" s="5"/>
      <c r="E186" s="8"/>
      <c r="F186" s="5"/>
      <c r="G186" s="5"/>
      <c r="H186" s="5"/>
      <c r="I186" s="5"/>
      <c r="J186" s="5"/>
      <c r="K186" s="5"/>
      <c r="L186" s="5"/>
      <c r="M186" s="5">
        <v>0.51700000000000002</v>
      </c>
      <c r="N186" s="5">
        <v>140525745.61622816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2:28" ht="15.6">
      <c r="B187" s="5"/>
      <c r="C187" s="5"/>
      <c r="D187" s="5"/>
      <c r="E187" s="8"/>
      <c r="F187" s="5"/>
      <c r="G187" s="5"/>
      <c r="H187" s="5"/>
      <c r="I187" s="5"/>
      <c r="J187" s="5"/>
      <c r="K187" s="5"/>
      <c r="L187" s="5"/>
      <c r="M187" s="5"/>
      <c r="N187" s="9">
        <v>0</v>
      </c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7" ht="15.6">
      <c r="A188" s="2" t="s">
        <v>115</v>
      </c>
      <c r="B188" s="2">
        <v>391</v>
      </c>
      <c r="C188" s="5" t="s">
        <v>116</v>
      </c>
      <c r="D188" s="5" t="s">
        <v>117</v>
      </c>
      <c r="E188" s="8">
        <v>2018</v>
      </c>
      <c r="F188" s="5">
        <f>2021.5-E188</f>
        <v>3.5</v>
      </c>
      <c r="G188" s="5">
        <v>14047.690000000001</v>
      </c>
      <c r="H188" s="5"/>
      <c r="I188" s="5"/>
      <c r="J188" s="5">
        <v>7</v>
      </c>
      <c r="K188" s="5">
        <f>+J188-F188</f>
        <v>3.5</v>
      </c>
      <c r="L188" s="5">
        <f t="shared" si="58" ref="L188">+G188*(1-K188/J188)</f>
        <v>7023.8450000000003</v>
      </c>
      <c r="M188" s="5"/>
      <c r="N188" s="5">
        <f>L188</f>
        <v>7023.8450000000003</v>
      </c>
      <c r="O188" s="5"/>
      <c r="P188" s="5"/>
      <c r="Q188" s="5">
        <f>G188</f>
        <v>14047.690000000001</v>
      </c>
      <c r="R188" s="5"/>
      <c r="S188" s="5"/>
      <c r="T188" s="5"/>
      <c r="U188" s="5"/>
      <c r="V188" s="5"/>
      <c r="W188" s="5"/>
      <c r="X188" s="5">
        <f>L188</f>
        <v>7023.8450000000003</v>
      </c>
      <c r="Y188" s="5"/>
      <c r="Z188" s="5"/>
      <c r="AA188" s="5"/>
    </row>
    <row r="189" spans="2:27" ht="15.6">
      <c r="B189" s="2"/>
      <c r="C189" s="5"/>
      <c r="D189" s="5"/>
      <c r="E189" s="8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2:27" ht="15.6">
      <c r="B190" s="2"/>
      <c r="C190" s="5"/>
      <c r="D190" s="5"/>
      <c r="E190" s="8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15.6">
      <c r="A191" s="2" t="s">
        <v>122</v>
      </c>
      <c r="B191" s="2">
        <v>391</v>
      </c>
      <c r="C191" s="2">
        <v>5020</v>
      </c>
      <c r="D191" s="5" t="s">
        <v>23</v>
      </c>
      <c r="E191" s="8">
        <v>2017</v>
      </c>
      <c r="F191" s="5">
        <f t="shared" si="59" ref="F191:F192">2021.5-E191</f>
        <v>4.5</v>
      </c>
      <c r="G191" s="5">
        <v>580038.81999999995</v>
      </c>
      <c r="H191" s="5">
        <v>0</v>
      </c>
      <c r="I191" s="5">
        <v>0</v>
      </c>
      <c r="J191" s="5">
        <v>0</v>
      </c>
      <c r="K191" s="5">
        <v>580038.81999999995</v>
      </c>
      <c r="L191" s="5"/>
      <c r="M191" s="5"/>
      <c r="N191" s="5"/>
      <c r="O191" s="5"/>
      <c r="P191" s="5"/>
      <c r="Q191" s="5"/>
      <c r="R191" s="5"/>
      <c r="S191" s="5">
        <f t="shared" si="60" ref="S191">N191</f>
        <v>0</v>
      </c>
      <c r="T191" s="5"/>
      <c r="U191" s="5"/>
      <c r="V191" s="5"/>
      <c r="W191" s="5"/>
      <c r="X191" s="5"/>
      <c r="Y191" s="5"/>
      <c r="Z191" s="5"/>
      <c r="AA191" s="5"/>
    </row>
    <row r="192" spans="1:27" ht="15.6">
      <c r="A192" s="2" t="s">
        <v>122</v>
      </c>
      <c r="B192" s="2">
        <v>391</v>
      </c>
      <c r="C192" s="2">
        <v>5020</v>
      </c>
      <c r="D192" s="5" t="s">
        <v>23</v>
      </c>
      <c r="E192" s="8">
        <v>2016</v>
      </c>
      <c r="F192" s="5">
        <f t="shared" si="59"/>
        <v>5.5</v>
      </c>
      <c r="G192" s="5">
        <v>15590047.43</v>
      </c>
      <c r="H192" s="5">
        <v>0</v>
      </c>
      <c r="I192" s="5">
        <v>0</v>
      </c>
      <c r="J192" s="5">
        <v>0</v>
      </c>
      <c r="K192" s="5">
        <v>15590047.43</v>
      </c>
      <c r="L192" s="5"/>
      <c r="M192" s="5"/>
      <c r="N192" s="5">
        <v>12803165.570034504</v>
      </c>
      <c r="O192" s="5"/>
      <c r="P192" s="5"/>
      <c r="Q192" s="5"/>
      <c r="R192" s="5"/>
      <c r="S192" s="5">
        <f>+K191+K192</f>
        <v>16170086.25</v>
      </c>
      <c r="T192" s="5"/>
      <c r="U192" s="5"/>
      <c r="V192" s="5"/>
      <c r="W192" s="5"/>
      <c r="X192" s="5"/>
      <c r="Y192" s="5"/>
      <c r="Z192" s="5">
        <v>12803165.570034504</v>
      </c>
      <c r="AA192" s="5"/>
    </row>
    <row r="193" spans="2:27" ht="15.6">
      <c r="B193" s="5"/>
      <c r="C193" s="5"/>
      <c r="D193" s="5"/>
      <c r="E193" s="8"/>
      <c r="F193" s="5"/>
      <c r="G193" s="5">
        <f>SUM(N203)</f>
        <v>0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2:27" ht="15.6"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2:32" ht="15.6"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4"/>
      <c r="AC195" s="4"/>
      <c r="AD195" s="4"/>
      <c r="AE195" s="4">
        <f>+AE187+AE190+AE191+AE183</f>
        <v>0</v>
      </c>
      <c r="AF195" s="4">
        <f>+AF187+AF190+AF191+AF183</f>
        <v>0</v>
      </c>
    </row>
    <row r="196" spans="2:31" ht="15.6">
      <c r="B196" s="5"/>
      <c r="C196" s="5"/>
      <c r="D196" s="5"/>
      <c r="E196" s="5" t="s">
        <v>123</v>
      </c>
      <c r="F196" s="5"/>
      <c r="G196" s="5">
        <f>+G188+G191+G192+G184</f>
        <v>301335728.27000004</v>
      </c>
      <c r="H196" s="5"/>
      <c r="I196" s="5"/>
      <c r="J196" s="5"/>
      <c r="K196" s="5"/>
      <c r="L196" s="5"/>
      <c r="M196" s="5"/>
      <c r="N196" s="5">
        <f>+N188+N191+N192+N184</f>
        <v>153328911.18626258</v>
      </c>
      <c r="O196" s="5"/>
      <c r="P196" s="5">
        <f t="shared" si="61" ref="P196:AE196">+P188+P191+P192+P184</f>
        <v>66131839.870000027</v>
      </c>
      <c r="Q196" s="5">
        <f t="shared" si="61"/>
        <v>14047.690000000001</v>
      </c>
      <c r="R196" s="5">
        <f t="shared" si="61"/>
        <v>86462233.299999997</v>
      </c>
      <c r="S196" s="5">
        <f t="shared" si="61"/>
        <v>65721420.280000031</v>
      </c>
      <c r="T196" s="5">
        <f t="shared" si="61"/>
        <v>83006187.12999998</v>
      </c>
      <c r="U196" s="5">
        <f t="shared" si="61"/>
        <v>0</v>
      </c>
      <c r="V196" s="5">
        <f t="shared" si="61"/>
        <v>0</v>
      </c>
      <c r="W196" s="5">
        <f t="shared" si="61"/>
        <v>32588846.745698433</v>
      </c>
      <c r="X196" s="5">
        <f t="shared" si="61"/>
        <v>7023.8450000000003</v>
      </c>
      <c r="Y196" s="5">
        <f t="shared" si="61"/>
        <v>42607380.587678827</v>
      </c>
      <c r="Z196" s="5">
        <f t="shared" si="61"/>
        <v>37221370.687614001</v>
      </c>
      <c r="AA196" s="5">
        <f t="shared" si="61"/>
        <v>40904289.320271313</v>
      </c>
      <c r="AB196" s="4">
        <f t="shared" si="61"/>
        <v>0</v>
      </c>
      <c r="AC196" s="4"/>
      <c r="AD196" s="4">
        <f t="shared" si="61"/>
        <v>0</v>
      </c>
      <c r="AE196" s="4">
        <f t="shared" si="61"/>
        <v>0</v>
      </c>
    </row>
    <row r="197" spans="2:27" ht="15.6"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2:27" ht="15.6"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2:27" ht="15.6"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2:27" ht="15.6"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13" t="s">
        <v>220</v>
      </c>
      <c r="V200" s="5"/>
      <c r="W200" s="5">
        <v>586567.54665249842</v>
      </c>
      <c r="X200" s="5">
        <v>794032.14649999992</v>
      </c>
      <c r="Y200" s="5">
        <v>636974.64845655428</v>
      </c>
      <c r="Z200" s="5">
        <v>81287.340383660994</v>
      </c>
      <c r="AA200" s="5">
        <v>65735.891744623237</v>
      </c>
    </row>
    <row r="201" spans="2:27" ht="15.6"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>
        <v>140525745.61622816</v>
      </c>
      <c r="O201" s="5"/>
      <c r="P201" s="5" t="s">
        <v>118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2:27" ht="15.6"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>
        <f>+L188</f>
        <v>7023.8450000000003</v>
      </c>
      <c r="O202" s="5"/>
      <c r="P202" s="5" t="s">
        <v>9</v>
      </c>
      <c r="Q202" s="5"/>
      <c r="R202" s="5"/>
      <c r="S202" s="5"/>
      <c r="T202" s="5"/>
      <c r="U202" s="5" t="s">
        <v>123</v>
      </c>
      <c r="V202" s="5"/>
      <c r="W202" s="5">
        <f>+W196+W200</f>
        <v>33175414.292350933</v>
      </c>
      <c r="X202" s="5">
        <f t="shared" si="62" ref="X202:AA202">+X196+X200</f>
        <v>801055.99149999989</v>
      </c>
      <c r="Y202" s="5">
        <f t="shared" si="62"/>
        <v>43244355.236135378</v>
      </c>
      <c r="Z202" s="5">
        <f t="shared" si="62"/>
        <v>37302658.027997665</v>
      </c>
      <c r="AA202" s="5">
        <f t="shared" si="62"/>
        <v>40970025.212015934</v>
      </c>
    </row>
    <row r="203" spans="2:27" ht="15.6"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2:27" ht="15.6"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>
        <f>+N201-N202</f>
        <v>140518721.77122816</v>
      </c>
      <c r="O204" s="5"/>
      <c r="P204" s="5" t="s">
        <v>119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4:16" ht="15.6">
      <c r="N205" s="5">
        <f>+N204-N184</f>
        <v>0</v>
      </c>
      <c r="O205" s="5"/>
      <c r="P205" s="5" t="s">
        <v>120</v>
      </c>
    </row>
    <row r="206" spans="14:27" ht="15.6">
      <c r="N206" s="5">
        <v>0.83168468733105205</v>
      </c>
      <c r="O206" s="5"/>
      <c r="P206" s="5" t="s">
        <v>121</v>
      </c>
      <c r="W206" s="12" t="s">
        <v>7</v>
      </c>
      <c r="X206" s="12" t="s">
        <v>10</v>
      </c>
      <c r="Y206" s="12" t="s">
        <v>18</v>
      </c>
      <c r="Z206" s="12" t="s">
        <v>5</v>
      </c>
      <c r="AA206" s="12" t="s">
        <v>11</v>
      </c>
    </row>
    <row r="207" spans="21:21" ht="15.6">
      <c r="U207" s="15" t="s">
        <v>221</v>
      </c>
    </row>
    <row r="208" spans="21:28" ht="15.6">
      <c r="U208" s="14" t="s">
        <v>222</v>
      </c>
      <c r="W208" s="4">
        <f>P196-W196</f>
        <v>33542993.124301594</v>
      </c>
      <c r="X208" s="4">
        <f>G188-X196</f>
        <v>7023.8450000000003</v>
      </c>
      <c r="Y208" s="4">
        <f>R184-Y196</f>
        <v>43854852.71232117</v>
      </c>
      <c r="Z208" s="4">
        <f>S184-Z184</f>
        <v>25133128.912420534</v>
      </c>
      <c r="AA208" s="4">
        <f>T184-AA184</f>
        <v>42101897.809728667</v>
      </c>
      <c r="AB208" s="4">
        <f>SUM(W208:AA208)</f>
        <v>144639896.40377194</v>
      </c>
    </row>
    <row r="209" spans="21:28" ht="15.6">
      <c r="U209" s="14" t="s">
        <v>223</v>
      </c>
      <c r="W209" s="4"/>
      <c r="X209" s="4"/>
      <c r="Y209" s="4"/>
      <c r="Z209" s="4">
        <f>S192-Z192</f>
        <v>3366920.6799654961</v>
      </c>
      <c r="AA209" s="4"/>
      <c r="AB209" s="4">
        <f>SUM(W209:AA209)</f>
        <v>3366920.6799654961</v>
      </c>
    </row>
    <row r="210" spans="21:28" ht="15.6">
      <c r="U210" s="14"/>
      <c r="W210" s="4"/>
      <c r="X210" s="4"/>
      <c r="Y210" s="4"/>
      <c r="Z210" s="4"/>
      <c r="AA210" s="4"/>
      <c r="AB210" s="4"/>
    </row>
    <row r="211" spans="21:28" ht="15.6">
      <c r="U211" s="14" t="s">
        <v>224</v>
      </c>
      <c r="W211" s="4">
        <f>SUM(W208:W210)</f>
        <v>33542993.124301594</v>
      </c>
      <c r="X211" s="4">
        <f t="shared" si="63" ref="X211:AB211">SUM(X208:X210)</f>
        <v>7023.8450000000003</v>
      </c>
      <c r="Y211" s="4">
        <f t="shared" si="63"/>
        <v>43854852.71232117</v>
      </c>
      <c r="Z211" s="4">
        <f t="shared" si="63"/>
        <v>28500049.59238603</v>
      </c>
      <c r="AA211" s="4">
        <f t="shared" si="63"/>
        <v>42101897.809728667</v>
      </c>
      <c r="AB211" s="4">
        <f t="shared" si="63"/>
        <v>148006817.08373743</v>
      </c>
    </row>
    <row r="212" spans="21:28" ht="15.6">
      <c r="U212" s="14"/>
      <c r="AB212" s="4"/>
    </row>
  </sheetData>
  <sortState ref="A5:AC183">
    <sortCondition sortBy="value" ref="F5:F183"/>
  </sortState>
  <mergeCells count="2">
    <mergeCell ref="P3:U3"/>
    <mergeCell ref="W3:AB3"/>
  </mergeCells>
  <pageMargins left="0.75" right="0.75" top="2" bottom="1" header="0.75" footer="0.55"/>
  <pageSetup orientation="landscape" scale="90" r:id="rId1"/>
  <headerFooter>
    <oddHeader>&amp;C&amp;"Arial,Bold"
2022 RATE CASE
ONCOR ELECTRIC COMPANY LLC
WP II-B-5_10 COMPUTER EQUIPMENT
TEST YEAR ENDING DECEMBER 31, 2021
SPONSOR : D . A. WATSON&amp;R&amp;"Arial,Bold"WP/II-B-5/10
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II-B-5_10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