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IVD2 - Frank Lewis\Rate Cases\2021-12-31\Workpapers\"/>
    </mc:Choice>
  </mc:AlternateContent>
  <bookViews>
    <workbookView xWindow="-122" yWindow="-122" windowWidth="29045" windowHeight="15840" activeTab="0"/>
  </bookViews>
  <sheets>
    <sheet name="WP II-B-5_07" sheetId="1" r:id="rId2"/>
  </sheets>
  <definedNames>
    <definedName name="_xlnm.Print_Area" localSheetId="0">'WP II-B-5_07'!$A$3:$N$816</definedName>
    <definedName name="_xlnm.Print_Titles" localSheetId="0">'WP II-B-5_07'!$A:$B,'WP II-B-5_07'!$2:$2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14" i="1" l="1"/>
</calcChain>
</file>

<file path=xl/sharedStrings.xml><?xml version="1.0" encoding="utf-8"?>
<sst xmlns="http://schemas.openxmlformats.org/spreadsheetml/2006/main" count="46" uniqueCount="31">
  <si>
    <t>DIST</t>
  </si>
  <si>
    <t>MET</t>
  </si>
  <si>
    <t>Grand Total</t>
  </si>
  <si>
    <t>364 Total</t>
  </si>
  <si>
    <t>365 Total</t>
  </si>
  <si>
    <t>366 Total</t>
  </si>
  <si>
    <t>367 Total</t>
  </si>
  <si>
    <t>368 Total</t>
  </si>
  <si>
    <t>369 Total</t>
  </si>
  <si>
    <t>371 Total</t>
  </si>
  <si>
    <t>373 Total</t>
  </si>
  <si>
    <t>370 D</t>
  </si>
  <si>
    <t>ASL</t>
  </si>
  <si>
    <t>RL</t>
  </si>
  <si>
    <t>Net Salvage</t>
  </si>
  <si>
    <t>Theo Res</t>
  </si>
  <si>
    <t>Proration Factor</t>
  </si>
  <si>
    <t>Alloc Reserve</t>
  </si>
  <si>
    <t>Acct</t>
  </si>
  <si>
    <t>Vintage</t>
  </si>
  <si>
    <t>360 Total</t>
  </si>
  <si>
    <t>370 D Total</t>
  </si>
  <si>
    <t xml:space="preserve">DIST </t>
  </si>
  <si>
    <t>370 IDR Meters</t>
  </si>
  <si>
    <t>Check Total</t>
  </si>
  <si>
    <t>370 AMR Total</t>
  </si>
  <si>
    <t>370 AMS Total</t>
  </si>
  <si>
    <t>Reconcile 360</t>
  </si>
  <si>
    <t>TRAN</t>
  </si>
  <si>
    <t>360D</t>
  </si>
  <si>
    <t>360 From WP/II-B-5/05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</si>
</sst>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7">
    <xf numFmtId="0" fontId="0" fillId="0" borderId="0" xfId="0"/>
    <xf numFmtId="39" fontId="2" fillId="0" borderId="0" xfId="0" applyNumberFormat="1" applyFont="1"/>
    <xf numFmtId="0" fontId="2" fillId="0" borderId="0" xfId="0" applyFont="1"/>
    <xf numFmtId="43" fontId="2" fillId="0" borderId="0" xfId="18" applyFont="1"/>
    <xf numFmtId="43" fontId="2" fillId="0" borderId="0" xfId="0" applyNumberFormat="1" applyFont="1"/>
    <xf numFmtId="0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left" indent="3"/>
    </xf>
    <xf numFmtId="0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indent="2"/>
    </xf>
    <xf numFmtId="0" fontId="3" fillId="0" borderId="0" xfId="0" applyFont="1"/>
    <xf numFmtId="10" fontId="2" fillId="0" borderId="0" xfId="0" applyNumberFormat="1" applyFont="1"/>
    <xf numFmtId="43" fontId="3" fillId="0" borderId="0" xfId="18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43" fontId="2" fillId="0" borderId="1" xfId="0" applyNumberFormat="1" applyFont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2:Q817"/>
  <sheetViews>
    <sheetView tabSelected="1" workbookViewId="0" topLeftCell="A1">
      <pane xSplit="2" ySplit="2" topLeftCell="D786" activePane="bottomRight" state="frozen"/>
      <selection pane="topLeft" activeCell="A1" sqref="A1"/>
      <selection pane="bottomLeft" activeCell="A3" sqref="A3"/>
      <selection pane="topRight" activeCell="C1" sqref="C1"/>
      <selection pane="bottomRight" activeCell="M815" sqref="M815"/>
    </sheetView>
  </sheetViews>
  <sheetFormatPr defaultColWidth="9.12428571428571" defaultRowHeight="15.75" outlineLevelRow="2"/>
  <cols>
    <col min="1" max="1" width="20.4285714285714" style="2" customWidth="1"/>
    <col min="2" max="2" width="10.5714285714286" style="2" bestFit="1" customWidth="1"/>
    <col min="3" max="3" width="21.7142857142857" style="3" bestFit="1" customWidth="1"/>
    <col min="4" max="5" width="18.5714285714286" style="3" bestFit="1" customWidth="1"/>
    <col min="6" max="6" width="5.85714285714286" style="2" bestFit="1" customWidth="1"/>
    <col min="7" max="7" width="12.8571428571429" style="3" bestFit="1" customWidth="1"/>
    <col min="8" max="8" width="14.4285714285714" style="12" bestFit="1" customWidth="1"/>
    <col min="9" max="9" width="20.7142857142857" style="3" bestFit="1" customWidth="1"/>
    <col min="10" max="10" width="19.2857142857143" style="2" bestFit="1" customWidth="1"/>
    <col min="11" max="11" width="20.7142857142857" style="2" bestFit="1" customWidth="1"/>
    <col min="12" max="13" width="20.4285714285714" style="2" bestFit="1" customWidth="1"/>
    <col min="14" max="14" width="20.7142857142857" style="2" bestFit="1" customWidth="1"/>
    <col min="15" max="15" width="7" style="2" bestFit="1" customWidth="1"/>
    <col min="16" max="16" width="9.14285714285714" style="2"/>
    <col min="17" max="17" width="18.1428571428571" style="2" bestFit="1" customWidth="1"/>
    <col min="18" max="16384" width="9.14285714285714" style="2"/>
  </cols>
  <sheetData>
    <row r="2" spans="1:14" s="11" customFormat="1" ht="15.65">
      <c r="A2" s="9" t="s">
        <v>18</v>
      </c>
      <c r="B2" s="9" t="s">
        <v>19</v>
      </c>
      <c r="C2" s="13" t="s">
        <v>2</v>
      </c>
      <c r="D2" s="13" t="s">
        <v>0</v>
      </c>
      <c r="E2" s="13" t="s">
        <v>1</v>
      </c>
      <c r="F2" s="9" t="s">
        <v>12</v>
      </c>
      <c r="G2" s="13" t="s">
        <v>13</v>
      </c>
      <c r="H2" s="14" t="s">
        <v>14</v>
      </c>
      <c r="I2" s="13" t="s">
        <v>15</v>
      </c>
      <c r="J2" s="9" t="s">
        <v>16</v>
      </c>
      <c r="K2" s="9" t="s">
        <v>17</v>
      </c>
      <c r="L2" s="9" t="s">
        <v>24</v>
      </c>
      <c r="M2" s="9" t="s">
        <v>22</v>
      </c>
      <c r="N2" s="9" t="s">
        <v>1</v>
      </c>
    </row>
    <row r="3" spans="1:14" ht="15.65" outlineLevel="2">
      <c r="A3" s="5">
        <v>360</v>
      </c>
      <c r="B3" s="6">
        <v>2021</v>
      </c>
      <c r="C3" s="3">
        <v>1243277.52</v>
      </c>
      <c r="D3" s="3">
        <v>1243277.52</v>
      </c>
      <c r="F3" s="2">
        <v>70</v>
      </c>
      <c r="G3" s="3">
        <v>69.507712999999995</v>
      </c>
      <c r="H3" s="12">
        <v>0</v>
      </c>
      <c r="I3" s="3">
        <f t="shared" si="0" ref="I3:I34">+C3*(1-H3)*(1-G3/F3)</f>
        <v>8743.5622926891647</v>
      </c>
      <c r="J3" s="2">
        <f t="shared" si="1" ref="J3:J34">$J$97</f>
        <v>1.2002898360432972</v>
      </c>
      <c r="K3" s="1">
        <f t="shared" si="2" ref="K3:K34">IF((C3*(1-H3)-I3*J3)&lt;0,C3*(1-H3),I3*J3)</f>
        <v>10494.808950726234</v>
      </c>
      <c r="M3" s="4">
        <f t="shared" si="3" ref="M3:M34">+K3/D3*C3</f>
        <v>10494.808950726234</v>
      </c>
      <c r="N3" s="4">
        <f t="shared" si="4" ref="N3:N34">+E3/C3*K3</f>
        <v>0</v>
      </c>
    </row>
    <row r="4" spans="1:14" ht="15.65" outlineLevel="2">
      <c r="A4" s="5">
        <v>360</v>
      </c>
      <c r="B4" s="6">
        <v>2020</v>
      </c>
      <c r="C4" s="3">
        <v>24365.360000000001</v>
      </c>
      <c r="D4" s="3">
        <v>24365.360000000001</v>
      </c>
      <c r="F4" s="2">
        <v>70</v>
      </c>
      <c r="G4" s="3">
        <v>68.524195000000006</v>
      </c>
      <c r="H4" s="12">
        <v>0</v>
      </c>
      <c r="I4" s="3">
        <f t="shared" si="0"/>
        <v>513.69314449714022</v>
      </c>
      <c r="J4" s="2">
        <f t="shared" si="1"/>
        <v>1.2002898360432972</v>
      </c>
      <c r="K4" s="1">
        <f t="shared" si="2"/>
        <v>616.58066018503825</v>
      </c>
      <c r="M4" s="4">
        <f t="shared" si="3"/>
        <v>616.58066018503825</v>
      </c>
      <c r="N4" s="4">
        <f t="shared" si="4"/>
        <v>0</v>
      </c>
    </row>
    <row r="5" spans="1:14" ht="15.65" outlineLevel="2">
      <c r="A5" s="5">
        <v>360</v>
      </c>
      <c r="B5" s="6">
        <v>2019</v>
      </c>
      <c r="C5" s="3">
        <v>287830.03000000003</v>
      </c>
      <c r="D5" s="3">
        <v>287830.03000000003</v>
      </c>
      <c r="F5" s="2">
        <v>70</v>
      </c>
      <c r="G5" s="3">
        <v>67.542586999999997</v>
      </c>
      <c r="H5" s="12">
        <v>0</v>
      </c>
      <c r="I5" s="3">
        <f t="shared" si="0"/>
        <v>10104.532250177008</v>
      </c>
      <c r="J5" s="2">
        <f t="shared" si="1"/>
        <v>1.2002898360432972</v>
      </c>
      <c r="K5" s="1">
        <f t="shared" si="2"/>
        <v>12128.36735785917</v>
      </c>
      <c r="M5" s="4">
        <f t="shared" si="3"/>
        <v>12128.36735785917</v>
      </c>
      <c r="N5" s="4">
        <f t="shared" si="4"/>
        <v>0</v>
      </c>
    </row>
    <row r="6" spans="1:14" ht="15.65" outlineLevel="2">
      <c r="A6" s="5">
        <v>360</v>
      </c>
      <c r="B6" s="6">
        <v>2018</v>
      </c>
      <c r="C6" s="3">
        <v>143979.04000000001</v>
      </c>
      <c r="D6" s="3">
        <v>143979.04000000001</v>
      </c>
      <c r="F6" s="2">
        <v>70</v>
      </c>
      <c r="G6" s="3">
        <v>66.562736000000001</v>
      </c>
      <c r="H6" s="12">
        <v>0</v>
      </c>
      <c r="I6" s="3">
        <f t="shared" si="0"/>
        <v>7069.9138706651338</v>
      </c>
      <c r="J6" s="2">
        <f t="shared" si="1"/>
        <v>1.2002898360432972</v>
      </c>
      <c r="K6" s="1">
        <f t="shared" si="2"/>
        <v>8485.9457606608867</v>
      </c>
      <c r="M6" s="4">
        <f t="shared" si="3"/>
        <v>8485.9457606608867</v>
      </c>
      <c r="N6" s="4">
        <f t="shared" si="4"/>
        <v>0</v>
      </c>
    </row>
    <row r="7" spans="1:14" ht="15.65" outlineLevel="2">
      <c r="A7" s="5">
        <v>360</v>
      </c>
      <c r="B7" s="6">
        <v>2017</v>
      </c>
      <c r="C7" s="3">
        <v>731241.28000000003</v>
      </c>
      <c r="D7" s="3">
        <v>731241.28000000003</v>
      </c>
      <c r="F7" s="2">
        <v>70</v>
      </c>
      <c r="G7" s="3">
        <v>65.585267000000002</v>
      </c>
      <c r="H7" s="12">
        <v>0</v>
      </c>
      <c r="I7" s="3">
        <f t="shared" si="0"/>
        <v>46117.642996832001</v>
      </c>
      <c r="J7" s="2">
        <f t="shared" si="1"/>
        <v>1.2002898360432972</v>
      </c>
      <c r="K7" s="1">
        <f t="shared" si="2"/>
        <v>55354.538151370798</v>
      </c>
      <c r="M7" s="4">
        <f t="shared" si="3"/>
        <v>55354.538151370798</v>
      </c>
      <c r="N7" s="4">
        <f t="shared" si="4"/>
        <v>0</v>
      </c>
    </row>
    <row r="8" spans="1:14" ht="15.65" outlineLevel="2">
      <c r="A8" s="5">
        <v>360</v>
      </c>
      <c r="B8" s="6">
        <v>2016</v>
      </c>
      <c r="C8" s="3">
        <v>1004485.8100000001</v>
      </c>
      <c r="D8" s="3">
        <v>1004485.8100000001</v>
      </c>
      <c r="F8" s="2">
        <v>70</v>
      </c>
      <c r="G8" s="3">
        <v>64.609823000000006</v>
      </c>
      <c r="H8" s="12">
        <v>0</v>
      </c>
      <c r="I8" s="3">
        <f t="shared" si="0"/>
        <v>77347.947284119538</v>
      </c>
      <c r="J8" s="2">
        <f t="shared" si="1"/>
        <v>1.2002898360432972</v>
      </c>
      <c r="K8" s="1">
        <f t="shared" si="2"/>
        <v>92839.954963941433</v>
      </c>
      <c r="M8" s="4">
        <f t="shared" si="3"/>
        <v>92839.954963941433</v>
      </c>
      <c r="N8" s="4">
        <f t="shared" si="4"/>
        <v>0</v>
      </c>
    </row>
    <row r="9" spans="1:14" ht="15.65" outlineLevel="2">
      <c r="A9" s="5">
        <v>360</v>
      </c>
      <c r="B9" s="6">
        <v>2015</v>
      </c>
      <c r="C9" s="3">
        <v>845718.18000000005</v>
      </c>
      <c r="D9" s="3">
        <v>845718.18000000005</v>
      </c>
      <c r="F9" s="2">
        <v>70</v>
      </c>
      <c r="G9" s="3">
        <v>63.636930999999997</v>
      </c>
      <c r="H9" s="12">
        <v>0</v>
      </c>
      <c r="I9" s="3">
        <f t="shared" si="0"/>
        <v>76876.616198491727</v>
      </c>
      <c r="J9" s="2">
        <f t="shared" si="1"/>
        <v>1.2002898360432972</v>
      </c>
      <c r="K9" s="1">
        <f t="shared" si="2"/>
        <v>92274.221052451117</v>
      </c>
      <c r="M9" s="4">
        <f t="shared" si="3"/>
        <v>92274.221052451117</v>
      </c>
      <c r="N9" s="4">
        <f t="shared" si="4"/>
        <v>0</v>
      </c>
    </row>
    <row r="10" spans="1:14" ht="15.65" outlineLevel="2">
      <c r="A10" s="5">
        <v>360</v>
      </c>
      <c r="B10" s="6">
        <v>2014</v>
      </c>
      <c r="C10" s="3">
        <v>195843.88000000001</v>
      </c>
      <c r="D10" s="3">
        <v>195843.88000000001</v>
      </c>
      <c r="F10" s="2">
        <v>70</v>
      </c>
      <c r="G10" s="3">
        <v>62.666553999999998</v>
      </c>
      <c r="H10" s="12">
        <v>0</v>
      </c>
      <c r="I10" s="3">
        <f t="shared" si="0"/>
        <v>20517.293120149716</v>
      </c>
      <c r="J10" s="2">
        <f t="shared" si="1"/>
        <v>1.2002898360432972</v>
      </c>
      <c r="K10" s="1">
        <f t="shared" si="2"/>
        <v>24626.698395236774</v>
      </c>
      <c r="M10" s="4">
        <f t="shared" si="3"/>
        <v>24626.698395236774</v>
      </c>
      <c r="N10" s="4">
        <f t="shared" si="4"/>
        <v>0</v>
      </c>
    </row>
    <row r="11" spans="1:14" ht="15.65" outlineLevel="2">
      <c r="A11" s="5">
        <v>360</v>
      </c>
      <c r="B11" s="6">
        <v>2013</v>
      </c>
      <c r="C11" s="3">
        <v>161467.12</v>
      </c>
      <c r="D11" s="3">
        <v>161467.12</v>
      </c>
      <c r="F11" s="2">
        <v>70</v>
      </c>
      <c r="G11" s="3">
        <v>61.698855000000002</v>
      </c>
      <c r="H11" s="12">
        <v>0</v>
      </c>
      <c r="I11" s="3">
        <f t="shared" si="0"/>
        <v>19148.028226462862</v>
      </c>
      <c r="J11" s="2">
        <f t="shared" si="1"/>
        <v>1.2002898360432972</v>
      </c>
      <c r="K11" s="1">
        <f t="shared" si="2"/>
        <v>22983.183660493534</v>
      </c>
      <c r="M11" s="4">
        <f t="shared" si="3"/>
        <v>22983.183660493534</v>
      </c>
      <c r="N11" s="4">
        <f t="shared" si="4"/>
        <v>0</v>
      </c>
    </row>
    <row r="12" spans="1:14" ht="15.65" outlineLevel="2">
      <c r="A12" s="5">
        <v>360</v>
      </c>
      <c r="B12" s="6">
        <v>2012</v>
      </c>
      <c r="C12" s="3">
        <v>87124.210000000006</v>
      </c>
      <c r="D12" s="3">
        <v>87124.210000000006</v>
      </c>
      <c r="F12" s="2">
        <v>70</v>
      </c>
      <c r="G12" s="3">
        <v>60.734226999999997</v>
      </c>
      <c r="H12" s="12">
        <v>0</v>
      </c>
      <c r="I12" s="3">
        <f t="shared" si="0"/>
        <v>11532.473609490435</v>
      </c>
      <c r="J12" s="2">
        <f t="shared" si="1"/>
        <v>1.2002898360432972</v>
      </c>
      <c r="K12" s="1">
        <f t="shared" si="2"/>
        <v>13842.310857908926</v>
      </c>
      <c r="M12" s="4">
        <f t="shared" si="3"/>
        <v>13842.310857908926</v>
      </c>
      <c r="N12" s="4">
        <f t="shared" si="4"/>
        <v>0</v>
      </c>
    </row>
    <row r="13" spans="1:14" ht="15.65" outlineLevel="2">
      <c r="A13" s="5">
        <v>360</v>
      </c>
      <c r="B13" s="6">
        <v>2011</v>
      </c>
      <c r="C13" s="3">
        <v>24959.84</v>
      </c>
      <c r="D13" s="3">
        <v>24959.84</v>
      </c>
      <c r="F13" s="2">
        <v>70</v>
      </c>
      <c r="G13" s="3">
        <v>59.772351</v>
      </c>
      <c r="H13" s="12">
        <v>0</v>
      </c>
      <c r="I13" s="3">
        <f t="shared" si="0"/>
        <v>3646.8640373737148</v>
      </c>
      <c r="J13" s="2">
        <f t="shared" si="1"/>
        <v>1.2002898360432972</v>
      </c>
      <c r="K13" s="1">
        <f t="shared" si="2"/>
        <v>4377.2938374914929</v>
      </c>
      <c r="M13" s="4">
        <f t="shared" si="3"/>
        <v>4377.2938374914929</v>
      </c>
      <c r="N13" s="4">
        <f t="shared" si="4"/>
        <v>0</v>
      </c>
    </row>
    <row r="14" spans="1:14" ht="15.65" outlineLevel="2">
      <c r="A14" s="5">
        <v>360</v>
      </c>
      <c r="B14" s="6">
        <v>2010</v>
      </c>
      <c r="C14" s="3">
        <v>139496.19</v>
      </c>
      <c r="D14" s="3">
        <v>139496.19</v>
      </c>
      <c r="F14" s="2">
        <v>70</v>
      </c>
      <c r="G14" s="3">
        <v>58.814194999999998</v>
      </c>
      <c r="H14" s="12">
        <v>0</v>
      </c>
      <c r="I14" s="3">
        <f t="shared" si="0"/>
        <v>22291.102565470726</v>
      </c>
      <c r="J14" s="2">
        <f t="shared" si="1"/>
        <v>1.2002898360432972</v>
      </c>
      <c r="K14" s="1">
        <f t="shared" si="2"/>
        <v>26755.78384353318</v>
      </c>
      <c r="M14" s="4">
        <f t="shared" si="3"/>
        <v>26755.78384353318</v>
      </c>
      <c r="N14" s="4">
        <f t="shared" si="4"/>
        <v>0</v>
      </c>
    </row>
    <row r="15" spans="1:14" ht="15.65" outlineLevel="2">
      <c r="A15" s="5">
        <v>360</v>
      </c>
      <c r="B15" s="6">
        <v>2009</v>
      </c>
      <c r="C15" s="3">
        <v>462672.67999999999</v>
      </c>
      <c r="D15" s="3">
        <v>462672.67999999999</v>
      </c>
      <c r="F15" s="2">
        <v>70</v>
      </c>
      <c r="G15" s="3">
        <v>57.859112000000003</v>
      </c>
      <c r="H15" s="12">
        <v>0</v>
      </c>
      <c r="I15" s="3">
        <f t="shared" si="0"/>
        <v>80246.531264854828</v>
      </c>
      <c r="J15" s="2">
        <f t="shared" si="1"/>
        <v>1.2002898360432972</v>
      </c>
      <c r="K15" s="1">
        <f t="shared" si="2"/>
        <v>96319.09585493592</v>
      </c>
      <c r="M15" s="4">
        <f t="shared" si="3"/>
        <v>96319.09585493592</v>
      </c>
      <c r="N15" s="4">
        <f t="shared" si="4"/>
        <v>0</v>
      </c>
    </row>
    <row r="16" spans="1:14" ht="15.65" outlineLevel="2">
      <c r="A16" s="5">
        <v>360</v>
      </c>
      <c r="B16" s="6">
        <v>2008</v>
      </c>
      <c r="C16" s="3">
        <v>481534.72999999998</v>
      </c>
      <c r="D16" s="3">
        <v>481534.72999999998</v>
      </c>
      <c r="F16" s="2">
        <v>70</v>
      </c>
      <c r="G16" s="3">
        <v>56.907865000000001</v>
      </c>
      <c r="H16" s="12">
        <v>0</v>
      </c>
      <c r="I16" s="3">
        <f t="shared" si="0"/>
        <v>90061.681319264986</v>
      </c>
      <c r="J16" s="2">
        <f t="shared" si="1"/>
        <v>1.2002898360432972</v>
      </c>
      <c r="K16" s="1">
        <f t="shared" si="2"/>
        <v>108100.12070448426</v>
      </c>
      <c r="M16" s="4">
        <f t="shared" si="3"/>
        <v>108100.12070448426</v>
      </c>
      <c r="N16" s="4">
        <f t="shared" si="4"/>
        <v>0</v>
      </c>
    </row>
    <row r="17" spans="1:14" ht="15.65" outlineLevel="2">
      <c r="A17" s="5">
        <v>360</v>
      </c>
      <c r="B17" s="6">
        <v>2006</v>
      </c>
      <c r="C17" s="3">
        <v>80565.720000000001</v>
      </c>
      <c r="D17" s="3">
        <v>80565.720000000001</v>
      </c>
      <c r="F17" s="2">
        <v>70</v>
      </c>
      <c r="G17" s="3">
        <v>55.016660000000002</v>
      </c>
      <c r="H17" s="12">
        <v>0</v>
      </c>
      <c r="I17" s="3">
        <f t="shared" si="0"/>
        <v>17244.908215782852</v>
      </c>
      <c r="J17" s="2">
        <f t="shared" si="1"/>
        <v>1.2002898360432972</v>
      </c>
      <c r="K17" s="1">
        <f t="shared" si="2"/>
        <v>20698.888054903709</v>
      </c>
      <c r="M17" s="4">
        <f t="shared" si="3"/>
        <v>20698.888054903706</v>
      </c>
      <c r="N17" s="4">
        <f t="shared" si="4"/>
        <v>0</v>
      </c>
    </row>
    <row r="18" spans="1:14" ht="15.65" outlineLevel="2">
      <c r="A18" s="5">
        <v>360</v>
      </c>
      <c r="B18" s="6">
        <v>1999</v>
      </c>
      <c r="C18" s="3">
        <v>30065.639999999999</v>
      </c>
      <c r="D18" s="3">
        <v>30065.639999999999</v>
      </c>
      <c r="F18" s="2">
        <v>70</v>
      </c>
      <c r="G18" s="3">
        <v>48.538113000000003</v>
      </c>
      <c r="H18" s="12">
        <v>0</v>
      </c>
      <c r="I18" s="3">
        <f t="shared" si="0"/>
        <v>9218.0766894668559</v>
      </c>
      <c r="J18" s="2">
        <f t="shared" si="1"/>
        <v>1.2002898360432972</v>
      </c>
      <c r="K18" s="1">
        <f t="shared" si="2"/>
        <v>11064.363758234713</v>
      </c>
      <c r="M18" s="4">
        <f t="shared" si="3"/>
        <v>11064.363758234713</v>
      </c>
      <c r="N18" s="4">
        <f t="shared" si="4"/>
        <v>0</v>
      </c>
    </row>
    <row r="19" spans="1:14" ht="15.65" outlineLevel="2">
      <c r="A19" s="5">
        <v>360</v>
      </c>
      <c r="B19" s="6">
        <v>1997</v>
      </c>
      <c r="C19" s="3">
        <v>35678.129999999997</v>
      </c>
      <c r="D19" s="3">
        <v>35678.129999999997</v>
      </c>
      <c r="F19" s="2">
        <v>70</v>
      </c>
      <c r="G19" s="3">
        <v>46.732714000000001</v>
      </c>
      <c r="H19" s="12">
        <v>0</v>
      </c>
      <c r="I19" s="3">
        <f t="shared" si="0"/>
        <v>11859.046495073997</v>
      </c>
      <c r="J19" s="2">
        <f t="shared" si="1"/>
        <v>1.2002898360432972</v>
      </c>
      <c r="K19" s="1">
        <f t="shared" si="2"/>
        <v>14234.292973202206</v>
      </c>
      <c r="M19" s="4">
        <f t="shared" si="3"/>
        <v>14234.292973202206</v>
      </c>
      <c r="N19" s="4">
        <f t="shared" si="4"/>
        <v>0</v>
      </c>
    </row>
    <row r="20" spans="1:14" ht="15.65" outlineLevel="2">
      <c r="A20" s="5">
        <v>360</v>
      </c>
      <c r="B20" s="6">
        <v>1996</v>
      </c>
      <c r="C20" s="3">
        <v>351866.84000000003</v>
      </c>
      <c r="D20" s="3">
        <v>351866.84000000003</v>
      </c>
      <c r="F20" s="2">
        <v>70</v>
      </c>
      <c r="G20" s="3">
        <v>45.839038000000002</v>
      </c>
      <c r="H20" s="12">
        <v>0</v>
      </c>
      <c r="I20" s="3">
        <f t="shared" si="0"/>
        <v>121449.16214714399</v>
      </c>
      <c r="J20" s="2">
        <f t="shared" si="1"/>
        <v>1.2002898360432972</v>
      </c>
      <c r="K20" s="1">
        <f t="shared" si="2"/>
        <v>145774.19492119126</v>
      </c>
      <c r="M20" s="4">
        <f t="shared" si="3"/>
        <v>145774.19492119126</v>
      </c>
      <c r="N20" s="4">
        <f t="shared" si="4"/>
        <v>0</v>
      </c>
    </row>
    <row r="21" spans="1:14" ht="15.65" outlineLevel="2">
      <c r="A21" s="5">
        <v>360</v>
      </c>
      <c r="B21" s="6">
        <v>1995</v>
      </c>
      <c r="C21" s="3">
        <v>210921.56</v>
      </c>
      <c r="D21" s="3">
        <v>210921.56</v>
      </c>
      <c r="F21" s="2">
        <v>70</v>
      </c>
      <c r="G21" s="3">
        <v>44.950515000000003</v>
      </c>
      <c r="H21" s="12">
        <v>0</v>
      </c>
      <c r="I21" s="3">
        <f t="shared" si="0"/>
        <v>75478.235048522853</v>
      </c>
      <c r="J21" s="2">
        <f t="shared" si="1"/>
        <v>1.2002898360432972</v>
      </c>
      <c r="K21" s="1">
        <f t="shared" si="2"/>
        <v>90595.758371228949</v>
      </c>
      <c r="M21" s="4">
        <f t="shared" si="3"/>
        <v>90595.758371228949</v>
      </c>
      <c r="N21" s="4">
        <f t="shared" si="4"/>
        <v>0</v>
      </c>
    </row>
    <row r="22" spans="1:14" ht="15.65" outlineLevel="2">
      <c r="A22" s="5">
        <v>360</v>
      </c>
      <c r="B22" s="6">
        <v>1994</v>
      </c>
      <c r="C22" s="3">
        <v>267500.77000000002</v>
      </c>
      <c r="D22" s="3">
        <v>267500.77000000002</v>
      </c>
      <c r="F22" s="2">
        <v>70</v>
      </c>
      <c r="G22" s="3">
        <v>44.068384000000002</v>
      </c>
      <c r="H22" s="12">
        <v>0</v>
      </c>
      <c r="I22" s="3">
        <f t="shared" si="0"/>
        <v>99096.103533490284</v>
      </c>
      <c r="J22" s="2">
        <f t="shared" si="1"/>
        <v>1.2002898360432972</v>
      </c>
      <c r="K22" s="1">
        <f t="shared" si="2"/>
        <v>118944.04586274266</v>
      </c>
      <c r="M22" s="4">
        <f t="shared" si="3"/>
        <v>118944.04586274266</v>
      </c>
      <c r="N22" s="4">
        <f t="shared" si="4"/>
        <v>0</v>
      </c>
    </row>
    <row r="23" spans="1:14" ht="15.65" outlineLevel="2">
      <c r="A23" s="5">
        <v>360</v>
      </c>
      <c r="B23" s="6">
        <v>1993</v>
      </c>
      <c r="C23" s="3">
        <v>423034.03999999998</v>
      </c>
      <c r="D23" s="3">
        <v>423034.03999999998</v>
      </c>
      <c r="F23" s="2">
        <v>70</v>
      </c>
      <c r="G23" s="3">
        <v>43.192208999999998</v>
      </c>
      <c r="H23" s="12">
        <v>0</v>
      </c>
      <c r="I23" s="3">
        <f t="shared" si="0"/>
        <v>162008.68757436631</v>
      </c>
      <c r="J23" s="2">
        <f t="shared" si="1"/>
        <v>1.2002898360432972</v>
      </c>
      <c r="K23" s="1">
        <f t="shared" si="2"/>
        <v>194457.3810462259</v>
      </c>
      <c r="M23" s="4">
        <f t="shared" si="3"/>
        <v>194457.3810462259</v>
      </c>
      <c r="N23" s="4">
        <f t="shared" si="4"/>
        <v>0</v>
      </c>
    </row>
    <row r="24" spans="1:14" ht="15.65" outlineLevel="2">
      <c r="A24" s="5">
        <v>360</v>
      </c>
      <c r="B24" s="6">
        <v>1992</v>
      </c>
      <c r="C24" s="3">
        <v>1998763.25</v>
      </c>
      <c r="D24" s="3">
        <v>1998763.25</v>
      </c>
      <c r="F24" s="2">
        <v>70</v>
      </c>
      <c r="G24" s="3">
        <v>42.322127999999999</v>
      </c>
      <c r="H24" s="12">
        <v>0</v>
      </c>
      <c r="I24" s="3">
        <f t="shared" si="0"/>
        <v>790307.33416862867</v>
      </c>
      <c r="J24" s="2">
        <f t="shared" si="1"/>
        <v>1.2002898360432972</v>
      </c>
      <c r="K24" s="1">
        <f t="shared" si="2"/>
        <v>948597.86055307859</v>
      </c>
      <c r="M24" s="4">
        <f t="shared" si="3"/>
        <v>948597.86055307859</v>
      </c>
      <c r="N24" s="4">
        <f t="shared" si="4"/>
        <v>0</v>
      </c>
    </row>
    <row r="25" spans="1:14" ht="15.65" outlineLevel="2">
      <c r="A25" s="5">
        <v>360</v>
      </c>
      <c r="B25" s="6">
        <v>1991</v>
      </c>
      <c r="C25" s="3">
        <v>236914.42999999999</v>
      </c>
      <c r="D25" s="3">
        <v>236914.42999999999</v>
      </c>
      <c r="F25" s="2">
        <v>70</v>
      </c>
      <c r="G25" s="3">
        <v>41.458871000000002</v>
      </c>
      <c r="H25" s="12">
        <v>0</v>
      </c>
      <c r="I25" s="3">
        <f t="shared" si="0"/>
        <v>96597.218694163836</v>
      </c>
      <c r="J25" s="2">
        <f t="shared" si="1"/>
        <v>1.2002898360432972</v>
      </c>
      <c r="K25" s="1">
        <f t="shared" si="2"/>
        <v>115944.65978865643</v>
      </c>
      <c r="M25" s="4">
        <f t="shared" si="3"/>
        <v>115944.65978865643</v>
      </c>
      <c r="N25" s="4">
        <f t="shared" si="4"/>
        <v>0</v>
      </c>
    </row>
    <row r="26" spans="1:14" ht="15.65" outlineLevel="2">
      <c r="A26" s="5">
        <v>360</v>
      </c>
      <c r="B26" s="6">
        <v>1990</v>
      </c>
      <c r="C26" s="3">
        <v>316131.44</v>
      </c>
      <c r="D26" s="3">
        <v>316131.44</v>
      </c>
      <c r="F26" s="2">
        <v>70</v>
      </c>
      <c r="G26" s="3">
        <v>40.601317000000002</v>
      </c>
      <c r="H26" s="12">
        <v>0</v>
      </c>
      <c r="I26" s="3">
        <f t="shared" si="0"/>
        <v>132769.25701276455</v>
      </c>
      <c r="J26" s="2">
        <f t="shared" si="1"/>
        <v>1.2002898360432972</v>
      </c>
      <c r="K26" s="1">
        <f t="shared" si="2"/>
        <v>159361.58973144155</v>
      </c>
      <c r="M26" s="4">
        <f t="shared" si="3"/>
        <v>159361.58973144155</v>
      </c>
      <c r="N26" s="4">
        <f t="shared" si="4"/>
        <v>0</v>
      </c>
    </row>
    <row r="27" spans="1:14" ht="15.65" outlineLevel="2">
      <c r="A27" s="5">
        <v>360</v>
      </c>
      <c r="B27" s="6">
        <v>1989</v>
      </c>
      <c r="C27" s="3">
        <v>157397.79999999999</v>
      </c>
      <c r="D27" s="3">
        <v>157397.79999999999</v>
      </c>
      <c r="F27" s="2">
        <v>70</v>
      </c>
      <c r="G27" s="3">
        <v>39.751500999999998</v>
      </c>
      <c r="H27" s="12">
        <v>0</v>
      </c>
      <c r="I27" s="3">
        <f t="shared" si="0"/>
        <v>68014.959941459994</v>
      </c>
      <c r="J27" s="2">
        <f t="shared" si="1"/>
        <v>1.2002898360432972</v>
      </c>
      <c r="K27" s="1">
        <f t="shared" si="2"/>
        <v>81637.665116626449</v>
      </c>
      <c r="M27" s="4">
        <f t="shared" si="3"/>
        <v>81637.665116626449</v>
      </c>
      <c r="N27" s="4">
        <f t="shared" si="4"/>
        <v>0</v>
      </c>
    </row>
    <row r="28" spans="1:14" ht="15.65" outlineLevel="2">
      <c r="A28" s="5">
        <v>360</v>
      </c>
      <c r="B28" s="6">
        <v>1988</v>
      </c>
      <c r="C28" s="3">
        <v>679969.83999999997</v>
      </c>
      <c r="D28" s="3">
        <v>679969.83999999997</v>
      </c>
      <c r="F28" s="2">
        <v>70</v>
      </c>
      <c r="G28" s="3">
        <v>38.907595000000001</v>
      </c>
      <c r="H28" s="12">
        <v>0</v>
      </c>
      <c r="I28" s="3">
        <f t="shared" si="0"/>
        <v>302027.10932950285</v>
      </c>
      <c r="J28" s="2">
        <f t="shared" si="1"/>
        <v>1.2002898360432972</v>
      </c>
      <c r="K28" s="1">
        <f t="shared" si="2"/>
        <v>362520.06953773997</v>
      </c>
      <c r="M28" s="4">
        <f t="shared" si="3"/>
        <v>362520.06953773997</v>
      </c>
      <c r="N28" s="4">
        <f t="shared" si="4"/>
        <v>0</v>
      </c>
    </row>
    <row r="29" spans="1:14" ht="15.65" outlineLevel="2">
      <c r="A29" s="5">
        <v>360</v>
      </c>
      <c r="B29" s="6">
        <v>1987</v>
      </c>
      <c r="C29" s="3">
        <v>571398.73999999999</v>
      </c>
      <c r="D29" s="3">
        <v>571398.73999999999</v>
      </c>
      <c r="F29" s="2">
        <v>70</v>
      </c>
      <c r="G29" s="3">
        <v>38.071046000000003</v>
      </c>
      <c r="H29" s="12">
        <v>0</v>
      </c>
      <c r="I29" s="3">
        <f t="shared" si="0"/>
        <v>260630.91550168509</v>
      </c>
      <c r="J29" s="2">
        <f t="shared" si="1"/>
        <v>1.2002898360432972</v>
      </c>
      <c r="K29" s="1">
        <f t="shared" si="2"/>
        <v>312832.63883533207</v>
      </c>
      <c r="M29" s="4">
        <f t="shared" si="3"/>
        <v>312832.63883533207</v>
      </c>
      <c r="N29" s="4">
        <f t="shared" si="4"/>
        <v>0</v>
      </c>
    </row>
    <row r="30" spans="1:14" ht="15.65" outlineLevel="2">
      <c r="A30" s="5">
        <v>360</v>
      </c>
      <c r="B30" s="6">
        <v>1986</v>
      </c>
      <c r="C30" s="3">
        <v>554735.64000000001</v>
      </c>
      <c r="D30" s="3">
        <v>554735.64000000001</v>
      </c>
      <c r="F30" s="2">
        <v>70</v>
      </c>
      <c r="G30" s="3">
        <v>37.241276999999997</v>
      </c>
      <c r="H30" s="12">
        <v>0</v>
      </c>
      <c r="I30" s="3">
        <f t="shared" si="0"/>
        <v>259606.15955696744</v>
      </c>
      <c r="J30" s="2">
        <f t="shared" si="1"/>
        <v>1.2002898360432972</v>
      </c>
      <c r="K30" s="1">
        <f t="shared" si="2"/>
        <v>311602.6346904625</v>
      </c>
      <c r="M30" s="4">
        <f t="shared" si="3"/>
        <v>311602.6346904625</v>
      </c>
      <c r="N30" s="4">
        <f t="shared" si="4"/>
        <v>0</v>
      </c>
    </row>
    <row r="31" spans="1:14" ht="15.65" outlineLevel="2">
      <c r="A31" s="5">
        <v>360</v>
      </c>
      <c r="B31" s="6">
        <v>1985</v>
      </c>
      <c r="C31" s="3">
        <v>206551.60000000001</v>
      </c>
      <c r="D31" s="3">
        <v>206551.60000000001</v>
      </c>
      <c r="F31" s="2">
        <v>70</v>
      </c>
      <c r="G31" s="3">
        <v>36.418394999999997</v>
      </c>
      <c r="H31" s="12">
        <v>0</v>
      </c>
      <c r="I31" s="3">
        <f t="shared" si="0"/>
        <v>99090.489190257169</v>
      </c>
      <c r="J31" s="2">
        <f t="shared" si="1"/>
        <v>1.2002898360432972</v>
      </c>
      <c r="K31" s="1">
        <f t="shared" si="2"/>
        <v>118937.30702362389</v>
      </c>
      <c r="M31" s="4">
        <f t="shared" si="3"/>
        <v>118937.30702362389</v>
      </c>
      <c r="N31" s="4">
        <f t="shared" si="4"/>
        <v>0</v>
      </c>
    </row>
    <row r="32" spans="1:14" ht="15.65" outlineLevel="2">
      <c r="A32" s="5">
        <v>360</v>
      </c>
      <c r="B32" s="6">
        <v>1984</v>
      </c>
      <c r="C32" s="3">
        <v>206900.28</v>
      </c>
      <c r="D32" s="3">
        <v>206900.28</v>
      </c>
      <c r="F32" s="2">
        <v>70</v>
      </c>
      <c r="G32" s="3">
        <v>35.603236000000003</v>
      </c>
      <c r="H32" s="12">
        <v>0</v>
      </c>
      <c r="I32" s="3">
        <f t="shared" si="0"/>
        <v>101667.14432419885</v>
      </c>
      <c r="J32" s="2">
        <f t="shared" si="1"/>
        <v>1.2002898360432972</v>
      </c>
      <c r="K32" s="1">
        <f t="shared" si="2"/>
        <v>122030.03999188286</v>
      </c>
      <c r="M32" s="4">
        <f t="shared" si="3"/>
        <v>122030.03999188286</v>
      </c>
      <c r="N32" s="4">
        <f t="shared" si="4"/>
        <v>0</v>
      </c>
    </row>
    <row r="33" spans="1:14" ht="15.65" outlineLevel="2">
      <c r="A33" s="5">
        <v>360</v>
      </c>
      <c r="B33" s="6">
        <v>1983</v>
      </c>
      <c r="C33" s="3">
        <v>206114.31</v>
      </c>
      <c r="D33" s="3">
        <v>206114.31</v>
      </c>
      <c r="F33" s="2">
        <v>70</v>
      </c>
      <c r="G33" s="3">
        <v>34.794424999999997</v>
      </c>
      <c r="H33" s="12">
        <v>0</v>
      </c>
      <c r="I33" s="3">
        <f t="shared" si="0"/>
        <v>103662.46856111784</v>
      </c>
      <c r="J33" s="2">
        <f t="shared" si="1"/>
        <v>1.2002898360432972</v>
      </c>
      <c r="K33" s="1">
        <f t="shared" si="2"/>
        <v>124425.00739306759</v>
      </c>
      <c r="M33" s="4">
        <f t="shared" si="3"/>
        <v>124425.0073930676</v>
      </c>
      <c r="N33" s="4">
        <f t="shared" si="4"/>
        <v>0</v>
      </c>
    </row>
    <row r="34" spans="1:14" ht="15.65" outlineLevel="2">
      <c r="A34" s="5">
        <v>360</v>
      </c>
      <c r="B34" s="6">
        <v>1982</v>
      </c>
      <c r="C34" s="3">
        <v>187595.70000000001</v>
      </c>
      <c r="D34" s="3">
        <v>187595.70000000001</v>
      </c>
      <c r="F34" s="2">
        <v>70</v>
      </c>
      <c r="G34" s="3">
        <v>33.994346</v>
      </c>
      <c r="H34" s="12">
        <v>0</v>
      </c>
      <c r="I34" s="3">
        <f t="shared" si="0"/>
        <v>96492.94094411144</v>
      </c>
      <c r="J34" s="2">
        <f t="shared" si="1"/>
        <v>1.2002898360432972</v>
      </c>
      <c r="K34" s="1">
        <f t="shared" si="2"/>
        <v>115819.49626514308</v>
      </c>
      <c r="M34" s="4">
        <f t="shared" si="3"/>
        <v>115819.49626514308</v>
      </c>
      <c r="N34" s="4">
        <f t="shared" si="4"/>
        <v>0</v>
      </c>
    </row>
    <row r="35" spans="1:14" ht="15.65" outlineLevel="2">
      <c r="A35" s="5">
        <v>360</v>
      </c>
      <c r="B35" s="6">
        <v>1981</v>
      </c>
      <c r="C35" s="3">
        <v>151437.17999999999</v>
      </c>
      <c r="D35" s="3">
        <v>151437.17999999999</v>
      </c>
      <c r="F35" s="2">
        <v>70</v>
      </c>
      <c r="G35" s="3">
        <v>33.200826999999997</v>
      </c>
      <c r="H35" s="12">
        <v>0</v>
      </c>
      <c r="I35" s="3">
        <f t="shared" si="5" ref="I35:I66">+C35*(1-H35)*(1-G35/F35)</f>
        <v>79610.899792173426</v>
      </c>
      <c r="J35" s="2">
        <f t="shared" si="6" ref="J35:J66">$J$97</f>
        <v>1.2002898360432972</v>
      </c>
      <c r="K35" s="1">
        <f t="shared" si="7" ref="K35:K66">IF((C35*(1-H35)-I35*J35)&lt;0,C35*(1-H35),I35*J35)</f>
        <v>95556.1538588072</v>
      </c>
      <c r="M35" s="4">
        <f t="shared" si="8" ref="M35:M66">+K35/D35*C35</f>
        <v>95556.153858807185</v>
      </c>
      <c r="N35" s="4">
        <f t="shared" si="9" ref="N35:N66">+E35/C35*K35</f>
        <v>0</v>
      </c>
    </row>
    <row r="36" spans="1:14" ht="15.65" outlineLevel="2">
      <c r="A36" s="5">
        <v>360</v>
      </c>
      <c r="B36" s="6">
        <v>1980</v>
      </c>
      <c r="C36" s="3">
        <v>134155.95000000001</v>
      </c>
      <c r="D36" s="3">
        <v>134155.95000000001</v>
      </c>
      <c r="F36" s="2">
        <v>70</v>
      </c>
      <c r="G36" s="3">
        <v>32.415557999999997</v>
      </c>
      <c r="H36" s="12">
        <v>0</v>
      </c>
      <c r="I36" s="3">
        <f t="shared" si="5"/>
        <v>72031.093167569998</v>
      </c>
      <c r="J36" s="2">
        <f t="shared" si="6"/>
        <v>1.2002898360432972</v>
      </c>
      <c r="K36" s="1">
        <f t="shared" si="7"/>
        <v>86458.189008122063</v>
      </c>
      <c r="M36" s="4">
        <f t="shared" si="8"/>
        <v>86458.189008122063</v>
      </c>
      <c r="N36" s="4">
        <f t="shared" si="9"/>
        <v>0</v>
      </c>
    </row>
    <row r="37" spans="1:14" ht="15.65" outlineLevel="2">
      <c r="A37" s="5">
        <v>360</v>
      </c>
      <c r="B37" s="6">
        <v>1979</v>
      </c>
      <c r="C37" s="3">
        <v>87252.740000000005</v>
      </c>
      <c r="D37" s="3">
        <v>87252.740000000005</v>
      </c>
      <c r="F37" s="2">
        <v>70</v>
      </c>
      <c r="G37" s="3">
        <v>31.637864</v>
      </c>
      <c r="H37" s="12">
        <v>0</v>
      </c>
      <c r="I37" s="3">
        <f t="shared" si="5"/>
        <v>47817.163975037714</v>
      </c>
      <c r="J37" s="2">
        <f t="shared" si="6"/>
        <v>1.2002898360432972</v>
      </c>
      <c r="K37" s="1">
        <f t="shared" si="7"/>
        <v>57394.455907653479</v>
      </c>
      <c r="M37" s="4">
        <f t="shared" si="8"/>
        <v>57394.455907653479</v>
      </c>
      <c r="N37" s="4">
        <f t="shared" si="9"/>
        <v>0</v>
      </c>
    </row>
    <row r="38" spans="1:14" ht="15.65" outlineLevel="2">
      <c r="A38" s="5">
        <v>360</v>
      </c>
      <c r="B38" s="6">
        <v>1978</v>
      </c>
      <c r="C38" s="3">
        <v>104419.16</v>
      </c>
      <c r="D38" s="3">
        <v>104419.16</v>
      </c>
      <c r="F38" s="2">
        <v>70</v>
      </c>
      <c r="G38" s="3">
        <v>30.867882000000002</v>
      </c>
      <c r="H38" s="12">
        <v>0</v>
      </c>
      <c r="I38" s="3">
        <f t="shared" si="5"/>
        <v>58373.469865441148</v>
      </c>
      <c r="J38" s="2">
        <f t="shared" si="6"/>
        <v>1.2002898360432972</v>
      </c>
      <c r="K38" s="1">
        <f t="shared" si="7"/>
        <v>70065.0825740687</v>
      </c>
      <c r="M38" s="4">
        <f t="shared" si="8"/>
        <v>70065.0825740687</v>
      </c>
      <c r="N38" s="4">
        <f t="shared" si="9"/>
        <v>0</v>
      </c>
    </row>
    <row r="39" spans="1:14" ht="15.65" outlineLevel="2">
      <c r="A39" s="5">
        <v>360</v>
      </c>
      <c r="B39" s="6">
        <v>1977</v>
      </c>
      <c r="C39" s="3">
        <v>70392.559999999998</v>
      </c>
      <c r="D39" s="3">
        <v>70392.559999999998</v>
      </c>
      <c r="F39" s="2">
        <v>70</v>
      </c>
      <c r="G39" s="3">
        <v>30.106605999999999</v>
      </c>
      <c r="H39" s="12">
        <v>0</v>
      </c>
      <c r="I39" s="3">
        <f t="shared" si="5"/>
        <v>40117.116153552</v>
      </c>
      <c r="J39" s="2">
        <f t="shared" si="6"/>
        <v>1.2002898360432972</v>
      </c>
      <c r="K39" s="1">
        <f t="shared" si="7"/>
        <v>48152.166770476841</v>
      </c>
      <c r="M39" s="4">
        <f t="shared" si="8"/>
        <v>48152.166770476841</v>
      </c>
      <c r="N39" s="4">
        <f t="shared" si="9"/>
        <v>0</v>
      </c>
    </row>
    <row r="40" spans="1:14" ht="15.65" outlineLevel="2">
      <c r="A40" s="5">
        <v>360</v>
      </c>
      <c r="B40" s="6">
        <v>1976</v>
      </c>
      <c r="C40" s="3">
        <v>97104.619999999995</v>
      </c>
      <c r="D40" s="3">
        <v>97104.619999999995</v>
      </c>
      <c r="F40" s="2">
        <v>70</v>
      </c>
      <c r="G40" s="3">
        <v>29.352467000000001</v>
      </c>
      <c r="H40" s="12">
        <v>0</v>
      </c>
      <c r="I40" s="3">
        <f t="shared" si="5"/>
        <v>56386.617798606574</v>
      </c>
      <c r="J40" s="2">
        <f t="shared" si="6"/>
        <v>1.2002898360432972</v>
      </c>
      <c r="K40" s="1">
        <f t="shared" si="7"/>
        <v>67680.284232525548</v>
      </c>
      <c r="M40" s="4">
        <f t="shared" si="8"/>
        <v>67680.284232525548</v>
      </c>
      <c r="N40" s="4">
        <f t="shared" si="9"/>
        <v>0</v>
      </c>
    </row>
    <row r="41" spans="1:14" ht="15.65" outlineLevel="2">
      <c r="A41" s="5">
        <v>360</v>
      </c>
      <c r="B41" s="6">
        <v>1975</v>
      </c>
      <c r="C41" s="3">
        <v>59141.540000000001</v>
      </c>
      <c r="D41" s="3">
        <v>59141.540000000001</v>
      </c>
      <c r="F41" s="2">
        <v>70</v>
      </c>
      <c r="G41" s="3">
        <v>28.608287000000001</v>
      </c>
      <c r="H41" s="12">
        <v>0</v>
      </c>
      <c r="I41" s="3">
        <f t="shared" si="5"/>
        <v>34970.995000828858</v>
      </c>
      <c r="J41" s="2">
        <f t="shared" si="6"/>
        <v>1.2002898360432972</v>
      </c>
      <c r="K41" s="1">
        <f t="shared" si="7"/>
        <v>41975.329855815835</v>
      </c>
      <c r="M41" s="4">
        <f t="shared" si="8"/>
        <v>41975.329855815835</v>
      </c>
      <c r="N41" s="4">
        <f t="shared" si="9"/>
        <v>0</v>
      </c>
    </row>
    <row r="42" spans="1:14" ht="15.65" outlineLevel="2">
      <c r="A42" s="5">
        <v>360</v>
      </c>
      <c r="B42" s="6">
        <v>1974</v>
      </c>
      <c r="C42" s="3">
        <v>52184.540000000001</v>
      </c>
      <c r="D42" s="3">
        <v>52184.540000000001</v>
      </c>
      <c r="F42" s="2">
        <v>70</v>
      </c>
      <c r="G42" s="3">
        <v>27.871578</v>
      </c>
      <c r="H42" s="12">
        <v>0</v>
      </c>
      <c r="I42" s="3">
        <f t="shared" si="5"/>
        <v>31406.461757084002</v>
      </c>
      <c r="J42" s="2">
        <f t="shared" si="6"/>
        <v>1.2002898360432972</v>
      </c>
      <c r="K42" s="1">
        <f t="shared" si="7"/>
        <v>37696.85683311044</v>
      </c>
      <c r="M42" s="4">
        <f t="shared" si="8"/>
        <v>37696.85683311044</v>
      </c>
      <c r="N42" s="4">
        <f t="shared" si="9"/>
        <v>0</v>
      </c>
    </row>
    <row r="43" spans="1:14" ht="15.65" outlineLevel="2">
      <c r="A43" s="5">
        <v>360</v>
      </c>
      <c r="B43" s="6">
        <v>1973</v>
      </c>
      <c r="C43" s="3">
        <v>82775.160000000003</v>
      </c>
      <c r="D43" s="3">
        <v>82775.160000000003</v>
      </c>
      <c r="F43" s="2">
        <v>70</v>
      </c>
      <c r="G43" s="3">
        <v>27.144369000000001</v>
      </c>
      <c r="H43" s="12">
        <v>0</v>
      </c>
      <c r="I43" s="3">
        <f t="shared" si="5"/>
        <v>50676.881613227997</v>
      </c>
      <c r="J43" s="2">
        <f t="shared" si="6"/>
        <v>1.2002898360432972</v>
      </c>
      <c r="K43" s="1">
        <f t="shared" si="7"/>
        <v>60826.945922727013</v>
      </c>
      <c r="M43" s="4">
        <f t="shared" si="8"/>
        <v>60826.945922727013</v>
      </c>
      <c r="N43" s="4">
        <f t="shared" si="9"/>
        <v>0</v>
      </c>
    </row>
    <row r="44" spans="1:14" ht="15.65" outlineLevel="2">
      <c r="A44" s="5">
        <v>360</v>
      </c>
      <c r="B44" s="6">
        <v>1972</v>
      </c>
      <c r="C44" s="3">
        <v>89511.080000000002</v>
      </c>
      <c r="D44" s="3">
        <v>89511.080000000002</v>
      </c>
      <c r="F44" s="2">
        <v>70</v>
      </c>
      <c r="G44" s="3">
        <v>26.425934999999999</v>
      </c>
      <c r="H44" s="12">
        <v>0</v>
      </c>
      <c r="I44" s="3">
        <f t="shared" si="5"/>
        <v>55719.451687717155</v>
      </c>
      <c r="J44" s="2">
        <f t="shared" si="6"/>
        <v>1.2002898360432972</v>
      </c>
      <c r="K44" s="1">
        <f t="shared" si="7"/>
        <v>66879.491530672443</v>
      </c>
      <c r="M44" s="4">
        <f t="shared" si="8"/>
        <v>66879.491530672443</v>
      </c>
      <c r="N44" s="4">
        <f t="shared" si="9"/>
        <v>0</v>
      </c>
    </row>
    <row r="45" spans="1:14" ht="15.65" outlineLevel="2">
      <c r="A45" s="5">
        <v>360</v>
      </c>
      <c r="B45" s="6">
        <v>1971</v>
      </c>
      <c r="C45" s="3">
        <v>82649.710000000006</v>
      </c>
      <c r="D45" s="3">
        <v>82649.710000000006</v>
      </c>
      <c r="F45" s="2">
        <v>70</v>
      </c>
      <c r="G45" s="3">
        <v>25.716498999999999</v>
      </c>
      <c r="H45" s="12">
        <v>0</v>
      </c>
      <c r="I45" s="3">
        <f t="shared" si="5"/>
        <v>52285.978791924434</v>
      </c>
      <c r="J45" s="2">
        <f t="shared" si="6"/>
        <v>1.2002898360432972</v>
      </c>
      <c r="K45" s="1">
        <f t="shared" si="7"/>
        <v>62758.328911522294</v>
      </c>
      <c r="M45" s="4">
        <f t="shared" si="8"/>
        <v>62758.328911522294</v>
      </c>
      <c r="N45" s="4">
        <f t="shared" si="9"/>
        <v>0</v>
      </c>
    </row>
    <row r="46" spans="1:14" ht="15.65" outlineLevel="2">
      <c r="A46" s="5">
        <v>360</v>
      </c>
      <c r="B46" s="6">
        <v>1970</v>
      </c>
      <c r="C46" s="3">
        <v>73707.949999999997</v>
      </c>
      <c r="D46" s="3">
        <v>73707.949999999997</v>
      </c>
      <c r="F46" s="2">
        <v>70</v>
      </c>
      <c r="G46" s="3">
        <v>25.017289999999999</v>
      </c>
      <c r="H46" s="12">
        <v>0</v>
      </c>
      <c r="I46" s="3">
        <f t="shared" si="5"/>
        <v>47365.476279207141</v>
      </c>
      <c r="J46" s="2">
        <f t="shared" si="6"/>
        <v>1.2002898360432972</v>
      </c>
      <c r="K46" s="1">
        <f t="shared" si="7"/>
        <v>56852.299757282221</v>
      </c>
      <c r="M46" s="4">
        <f t="shared" si="8"/>
        <v>56852.299757282221</v>
      </c>
      <c r="N46" s="4">
        <f t="shared" si="9"/>
        <v>0</v>
      </c>
    </row>
    <row r="47" spans="1:14" ht="15.65" outlineLevel="2">
      <c r="A47" s="5">
        <v>360</v>
      </c>
      <c r="B47" s="6">
        <v>1969</v>
      </c>
      <c r="C47" s="3">
        <v>57141.760000000002</v>
      </c>
      <c r="D47" s="3">
        <v>57141.760000000002</v>
      </c>
      <c r="F47" s="2">
        <v>70</v>
      </c>
      <c r="G47" s="3">
        <v>24.326543000000001</v>
      </c>
      <c r="H47" s="12">
        <v>0</v>
      </c>
      <c r="I47" s="3">
        <f t="shared" si="5"/>
        <v>37283.73883234743</v>
      </c>
      <c r="J47" s="2">
        <f t="shared" si="6"/>
        <v>1.2002898360432972</v>
      </c>
      <c r="K47" s="1">
        <f t="shared" si="7"/>
        <v>44751.292770159409</v>
      </c>
      <c r="M47" s="4">
        <f t="shared" si="8"/>
        <v>44751.292770159409</v>
      </c>
      <c r="N47" s="4">
        <f t="shared" si="9"/>
        <v>0</v>
      </c>
    </row>
    <row r="48" spans="1:14" ht="15.65" outlineLevel="2">
      <c r="A48" s="5">
        <v>360</v>
      </c>
      <c r="B48" s="6">
        <v>1968</v>
      </c>
      <c r="C48" s="3">
        <v>113313.60000000001</v>
      </c>
      <c r="D48" s="3">
        <v>113313.60000000001</v>
      </c>
      <c r="F48" s="2">
        <v>70</v>
      </c>
      <c r="G48" s="3">
        <v>23.647621999999998</v>
      </c>
      <c r="H48" s="12">
        <v>0</v>
      </c>
      <c r="I48" s="3">
        <f t="shared" si="5"/>
        <v>75033.640282011445</v>
      </c>
      <c r="J48" s="2">
        <f t="shared" si="6"/>
        <v>1.2002898360432972</v>
      </c>
      <c r="K48" s="1">
        <f t="shared" si="7"/>
        <v>90062.115791827251</v>
      </c>
      <c r="M48" s="4">
        <f t="shared" si="8"/>
        <v>90062.115791827251</v>
      </c>
      <c r="N48" s="4">
        <f t="shared" si="9"/>
        <v>0</v>
      </c>
    </row>
    <row r="49" spans="1:14" ht="15.65" outlineLevel="2">
      <c r="A49" s="5">
        <v>360</v>
      </c>
      <c r="B49" s="6">
        <v>1967</v>
      </c>
      <c r="C49" s="3">
        <v>99452.169999999998</v>
      </c>
      <c r="D49" s="3">
        <v>99452.169999999998</v>
      </c>
      <c r="F49" s="2">
        <v>70</v>
      </c>
      <c r="G49" s="3">
        <v>22.977682999999999</v>
      </c>
      <c r="H49" s="12">
        <v>0</v>
      </c>
      <c r="I49" s="3">
        <f t="shared" si="5"/>
        <v>66806.735201112708</v>
      </c>
      <c r="J49" s="2">
        <f t="shared" si="6"/>
        <v>1.2002898360432972</v>
      </c>
      <c r="K49" s="1">
        <f t="shared" si="7"/>
        <v>80187.445241131543</v>
      </c>
      <c r="M49" s="4">
        <f t="shared" si="8"/>
        <v>80187.445241131543</v>
      </c>
      <c r="N49" s="4">
        <f t="shared" si="9"/>
        <v>0</v>
      </c>
    </row>
    <row r="50" spans="1:14" ht="15.65" outlineLevel="2">
      <c r="A50" s="5">
        <v>360</v>
      </c>
      <c r="B50" s="6">
        <v>1966</v>
      </c>
      <c r="C50" s="3">
        <v>112805.97</v>
      </c>
      <c r="D50" s="3">
        <v>112805.97</v>
      </c>
      <c r="F50" s="2">
        <v>70</v>
      </c>
      <c r="G50" s="3">
        <v>22.319132</v>
      </c>
      <c r="H50" s="12">
        <v>0</v>
      </c>
      <c r="I50" s="3">
        <f t="shared" si="5"/>
        <v>76838.379502599433</v>
      </c>
      <c r="J50" s="2">
        <f t="shared" si="6"/>
        <v>1.2002898360432972</v>
      </c>
      <c r="K50" s="1">
        <f t="shared" si="7"/>
        <v>92228.325935007728</v>
      </c>
      <c r="M50" s="4">
        <f t="shared" si="8"/>
        <v>92228.325935007728</v>
      </c>
      <c r="N50" s="4">
        <f t="shared" si="9"/>
        <v>0</v>
      </c>
    </row>
    <row r="51" spans="1:14" ht="15.65" outlineLevel="2">
      <c r="A51" s="5">
        <v>360</v>
      </c>
      <c r="B51" s="6">
        <v>1965</v>
      </c>
      <c r="C51" s="3">
        <v>802403.72999999998</v>
      </c>
      <c r="D51" s="3">
        <v>802403.72999999998</v>
      </c>
      <c r="F51" s="2">
        <v>70</v>
      </c>
      <c r="G51" s="3">
        <v>21.671178999999999</v>
      </c>
      <c r="H51" s="12">
        <v>0</v>
      </c>
      <c r="I51" s="3">
        <f t="shared" si="5"/>
        <v>553988.9462414619</v>
      </c>
      <c r="J51" s="2">
        <f t="shared" si="6"/>
        <v>1.2002898360432972</v>
      </c>
      <c r="K51" s="1">
        <f t="shared" si="7"/>
        <v>664947.30145396327</v>
      </c>
      <c r="M51" s="4">
        <f t="shared" si="8"/>
        <v>664947.30145396327</v>
      </c>
      <c r="N51" s="4">
        <f t="shared" si="9"/>
        <v>0</v>
      </c>
    </row>
    <row r="52" spans="1:14" ht="15.65" outlineLevel="2">
      <c r="A52" s="5">
        <v>360</v>
      </c>
      <c r="B52" s="6">
        <v>1964</v>
      </c>
      <c r="C52" s="3">
        <v>3378356.5899999999</v>
      </c>
      <c r="D52" s="3">
        <v>3378356.5899999999</v>
      </c>
      <c r="F52" s="2">
        <v>70</v>
      </c>
      <c r="G52" s="3">
        <v>21.034105</v>
      </c>
      <c r="H52" s="12">
        <v>0</v>
      </c>
      <c r="I52" s="3">
        <f t="shared" si="5"/>
        <v>2363203.6294071153</v>
      </c>
      <c r="J52" s="2">
        <f t="shared" si="6"/>
        <v>1.2002898360432972</v>
      </c>
      <c r="K52" s="1">
        <f t="shared" si="7"/>
        <v>2836529.2968779914</v>
      </c>
      <c r="M52" s="4">
        <f t="shared" si="8"/>
        <v>2836529.2968779914</v>
      </c>
      <c r="N52" s="4">
        <f t="shared" si="9"/>
        <v>0</v>
      </c>
    </row>
    <row r="53" spans="1:14" ht="15.65" outlineLevel="2">
      <c r="A53" s="5">
        <v>360</v>
      </c>
      <c r="B53" s="6">
        <v>1963</v>
      </c>
      <c r="C53" s="3">
        <v>180295.14000000001</v>
      </c>
      <c r="D53" s="3">
        <v>180295.14000000001</v>
      </c>
      <c r="F53" s="2">
        <v>70</v>
      </c>
      <c r="G53" s="3">
        <v>20.409333</v>
      </c>
      <c r="H53" s="12">
        <v>0</v>
      </c>
      <c r="I53" s="3">
        <f t="shared" si="5"/>
        <v>127727.94642083401</v>
      </c>
      <c r="J53" s="2">
        <f t="shared" si="6"/>
        <v>1.2002898360432972</v>
      </c>
      <c r="K53" s="1">
        <f t="shared" si="7"/>
        <v>153310.55586760989</v>
      </c>
      <c r="M53" s="4">
        <f t="shared" si="8"/>
        <v>153310.55586760989</v>
      </c>
      <c r="N53" s="4">
        <f t="shared" si="9"/>
        <v>0</v>
      </c>
    </row>
    <row r="54" spans="1:14" ht="15.65" outlineLevel="2">
      <c r="A54" s="5">
        <v>360</v>
      </c>
      <c r="B54" s="6">
        <v>1962</v>
      </c>
      <c r="C54" s="3">
        <v>36441.919999999998</v>
      </c>
      <c r="D54" s="3">
        <v>36441.919999999998</v>
      </c>
      <c r="F54" s="2">
        <v>70</v>
      </c>
      <c r="G54" s="3">
        <v>19.794875000000001</v>
      </c>
      <c r="H54" s="12">
        <v>0</v>
      </c>
      <c r="I54" s="3">
        <f t="shared" si="5"/>
        <v>26136.730697714283</v>
      </c>
      <c r="J54" s="2">
        <f t="shared" si="6"/>
        <v>1.2002898360432972</v>
      </c>
      <c r="K54" s="1">
        <f t="shared" si="7"/>
        <v>31371.652203867288</v>
      </c>
      <c r="M54" s="4">
        <f t="shared" si="8"/>
        <v>31371.652203867288</v>
      </c>
      <c r="N54" s="4">
        <f t="shared" si="9"/>
        <v>0</v>
      </c>
    </row>
    <row r="55" spans="1:14" ht="15.65" outlineLevel="2">
      <c r="A55" s="5">
        <v>360</v>
      </c>
      <c r="B55" s="6">
        <v>1961</v>
      </c>
      <c r="C55" s="3">
        <v>14571.120000000001</v>
      </c>
      <c r="D55" s="3">
        <v>14571.120000000001</v>
      </c>
      <c r="F55" s="2">
        <v>70</v>
      </c>
      <c r="G55" s="3">
        <v>19.194443</v>
      </c>
      <c r="H55" s="12">
        <v>0</v>
      </c>
      <c r="I55" s="3">
        <f t="shared" si="5"/>
        <v>10575.626681626287</v>
      </c>
      <c r="J55" s="2">
        <f t="shared" si="6"/>
        <v>1.2002898360432972</v>
      </c>
      <c r="K55" s="1">
        <f t="shared" si="7"/>
        <v>12693.817215744335</v>
      </c>
      <c r="M55" s="4">
        <f t="shared" si="8"/>
        <v>12693.817215744335</v>
      </c>
      <c r="N55" s="4">
        <f t="shared" si="9"/>
        <v>0</v>
      </c>
    </row>
    <row r="56" spans="1:14" ht="15.65" outlineLevel="2">
      <c r="A56" s="5">
        <v>360</v>
      </c>
      <c r="B56" s="6">
        <v>1960</v>
      </c>
      <c r="C56" s="3">
        <v>5556.6199999999999</v>
      </c>
      <c r="D56" s="3">
        <v>5556.6199999999999</v>
      </c>
      <c r="F56" s="2">
        <v>70</v>
      </c>
      <c r="G56" s="3">
        <v>18.604890999999999</v>
      </c>
      <c r="H56" s="12">
        <v>0</v>
      </c>
      <c r="I56" s="3">
        <f t="shared" si="5"/>
        <v>4079.7584367368568</v>
      </c>
      <c r="J56" s="2">
        <f t="shared" si="6"/>
        <v>1.2002898360432972</v>
      </c>
      <c r="K56" s="1">
        <f t="shared" si="7"/>
        <v>4896.8925851271406</v>
      </c>
      <c r="M56" s="4">
        <f t="shared" si="8"/>
        <v>4896.8925851271406</v>
      </c>
      <c r="N56" s="4">
        <f t="shared" si="9"/>
        <v>0</v>
      </c>
    </row>
    <row r="57" spans="1:14" ht="15.65" outlineLevel="2">
      <c r="A57" s="5">
        <v>360</v>
      </c>
      <c r="B57" s="6">
        <v>1959</v>
      </c>
      <c r="C57" s="3">
        <v>5256.6499999999996</v>
      </c>
      <c r="D57" s="3">
        <v>5256.6499999999996</v>
      </c>
      <c r="F57" s="2">
        <v>70</v>
      </c>
      <c r="G57" s="3">
        <v>18.028745000000001</v>
      </c>
      <c r="H57" s="12">
        <v>0</v>
      </c>
      <c r="I57" s="3">
        <f t="shared" si="5"/>
        <v>3902.781394225</v>
      </c>
      <c r="J57" s="2">
        <f t="shared" si="6"/>
        <v>1.2002898360432972</v>
      </c>
      <c r="K57" s="1">
        <f t="shared" si="7"/>
        <v>4684.468839787156</v>
      </c>
      <c r="M57" s="4">
        <f t="shared" si="8"/>
        <v>4684.468839787156</v>
      </c>
      <c r="N57" s="4">
        <f t="shared" si="9"/>
        <v>0</v>
      </c>
    </row>
    <row r="58" spans="1:14" ht="15.65" outlineLevel="2">
      <c r="A58" s="5">
        <v>360</v>
      </c>
      <c r="B58" s="6">
        <v>1958</v>
      </c>
      <c r="C58" s="3">
        <v>6680.0100000000002</v>
      </c>
      <c r="D58" s="3">
        <v>6680.0100000000002</v>
      </c>
      <c r="F58" s="2">
        <v>70</v>
      </c>
      <c r="G58" s="3">
        <v>17.465112999999999</v>
      </c>
      <c r="H58" s="12">
        <v>0</v>
      </c>
      <c r="I58" s="3">
        <f t="shared" si="5"/>
        <v>5013.3367215552862</v>
      </c>
      <c r="J58" s="2">
        <f t="shared" si="6"/>
        <v>1.2002898360432972</v>
      </c>
      <c r="K58" s="1">
        <f t="shared" si="7"/>
        <v>6017.4571115454355</v>
      </c>
      <c r="M58" s="4">
        <f t="shared" si="8"/>
        <v>6017.4571115454355</v>
      </c>
      <c r="N58" s="4">
        <f t="shared" si="9"/>
        <v>0</v>
      </c>
    </row>
    <row r="59" spans="1:14" ht="15.65" outlineLevel="2">
      <c r="A59" s="5">
        <v>360</v>
      </c>
      <c r="B59" s="6">
        <v>1957</v>
      </c>
      <c r="C59" s="3">
        <v>702.05999999999995</v>
      </c>
      <c r="D59" s="3">
        <v>702.05999999999995</v>
      </c>
      <c r="F59" s="2">
        <v>70</v>
      </c>
      <c r="G59" s="3">
        <v>16.914197000000001</v>
      </c>
      <c r="H59" s="12">
        <v>0</v>
      </c>
      <c r="I59" s="3">
        <f t="shared" si="5"/>
        <v>532.42026934542844</v>
      </c>
      <c r="J59" s="2">
        <f t="shared" si="6"/>
        <v>1.2002898360432972</v>
      </c>
      <c r="K59" s="1">
        <f t="shared" si="7"/>
        <v>639.05863779875244</v>
      </c>
      <c r="M59" s="4">
        <f t="shared" si="8"/>
        <v>639.05863779875244</v>
      </c>
      <c r="N59" s="4">
        <f t="shared" si="9"/>
        <v>0</v>
      </c>
    </row>
    <row r="60" spans="1:14" ht="15.65" outlineLevel="2">
      <c r="A60" s="5">
        <v>360</v>
      </c>
      <c r="B60" s="6">
        <v>1956</v>
      </c>
      <c r="C60" s="3">
        <v>719.73000000000002</v>
      </c>
      <c r="D60" s="3">
        <v>719.73000000000002</v>
      </c>
      <c r="F60" s="2">
        <v>70</v>
      </c>
      <c r="G60" s="3">
        <v>16.377293000000002</v>
      </c>
      <c r="H60" s="12">
        <v>0</v>
      </c>
      <c r="I60" s="3">
        <f t="shared" si="5"/>
        <v>551.34101298728569</v>
      </c>
      <c r="J60" s="2">
        <f t="shared" si="6"/>
        <v>1.2002898360432972</v>
      </c>
      <c r="K60" s="1">
        <f t="shared" si="7"/>
        <v>661.76901408245453</v>
      </c>
      <c r="M60" s="4">
        <f t="shared" si="8"/>
        <v>661.76901408245453</v>
      </c>
      <c r="N60" s="4">
        <f t="shared" si="9"/>
        <v>0</v>
      </c>
    </row>
    <row r="61" spans="1:14" ht="15.65" outlineLevel="2">
      <c r="A61" s="5">
        <v>360</v>
      </c>
      <c r="B61" s="6">
        <v>1955</v>
      </c>
      <c r="C61" s="3">
        <v>1365.9100000000001</v>
      </c>
      <c r="D61" s="3">
        <v>1365.9100000000001</v>
      </c>
      <c r="F61" s="2">
        <v>70</v>
      </c>
      <c r="G61" s="3">
        <v>15.852411</v>
      </c>
      <c r="H61" s="12">
        <v>0</v>
      </c>
      <c r="I61" s="3">
        <f t="shared" si="5"/>
        <v>1056.5819041570001</v>
      </c>
      <c r="J61" s="2">
        <f t="shared" si="6"/>
        <v>1.2002898360432972</v>
      </c>
      <c r="K61" s="1">
        <f t="shared" si="7"/>
        <v>1268.2045205069203</v>
      </c>
      <c r="M61" s="4">
        <f t="shared" si="8"/>
        <v>1268.2045205069203</v>
      </c>
      <c r="N61" s="4">
        <f t="shared" si="9"/>
        <v>0</v>
      </c>
    </row>
    <row r="62" spans="1:14" ht="15.65" outlineLevel="2">
      <c r="A62" s="5">
        <v>360</v>
      </c>
      <c r="B62" s="6">
        <v>1954</v>
      </c>
      <c r="C62" s="3">
        <v>234.84999999999999</v>
      </c>
      <c r="D62" s="3">
        <v>234.84999999999999</v>
      </c>
      <c r="F62" s="2">
        <v>70</v>
      </c>
      <c r="G62" s="3">
        <v>15.342779</v>
      </c>
      <c r="H62" s="12">
        <v>0</v>
      </c>
      <c r="I62" s="3">
        <f t="shared" si="5"/>
        <v>183.374976455</v>
      </c>
      <c r="J62" s="2">
        <f t="shared" si="6"/>
        <v>1.2002898360432972</v>
      </c>
      <c r="K62" s="1">
        <f t="shared" si="7"/>
        <v>220.10312042361542</v>
      </c>
      <c r="M62" s="4">
        <f t="shared" si="8"/>
        <v>220.10312042361542</v>
      </c>
      <c r="N62" s="4">
        <f t="shared" si="9"/>
        <v>0</v>
      </c>
    </row>
    <row r="63" spans="1:14" ht="15.65" outlineLevel="2">
      <c r="A63" s="5">
        <v>360</v>
      </c>
      <c r="B63" s="6">
        <v>1953</v>
      </c>
      <c r="C63" s="3">
        <v>649.80999999999995</v>
      </c>
      <c r="D63" s="3">
        <v>649.80999999999995</v>
      </c>
      <c r="F63" s="2">
        <v>70</v>
      </c>
      <c r="G63" s="3">
        <v>14.845492999999999</v>
      </c>
      <c r="H63" s="12">
        <v>0</v>
      </c>
      <c r="I63" s="3">
        <f t="shared" si="5"/>
        <v>511.99928848100001</v>
      </c>
      <c r="J63" s="2">
        <f t="shared" si="6"/>
        <v>1.2002898360432972</v>
      </c>
      <c r="K63" s="1">
        <f t="shared" si="7"/>
        <v>614.54754202514437</v>
      </c>
      <c r="M63" s="4">
        <f t="shared" si="8"/>
        <v>614.54754202514437</v>
      </c>
      <c r="N63" s="4">
        <f t="shared" si="9"/>
        <v>0</v>
      </c>
    </row>
    <row r="64" spans="1:14" ht="15.65" outlineLevel="2">
      <c r="A64" s="5">
        <v>360</v>
      </c>
      <c r="B64" s="6">
        <v>1952</v>
      </c>
      <c r="C64" s="3">
        <v>1239.25</v>
      </c>
      <c r="D64" s="3">
        <v>1239.25</v>
      </c>
      <c r="F64" s="2">
        <v>70</v>
      </c>
      <c r="G64" s="3">
        <v>14.362481000000001</v>
      </c>
      <c r="H64" s="12">
        <v>0</v>
      </c>
      <c r="I64" s="3">
        <f t="shared" si="5"/>
        <v>984.98279172499997</v>
      </c>
      <c r="J64" s="2">
        <f t="shared" si="6"/>
        <v>1.2002898360432972</v>
      </c>
      <c r="K64" s="1">
        <f t="shared" si="7"/>
        <v>1182.2648335850693</v>
      </c>
      <c r="M64" s="4">
        <f t="shared" si="8"/>
        <v>1182.2648335850693</v>
      </c>
      <c r="N64" s="4">
        <f t="shared" si="9"/>
        <v>0</v>
      </c>
    </row>
    <row r="65" spans="1:14" ht="15.65" outlineLevel="2">
      <c r="A65" s="5">
        <v>360</v>
      </c>
      <c r="B65" s="6">
        <v>1951</v>
      </c>
      <c r="C65" s="3">
        <v>1958.1400000000001</v>
      </c>
      <c r="D65" s="3">
        <v>1958.1400000000001</v>
      </c>
      <c r="F65" s="2">
        <v>70</v>
      </c>
      <c r="G65" s="3">
        <v>13.89288</v>
      </c>
      <c r="H65" s="12">
        <v>0</v>
      </c>
      <c r="I65" s="3">
        <f t="shared" si="5"/>
        <v>1569.5085136685716</v>
      </c>
      <c r="J65" s="2">
        <f t="shared" si="6"/>
        <v>1.2002898360432972</v>
      </c>
      <c r="K65" s="1">
        <f t="shared" si="7"/>
        <v>1883.8651165398089</v>
      </c>
      <c r="M65" s="4">
        <f t="shared" si="8"/>
        <v>1883.8651165398089</v>
      </c>
      <c r="N65" s="4">
        <f t="shared" si="9"/>
        <v>0</v>
      </c>
    </row>
    <row r="66" spans="1:14" ht="15.65" outlineLevel="2">
      <c r="A66" s="5">
        <v>360</v>
      </c>
      <c r="B66" s="6">
        <v>1950</v>
      </c>
      <c r="C66" s="3">
        <v>255.43000000000001</v>
      </c>
      <c r="D66" s="3">
        <v>255.43000000000001</v>
      </c>
      <c r="F66" s="2">
        <v>70</v>
      </c>
      <c r="G66" s="3">
        <v>13.436665</v>
      </c>
      <c r="H66" s="12">
        <v>0</v>
      </c>
      <c r="I66" s="3">
        <f t="shared" si="5"/>
        <v>206.39960941499999</v>
      </c>
      <c r="J66" s="2">
        <f t="shared" si="6"/>
        <v>1.2002898360432972</v>
      </c>
      <c r="K66" s="1">
        <f t="shared" si="7"/>
        <v>247.73935334413091</v>
      </c>
      <c r="M66" s="4">
        <f t="shared" si="8"/>
        <v>247.73935334413091</v>
      </c>
      <c r="N66" s="4">
        <f t="shared" si="9"/>
        <v>0</v>
      </c>
    </row>
    <row r="67" spans="1:14" ht="15.65" outlineLevel="2">
      <c r="A67" s="5">
        <v>360</v>
      </c>
      <c r="B67" s="6">
        <v>1949</v>
      </c>
      <c r="C67" s="3">
        <v>1063.27</v>
      </c>
      <c r="D67" s="3">
        <v>1063.27</v>
      </c>
      <c r="F67" s="2">
        <v>70</v>
      </c>
      <c r="G67" s="3">
        <v>12.994455</v>
      </c>
      <c r="H67" s="12">
        <v>0</v>
      </c>
      <c r="I67" s="3">
        <f t="shared" si="10" ref="I67:I96">+C67*(1-H67)*(1-G67/F67)</f>
        <v>865.88979760214272</v>
      </c>
      <c r="J67" s="2">
        <f t="shared" si="11" ref="J67:J96">$J$97</f>
        <v>1.2002898360432972</v>
      </c>
      <c r="K67" s="1">
        <f t="shared" si="12" ref="K67:K96">IF((C67*(1-H67)-I67*J67)&lt;0,C67*(1-H67),I67*J67)</f>
        <v>1039.3187231954396</v>
      </c>
      <c r="M67" s="4">
        <f t="shared" si="13" ref="M67:M96">+K67/D67*C67</f>
        <v>1039.3187231954396</v>
      </c>
      <c r="N67" s="4">
        <f t="shared" si="14" ref="N67:N96">+E67/C67*K67</f>
        <v>0</v>
      </c>
    </row>
    <row r="68" spans="1:14" ht="15.65" outlineLevel="2">
      <c r="A68" s="5">
        <v>360</v>
      </c>
      <c r="B68" s="6">
        <v>1948</v>
      </c>
      <c r="C68" s="3">
        <v>341.72000000000003</v>
      </c>
      <c r="D68" s="3">
        <v>341.72000000000003</v>
      </c>
      <c r="F68" s="2">
        <v>70</v>
      </c>
      <c r="G68" s="3">
        <v>12.564968</v>
      </c>
      <c r="H68" s="12">
        <v>0</v>
      </c>
      <c r="I68" s="3">
        <f t="shared" si="10"/>
        <v>280.38141621485715</v>
      </c>
      <c r="J68" s="2">
        <f t="shared" si="11"/>
        <v>1.2002898360432972</v>
      </c>
      <c r="K68" s="1">
        <f t="shared" si="12"/>
        <v>336.53896409811836</v>
      </c>
      <c r="M68" s="4">
        <f t="shared" si="13"/>
        <v>336.53896409811836</v>
      </c>
      <c r="N68" s="4">
        <f t="shared" si="14"/>
        <v>0</v>
      </c>
    </row>
    <row r="69" spans="1:14" ht="15.65" outlineLevel="2">
      <c r="A69" s="5">
        <v>360</v>
      </c>
      <c r="B69" s="6">
        <v>1947</v>
      </c>
      <c r="C69" s="3">
        <v>178.31999999999999</v>
      </c>
      <c r="D69" s="3">
        <v>178.31999999999999</v>
      </c>
      <c r="F69" s="2">
        <v>70</v>
      </c>
      <c r="G69" s="3">
        <v>12.149426999999999</v>
      </c>
      <c r="H69" s="12">
        <v>0</v>
      </c>
      <c r="I69" s="3">
        <f t="shared" si="10"/>
        <v>147.37020253371429</v>
      </c>
      <c r="J69" s="2">
        <f t="shared" si="11"/>
        <v>1.2002898360432972</v>
      </c>
      <c r="K69" s="1">
        <f t="shared" si="12"/>
        <v>176.88695623685942</v>
      </c>
      <c r="M69" s="4">
        <f t="shared" si="13"/>
        <v>176.88695623685942</v>
      </c>
      <c r="N69" s="4">
        <f t="shared" si="14"/>
        <v>0</v>
      </c>
    </row>
    <row r="70" spans="1:14" ht="15.65" outlineLevel="2">
      <c r="A70" s="5">
        <v>360</v>
      </c>
      <c r="B70" s="6">
        <v>1946</v>
      </c>
      <c r="C70" s="3">
        <v>153.66999999999999</v>
      </c>
      <c r="D70" s="3">
        <v>153.66999999999999</v>
      </c>
      <c r="F70" s="2">
        <v>70</v>
      </c>
      <c r="G70" s="3">
        <v>11.746479000000001</v>
      </c>
      <c r="H70" s="12">
        <v>0</v>
      </c>
      <c r="I70" s="3">
        <f t="shared" si="10"/>
        <v>127.88312245814285</v>
      </c>
      <c r="J70" s="2">
        <f t="shared" si="11"/>
        <v>1.2002898360432972</v>
      </c>
      <c r="K70" s="1">
        <f t="shared" si="12"/>
        <v>153.49681208798918</v>
      </c>
      <c r="M70" s="4">
        <f t="shared" si="13"/>
        <v>153.49681208798918</v>
      </c>
      <c r="N70" s="4">
        <f t="shared" si="14"/>
        <v>0</v>
      </c>
    </row>
    <row r="71" spans="1:14" ht="15.65" outlineLevel="2">
      <c r="A71" s="5">
        <v>360</v>
      </c>
      <c r="B71" s="6">
        <v>1945</v>
      </c>
      <c r="C71" s="3">
        <v>99.120000000000005</v>
      </c>
      <c r="D71" s="3">
        <v>99.120000000000005</v>
      </c>
      <c r="F71" s="2">
        <v>70</v>
      </c>
      <c r="G71" s="3">
        <v>11.356337</v>
      </c>
      <c r="H71" s="12">
        <v>0</v>
      </c>
      <c r="I71" s="3">
        <f t="shared" si="10"/>
        <v>83.039426808000002</v>
      </c>
      <c r="J71" s="2">
        <f t="shared" si="11"/>
        <v>1.2002898360432972</v>
      </c>
      <c r="K71" s="1">
        <f t="shared" si="12"/>
        <v>99.120000000000005</v>
      </c>
      <c r="M71" s="4">
        <f t="shared" si="13"/>
        <v>99.120000000000005</v>
      </c>
      <c r="N71" s="4">
        <f t="shared" si="14"/>
        <v>0</v>
      </c>
    </row>
    <row r="72" spans="1:14" ht="15.65" outlineLevel="2">
      <c r="A72" s="5">
        <v>360</v>
      </c>
      <c r="B72" s="6">
        <v>1944</v>
      </c>
      <c r="C72" s="3">
        <v>46.329999999999998</v>
      </c>
      <c r="D72" s="3">
        <v>46.329999999999998</v>
      </c>
      <c r="F72" s="2">
        <v>70</v>
      </c>
      <c r="G72" s="3">
        <v>10.978598</v>
      </c>
      <c r="H72" s="12">
        <v>0</v>
      </c>
      <c r="I72" s="3">
        <f t="shared" si="10"/>
        <v>39.063736495142855</v>
      </c>
      <c r="J72" s="2">
        <f t="shared" si="11"/>
        <v>1.2002898360432972</v>
      </c>
      <c r="K72" s="1">
        <f t="shared" si="12"/>
        <v>46.329999999999998</v>
      </c>
      <c r="M72" s="4">
        <f t="shared" si="13"/>
        <v>46.329999999999998</v>
      </c>
      <c r="N72" s="4">
        <f t="shared" si="14"/>
        <v>0</v>
      </c>
    </row>
    <row r="73" spans="1:14" ht="15.65" outlineLevel="2">
      <c r="A73" s="5">
        <v>360</v>
      </c>
      <c r="B73" s="6">
        <v>1943</v>
      </c>
      <c r="C73" s="3">
        <v>162.38</v>
      </c>
      <c r="D73" s="3">
        <v>162.38</v>
      </c>
      <c r="F73" s="2">
        <v>70</v>
      </c>
      <c r="G73" s="3">
        <v>10.612942</v>
      </c>
      <c r="H73" s="12">
        <v>0</v>
      </c>
      <c r="I73" s="3">
        <f t="shared" si="10"/>
        <v>137.76100682914284</v>
      </c>
      <c r="J73" s="2">
        <f t="shared" si="11"/>
        <v>1.2002898360432972</v>
      </c>
      <c r="K73" s="1">
        <f t="shared" si="12"/>
        <v>162.38</v>
      </c>
      <c r="M73" s="4">
        <f t="shared" si="13"/>
        <v>162.38</v>
      </c>
      <c r="N73" s="4">
        <f t="shared" si="14"/>
        <v>0</v>
      </c>
    </row>
    <row r="74" spans="1:14" ht="15.65" outlineLevel="2">
      <c r="A74" s="5">
        <v>360</v>
      </c>
      <c r="B74" s="6">
        <v>1942</v>
      </c>
      <c r="C74" s="3">
        <v>77.459999999999994</v>
      </c>
      <c r="D74" s="3">
        <v>77.459999999999994</v>
      </c>
      <c r="F74" s="2">
        <v>70</v>
      </c>
      <c r="G74" s="3">
        <v>10.258628</v>
      </c>
      <c r="H74" s="12">
        <v>0</v>
      </c>
      <c r="I74" s="3">
        <f t="shared" si="10"/>
        <v>66.108095358857142</v>
      </c>
      <c r="J74" s="2">
        <f t="shared" si="11"/>
        <v>1.2002898360432972</v>
      </c>
      <c r="K74" s="1">
        <f t="shared" si="12"/>
        <v>77.459999999999994</v>
      </c>
      <c r="M74" s="4">
        <f t="shared" si="13"/>
        <v>77.459999999999994</v>
      </c>
      <c r="N74" s="4">
        <f t="shared" si="14"/>
        <v>0</v>
      </c>
    </row>
    <row r="75" spans="1:14" ht="15.65" outlineLevel="2">
      <c r="A75" s="5">
        <v>360</v>
      </c>
      <c r="B75" s="6">
        <v>1941</v>
      </c>
      <c r="C75" s="3">
        <v>113.31999999999999</v>
      </c>
      <c r="D75" s="3">
        <v>113.31999999999999</v>
      </c>
      <c r="F75" s="2">
        <v>70</v>
      </c>
      <c r="G75" s="3">
        <v>9.9162560000000006</v>
      </c>
      <c r="H75" s="12">
        <v>0</v>
      </c>
      <c r="I75" s="3">
        <f t="shared" si="10"/>
        <v>97.266998143999984</v>
      </c>
      <c r="J75" s="2">
        <f t="shared" si="11"/>
        <v>1.2002898360432972</v>
      </c>
      <c r="K75" s="1">
        <f t="shared" si="12"/>
        <v>113.31999999999999</v>
      </c>
      <c r="M75" s="4">
        <f t="shared" si="13"/>
        <v>113.31999999999999</v>
      </c>
      <c r="N75" s="4">
        <f t="shared" si="14"/>
        <v>0</v>
      </c>
    </row>
    <row r="76" spans="1:14" ht="15.65" outlineLevel="2">
      <c r="A76" s="5">
        <v>360</v>
      </c>
      <c r="B76" s="6">
        <v>1940</v>
      </c>
      <c r="C76" s="3">
        <v>233.06999999999999</v>
      </c>
      <c r="D76" s="3">
        <v>233.06999999999999</v>
      </c>
      <c r="F76" s="2">
        <v>70</v>
      </c>
      <c r="G76" s="3">
        <v>9.5831510000000009</v>
      </c>
      <c r="H76" s="12">
        <v>0</v>
      </c>
      <c r="I76" s="3">
        <f t="shared" si="10"/>
        <v>201.16221423471427</v>
      </c>
      <c r="J76" s="2">
        <f t="shared" si="11"/>
        <v>1.2002898360432972</v>
      </c>
      <c r="K76" s="1">
        <f t="shared" si="12"/>
        <v>233.06999999999999</v>
      </c>
      <c r="M76" s="4">
        <f t="shared" si="13"/>
        <v>233.06999999999999</v>
      </c>
      <c r="N76" s="4">
        <f t="shared" si="14"/>
        <v>0</v>
      </c>
    </row>
    <row r="77" spans="1:14" ht="15.65" outlineLevel="2">
      <c r="A77" s="5">
        <v>360</v>
      </c>
      <c r="B77" s="6">
        <v>1939</v>
      </c>
      <c r="C77" s="3">
        <v>173.59</v>
      </c>
      <c r="D77" s="3">
        <v>173.59</v>
      </c>
      <c r="F77" s="2">
        <v>70</v>
      </c>
      <c r="G77" s="3">
        <v>9.2612699999999997</v>
      </c>
      <c r="H77" s="12">
        <v>0</v>
      </c>
      <c r="I77" s="3">
        <f t="shared" si="10"/>
        <v>150.62337343857143</v>
      </c>
      <c r="J77" s="2">
        <f t="shared" si="11"/>
        <v>1.2002898360432972</v>
      </c>
      <c r="K77" s="1">
        <f t="shared" si="12"/>
        <v>173.59</v>
      </c>
      <c r="M77" s="4">
        <f t="shared" si="13"/>
        <v>173.59</v>
      </c>
      <c r="N77" s="4">
        <f t="shared" si="14"/>
        <v>0</v>
      </c>
    </row>
    <row r="78" spans="1:14" ht="15.65" outlineLevel="2">
      <c r="A78" s="5">
        <v>360</v>
      </c>
      <c r="B78" s="6">
        <v>1938</v>
      </c>
      <c r="C78" s="3">
        <v>209.19999999999999</v>
      </c>
      <c r="D78" s="3">
        <v>209.19999999999999</v>
      </c>
      <c r="F78" s="2">
        <v>70</v>
      </c>
      <c r="G78" s="3">
        <v>8.9479089999999992</v>
      </c>
      <c r="H78" s="12">
        <v>0</v>
      </c>
      <c r="I78" s="3">
        <f t="shared" si="10"/>
        <v>182.45853481714286</v>
      </c>
      <c r="J78" s="2">
        <f t="shared" si="11"/>
        <v>1.2002898360432972</v>
      </c>
      <c r="K78" s="1">
        <f t="shared" si="12"/>
        <v>209.19999999999999</v>
      </c>
      <c r="M78" s="4">
        <f t="shared" si="13"/>
        <v>209.19999999999999</v>
      </c>
      <c r="N78" s="4">
        <f t="shared" si="14"/>
        <v>0</v>
      </c>
    </row>
    <row r="79" spans="1:14" ht="15.65" outlineLevel="2">
      <c r="A79" s="5">
        <v>360</v>
      </c>
      <c r="B79" s="6">
        <v>1937</v>
      </c>
      <c r="C79" s="3">
        <v>315.05000000000001</v>
      </c>
      <c r="D79" s="3">
        <v>315.05000000000001</v>
      </c>
      <c r="F79" s="2">
        <v>70</v>
      </c>
      <c r="G79" s="3">
        <v>8.6436600000000006</v>
      </c>
      <c r="H79" s="12">
        <v>0</v>
      </c>
      <c r="I79" s="3">
        <f t="shared" si="10"/>
        <v>276.14735595714285</v>
      </c>
      <c r="J79" s="2">
        <f t="shared" si="11"/>
        <v>1.2002898360432972</v>
      </c>
      <c r="K79" s="1">
        <f t="shared" si="12"/>
        <v>315.05000000000001</v>
      </c>
      <c r="M79" s="4">
        <f t="shared" si="13"/>
        <v>315.05000000000001</v>
      </c>
      <c r="N79" s="4">
        <f t="shared" si="14"/>
        <v>0</v>
      </c>
    </row>
    <row r="80" spans="1:14" ht="15.65" outlineLevel="2">
      <c r="A80" s="5">
        <v>360</v>
      </c>
      <c r="B80" s="6">
        <v>1936</v>
      </c>
      <c r="C80" s="3">
        <v>82.189999999999998</v>
      </c>
      <c r="D80" s="3">
        <v>82.189999999999998</v>
      </c>
      <c r="F80" s="2">
        <v>70</v>
      </c>
      <c r="G80" s="3">
        <v>8.3479790000000005</v>
      </c>
      <c r="H80" s="12">
        <v>0</v>
      </c>
      <c r="I80" s="3">
        <f t="shared" si="10"/>
        <v>72.388280085571424</v>
      </c>
      <c r="J80" s="2">
        <f t="shared" si="11"/>
        <v>1.2002898360432972</v>
      </c>
      <c r="K80" s="1">
        <f t="shared" si="12"/>
        <v>82.189999999999998</v>
      </c>
      <c r="M80" s="4">
        <f t="shared" si="13"/>
        <v>82.189999999999998</v>
      </c>
      <c r="N80" s="4">
        <f t="shared" si="14"/>
        <v>0</v>
      </c>
    </row>
    <row r="81" spans="1:14" ht="15.65" outlineLevel="2">
      <c r="A81" s="5">
        <v>360</v>
      </c>
      <c r="B81" s="6">
        <v>1935</v>
      </c>
      <c r="C81" s="3">
        <v>33.869999999999997</v>
      </c>
      <c r="D81" s="3">
        <v>33.869999999999997</v>
      </c>
      <c r="F81" s="2">
        <v>70</v>
      </c>
      <c r="G81" s="3">
        <v>8.0581669999999992</v>
      </c>
      <c r="H81" s="12">
        <v>0</v>
      </c>
      <c r="I81" s="3">
        <f t="shared" si="10"/>
        <v>29.970998338714285</v>
      </c>
      <c r="J81" s="2">
        <f t="shared" si="11"/>
        <v>1.2002898360432972</v>
      </c>
      <c r="K81" s="1">
        <f t="shared" si="12"/>
        <v>33.869999999999997</v>
      </c>
      <c r="M81" s="4">
        <f t="shared" si="13"/>
        <v>33.869999999999997</v>
      </c>
      <c r="N81" s="4">
        <f t="shared" si="14"/>
        <v>0</v>
      </c>
    </row>
    <row r="82" spans="1:14" ht="15.65" outlineLevel="2">
      <c r="A82" s="5">
        <v>360</v>
      </c>
      <c r="B82" s="6">
        <v>1934</v>
      </c>
      <c r="C82" s="3">
        <v>8.7200000000000006</v>
      </c>
      <c r="D82" s="3">
        <v>8.7200000000000006</v>
      </c>
      <c r="F82" s="2">
        <v>70</v>
      </c>
      <c r="G82" s="3">
        <v>7.7778619999999998</v>
      </c>
      <c r="H82" s="12">
        <v>0</v>
      </c>
      <c r="I82" s="3">
        <f t="shared" si="10"/>
        <v>7.7511006194285716</v>
      </c>
      <c r="J82" s="2">
        <f t="shared" si="11"/>
        <v>1.2002898360432972</v>
      </c>
      <c r="K82" s="1">
        <f t="shared" si="12"/>
        <v>8.7200000000000006</v>
      </c>
      <c r="M82" s="4">
        <f t="shared" si="13"/>
        <v>8.7200000000000006</v>
      </c>
      <c r="N82" s="4">
        <f t="shared" si="14"/>
        <v>0</v>
      </c>
    </row>
    <row r="83" spans="1:14" ht="15.65" outlineLevel="2">
      <c r="A83" s="5">
        <v>360</v>
      </c>
      <c r="B83" s="6">
        <v>1933</v>
      </c>
      <c r="C83" s="3">
        <v>75.349999999999994</v>
      </c>
      <c r="D83" s="3">
        <v>75.349999999999994</v>
      </c>
      <c r="F83" s="2">
        <v>70</v>
      </c>
      <c r="G83" s="3">
        <v>7.4990600000000001</v>
      </c>
      <c r="H83" s="12">
        <v>0</v>
      </c>
      <c r="I83" s="3">
        <f t="shared" si="10"/>
        <v>67.277797557142847</v>
      </c>
      <c r="J83" s="2">
        <f t="shared" si="11"/>
        <v>1.2002898360432972</v>
      </c>
      <c r="K83" s="1">
        <f t="shared" si="12"/>
        <v>75.349999999999994</v>
      </c>
      <c r="M83" s="4">
        <f t="shared" si="13"/>
        <v>75.349999999999994</v>
      </c>
      <c r="N83" s="4">
        <f t="shared" si="14"/>
        <v>0</v>
      </c>
    </row>
    <row r="84" spans="1:14" ht="15.65" outlineLevel="2">
      <c r="A84" s="5">
        <v>360</v>
      </c>
      <c r="B84" s="6">
        <v>1932</v>
      </c>
      <c r="C84" s="3">
        <v>2269.3299999999999</v>
      </c>
      <c r="D84" s="3">
        <v>2269.3299999999999</v>
      </c>
      <c r="F84" s="2">
        <v>70</v>
      </c>
      <c r="G84" s="3">
        <v>7.2285089999999999</v>
      </c>
      <c r="H84" s="12">
        <v>0</v>
      </c>
      <c r="I84" s="3">
        <f t="shared" si="10"/>
        <v>2034.9889667289999</v>
      </c>
      <c r="J84" s="2">
        <f t="shared" si="11"/>
        <v>1.2002898360432972</v>
      </c>
      <c r="K84" s="1">
        <f t="shared" si="12"/>
        <v>2269.3299999999999</v>
      </c>
      <c r="M84" s="4">
        <f t="shared" si="13"/>
        <v>2269.3299999999999</v>
      </c>
      <c r="N84" s="4">
        <f t="shared" si="14"/>
        <v>0</v>
      </c>
    </row>
    <row r="85" spans="1:14" ht="15.65" outlineLevel="2">
      <c r="A85" s="5">
        <v>360</v>
      </c>
      <c r="B85" s="6">
        <v>1931</v>
      </c>
      <c r="C85" s="3">
        <v>101.19</v>
      </c>
      <c r="D85" s="3">
        <v>101.19</v>
      </c>
      <c r="F85" s="2">
        <v>70</v>
      </c>
      <c r="G85" s="3">
        <v>6.9600080000000002</v>
      </c>
      <c r="H85" s="12">
        <v>0</v>
      </c>
      <c r="I85" s="3">
        <f t="shared" si="10"/>
        <v>91.128811292571427</v>
      </c>
      <c r="J85" s="2">
        <f t="shared" si="11"/>
        <v>1.2002898360432972</v>
      </c>
      <c r="K85" s="1">
        <f t="shared" si="12"/>
        <v>101.19</v>
      </c>
      <c r="M85" s="4">
        <f t="shared" si="13"/>
        <v>101.19</v>
      </c>
      <c r="N85" s="4">
        <f t="shared" si="14"/>
        <v>0</v>
      </c>
    </row>
    <row r="86" spans="1:14" ht="15.65" outlineLevel="2">
      <c r="A86" s="5">
        <v>360</v>
      </c>
      <c r="B86" s="6">
        <v>1930</v>
      </c>
      <c r="C86" s="3">
        <v>45.079999999999998</v>
      </c>
      <c r="D86" s="3">
        <v>45.079999999999998</v>
      </c>
      <c r="F86" s="2">
        <v>70</v>
      </c>
      <c r="G86" s="3">
        <v>6.6956480000000003</v>
      </c>
      <c r="H86" s="12">
        <v>0</v>
      </c>
      <c r="I86" s="3">
        <f t="shared" si="10"/>
        <v>40.768002687999996</v>
      </c>
      <c r="J86" s="2">
        <f t="shared" si="11"/>
        <v>1.2002898360432972</v>
      </c>
      <c r="K86" s="1">
        <f t="shared" si="12"/>
        <v>45.079999999999998</v>
      </c>
      <c r="M86" s="4">
        <f t="shared" si="13"/>
        <v>45.079999999999998</v>
      </c>
      <c r="N86" s="4">
        <f t="shared" si="14"/>
        <v>0</v>
      </c>
    </row>
    <row r="87" spans="1:14" ht="15.65" outlineLevel="2">
      <c r="A87" s="5">
        <v>360</v>
      </c>
      <c r="B87" s="6">
        <v>1929</v>
      </c>
      <c r="C87" s="3">
        <v>9.9600000000000009</v>
      </c>
      <c r="D87" s="3">
        <v>9.9600000000000009</v>
      </c>
      <c r="F87" s="2">
        <v>70</v>
      </c>
      <c r="G87" s="3">
        <v>6.4350379999999996</v>
      </c>
      <c r="H87" s="12">
        <v>0</v>
      </c>
      <c r="I87" s="3">
        <f t="shared" si="10"/>
        <v>9.0443860217142866</v>
      </c>
      <c r="J87" s="2">
        <f t="shared" si="11"/>
        <v>1.2002898360432972</v>
      </c>
      <c r="K87" s="1">
        <f t="shared" si="12"/>
        <v>9.9600000000000009</v>
      </c>
      <c r="M87" s="4">
        <f t="shared" si="13"/>
        <v>9.9600000000000009</v>
      </c>
      <c r="N87" s="4">
        <f t="shared" si="14"/>
        <v>0</v>
      </c>
    </row>
    <row r="88" spans="1:14" ht="15.65" outlineLevel="2">
      <c r="A88" s="5">
        <v>360</v>
      </c>
      <c r="B88" s="6">
        <v>1928</v>
      </c>
      <c r="C88" s="3">
        <v>10.960000000000001</v>
      </c>
      <c r="D88" s="3">
        <v>10.960000000000001</v>
      </c>
      <c r="F88" s="2">
        <v>70</v>
      </c>
      <c r="G88" s="3">
        <v>6.173629</v>
      </c>
      <c r="H88" s="12">
        <v>0</v>
      </c>
      <c r="I88" s="3">
        <f t="shared" si="10"/>
        <v>9.9933860880000012</v>
      </c>
      <c r="J88" s="2">
        <f t="shared" si="11"/>
        <v>1.2002898360432972</v>
      </c>
      <c r="K88" s="1">
        <f t="shared" si="12"/>
        <v>10.960000000000001</v>
      </c>
      <c r="M88" s="4">
        <f t="shared" si="13"/>
        <v>10.960000000000001</v>
      </c>
      <c r="N88" s="4">
        <f t="shared" si="14"/>
        <v>0</v>
      </c>
    </row>
    <row r="89" spans="1:14" ht="15.65" outlineLevel="2">
      <c r="A89" s="5">
        <v>360</v>
      </c>
      <c r="B89" s="6">
        <v>1927</v>
      </c>
      <c r="C89" s="3">
        <v>16.690000000000001</v>
      </c>
      <c r="D89" s="3">
        <v>16.690000000000001</v>
      </c>
      <c r="F89" s="2">
        <v>70</v>
      </c>
      <c r="G89" s="3">
        <v>5.9189100000000003</v>
      </c>
      <c r="H89" s="12">
        <v>0</v>
      </c>
      <c r="I89" s="3">
        <f t="shared" si="10"/>
        <v>15.278762744285714</v>
      </c>
      <c r="J89" s="2">
        <f t="shared" si="11"/>
        <v>1.2002898360432972</v>
      </c>
      <c r="K89" s="1">
        <f t="shared" si="12"/>
        <v>16.690000000000001</v>
      </c>
      <c r="M89" s="4">
        <f t="shared" si="13"/>
        <v>16.690000000000001</v>
      </c>
      <c r="N89" s="4">
        <f t="shared" si="14"/>
        <v>0</v>
      </c>
    </row>
    <row r="90" spans="1:14" ht="15.65" outlineLevel="2">
      <c r="A90" s="5">
        <v>360</v>
      </c>
      <c r="B90" s="6">
        <v>1926</v>
      </c>
      <c r="C90" s="3">
        <v>59.280000000000001</v>
      </c>
      <c r="D90" s="3">
        <v>59.280000000000001</v>
      </c>
      <c r="F90" s="2">
        <v>70</v>
      </c>
      <c r="G90" s="3">
        <v>5.6578710000000001</v>
      </c>
      <c r="H90" s="12">
        <v>0</v>
      </c>
      <c r="I90" s="3">
        <f t="shared" si="10"/>
        <v>54.488591530285717</v>
      </c>
      <c r="J90" s="2">
        <f t="shared" si="11"/>
        <v>1.2002898360432972</v>
      </c>
      <c r="K90" s="1">
        <f t="shared" si="12"/>
        <v>59.280000000000001</v>
      </c>
      <c r="M90" s="4">
        <f t="shared" si="13"/>
        <v>59.280000000000001</v>
      </c>
      <c r="N90" s="4">
        <f t="shared" si="14"/>
        <v>0</v>
      </c>
    </row>
    <row r="91" spans="1:14" ht="15.65" outlineLevel="2">
      <c r="A91" s="5">
        <v>360</v>
      </c>
      <c r="B91" s="6">
        <v>1925</v>
      </c>
      <c r="C91" s="3">
        <v>63.759999999999998</v>
      </c>
      <c r="D91" s="3">
        <v>63.759999999999998</v>
      </c>
      <c r="F91" s="2">
        <v>70</v>
      </c>
      <c r="G91" s="3">
        <v>5.4027019999999997</v>
      </c>
      <c r="H91" s="12">
        <v>0</v>
      </c>
      <c r="I91" s="3">
        <f t="shared" si="10"/>
        <v>58.838910292571427</v>
      </c>
      <c r="J91" s="2">
        <f t="shared" si="11"/>
        <v>1.2002898360432972</v>
      </c>
      <c r="K91" s="1">
        <f t="shared" si="12"/>
        <v>63.759999999999998</v>
      </c>
      <c r="M91" s="4">
        <f t="shared" si="13"/>
        <v>63.759999999999998</v>
      </c>
      <c r="N91" s="4">
        <f t="shared" si="14"/>
        <v>0</v>
      </c>
    </row>
    <row r="92" spans="1:14" ht="15.65" outlineLevel="2">
      <c r="A92" s="5">
        <v>360</v>
      </c>
      <c r="B92" s="6">
        <v>1924</v>
      </c>
      <c r="C92" s="3">
        <v>34.869999999999997</v>
      </c>
      <c r="D92" s="3">
        <v>34.869999999999997</v>
      </c>
      <c r="F92" s="2">
        <v>70</v>
      </c>
      <c r="G92" s="3">
        <v>5.1445090000000002</v>
      </c>
      <c r="H92" s="12">
        <v>0</v>
      </c>
      <c r="I92" s="3">
        <f t="shared" si="10"/>
        <v>32.307299588142854</v>
      </c>
      <c r="J92" s="2">
        <f t="shared" si="11"/>
        <v>1.2002898360432972</v>
      </c>
      <c r="K92" s="1">
        <f t="shared" si="12"/>
        <v>34.869999999999997</v>
      </c>
      <c r="M92" s="4">
        <f t="shared" si="13"/>
        <v>34.869999999999997</v>
      </c>
      <c r="N92" s="4">
        <f t="shared" si="14"/>
        <v>0</v>
      </c>
    </row>
    <row r="93" spans="1:14" ht="15.65" outlineLevel="2">
      <c r="A93" s="5">
        <v>360</v>
      </c>
      <c r="B93" s="6">
        <v>1923</v>
      </c>
      <c r="C93" s="3">
        <v>122.15000000000001</v>
      </c>
      <c r="D93" s="3">
        <v>122.15000000000001</v>
      </c>
      <c r="F93" s="2">
        <v>70</v>
      </c>
      <c r="G93" s="3">
        <v>4.887473</v>
      </c>
      <c r="H93" s="12">
        <v>0</v>
      </c>
      <c r="I93" s="3">
        <f t="shared" si="10"/>
        <v>113.621359615</v>
      </c>
      <c r="J93" s="2">
        <f t="shared" si="11"/>
        <v>1.2002898360432972</v>
      </c>
      <c r="K93" s="1">
        <f t="shared" si="12"/>
        <v>122.15000000000001</v>
      </c>
      <c r="M93" s="4">
        <f t="shared" si="13"/>
        <v>122.15000000000001</v>
      </c>
      <c r="N93" s="4">
        <f t="shared" si="14"/>
        <v>0</v>
      </c>
    </row>
    <row r="94" spans="1:14" ht="15.65" outlineLevel="2">
      <c r="A94" s="5">
        <v>360</v>
      </c>
      <c r="B94" s="6">
        <v>1922</v>
      </c>
      <c r="C94" s="3">
        <v>37.359999999999999</v>
      </c>
      <c r="D94" s="3">
        <v>37.359999999999999</v>
      </c>
      <c r="F94" s="2">
        <v>70</v>
      </c>
      <c r="G94" s="3">
        <v>4.6322169999999998</v>
      </c>
      <c r="H94" s="12">
        <v>0</v>
      </c>
      <c r="I94" s="3">
        <f t="shared" si="10"/>
        <v>34.887719612571431</v>
      </c>
      <c r="J94" s="2">
        <f t="shared" si="11"/>
        <v>1.2002898360432972</v>
      </c>
      <c r="K94" s="1">
        <f t="shared" si="12"/>
        <v>37.359999999999999</v>
      </c>
      <c r="M94" s="4">
        <f t="shared" si="13"/>
        <v>37.359999999999999</v>
      </c>
      <c r="N94" s="4">
        <f t="shared" si="14"/>
        <v>0</v>
      </c>
    </row>
    <row r="95" spans="1:14" ht="15.65" outlineLevel="2">
      <c r="A95" s="5">
        <v>360</v>
      </c>
      <c r="B95" s="6">
        <v>1921</v>
      </c>
      <c r="C95" s="3">
        <v>76.120000000000005</v>
      </c>
      <c r="D95" s="3">
        <v>76.120000000000005</v>
      </c>
      <c r="F95" s="2">
        <v>70</v>
      </c>
      <c r="G95" s="3">
        <v>4.3729680000000002</v>
      </c>
      <c r="H95" s="12">
        <v>0</v>
      </c>
      <c r="I95" s="3">
        <f t="shared" si="10"/>
        <v>71.364709654857151</v>
      </c>
      <c r="J95" s="2">
        <f t="shared" si="11"/>
        <v>1.2002898360432972</v>
      </c>
      <c r="K95" s="1">
        <f t="shared" si="12"/>
        <v>76.120000000000005</v>
      </c>
      <c r="M95" s="4">
        <f t="shared" si="13"/>
        <v>76.120000000000005</v>
      </c>
      <c r="N95" s="4">
        <f t="shared" si="14"/>
        <v>0</v>
      </c>
    </row>
    <row r="96" spans="1:14" ht="15.65" outlineLevel="2">
      <c r="A96" s="5">
        <v>360</v>
      </c>
      <c r="B96" s="6">
        <v>1918</v>
      </c>
      <c r="C96" s="3">
        <v>41773.57</v>
      </c>
      <c r="D96" s="3">
        <v>41773.57</v>
      </c>
      <c r="F96" s="2">
        <v>70</v>
      </c>
      <c r="G96" s="3">
        <v>3.6091329999999999</v>
      </c>
      <c r="H96" s="12">
        <v>0</v>
      </c>
      <c r="I96" s="3">
        <f t="shared" si="10"/>
        <v>39619.764714074139</v>
      </c>
      <c r="J96" s="2">
        <f t="shared" si="11"/>
        <v>1.2002898360432972</v>
      </c>
      <c r="K96" s="1">
        <f t="shared" si="12"/>
        <v>41773.57</v>
      </c>
      <c r="M96" s="4">
        <f t="shared" si="13"/>
        <v>41773.57</v>
      </c>
      <c r="N96" s="4">
        <f t="shared" si="14"/>
        <v>0</v>
      </c>
    </row>
    <row r="97" spans="1:15" ht="15.65" outlineLevel="1">
      <c r="A97" s="7" t="s">
        <v>20</v>
      </c>
      <c r="B97" s="6"/>
      <c r="C97" s="3">
        <f>SUBTOTAL(9,C3:C96)</f>
        <v>18508221.20000001</v>
      </c>
      <c r="I97" s="3">
        <f>SUBTOTAL(9,I3:I96)</f>
        <v>7309406.5822546128</v>
      </c>
      <c r="J97" s="3">
        <v>1.2002898360432972</v>
      </c>
      <c r="K97" s="1">
        <f>SUBTOTAL(9,K3:K96)</f>
        <v>8767326.7686165329</v>
      </c>
      <c r="L97" s="3">
        <v>8767326.7686166707</v>
      </c>
      <c r="M97" s="3">
        <f t="shared" si="15" ref="M97:N97">SUBTOTAL(9,M3:M96)</f>
        <v>8767326.7686165329</v>
      </c>
      <c r="N97" s="3">
        <f t="shared" si="15"/>
        <v>0</v>
      </c>
      <c r="O97" s="4">
        <f>+L97-K97</f>
        <v>1.3783574104309082E-07</v>
      </c>
    </row>
    <row r="98" spans="1:14" ht="15.65" outlineLevel="2">
      <c r="A98" s="5">
        <v>364</v>
      </c>
      <c r="B98" s="6">
        <v>2021</v>
      </c>
      <c r="C98" s="3">
        <v>190320807.33000001</v>
      </c>
      <c r="D98" s="3">
        <v>190320807.33000001</v>
      </c>
      <c r="F98" s="2">
        <v>54</v>
      </c>
      <c r="G98" s="3">
        <v>53.689306999999999</v>
      </c>
      <c r="H98" s="12">
        <v>-1</v>
      </c>
      <c r="I98" s="3">
        <f t="shared" si="16" ref="I98:I129">+C98*(1-H98)*(1-G98/F98)</f>
        <v>2190049.7256214661</v>
      </c>
      <c r="J98" s="3">
        <f t="shared" si="17" ref="J98:J129">$J$189</f>
        <v>1.2002836496015288</v>
      </c>
      <c r="K98" s="1">
        <f t="shared" si="18" ref="K98:K129">IF((C98*(1-H98)-I98*J98)&lt;0,C98*(1-H98),I98*J98)</f>
        <v>2628680.87747776</v>
      </c>
      <c r="L98" s="3"/>
      <c r="M98" s="4">
        <f t="shared" si="19" ref="M98:M129">+K98/D98*C98</f>
        <v>2628680.87747776</v>
      </c>
      <c r="N98" s="4">
        <f t="shared" si="20" ref="N98:N129">+E98/C98*K98</f>
        <v>0</v>
      </c>
    </row>
    <row r="99" spans="1:14" ht="15.65" outlineLevel="2">
      <c r="A99" s="5">
        <v>364</v>
      </c>
      <c r="B99" s="6">
        <v>2020</v>
      </c>
      <c r="C99" s="3">
        <v>196668715.50999999</v>
      </c>
      <c r="D99" s="3">
        <v>196668715.50999999</v>
      </c>
      <c r="F99" s="2">
        <v>54</v>
      </c>
      <c r="G99" s="3">
        <v>53.069147000000001</v>
      </c>
      <c r="H99" s="12">
        <v>-1</v>
      </c>
      <c r="I99" s="3">
        <f t="shared" si="16"/>
        <v>6780357.9199492419</v>
      </c>
      <c r="J99" s="3">
        <f t="shared" si="17"/>
        <v>1.2002836496015288</v>
      </c>
      <c r="K99" s="1">
        <f t="shared" si="18"/>
        <v>8138352.7497613067</v>
      </c>
      <c r="L99" s="3"/>
      <c r="M99" s="4">
        <f t="shared" si="19"/>
        <v>8138352.7497613067</v>
      </c>
      <c r="N99" s="4">
        <f t="shared" si="20"/>
        <v>0</v>
      </c>
    </row>
    <row r="100" spans="1:14" ht="15.65" outlineLevel="2">
      <c r="A100" s="5">
        <v>364</v>
      </c>
      <c r="B100" s="6">
        <v>2019</v>
      </c>
      <c r="C100" s="3">
        <v>144588216.66999999</v>
      </c>
      <c r="D100" s="3">
        <v>144588216.66999999</v>
      </c>
      <c r="F100" s="2">
        <v>54</v>
      </c>
      <c r="G100" s="3">
        <v>52.450602000000004</v>
      </c>
      <c r="H100" s="12">
        <v>-1</v>
      </c>
      <c r="I100" s="3">
        <f t="shared" si="16"/>
        <v>8297210.8789653406</v>
      </c>
      <c r="J100" s="3">
        <f t="shared" si="17"/>
        <v>1.2002836496015288</v>
      </c>
      <c r="K100" s="1">
        <f t="shared" si="18"/>
        <v>9959006.5553180277</v>
      </c>
      <c r="L100" s="3"/>
      <c r="M100" s="4">
        <f t="shared" si="19"/>
        <v>9959006.5553180277</v>
      </c>
      <c r="N100" s="4">
        <f t="shared" si="20"/>
        <v>0</v>
      </c>
    </row>
    <row r="101" spans="1:14" ht="15.65" outlineLevel="2">
      <c r="A101" s="5">
        <v>364</v>
      </c>
      <c r="B101" s="6">
        <v>2018</v>
      </c>
      <c r="C101" s="3">
        <v>123810766.36</v>
      </c>
      <c r="D101" s="3">
        <v>123810766.36</v>
      </c>
      <c r="F101" s="2">
        <v>54</v>
      </c>
      <c r="G101" s="3">
        <v>51.833652999999998</v>
      </c>
      <c r="H101" s="12">
        <v>-1</v>
      </c>
      <c r="I101" s="3">
        <f t="shared" si="16"/>
        <v>9933966.0100624748</v>
      </c>
      <c r="J101" s="3">
        <f t="shared" si="17"/>
        <v>1.2002836496015288</v>
      </c>
      <c r="K101" s="1">
        <f t="shared" si="18"/>
        <v>11923576.977575325</v>
      </c>
      <c r="L101" s="3"/>
      <c r="M101" s="4">
        <f t="shared" si="19"/>
        <v>11923576.977575325</v>
      </c>
      <c r="N101" s="4">
        <f t="shared" si="20"/>
        <v>0</v>
      </c>
    </row>
    <row r="102" spans="1:14" ht="15.65" outlineLevel="2">
      <c r="A102" s="5">
        <v>364</v>
      </c>
      <c r="B102" s="6">
        <v>2017</v>
      </c>
      <c r="C102" s="3">
        <v>122149529.70999999</v>
      </c>
      <c r="D102" s="3">
        <v>122149529.70999999</v>
      </c>
      <c r="F102" s="2">
        <v>54</v>
      </c>
      <c r="G102" s="3">
        <v>51.218271999999999</v>
      </c>
      <c r="H102" s="12">
        <v>-1</v>
      </c>
      <c r="I102" s="3">
        <f t="shared" si="16"/>
        <v>12584695.073375516</v>
      </c>
      <c r="J102" s="3">
        <f t="shared" si="17"/>
        <v>1.2002836496015288</v>
      </c>
      <c r="K102" s="1">
        <f t="shared" si="18"/>
        <v>15105203.731793543</v>
      </c>
      <c r="L102" s="3"/>
      <c r="M102" s="4">
        <f t="shared" si="19"/>
        <v>15105203.731793543</v>
      </c>
      <c r="N102" s="4">
        <f t="shared" si="20"/>
        <v>0</v>
      </c>
    </row>
    <row r="103" spans="1:14" ht="15.65" outlineLevel="2">
      <c r="A103" s="5">
        <v>364</v>
      </c>
      <c r="B103" s="6">
        <v>2016</v>
      </c>
      <c r="C103" s="3">
        <v>113715928.09999999</v>
      </c>
      <c r="D103" s="3">
        <v>113715928.09999999</v>
      </c>
      <c r="F103" s="2">
        <v>54</v>
      </c>
      <c r="G103" s="3">
        <v>50.604438000000002</v>
      </c>
      <c r="H103" s="12">
        <v>-1</v>
      </c>
      <c r="I103" s="3">
        <f t="shared" si="16"/>
        <v>14301092.009299712</v>
      </c>
      <c r="J103" s="3">
        <f t="shared" si="17"/>
        <v>1.2002836496015288</v>
      </c>
      <c r="K103" s="1">
        <f t="shared" si="18"/>
        <v>17165366.910209518</v>
      </c>
      <c r="L103" s="3"/>
      <c r="M103" s="4">
        <f t="shared" si="19"/>
        <v>17165366.910209518</v>
      </c>
      <c r="N103" s="4">
        <f t="shared" si="20"/>
        <v>0</v>
      </c>
    </row>
    <row r="104" spans="1:14" ht="15.65" outlineLevel="2">
      <c r="A104" s="5">
        <v>364</v>
      </c>
      <c r="B104" s="6">
        <v>2015</v>
      </c>
      <c r="C104" s="3">
        <v>106818848.09</v>
      </c>
      <c r="D104" s="3">
        <v>106818848.09</v>
      </c>
      <c r="F104" s="2">
        <v>54</v>
      </c>
      <c r="G104" s="3">
        <v>49.992114999999998</v>
      </c>
      <c r="H104" s="12">
        <v>-1</v>
      </c>
      <c r="I104" s="3">
        <f t="shared" si="16"/>
        <v>15856209.591747779</v>
      </c>
      <c r="J104" s="3">
        <f t="shared" si="17"/>
        <v>1.2002836496015288</v>
      </c>
      <c r="K104" s="1">
        <f t="shared" si="18"/>
        <v>19031949.117629793</v>
      </c>
      <c r="L104" s="3"/>
      <c r="M104" s="4">
        <f t="shared" si="19"/>
        <v>19031949.117629793</v>
      </c>
      <c r="N104" s="4">
        <f t="shared" si="20"/>
        <v>0</v>
      </c>
    </row>
    <row r="105" spans="1:14" ht="15.65" outlineLevel="2">
      <c r="A105" s="5">
        <v>364</v>
      </c>
      <c r="B105" s="6">
        <v>2014</v>
      </c>
      <c r="C105" s="3">
        <v>78792310.920000002</v>
      </c>
      <c r="D105" s="3">
        <v>78792310.920000002</v>
      </c>
      <c r="F105" s="2">
        <v>54</v>
      </c>
      <c r="G105" s="3">
        <v>49.381390000000003</v>
      </c>
      <c r="H105" s="12">
        <v>-1</v>
      </c>
      <c r="I105" s="3">
        <f t="shared" si="16"/>
        <v>13478183.523637822</v>
      </c>
      <c r="J105" s="3">
        <f t="shared" si="17"/>
        <v>1.2002836496015288</v>
      </c>
      <c r="K105" s="1">
        <f t="shared" si="18"/>
        <v>16177643.309751198</v>
      </c>
      <c r="L105" s="3"/>
      <c r="M105" s="4">
        <f t="shared" si="19"/>
        <v>16177643.3097512</v>
      </c>
      <c r="N105" s="4">
        <f t="shared" si="20"/>
        <v>0</v>
      </c>
    </row>
    <row r="106" spans="1:14" ht="15.65" outlineLevel="2">
      <c r="A106" s="5">
        <v>364</v>
      </c>
      <c r="B106" s="6">
        <v>2013</v>
      </c>
      <c r="C106" s="3">
        <v>76223462.280000001</v>
      </c>
      <c r="D106" s="3">
        <v>76223462.280000001</v>
      </c>
      <c r="F106" s="2">
        <v>54</v>
      </c>
      <c r="G106" s="3">
        <v>48.772151000000001</v>
      </c>
      <c r="H106" s="12">
        <v>-1</v>
      </c>
      <c r="I106" s="3">
        <f t="shared" si="16"/>
        <v>14758694.483593915</v>
      </c>
      <c r="J106" s="3">
        <f t="shared" si="17"/>
        <v>1.2002836496015288</v>
      </c>
      <c r="K106" s="1">
        <f t="shared" si="18"/>
        <v>17714619.678122055</v>
      </c>
      <c r="L106" s="3"/>
      <c r="M106" s="4">
        <f t="shared" si="19"/>
        <v>17714619.678122055</v>
      </c>
      <c r="N106" s="4">
        <f t="shared" si="20"/>
        <v>0</v>
      </c>
    </row>
    <row r="107" spans="1:14" ht="15.65" outlineLevel="2">
      <c r="A107" s="5">
        <v>364</v>
      </c>
      <c r="B107" s="6">
        <v>2012</v>
      </c>
      <c r="C107" s="3">
        <v>90917424.370000005</v>
      </c>
      <c r="D107" s="3">
        <v>90917424.370000005</v>
      </c>
      <c r="F107" s="2">
        <v>54</v>
      </c>
      <c r="G107" s="3">
        <v>48.16433</v>
      </c>
      <c r="H107" s="12">
        <v>-1</v>
      </c>
      <c r="I107" s="3">
        <f t="shared" si="16"/>
        <v>19650521.69901029</v>
      </c>
      <c r="J107" s="3">
        <f t="shared" si="17"/>
        <v>1.2002836496015288</v>
      </c>
      <c r="K107" s="1">
        <f t="shared" si="18"/>
        <v>23586199.901462104</v>
      </c>
      <c r="L107" s="3"/>
      <c r="M107" s="4">
        <f t="shared" si="19"/>
        <v>23586199.901462108</v>
      </c>
      <c r="N107" s="4">
        <f t="shared" si="20"/>
        <v>0</v>
      </c>
    </row>
    <row r="108" spans="1:14" ht="15.65" outlineLevel="2">
      <c r="A108" s="5">
        <v>364</v>
      </c>
      <c r="B108" s="6">
        <v>2011</v>
      </c>
      <c r="C108" s="3">
        <v>68663676.670000002</v>
      </c>
      <c r="D108" s="3">
        <v>68663676.670000002</v>
      </c>
      <c r="F108" s="2">
        <v>54</v>
      </c>
      <c r="G108" s="3">
        <v>47.557896</v>
      </c>
      <c r="H108" s="12">
        <v>-1</v>
      </c>
      <c r="I108" s="3">
        <f t="shared" si="16"/>
        <v>16382909.115944948</v>
      </c>
      <c r="J108" s="3">
        <f t="shared" si="17"/>
        <v>1.2002836496015288</v>
      </c>
      <c r="K108" s="1">
        <f t="shared" si="18"/>
        <v>19664137.944776557</v>
      </c>
      <c r="L108" s="3"/>
      <c r="M108" s="4">
        <f t="shared" si="19"/>
        <v>19664137.944776557</v>
      </c>
      <c r="N108" s="4">
        <f t="shared" si="20"/>
        <v>0</v>
      </c>
    </row>
    <row r="109" spans="1:14" ht="15.65" outlineLevel="2">
      <c r="A109" s="5">
        <v>364</v>
      </c>
      <c r="B109" s="6">
        <v>2010</v>
      </c>
      <c r="C109" s="3">
        <v>63432042.530000001</v>
      </c>
      <c r="D109" s="3">
        <v>63432042.530000001</v>
      </c>
      <c r="F109" s="2">
        <v>54</v>
      </c>
      <c r="G109" s="3">
        <v>46.952801999999998</v>
      </c>
      <c r="H109" s="12">
        <v>-1</v>
      </c>
      <c r="I109" s="3">
        <f t="shared" si="16"/>
        <v>16556228.268641889</v>
      </c>
      <c r="J109" s="3">
        <f t="shared" si="17"/>
        <v>1.2002836496015288</v>
      </c>
      <c r="K109" s="1">
        <f t="shared" si="18"/>
        <v>19872170.089921486</v>
      </c>
      <c r="L109" s="3"/>
      <c r="M109" s="4">
        <f t="shared" si="19"/>
        <v>19872170.089921486</v>
      </c>
      <c r="N109" s="4">
        <f t="shared" si="20"/>
        <v>0</v>
      </c>
    </row>
    <row r="110" spans="1:14" ht="15.65" outlineLevel="2">
      <c r="A110" s="5">
        <v>364</v>
      </c>
      <c r="B110" s="6">
        <v>2009</v>
      </c>
      <c r="C110" s="3">
        <v>67652076.980000004</v>
      </c>
      <c r="D110" s="3">
        <v>67652076.980000004</v>
      </c>
      <c r="F110" s="2">
        <v>54</v>
      </c>
      <c r="G110" s="3">
        <v>46.349012999999999</v>
      </c>
      <c r="H110" s="12">
        <v>-1</v>
      </c>
      <c r="I110" s="3">
        <f t="shared" si="16"/>
        <v>19170561.536925159</v>
      </c>
      <c r="J110" s="3">
        <f t="shared" si="17"/>
        <v>1.2002836496015288</v>
      </c>
      <c r="K110" s="1">
        <f t="shared" si="18"/>
        <v>23010111.566451222</v>
      </c>
      <c r="L110" s="3"/>
      <c r="M110" s="4">
        <f t="shared" si="19"/>
        <v>23010111.566451222</v>
      </c>
      <c r="N110" s="4">
        <f t="shared" si="20"/>
        <v>0</v>
      </c>
    </row>
    <row r="111" spans="1:14" ht="15.65" outlineLevel="2">
      <c r="A111" s="5">
        <v>364</v>
      </c>
      <c r="B111" s="6">
        <v>2008</v>
      </c>
      <c r="C111" s="3">
        <v>73204343.709999993</v>
      </c>
      <c r="D111" s="3">
        <v>73204343.709999993</v>
      </c>
      <c r="F111" s="2">
        <v>54</v>
      </c>
      <c r="G111" s="3">
        <v>45.746479999999998</v>
      </c>
      <c r="H111" s="12">
        <v>-1</v>
      </c>
      <c r="I111" s="3">
        <f t="shared" si="16"/>
        <v>22377537.58879108</v>
      </c>
      <c r="J111" s="3">
        <f t="shared" si="17"/>
        <v>1.2002836496015288</v>
      </c>
      <c r="K111" s="1">
        <f t="shared" si="18"/>
        <v>26859392.486169551</v>
      </c>
      <c r="L111" s="3"/>
      <c r="M111" s="4">
        <f t="shared" si="19"/>
        <v>26859392.486169551</v>
      </c>
      <c r="N111" s="4">
        <f t="shared" si="20"/>
        <v>0</v>
      </c>
    </row>
    <row r="112" spans="1:14" ht="15.65" outlineLevel="2">
      <c r="A112" s="5">
        <v>364</v>
      </c>
      <c r="B112" s="6">
        <v>2007</v>
      </c>
      <c r="C112" s="3">
        <v>71587509.430000007</v>
      </c>
      <c r="D112" s="3">
        <v>71587509.430000007</v>
      </c>
      <c r="F112" s="2">
        <v>54</v>
      </c>
      <c r="G112" s="3">
        <v>45.145288000000001</v>
      </c>
      <c r="H112" s="12">
        <v>-1</v>
      </c>
      <c r="I112" s="3">
        <f t="shared" si="16"/>
        <v>23477288.10370126</v>
      </c>
      <c r="J112" s="3">
        <f t="shared" si="17"/>
        <v>1.2002836496015288</v>
      </c>
      <c r="K112" s="1">
        <f t="shared" si="18"/>
        <v>28179405.047857102</v>
      </c>
      <c r="L112" s="3"/>
      <c r="M112" s="4">
        <f t="shared" si="19"/>
        <v>28179405.047857102</v>
      </c>
      <c r="N112" s="4">
        <f t="shared" si="20"/>
        <v>0</v>
      </c>
    </row>
    <row r="113" spans="1:14" ht="15.65" outlineLevel="2">
      <c r="A113" s="5">
        <v>364</v>
      </c>
      <c r="B113" s="6">
        <v>2006</v>
      </c>
      <c r="C113" s="3">
        <v>70386694.920000002</v>
      </c>
      <c r="D113" s="3">
        <v>70386694.920000002</v>
      </c>
      <c r="F113" s="2">
        <v>54</v>
      </c>
      <c r="G113" s="3">
        <v>44.545261000000004</v>
      </c>
      <c r="H113" s="12">
        <v>-1</v>
      </c>
      <c r="I113" s="3">
        <f t="shared" si="16"/>
        <v>24647697.390415769</v>
      </c>
      <c r="J113" s="3">
        <f t="shared" si="17"/>
        <v>1.2002836496015288</v>
      </c>
      <c r="K113" s="1">
        <f t="shared" si="18"/>
        <v>29584228.178042315</v>
      </c>
      <c r="L113" s="3"/>
      <c r="M113" s="4">
        <f t="shared" si="19"/>
        <v>29584228.178042315</v>
      </c>
      <c r="N113" s="4">
        <f t="shared" si="20"/>
        <v>0</v>
      </c>
    </row>
    <row r="114" spans="1:14" ht="15.65" outlineLevel="2">
      <c r="A114" s="5">
        <v>364</v>
      </c>
      <c r="B114" s="6">
        <v>2005</v>
      </c>
      <c r="C114" s="3">
        <v>81980156.780000001</v>
      </c>
      <c r="D114" s="3">
        <v>81980156.780000001</v>
      </c>
      <c r="F114" s="2">
        <v>54</v>
      </c>
      <c r="G114" s="3">
        <v>43.946365999999998</v>
      </c>
      <c r="H114" s="12">
        <v>-1</v>
      </c>
      <c r="I114" s="3">
        <f t="shared" si="16"/>
        <v>30525870.05661995</v>
      </c>
      <c r="J114" s="3">
        <f t="shared" si="17"/>
        <v>1.2002836496015288</v>
      </c>
      <c r="K114" s="1">
        <f t="shared" si="18"/>
        <v>36639702.718821816</v>
      </c>
      <c r="L114" s="3"/>
      <c r="M114" s="4">
        <f t="shared" si="19"/>
        <v>36639702.718821816</v>
      </c>
      <c r="N114" s="4">
        <f t="shared" si="20"/>
        <v>0</v>
      </c>
    </row>
    <row r="115" spans="1:14" ht="15.65" outlineLevel="2">
      <c r="A115" s="5">
        <v>364</v>
      </c>
      <c r="B115" s="6">
        <v>2004</v>
      </c>
      <c r="C115" s="3">
        <v>96505610.159999996</v>
      </c>
      <c r="D115" s="3">
        <v>96505610.159999996</v>
      </c>
      <c r="F115" s="2">
        <v>54</v>
      </c>
      <c r="G115" s="3">
        <v>43.348609000000003</v>
      </c>
      <c r="H115" s="12">
        <v>-1</v>
      </c>
      <c r="I115" s="3">
        <f t="shared" si="16"/>
        <v>38071073.611397482</v>
      </c>
      <c r="J115" s="3">
        <f t="shared" si="17"/>
        <v>1.2002836496015288</v>
      </c>
      <c r="K115" s="1">
        <f t="shared" si="18"/>
        <v>45696087.178536624</v>
      </c>
      <c r="L115" s="3"/>
      <c r="M115" s="4">
        <f t="shared" si="19"/>
        <v>45696087.178536624</v>
      </c>
      <c r="N115" s="4">
        <f t="shared" si="20"/>
        <v>0</v>
      </c>
    </row>
    <row r="116" spans="1:14" ht="15.65" outlineLevel="2">
      <c r="A116" s="5">
        <v>364</v>
      </c>
      <c r="B116" s="6">
        <v>2003</v>
      </c>
      <c r="C116" s="3">
        <v>36943759.579999998</v>
      </c>
      <c r="D116" s="3">
        <v>36943759.579999998</v>
      </c>
      <c r="F116" s="2">
        <v>54</v>
      </c>
      <c r="G116" s="3">
        <v>42.752037999999999</v>
      </c>
      <c r="H116" s="12">
        <v>-1</v>
      </c>
      <c r="I116" s="3">
        <f t="shared" si="16"/>
        <v>15390444.588628735</v>
      </c>
      <c r="J116" s="3">
        <f t="shared" si="17"/>
        <v>1.2002836496015288</v>
      </c>
      <c r="K116" s="1">
        <f t="shared" si="18"/>
        <v>18472898.999829397</v>
      </c>
      <c r="L116" s="3"/>
      <c r="M116" s="4">
        <f t="shared" si="19"/>
        <v>18472898.999829397</v>
      </c>
      <c r="N116" s="4">
        <f t="shared" si="20"/>
        <v>0</v>
      </c>
    </row>
    <row r="117" spans="1:14" ht="15.65" outlineLevel="2">
      <c r="A117" s="5">
        <v>364</v>
      </c>
      <c r="B117" s="6">
        <v>2002</v>
      </c>
      <c r="C117" s="3">
        <v>37554616.909999996</v>
      </c>
      <c r="D117" s="3">
        <v>37554616.909999996</v>
      </c>
      <c r="F117" s="2">
        <v>54</v>
      </c>
      <c r="G117" s="3">
        <v>42.156719000000002</v>
      </c>
      <c r="H117" s="12">
        <v>-1</v>
      </c>
      <c r="I117" s="3">
        <f t="shared" si="16"/>
        <v>16472958.552314131</v>
      </c>
      <c r="J117" s="3">
        <f t="shared" si="17"/>
        <v>1.2002836496015288</v>
      </c>
      <c r="K117" s="1">
        <f t="shared" si="18"/>
        <v>19772222.810906321</v>
      </c>
      <c r="L117" s="3"/>
      <c r="M117" s="4">
        <f t="shared" si="19"/>
        <v>19772222.810906321</v>
      </c>
      <c r="N117" s="4">
        <f t="shared" si="20"/>
        <v>0</v>
      </c>
    </row>
    <row r="118" spans="1:14" ht="15.65" outlineLevel="2">
      <c r="A118" s="5">
        <v>364</v>
      </c>
      <c r="B118" s="6">
        <v>2001</v>
      </c>
      <c r="C118" s="3">
        <v>35983246.530000001</v>
      </c>
      <c r="D118" s="3">
        <v>35983246.530000001</v>
      </c>
      <c r="F118" s="2">
        <v>54</v>
      </c>
      <c r="G118" s="3">
        <v>41.562789000000002</v>
      </c>
      <c r="H118" s="12">
        <v>-1</v>
      </c>
      <c r="I118" s="3">
        <f t="shared" si="16"/>
        <v>16575230.724393619</v>
      </c>
      <c r="J118" s="3">
        <f t="shared" si="17"/>
        <v>1.2002836496015288</v>
      </c>
      <c r="K118" s="1">
        <f t="shared" si="18"/>
        <v>19894978.426862564</v>
      </c>
      <c r="L118" s="3"/>
      <c r="M118" s="4">
        <f t="shared" si="19"/>
        <v>19894978.426862564</v>
      </c>
      <c r="N118" s="4">
        <f t="shared" si="20"/>
        <v>0</v>
      </c>
    </row>
    <row r="119" spans="1:14" ht="15.65" outlineLevel="2">
      <c r="A119" s="5">
        <v>364</v>
      </c>
      <c r="B119" s="6">
        <v>2000</v>
      </c>
      <c r="C119" s="3">
        <v>35627486.530000001</v>
      </c>
      <c r="D119" s="3">
        <v>35627486.530000001</v>
      </c>
      <c r="F119" s="2">
        <v>54</v>
      </c>
      <c r="G119" s="3">
        <v>40.970424000000001</v>
      </c>
      <c r="H119" s="12">
        <v>-1</v>
      </c>
      <c r="I119" s="3">
        <f t="shared" si="16"/>
        <v>17193001.608578194</v>
      </c>
      <c r="J119" s="3">
        <f t="shared" si="17"/>
        <v>1.2002836496015288</v>
      </c>
      <c r="K119" s="1">
        <f t="shared" si="18"/>
        <v>20636478.718349189</v>
      </c>
      <c r="L119" s="3"/>
      <c r="M119" s="4">
        <f t="shared" si="19"/>
        <v>20636478.718349189</v>
      </c>
      <c r="N119" s="4">
        <f t="shared" si="20"/>
        <v>0</v>
      </c>
    </row>
    <row r="120" spans="1:14" ht="15.65" outlineLevel="2">
      <c r="A120" s="5">
        <v>364</v>
      </c>
      <c r="B120" s="6">
        <v>1999</v>
      </c>
      <c r="C120" s="3">
        <v>38817072.829999998</v>
      </c>
      <c r="D120" s="3">
        <v>38817072.829999998</v>
      </c>
      <c r="F120" s="2">
        <v>54</v>
      </c>
      <c r="G120" s="3">
        <v>40.379649999999998</v>
      </c>
      <c r="H120" s="12">
        <v>-1</v>
      </c>
      <c r="I120" s="3">
        <f t="shared" si="16"/>
        <v>19581559.92296632</v>
      </c>
      <c r="J120" s="3">
        <f t="shared" si="17"/>
        <v>1.2002836496015288</v>
      </c>
      <c r="K120" s="1">
        <f t="shared" si="18"/>
        <v>23503426.209229045</v>
      </c>
      <c r="L120" s="3"/>
      <c r="M120" s="4">
        <f t="shared" si="19"/>
        <v>23503426.209229048</v>
      </c>
      <c r="N120" s="4">
        <f t="shared" si="20"/>
        <v>0</v>
      </c>
    </row>
    <row r="121" spans="1:14" ht="15.65" outlineLevel="2">
      <c r="A121" s="5">
        <v>364</v>
      </c>
      <c r="B121" s="6">
        <v>1998</v>
      </c>
      <c r="C121" s="3">
        <v>32099385.010000002</v>
      </c>
      <c r="D121" s="3">
        <v>32099385.010000002</v>
      </c>
      <c r="F121" s="2">
        <v>54</v>
      </c>
      <c r="G121" s="3">
        <v>39.790596000000001</v>
      </c>
      <c r="H121" s="12">
        <v>-1</v>
      </c>
      <c r="I121" s="3">
        <f t="shared" si="16"/>
        <v>16893078.879949406</v>
      </c>
      <c r="J121" s="3">
        <f t="shared" si="17"/>
        <v>1.2002836496015288</v>
      </c>
      <c r="K121" s="1">
        <f t="shared" si="18"/>
        <v>20276486.371032178</v>
      </c>
      <c r="L121" s="3"/>
      <c r="M121" s="4">
        <f t="shared" si="19"/>
        <v>20276486.371032178</v>
      </c>
      <c r="N121" s="4">
        <f t="shared" si="20"/>
        <v>0</v>
      </c>
    </row>
    <row r="122" spans="1:14" ht="15.65" outlineLevel="2">
      <c r="A122" s="5">
        <v>364</v>
      </c>
      <c r="B122" s="6">
        <v>1997</v>
      </c>
      <c r="C122" s="3">
        <v>28562524.77</v>
      </c>
      <c r="D122" s="3">
        <v>28562524.77</v>
      </c>
      <c r="F122" s="2">
        <v>54</v>
      </c>
      <c r="G122" s="3">
        <v>39.203398999999997</v>
      </c>
      <c r="H122" s="12">
        <v>-1</v>
      </c>
      <c r="I122" s="3">
        <f t="shared" si="16"/>
        <v>15652899.354603957</v>
      </c>
      <c r="J122" s="3">
        <f t="shared" si="17"/>
        <v>1.2002836496015288</v>
      </c>
      <c r="K122" s="1">
        <f t="shared" si="18"/>
        <v>18787919.164189454</v>
      </c>
      <c r="L122" s="3"/>
      <c r="M122" s="4">
        <f t="shared" si="19"/>
        <v>18787919.164189454</v>
      </c>
      <c r="N122" s="4">
        <f t="shared" si="20"/>
        <v>0</v>
      </c>
    </row>
    <row r="123" spans="1:14" ht="15.65" outlineLevel="2">
      <c r="A123" s="5">
        <v>364</v>
      </c>
      <c r="B123" s="6">
        <v>1996</v>
      </c>
      <c r="C123" s="3">
        <v>23548568.949999999</v>
      </c>
      <c r="D123" s="3">
        <v>23548568.949999999</v>
      </c>
      <c r="F123" s="2">
        <v>54</v>
      </c>
      <c r="G123" s="3">
        <v>38.618194000000003</v>
      </c>
      <c r="H123" s="12">
        <v>-1</v>
      </c>
      <c r="I123" s="3">
        <f t="shared" si="16"/>
        <v>13415537.746908281</v>
      </c>
      <c r="J123" s="3">
        <f t="shared" si="17"/>
        <v>1.2002836496015288</v>
      </c>
      <c r="K123" s="1">
        <f t="shared" si="18"/>
        <v>16102450.608226143</v>
      </c>
      <c r="L123" s="3"/>
      <c r="M123" s="4">
        <f t="shared" si="19"/>
        <v>16102450.608226143</v>
      </c>
      <c r="N123" s="4">
        <f t="shared" si="20"/>
        <v>0</v>
      </c>
    </row>
    <row r="124" spans="1:14" ht="15.65" outlineLevel="2">
      <c r="A124" s="5">
        <v>364</v>
      </c>
      <c r="B124" s="6">
        <v>1995</v>
      </c>
      <c r="C124" s="3">
        <v>22476594.649999999</v>
      </c>
      <c r="D124" s="3">
        <v>22476594.649999999</v>
      </c>
      <c r="F124" s="2">
        <v>54</v>
      </c>
      <c r="G124" s="3">
        <v>38.035128</v>
      </c>
      <c r="H124" s="12">
        <v>-1</v>
      </c>
      <c r="I124" s="3">
        <f t="shared" si="16"/>
        <v>13290220.614190178</v>
      </c>
      <c r="J124" s="3">
        <f t="shared" si="17"/>
        <v>1.2002836496015288</v>
      </c>
      <c r="K124" s="1">
        <f t="shared" si="18"/>
        <v>15952034.502809659</v>
      </c>
      <c r="L124" s="3"/>
      <c r="M124" s="4">
        <f t="shared" si="19"/>
        <v>15952034.502809659</v>
      </c>
      <c r="N124" s="4">
        <f t="shared" si="20"/>
        <v>0</v>
      </c>
    </row>
    <row r="125" spans="1:14" ht="15.65" outlineLevel="2">
      <c r="A125" s="5">
        <v>364</v>
      </c>
      <c r="B125" s="6">
        <v>1994</v>
      </c>
      <c r="C125" s="3">
        <v>38329149.009999998</v>
      </c>
      <c r="D125" s="3">
        <v>38329149.009999998</v>
      </c>
      <c r="F125" s="2">
        <v>54</v>
      </c>
      <c r="G125" s="3">
        <v>37.454442</v>
      </c>
      <c r="H125" s="12">
        <v>-1</v>
      </c>
      <c r="I125" s="3">
        <f t="shared" si="16"/>
        <v>23488042.89020732</v>
      </c>
      <c r="J125" s="3">
        <f t="shared" si="17"/>
        <v>1.2002836496015288</v>
      </c>
      <c r="K125" s="1">
        <f t="shared" si="18"/>
        <v>28192313.842255283</v>
      </c>
      <c r="L125" s="3"/>
      <c r="M125" s="4">
        <f t="shared" si="19"/>
        <v>28192313.842255283</v>
      </c>
      <c r="N125" s="4">
        <f t="shared" si="20"/>
        <v>0</v>
      </c>
    </row>
    <row r="126" spans="1:14" ht="15.65" outlineLevel="2">
      <c r="A126" s="5">
        <v>364</v>
      </c>
      <c r="B126" s="6">
        <v>1993</v>
      </c>
      <c r="C126" s="3">
        <v>16543670.130000001</v>
      </c>
      <c r="D126" s="3">
        <v>16543670.130000001</v>
      </c>
      <c r="F126" s="2">
        <v>54</v>
      </c>
      <c r="G126" s="3">
        <v>36.876286</v>
      </c>
      <c r="H126" s="12">
        <v>-1</v>
      </c>
      <c r="I126" s="3">
        <f t="shared" si="16"/>
        <v>10492187.993202327</v>
      </c>
      <c r="J126" s="3">
        <f t="shared" si="17"/>
        <v>1.2002836496015288</v>
      </c>
      <c r="K126" s="1">
        <f t="shared" si="18"/>
        <v>12593601.696786229</v>
      </c>
      <c r="L126" s="3"/>
      <c r="M126" s="4">
        <f t="shared" si="19"/>
        <v>12593601.696786229</v>
      </c>
      <c r="N126" s="4">
        <f t="shared" si="20"/>
        <v>0</v>
      </c>
    </row>
    <row r="127" spans="1:14" ht="15.65" outlineLevel="2">
      <c r="A127" s="5">
        <v>364</v>
      </c>
      <c r="B127" s="6">
        <v>1992</v>
      </c>
      <c r="C127" s="3">
        <v>14839094.369999999</v>
      </c>
      <c r="D127" s="3">
        <v>14839094.369999999</v>
      </c>
      <c r="F127" s="2">
        <v>54</v>
      </c>
      <c r="G127" s="3">
        <v>36.300714999999997</v>
      </c>
      <c r="H127" s="12">
        <v>-1</v>
      </c>
      <c r="I127" s="3">
        <f t="shared" si="16"/>
        <v>9727457.792463908</v>
      </c>
      <c r="J127" s="3">
        <f t="shared" si="17"/>
        <v>1.2002836496015288</v>
      </c>
      <c r="K127" s="1">
        <f t="shared" si="18"/>
        <v>11675708.54048341</v>
      </c>
      <c r="L127" s="3"/>
      <c r="M127" s="4">
        <f t="shared" si="19"/>
        <v>11675708.54048341</v>
      </c>
      <c r="N127" s="4">
        <f t="shared" si="20"/>
        <v>0</v>
      </c>
    </row>
    <row r="128" spans="1:14" ht="15.65" outlineLevel="2">
      <c r="A128" s="5">
        <v>364</v>
      </c>
      <c r="B128" s="6">
        <v>1991</v>
      </c>
      <c r="C128" s="3">
        <v>8880114.5800000001</v>
      </c>
      <c r="D128" s="3">
        <v>8880114.5800000001</v>
      </c>
      <c r="F128" s="2">
        <v>54</v>
      </c>
      <c r="G128" s="3">
        <v>35.727870000000003</v>
      </c>
      <c r="H128" s="12">
        <v>-1</v>
      </c>
      <c r="I128" s="3">
        <f t="shared" si="16"/>
        <v>6009578.0748390881</v>
      </c>
      <c r="J128" s="3">
        <f t="shared" si="17"/>
        <v>1.2002836496015288</v>
      </c>
      <c r="K128" s="1">
        <f t="shared" si="18"/>
        <v>7213198.3042331897</v>
      </c>
      <c r="L128" s="3"/>
      <c r="M128" s="4">
        <f t="shared" si="19"/>
        <v>7213198.3042331897</v>
      </c>
      <c r="N128" s="4">
        <f t="shared" si="20"/>
        <v>0</v>
      </c>
    </row>
    <row r="129" spans="1:14" ht="15.65" outlineLevel="2">
      <c r="A129" s="5">
        <v>364</v>
      </c>
      <c r="B129" s="6">
        <v>1990</v>
      </c>
      <c r="C129" s="3">
        <v>41239999.350000001</v>
      </c>
      <c r="D129" s="3">
        <v>41239999.350000001</v>
      </c>
      <c r="F129" s="2">
        <v>54</v>
      </c>
      <c r="G129" s="3">
        <v>35.157891999999997</v>
      </c>
      <c r="H129" s="12">
        <v>-1</v>
      </c>
      <c r="I129" s="3">
        <f t="shared" si="16"/>
        <v>28779574.876764078</v>
      </c>
      <c r="J129" s="3">
        <f t="shared" si="17"/>
        <v>1.2002836496015288</v>
      </c>
      <c r="K129" s="1">
        <f t="shared" si="18"/>
        <v>34543653.167062856</v>
      </c>
      <c r="L129" s="3"/>
      <c r="M129" s="4">
        <f t="shared" si="19"/>
        <v>34543653.167062856</v>
      </c>
      <c r="N129" s="4">
        <f t="shared" si="20"/>
        <v>0</v>
      </c>
    </row>
    <row r="130" spans="1:14" ht="15.65" outlineLevel="2">
      <c r="A130" s="5">
        <v>364</v>
      </c>
      <c r="B130" s="6">
        <v>1989</v>
      </c>
      <c r="C130" s="3">
        <v>20686392.620000001</v>
      </c>
      <c r="D130" s="3">
        <v>20686392.620000001</v>
      </c>
      <c r="F130" s="2">
        <v>54</v>
      </c>
      <c r="G130" s="3">
        <v>34.590907999999999</v>
      </c>
      <c r="H130" s="12">
        <v>-1</v>
      </c>
      <c r="I130" s="3">
        <f t="shared" si="21" ref="I130:I161">+C130*(1-H130)*(1-G130/F130)</f>
        <v>14870522.129988927</v>
      </c>
      <c r="J130" s="3">
        <f t="shared" si="22" ref="J130:J161">$J$189</f>
        <v>1.2002836496015288</v>
      </c>
      <c r="K130" s="1">
        <f t="shared" si="23" ref="K130:K161">IF((C130*(1-H130)-I130*J130)&lt;0,C130*(1-H130),I130*J130)</f>
        <v>17848844.57366341</v>
      </c>
      <c r="L130" s="3"/>
      <c r="M130" s="4">
        <f t="shared" si="24" ref="M130:M161">+K130/D130*C130</f>
        <v>17848844.57366341</v>
      </c>
      <c r="N130" s="4">
        <f t="shared" si="25" ref="N130:N161">+E130/C130*K130</f>
        <v>0</v>
      </c>
    </row>
    <row r="131" spans="1:14" ht="15.65" outlineLevel="2">
      <c r="A131" s="5">
        <v>364</v>
      </c>
      <c r="B131" s="6">
        <v>1988</v>
      </c>
      <c r="C131" s="3">
        <v>24388031.57</v>
      </c>
      <c r="D131" s="3">
        <v>24388031.57</v>
      </c>
      <c r="F131" s="2">
        <v>54</v>
      </c>
      <c r="G131" s="3">
        <v>34.027051</v>
      </c>
      <c r="H131" s="12">
        <v>-1</v>
      </c>
      <c r="I131" s="3">
        <f t="shared" si="21"/>
        <v>18040774.472518519</v>
      </c>
      <c r="J131" s="3">
        <f t="shared" si="22"/>
        <v>1.2002836496015288</v>
      </c>
      <c r="K131" s="1">
        <f t="shared" si="23"/>
        <v>21654046.625512622</v>
      </c>
      <c r="L131" s="3"/>
      <c r="M131" s="4">
        <f t="shared" si="24"/>
        <v>21654046.625512622</v>
      </c>
      <c r="N131" s="4">
        <f t="shared" si="25"/>
        <v>0</v>
      </c>
    </row>
    <row r="132" spans="1:14" ht="15.65" outlineLevel="2">
      <c r="A132" s="5">
        <v>364</v>
      </c>
      <c r="B132" s="6">
        <v>1987</v>
      </c>
      <c r="C132" s="3">
        <v>25679612.809999999</v>
      </c>
      <c r="D132" s="3">
        <v>25679612.809999999</v>
      </c>
      <c r="F132" s="2">
        <v>54</v>
      </c>
      <c r="G132" s="3">
        <v>33.466602999999999</v>
      </c>
      <c r="H132" s="12">
        <v>-1</v>
      </c>
      <c r="I132" s="3">
        <f t="shared" si="21"/>
        <v>19529247.579037614</v>
      </c>
      <c r="J132" s="3">
        <f t="shared" si="22"/>
        <v>1.2002836496015288</v>
      </c>
      <c r="K132" s="1">
        <f t="shared" si="23"/>
        <v>23440636.558139089</v>
      </c>
      <c r="L132" s="3"/>
      <c r="M132" s="4">
        <f t="shared" si="24"/>
        <v>23440636.558139089</v>
      </c>
      <c r="N132" s="4">
        <f t="shared" si="25"/>
        <v>0</v>
      </c>
    </row>
    <row r="133" spans="1:14" ht="15.65" outlineLevel="2">
      <c r="A133" s="5">
        <v>364</v>
      </c>
      <c r="B133" s="6">
        <v>1986</v>
      </c>
      <c r="C133" s="3">
        <v>35079977.090000004</v>
      </c>
      <c r="D133" s="3">
        <v>35079977.090000004</v>
      </c>
      <c r="F133" s="2">
        <v>54</v>
      </c>
      <c r="G133" s="3">
        <v>32.909578000000003</v>
      </c>
      <c r="H133" s="12">
        <v>-1</v>
      </c>
      <c r="I133" s="3">
        <f t="shared" si="21"/>
        <v>27401908.169571549</v>
      </c>
      <c r="J133" s="3">
        <f t="shared" si="22"/>
        <v>1.2002836496015288</v>
      </c>
      <c r="K133" s="1">
        <f t="shared" si="23"/>
        <v>32890062.343819287</v>
      </c>
      <c r="L133" s="3"/>
      <c r="M133" s="4">
        <f t="shared" si="24"/>
        <v>32890062.343819287</v>
      </c>
      <c r="N133" s="4">
        <f t="shared" si="25"/>
        <v>0</v>
      </c>
    </row>
    <row r="134" spans="1:14" ht="15.65" outlineLevel="2">
      <c r="A134" s="5">
        <v>364</v>
      </c>
      <c r="B134" s="6">
        <v>1985</v>
      </c>
      <c r="C134" s="3">
        <v>39368025.579999998</v>
      </c>
      <c r="D134" s="3">
        <v>39368025.579999998</v>
      </c>
      <c r="F134" s="2">
        <v>54</v>
      </c>
      <c r="G134" s="3">
        <v>32.35604</v>
      </c>
      <c r="H134" s="12">
        <v>-1</v>
      </c>
      <c r="I134" s="3">
        <f t="shared" si="21"/>
        <v>31558517.441944327</v>
      </c>
      <c r="J134" s="3">
        <f t="shared" si="22"/>
        <v>1.2002836496015288</v>
      </c>
      <c r="K134" s="1">
        <f t="shared" si="23"/>
        <v>37879172.491230436</v>
      </c>
      <c r="L134" s="3"/>
      <c r="M134" s="4">
        <f t="shared" si="24"/>
        <v>37879172.491230436</v>
      </c>
      <c r="N134" s="4">
        <f t="shared" si="25"/>
        <v>0</v>
      </c>
    </row>
    <row r="135" spans="1:14" ht="15.65" outlineLevel="2">
      <c r="A135" s="5">
        <v>364</v>
      </c>
      <c r="B135" s="6">
        <v>1984</v>
      </c>
      <c r="C135" s="3">
        <v>36683419.789999999</v>
      </c>
      <c r="D135" s="3">
        <v>36683419.789999999</v>
      </c>
      <c r="F135" s="2">
        <v>54</v>
      </c>
      <c r="G135" s="3">
        <v>31.806090000000001</v>
      </c>
      <c r="H135" s="12">
        <v>-1</v>
      </c>
      <c r="I135" s="3">
        <f t="shared" si="21"/>
        <v>30153648.789314035</v>
      </c>
      <c r="J135" s="3">
        <f t="shared" si="22"/>
        <v>1.2002836496015288</v>
      </c>
      <c r="K135" s="1">
        <f t="shared" si="23"/>
        <v>36192931.61764057</v>
      </c>
      <c r="L135" s="3"/>
      <c r="M135" s="4">
        <f t="shared" si="24"/>
        <v>36192931.61764057</v>
      </c>
      <c r="N135" s="4">
        <f t="shared" si="25"/>
        <v>0</v>
      </c>
    </row>
    <row r="136" spans="1:14" ht="15.65" outlineLevel="2">
      <c r="A136" s="5">
        <v>364</v>
      </c>
      <c r="B136" s="6">
        <v>1983</v>
      </c>
      <c r="C136" s="3">
        <v>32869103.539999999</v>
      </c>
      <c r="D136" s="3">
        <v>32869103.539999999</v>
      </c>
      <c r="F136" s="2">
        <v>54</v>
      </c>
      <c r="G136" s="3">
        <v>31.259826</v>
      </c>
      <c r="H136" s="12">
        <v>-1</v>
      </c>
      <c r="I136" s="3">
        <f t="shared" si="21"/>
        <v>27683301.249022815</v>
      </c>
      <c r="J136" s="3">
        <f t="shared" si="22"/>
        <v>1.2002836496015288</v>
      </c>
      <c r="K136" s="1">
        <f t="shared" si="23"/>
        <v>33227813.856195666</v>
      </c>
      <c r="L136" s="3"/>
      <c r="M136" s="4">
        <f t="shared" si="24"/>
        <v>33227813.856195666</v>
      </c>
      <c r="N136" s="4">
        <f t="shared" si="25"/>
        <v>0</v>
      </c>
    </row>
    <row r="137" spans="1:14" ht="15.65" outlineLevel="2">
      <c r="A137" s="5">
        <v>364</v>
      </c>
      <c r="B137" s="6">
        <v>1982</v>
      </c>
      <c r="C137" s="3">
        <v>26424767.68</v>
      </c>
      <c r="D137" s="3">
        <v>26424767.68</v>
      </c>
      <c r="F137" s="2">
        <v>54</v>
      </c>
      <c r="G137" s="3">
        <v>30.717334999999999</v>
      </c>
      <c r="H137" s="12">
        <v>-1</v>
      </c>
      <c r="I137" s="3">
        <f t="shared" si="21"/>
        <v>22786630.13319508</v>
      </c>
      <c r="J137" s="3">
        <f t="shared" si="22"/>
        <v>1.2002836496015288</v>
      </c>
      <c r="K137" s="1">
        <f t="shared" si="23"/>
        <v>27350419.578391559</v>
      </c>
      <c r="L137" s="3"/>
      <c r="M137" s="4">
        <f t="shared" si="24"/>
        <v>27350419.578391559</v>
      </c>
      <c r="N137" s="4">
        <f t="shared" si="25"/>
        <v>0</v>
      </c>
    </row>
    <row r="138" spans="1:14" ht="15.65" outlineLevel="2">
      <c r="A138" s="5">
        <v>364</v>
      </c>
      <c r="B138" s="6">
        <v>1981</v>
      </c>
      <c r="C138" s="3">
        <v>20421546.34</v>
      </c>
      <c r="D138" s="3">
        <v>20421546.34</v>
      </c>
      <c r="F138" s="2">
        <v>54</v>
      </c>
      <c r="G138" s="3">
        <v>30.178695999999999</v>
      </c>
      <c r="H138" s="12">
        <v>-1</v>
      </c>
      <c r="I138" s="3">
        <f t="shared" si="21"/>
        <v>18017328.278341759</v>
      </c>
      <c r="J138" s="3">
        <f t="shared" si="22"/>
        <v>1.2002836496015288</v>
      </c>
      <c r="K138" s="1">
        <f t="shared" si="23"/>
        <v>21625904.541996874</v>
      </c>
      <c r="L138" s="3"/>
      <c r="M138" s="4">
        <f t="shared" si="24"/>
        <v>21625904.541996874</v>
      </c>
      <c r="N138" s="4">
        <f t="shared" si="25"/>
        <v>0</v>
      </c>
    </row>
    <row r="139" spans="1:14" ht="15.65" outlineLevel="2">
      <c r="A139" s="5">
        <v>364</v>
      </c>
      <c r="B139" s="6">
        <v>1980</v>
      </c>
      <c r="C139" s="3">
        <v>16474487.449999999</v>
      </c>
      <c r="D139" s="3">
        <v>16474487.449999999</v>
      </c>
      <c r="F139" s="2">
        <v>54</v>
      </c>
      <c r="G139" s="3">
        <v>29.644214000000002</v>
      </c>
      <c r="H139" s="12">
        <v>-1</v>
      </c>
      <c r="I139" s="3">
        <f t="shared" si="21"/>
        <v>14861077.436736504</v>
      </c>
      <c r="J139" s="3">
        <f t="shared" si="22"/>
        <v>1.2002836496015288</v>
      </c>
      <c r="K139" s="1">
        <f t="shared" si="23"/>
        <v>17837508.262777023</v>
      </c>
      <c r="L139" s="3"/>
      <c r="M139" s="4">
        <f t="shared" si="24"/>
        <v>17837508.262777023</v>
      </c>
      <c r="N139" s="4">
        <f t="shared" si="25"/>
        <v>0</v>
      </c>
    </row>
    <row r="140" spans="1:14" ht="15.65" outlineLevel="2">
      <c r="A140" s="5">
        <v>364</v>
      </c>
      <c r="B140" s="6">
        <v>1979</v>
      </c>
      <c r="C140" s="3">
        <v>15713297.529999999</v>
      </c>
      <c r="D140" s="3">
        <v>15713297.529999999</v>
      </c>
      <c r="F140" s="2">
        <v>54</v>
      </c>
      <c r="G140" s="3">
        <v>29.113734999999998</v>
      </c>
      <c r="H140" s="12">
        <v>-1</v>
      </c>
      <c r="I140" s="3">
        <f t="shared" si="21"/>
        <v>14483158.753904646</v>
      </c>
      <c r="J140" s="3">
        <f t="shared" si="22"/>
        <v>1.2002836496015288</v>
      </c>
      <c r="K140" s="1">
        <f t="shared" si="23"/>
        <v>17383898.646894999</v>
      </c>
      <c r="L140" s="3"/>
      <c r="M140" s="4">
        <f t="shared" si="24"/>
        <v>17383898.646894999</v>
      </c>
      <c r="N140" s="4">
        <f t="shared" si="25"/>
        <v>0</v>
      </c>
    </row>
    <row r="141" spans="1:14" ht="15.65" outlineLevel="2">
      <c r="A141" s="5">
        <v>364</v>
      </c>
      <c r="B141" s="6">
        <v>1978</v>
      </c>
      <c r="C141" s="3">
        <v>13865055.1</v>
      </c>
      <c r="D141" s="3">
        <v>13865055.1</v>
      </c>
      <c r="F141" s="2">
        <v>54</v>
      </c>
      <c r="G141" s="3">
        <v>28.587319999999998</v>
      </c>
      <c r="H141" s="12">
        <v>-1</v>
      </c>
      <c r="I141" s="3">
        <f t="shared" si="21"/>
        <v>13049933.645876594</v>
      </c>
      <c r="J141" s="3">
        <f t="shared" si="22"/>
        <v>1.2002836496015288</v>
      </c>
      <c r="K141" s="1">
        <f t="shared" si="23"/>
        <v>15663621.983530542</v>
      </c>
      <c r="L141" s="3"/>
      <c r="M141" s="4">
        <f t="shared" si="24"/>
        <v>15663621.983530542</v>
      </c>
      <c r="N141" s="4">
        <f t="shared" si="25"/>
        <v>0</v>
      </c>
    </row>
    <row r="142" spans="1:14" ht="15.65" outlineLevel="2">
      <c r="A142" s="5">
        <v>364</v>
      </c>
      <c r="B142" s="6">
        <v>1977</v>
      </c>
      <c r="C142" s="3">
        <v>11975919.289999999</v>
      </c>
      <c r="D142" s="3">
        <v>11975919.289999999</v>
      </c>
      <c r="F142" s="2">
        <v>54</v>
      </c>
      <c r="G142" s="3">
        <v>28.065020000000001</v>
      </c>
      <c r="H142" s="12">
        <v>-1</v>
      </c>
      <c r="I142" s="3">
        <f t="shared" si="21"/>
        <v>11503526.935843118</v>
      </c>
      <c r="J142" s="3">
        <f t="shared" si="22"/>
        <v>1.2002836496015288</v>
      </c>
      <c r="K142" s="1">
        <f t="shared" si="23"/>
        <v>13807495.293843269</v>
      </c>
      <c r="L142" s="3"/>
      <c r="M142" s="4">
        <f t="shared" si="24"/>
        <v>13807495.293843268</v>
      </c>
      <c r="N142" s="4">
        <f t="shared" si="25"/>
        <v>0</v>
      </c>
    </row>
    <row r="143" spans="1:14" ht="15.65" outlineLevel="2">
      <c r="A143" s="5">
        <v>364</v>
      </c>
      <c r="B143" s="6">
        <v>1976</v>
      </c>
      <c r="C143" s="3">
        <v>9650725.0800000001</v>
      </c>
      <c r="D143" s="3">
        <v>9650725.0800000001</v>
      </c>
      <c r="F143" s="2">
        <v>54</v>
      </c>
      <c r="G143" s="3">
        <v>27.546880999999999</v>
      </c>
      <c r="H143" s="12">
        <v>-1</v>
      </c>
      <c r="I143" s="3">
        <f t="shared" si="21"/>
        <v>9455251.0732416511</v>
      </c>
      <c r="J143" s="3">
        <f t="shared" si="22"/>
        <v>1.2002836496015288</v>
      </c>
      <c r="K143" s="1">
        <f t="shared" si="23"/>
        <v>11348983.266089261</v>
      </c>
      <c r="L143" s="3"/>
      <c r="M143" s="4">
        <f t="shared" si="24"/>
        <v>11348983.266089261</v>
      </c>
      <c r="N143" s="4">
        <f t="shared" si="25"/>
        <v>0</v>
      </c>
    </row>
    <row r="144" spans="1:14" ht="15.65" outlineLevel="2">
      <c r="A144" s="5">
        <v>364</v>
      </c>
      <c r="B144" s="6">
        <v>1975</v>
      </c>
      <c r="C144" s="3">
        <v>2765990.6400000001</v>
      </c>
      <c r="D144" s="3">
        <v>2765990.6400000001</v>
      </c>
      <c r="F144" s="2">
        <v>54</v>
      </c>
      <c r="G144" s="3">
        <v>27.032938999999999</v>
      </c>
      <c r="H144" s="12">
        <v>-1</v>
      </c>
      <c r="I144" s="3">
        <f t="shared" si="21"/>
        <v>2762616.2338632978</v>
      </c>
      <c r="J144" s="3">
        <f t="shared" si="22"/>
        <v>1.2002836496015288</v>
      </c>
      <c r="K144" s="1">
        <f t="shared" si="23"/>
        <v>3315923.0956298695</v>
      </c>
      <c r="L144" s="3"/>
      <c r="M144" s="4">
        <f t="shared" si="24"/>
        <v>3315923.0956298695</v>
      </c>
      <c r="N144" s="4">
        <f t="shared" si="25"/>
        <v>0</v>
      </c>
    </row>
    <row r="145" spans="1:14" ht="15.65" outlineLevel="2">
      <c r="A145" s="5">
        <v>364</v>
      </c>
      <c r="B145" s="6">
        <v>1974</v>
      </c>
      <c r="C145" s="3">
        <v>2744561.7599999998</v>
      </c>
      <c r="D145" s="3">
        <v>2744561.7599999998</v>
      </c>
      <c r="F145" s="2">
        <v>54</v>
      </c>
      <c r="G145" s="3">
        <v>26.523277</v>
      </c>
      <c r="H145" s="12">
        <v>-1</v>
      </c>
      <c r="I145" s="3">
        <f t="shared" si="21"/>
        <v>2793020.860589351</v>
      </c>
      <c r="J145" s="3">
        <f t="shared" si="22"/>
        <v>1.2002836496015288</v>
      </c>
      <c r="K145" s="1">
        <f t="shared" si="23"/>
        <v>3352417.2719613891</v>
      </c>
      <c r="L145" s="3"/>
      <c r="M145" s="4">
        <f t="shared" si="24"/>
        <v>3352417.2719613891</v>
      </c>
      <c r="N145" s="4">
        <f t="shared" si="25"/>
        <v>0</v>
      </c>
    </row>
    <row r="146" spans="1:14" ht="15.65" outlineLevel="2">
      <c r="A146" s="5">
        <v>364</v>
      </c>
      <c r="B146" s="6">
        <v>1973</v>
      </c>
      <c r="C146" s="3">
        <v>2688428.5899999999</v>
      </c>
      <c r="D146" s="3">
        <v>2688428.5899999999</v>
      </c>
      <c r="F146" s="2">
        <v>54</v>
      </c>
      <c r="G146" s="3">
        <v>26.018018999999999</v>
      </c>
      <c r="H146" s="12">
        <v>-1</v>
      </c>
      <c r="I146" s="3">
        <f t="shared" si="21"/>
        <v>2786205.8416754371</v>
      </c>
      <c r="J146" s="3">
        <f t="shared" si="22"/>
        <v>1.2002836496015288</v>
      </c>
      <c r="K146" s="1">
        <f t="shared" si="23"/>
        <v>3344237.3161872928</v>
      </c>
      <c r="L146" s="3"/>
      <c r="M146" s="4">
        <f t="shared" si="24"/>
        <v>3344237.3161872928</v>
      </c>
      <c r="N146" s="4">
        <f t="shared" si="25"/>
        <v>0</v>
      </c>
    </row>
    <row r="147" spans="1:14" ht="15.65" outlineLevel="2">
      <c r="A147" s="5">
        <v>364</v>
      </c>
      <c r="B147" s="6">
        <v>1972</v>
      </c>
      <c r="C147" s="3">
        <v>2492481.77</v>
      </c>
      <c r="D147" s="3">
        <v>2492481.77</v>
      </c>
      <c r="F147" s="2">
        <v>54</v>
      </c>
      <c r="G147" s="3">
        <v>25.517029999999998</v>
      </c>
      <c r="H147" s="12">
        <v>-1</v>
      </c>
      <c r="I147" s="3">
        <f t="shared" si="21"/>
        <v>2629380.869646552</v>
      </c>
      <c r="J147" s="3">
        <f t="shared" si="22"/>
        <v>1.2002836496015288</v>
      </c>
      <c r="K147" s="1">
        <f t="shared" si="23"/>
        <v>3156002.8664118052</v>
      </c>
      <c r="L147" s="3"/>
      <c r="M147" s="4">
        <f t="shared" si="24"/>
        <v>3156002.8664118052</v>
      </c>
      <c r="N147" s="4">
        <f t="shared" si="25"/>
        <v>0</v>
      </c>
    </row>
    <row r="148" spans="1:14" ht="15.65" outlineLevel="2">
      <c r="A148" s="5">
        <v>364</v>
      </c>
      <c r="B148" s="6">
        <v>1971</v>
      </c>
      <c r="C148" s="3">
        <v>2176488.21</v>
      </c>
      <c r="D148" s="3">
        <v>2176488.21</v>
      </c>
      <c r="F148" s="2">
        <v>54</v>
      </c>
      <c r="G148" s="3">
        <v>25.020316000000001</v>
      </c>
      <c r="H148" s="12">
        <v>-1</v>
      </c>
      <c r="I148" s="3">
        <f t="shared" si="21"/>
        <v>2336071.8724268759</v>
      </c>
      <c r="J148" s="3">
        <f t="shared" si="22"/>
        <v>1.2002836496015288</v>
      </c>
      <c r="K148" s="1">
        <f t="shared" si="23"/>
        <v>2803948.8727680077</v>
      </c>
      <c r="L148" s="3"/>
      <c r="M148" s="4">
        <f t="shared" si="24"/>
        <v>2803948.8727680077</v>
      </c>
      <c r="N148" s="4">
        <f t="shared" si="25"/>
        <v>0</v>
      </c>
    </row>
    <row r="149" spans="1:14" ht="15.65" outlineLevel="2">
      <c r="A149" s="5">
        <v>364</v>
      </c>
      <c r="B149" s="6">
        <v>1970</v>
      </c>
      <c r="C149" s="3">
        <v>1943553.3799999999</v>
      </c>
      <c r="D149" s="3">
        <v>1943553.3799999999</v>
      </c>
      <c r="F149" s="2">
        <v>54</v>
      </c>
      <c r="G149" s="3">
        <v>24.527884</v>
      </c>
      <c r="H149" s="12">
        <v>-1</v>
      </c>
      <c r="I149" s="3">
        <f t="shared" si="21"/>
        <v>2121504.8395389658</v>
      </c>
      <c r="J149" s="3">
        <f t="shared" si="22"/>
        <v>1.2002836496015288</v>
      </c>
      <c r="K149" s="1">
        <f t="shared" si="23"/>
        <v>2546407.5714491354</v>
      </c>
      <c r="L149" s="3"/>
      <c r="M149" s="4">
        <f t="shared" si="24"/>
        <v>2546407.5714491354</v>
      </c>
      <c r="N149" s="4">
        <f t="shared" si="25"/>
        <v>0</v>
      </c>
    </row>
    <row r="150" spans="1:14" ht="15.65" outlineLevel="2">
      <c r="A150" s="5">
        <v>364</v>
      </c>
      <c r="B150" s="6">
        <v>1969</v>
      </c>
      <c r="C150" s="3">
        <v>1943984.8000000001</v>
      </c>
      <c r="D150" s="3">
        <v>1943984.8000000001</v>
      </c>
      <c r="F150" s="2">
        <v>54</v>
      </c>
      <c r="G150" s="3">
        <v>24.039731</v>
      </c>
      <c r="H150" s="12">
        <v>-1</v>
      </c>
      <c r="I150" s="3">
        <f t="shared" si="21"/>
        <v>2157122.5014781929</v>
      </c>
      <c r="J150" s="3">
        <f t="shared" si="22"/>
        <v>1.2002836496015288</v>
      </c>
      <c r="K150" s="1">
        <f t="shared" si="23"/>
        <v>2589158.8687118245</v>
      </c>
      <c r="L150" s="3"/>
      <c r="M150" s="4">
        <f t="shared" si="24"/>
        <v>2589158.8687118245</v>
      </c>
      <c r="N150" s="4">
        <f t="shared" si="25"/>
        <v>0</v>
      </c>
    </row>
    <row r="151" spans="1:14" ht="15.65" outlineLevel="2">
      <c r="A151" s="5">
        <v>364</v>
      </c>
      <c r="B151" s="6">
        <v>1968</v>
      </c>
      <c r="C151" s="3">
        <v>2191400.6299999999</v>
      </c>
      <c r="D151" s="3">
        <v>2191400.6299999999</v>
      </c>
      <c r="F151" s="2">
        <v>54</v>
      </c>
      <c r="G151" s="3">
        <v>23.555847</v>
      </c>
      <c r="H151" s="12">
        <v>-1</v>
      </c>
      <c r="I151" s="3">
        <f t="shared" si="21"/>
        <v>2470938.3727413476</v>
      </c>
      <c r="J151" s="3">
        <f t="shared" si="22"/>
        <v>1.2002836496015288</v>
      </c>
      <c r="K151" s="1">
        <f t="shared" si="23"/>
        <v>2965826.9279744476</v>
      </c>
      <c r="L151" s="3"/>
      <c r="M151" s="4">
        <f t="shared" si="24"/>
        <v>2965826.9279744471</v>
      </c>
      <c r="N151" s="4">
        <f t="shared" si="25"/>
        <v>0</v>
      </c>
    </row>
    <row r="152" spans="1:14" ht="15.65" outlineLevel="2">
      <c r="A152" s="5">
        <v>364</v>
      </c>
      <c r="B152" s="6">
        <v>1967</v>
      </c>
      <c r="C152" s="3">
        <v>4096740.73</v>
      </c>
      <c r="D152" s="3">
        <v>4096740.73</v>
      </c>
      <c r="F152" s="2">
        <v>54</v>
      </c>
      <c r="G152" s="3">
        <v>23.076293</v>
      </c>
      <c r="H152" s="12">
        <v>-1</v>
      </c>
      <c r="I152" s="3">
        <f t="shared" si="21"/>
        <v>4692089.2588698557</v>
      </c>
      <c r="J152" s="3">
        <f t="shared" si="22"/>
        <v>1.2002836496015288</v>
      </c>
      <c r="K152" s="1">
        <f t="shared" si="23"/>
        <v>5631838.019892443</v>
      </c>
      <c r="L152" s="3"/>
      <c r="M152" s="4">
        <f t="shared" si="24"/>
        <v>5631838.019892443</v>
      </c>
      <c r="N152" s="4">
        <f t="shared" si="25"/>
        <v>0</v>
      </c>
    </row>
    <row r="153" spans="1:14" ht="15.65" outlineLevel="2">
      <c r="A153" s="5">
        <v>364</v>
      </c>
      <c r="B153" s="6">
        <v>1966</v>
      </c>
      <c r="C153" s="3">
        <v>3398937.2000000002</v>
      </c>
      <c r="D153" s="3">
        <v>3398937.2000000002</v>
      </c>
      <c r="F153" s="2">
        <v>54</v>
      </c>
      <c r="G153" s="3">
        <v>22.601026999999998</v>
      </c>
      <c r="H153" s="12">
        <v>-1</v>
      </c>
      <c r="I153" s="3">
        <f t="shared" si="21"/>
        <v>3952708.7915368746</v>
      </c>
      <c r="J153" s="3">
        <f t="shared" si="22"/>
        <v>1.2002836496015288</v>
      </c>
      <c r="K153" s="1">
        <f t="shared" si="23"/>
        <v>4744371.734117928</v>
      </c>
      <c r="L153" s="3"/>
      <c r="M153" s="4">
        <f t="shared" si="24"/>
        <v>4744371.734117928</v>
      </c>
      <c r="N153" s="4">
        <f t="shared" si="25"/>
        <v>0</v>
      </c>
    </row>
    <row r="154" spans="1:14" ht="15.65" outlineLevel="2">
      <c r="A154" s="5">
        <v>364</v>
      </c>
      <c r="B154" s="6">
        <v>1965</v>
      </c>
      <c r="C154" s="3">
        <v>18093325.48</v>
      </c>
      <c r="D154" s="3">
        <v>18093325.48</v>
      </c>
      <c r="F154" s="2">
        <v>54</v>
      </c>
      <c r="G154" s="3">
        <v>22.129954000000001</v>
      </c>
      <c r="H154" s="12">
        <v>-1</v>
      </c>
      <c r="I154" s="3">
        <f t="shared" si="21"/>
        <v>21356856.123724893</v>
      </c>
      <c r="J154" s="3">
        <f t="shared" si="22"/>
        <v>1.2002836496015288</v>
      </c>
      <c r="K154" s="1">
        <f t="shared" si="23"/>
        <v>25634285.212199274</v>
      </c>
      <c r="L154" s="3"/>
      <c r="M154" s="4">
        <f t="shared" si="24"/>
        <v>25634285.212199274</v>
      </c>
      <c r="N154" s="4">
        <f t="shared" si="25"/>
        <v>0</v>
      </c>
    </row>
    <row r="155" spans="1:14" ht="15.65" outlineLevel="2">
      <c r="A155" s="5">
        <v>364</v>
      </c>
      <c r="B155" s="6">
        <v>1964</v>
      </c>
      <c r="C155" s="3">
        <v>34868081.140000001</v>
      </c>
      <c r="D155" s="3">
        <v>34868081.140000001</v>
      </c>
      <c r="F155" s="2">
        <v>54</v>
      </c>
      <c r="G155" s="3">
        <v>21.663038</v>
      </c>
      <c r="H155" s="12">
        <v>-1</v>
      </c>
      <c r="I155" s="3">
        <f t="shared" si="21"/>
        <v>41760289.438410982</v>
      </c>
      <c r="J155" s="3">
        <f t="shared" si="22"/>
        <v>1.2002836496015288</v>
      </c>
      <c r="K155" s="1">
        <f t="shared" si="23"/>
        <v>50124192.615552112</v>
      </c>
      <c r="L155" s="3"/>
      <c r="M155" s="4">
        <f t="shared" si="24"/>
        <v>50124192.615552112</v>
      </c>
      <c r="N155" s="4">
        <f t="shared" si="25"/>
        <v>0</v>
      </c>
    </row>
    <row r="156" spans="1:14" ht="15.65" outlineLevel="2">
      <c r="A156" s="5">
        <v>364</v>
      </c>
      <c r="B156" s="6">
        <v>1963</v>
      </c>
      <c r="C156" s="3">
        <v>16007868.9</v>
      </c>
      <c r="D156" s="3">
        <v>16007868.9</v>
      </c>
      <c r="F156" s="2">
        <v>54</v>
      </c>
      <c r="G156" s="3">
        <v>21.200237999999999</v>
      </c>
      <c r="H156" s="12">
        <v>-1</v>
      </c>
      <c r="I156" s="3">
        <f t="shared" si="21"/>
        <v>19446455.186933402</v>
      </c>
      <c r="J156" s="3">
        <f t="shared" si="22"/>
        <v>1.2002836496015288</v>
      </c>
      <c r="K156" s="1">
        <f t="shared" si="23"/>
        <v>23341262.203585003</v>
      </c>
      <c r="L156" s="3"/>
      <c r="M156" s="4">
        <f t="shared" si="24"/>
        <v>23341262.203585003</v>
      </c>
      <c r="N156" s="4">
        <f t="shared" si="25"/>
        <v>0</v>
      </c>
    </row>
    <row r="157" spans="1:14" ht="15.65" outlineLevel="2">
      <c r="A157" s="5">
        <v>364</v>
      </c>
      <c r="B157" s="6">
        <v>1962</v>
      </c>
      <c r="C157" s="3">
        <v>1599077.1599999999</v>
      </c>
      <c r="D157" s="3">
        <v>1599077.1599999999</v>
      </c>
      <c r="F157" s="2">
        <v>54</v>
      </c>
      <c r="G157" s="3">
        <v>20.741509000000001</v>
      </c>
      <c r="H157" s="12">
        <v>-1</v>
      </c>
      <c r="I157" s="3">
        <f t="shared" si="21"/>
        <v>1969736.7901542799</v>
      </c>
      <c r="J157" s="3">
        <f t="shared" si="22"/>
        <v>1.2002836496015288</v>
      </c>
      <c r="K157" s="1">
        <f t="shared" si="23"/>
        <v>2364242.8632407798</v>
      </c>
      <c r="L157" s="3"/>
      <c r="M157" s="4">
        <f t="shared" si="24"/>
        <v>2364242.8632407798</v>
      </c>
      <c r="N157" s="4">
        <f t="shared" si="25"/>
        <v>0</v>
      </c>
    </row>
    <row r="158" spans="1:14" ht="15.65" outlineLevel="2">
      <c r="A158" s="5">
        <v>364</v>
      </c>
      <c r="B158" s="6">
        <v>1961</v>
      </c>
      <c r="C158" s="3">
        <v>404759.95000000001</v>
      </c>
      <c r="D158" s="3">
        <v>404759.95000000001</v>
      </c>
      <c r="F158" s="2">
        <v>54</v>
      </c>
      <c r="G158" s="3">
        <v>20.286802000000002</v>
      </c>
      <c r="H158" s="12">
        <v>-1</v>
      </c>
      <c r="I158" s="3">
        <f t="shared" si="21"/>
        <v>505398.23469704075</v>
      </c>
      <c r="J158" s="3">
        <f t="shared" si="22"/>
        <v>1.2002836496015288</v>
      </c>
      <c r="K158" s="1">
        <f t="shared" si="23"/>
        <v>606621.23764433409</v>
      </c>
      <c r="L158" s="3"/>
      <c r="M158" s="4">
        <f t="shared" si="24"/>
        <v>606621.23764433409</v>
      </c>
      <c r="N158" s="4">
        <f t="shared" si="25"/>
        <v>0</v>
      </c>
    </row>
    <row r="159" spans="1:14" ht="15.65" outlineLevel="2">
      <c r="A159" s="5">
        <v>364</v>
      </c>
      <c r="B159" s="6">
        <v>1960</v>
      </c>
      <c r="C159" s="3">
        <v>182462.48999999999</v>
      </c>
      <c r="D159" s="3">
        <v>182462.48999999999</v>
      </c>
      <c r="F159" s="2">
        <v>54</v>
      </c>
      <c r="G159" s="3">
        <v>19.836092000000001</v>
      </c>
      <c r="H159" s="12">
        <v>-1</v>
      </c>
      <c r="I159" s="3">
        <f t="shared" si="21"/>
        <v>230875.24895595998</v>
      </c>
      <c r="J159" s="3">
        <f t="shared" si="22"/>
        <v>1.2002836496015288</v>
      </c>
      <c r="K159" s="1">
        <f t="shared" si="23"/>
        <v>277115.7864195212</v>
      </c>
      <c r="L159" s="3"/>
      <c r="M159" s="4">
        <f t="shared" si="24"/>
        <v>277115.7864195212</v>
      </c>
      <c r="N159" s="4">
        <f t="shared" si="25"/>
        <v>0</v>
      </c>
    </row>
    <row r="160" spans="1:14" ht="15.65" outlineLevel="2">
      <c r="A160" s="5">
        <v>364</v>
      </c>
      <c r="B160" s="6">
        <v>1959</v>
      </c>
      <c r="C160" s="3">
        <v>461164.37</v>
      </c>
      <c r="D160" s="3">
        <v>461164.37</v>
      </c>
      <c r="F160" s="2">
        <v>54</v>
      </c>
      <c r="G160" s="3">
        <v>19.38927</v>
      </c>
      <c r="H160" s="12">
        <v>-1</v>
      </c>
      <c r="I160" s="3">
        <f t="shared" si="21"/>
        <v>591156.87021074444</v>
      </c>
      <c r="J160" s="3">
        <f t="shared" si="22"/>
        <v>1.2002836496015288</v>
      </c>
      <c r="K160" s="1">
        <f t="shared" si="23"/>
        <v>709555.92566356959</v>
      </c>
      <c r="L160" s="3"/>
      <c r="M160" s="4">
        <f t="shared" si="24"/>
        <v>709555.92566356959</v>
      </c>
      <c r="N160" s="4">
        <f t="shared" si="25"/>
        <v>0</v>
      </c>
    </row>
    <row r="161" spans="1:14" ht="15.65" outlineLevel="2">
      <c r="A161" s="5">
        <v>364</v>
      </c>
      <c r="B161" s="6">
        <v>1958</v>
      </c>
      <c r="C161" s="3">
        <v>520327.26000000001</v>
      </c>
      <c r="D161" s="3">
        <v>520327.26000000001</v>
      </c>
      <c r="F161" s="2">
        <v>54</v>
      </c>
      <c r="G161" s="3">
        <v>18.946251</v>
      </c>
      <c r="H161" s="12">
        <v>-1</v>
      </c>
      <c r="I161" s="3">
        <f t="shared" si="21"/>
        <v>675534.11740362004</v>
      </c>
      <c r="J161" s="3">
        <f t="shared" si="22"/>
        <v>1.2002836496015288</v>
      </c>
      <c r="K161" s="1">
        <f t="shared" si="23"/>
        <v>810832.55586756463</v>
      </c>
      <c r="L161" s="3"/>
      <c r="M161" s="4">
        <f t="shared" si="24"/>
        <v>810832.55586756463</v>
      </c>
      <c r="N161" s="4">
        <f t="shared" si="25"/>
        <v>0</v>
      </c>
    </row>
    <row r="162" spans="1:14" ht="15.65" outlineLevel="2">
      <c r="A162" s="5">
        <v>364</v>
      </c>
      <c r="B162" s="6">
        <v>1957</v>
      </c>
      <c r="C162" s="3">
        <v>256903.72</v>
      </c>
      <c r="D162" s="3">
        <v>256903.72</v>
      </c>
      <c r="F162" s="2">
        <v>54</v>
      </c>
      <c r="G162" s="3">
        <v>18.506952999999999</v>
      </c>
      <c r="H162" s="12">
        <v>-1</v>
      </c>
      <c r="I162" s="3">
        <f t="shared" si="26" ref="I162:I188">+C162*(1-H162)*(1-G162/F162)</f>
        <v>337714.65957166074</v>
      </c>
      <c r="J162" s="3">
        <f t="shared" si="27" ref="J162:J188">$J$189</f>
        <v>1.2002836496015288</v>
      </c>
      <c r="K162" s="1">
        <f t="shared" si="28" ref="K162:K188">IF((C162*(1-H162)-I162*J162)&lt;0,C162*(1-H162),I162*J162)</f>
        <v>405353.38411461085</v>
      </c>
      <c r="L162" s="3"/>
      <c r="M162" s="4">
        <f t="shared" si="29" ref="M162:M188">+K162/D162*C162</f>
        <v>405353.38411461085</v>
      </c>
      <c r="N162" s="4">
        <f t="shared" si="30" ref="N162:N188">+E162/C162*K162</f>
        <v>0</v>
      </c>
    </row>
    <row r="163" spans="1:14" ht="15.65" outlineLevel="2">
      <c r="A163" s="5">
        <v>364</v>
      </c>
      <c r="B163" s="6">
        <v>1956</v>
      </c>
      <c r="C163" s="3">
        <v>219773.03</v>
      </c>
      <c r="D163" s="3">
        <v>219773.03</v>
      </c>
      <c r="F163" s="2">
        <v>54</v>
      </c>
      <c r="G163" s="3">
        <v>18.071300000000001</v>
      </c>
      <c r="H163" s="12">
        <v>-1</v>
      </c>
      <c r="I163" s="3">
        <f t="shared" si="26"/>
        <v>292450.34307262959</v>
      </c>
      <c r="J163" s="3">
        <f t="shared" si="27"/>
        <v>1.2002836496015288</v>
      </c>
      <c r="K163" s="1">
        <f t="shared" si="28"/>
        <v>351023.365110435</v>
      </c>
      <c r="L163" s="3"/>
      <c r="M163" s="4">
        <f t="shared" si="29"/>
        <v>351023.365110435</v>
      </c>
      <c r="N163" s="4">
        <f t="shared" si="30"/>
        <v>0</v>
      </c>
    </row>
    <row r="164" spans="1:14" ht="15.65" outlineLevel="2">
      <c r="A164" s="5">
        <v>364</v>
      </c>
      <c r="B164" s="6">
        <v>1955</v>
      </c>
      <c r="C164" s="3">
        <v>190739.39999999999</v>
      </c>
      <c r="D164" s="3">
        <v>190739.39999999999</v>
      </c>
      <c r="F164" s="2">
        <v>54</v>
      </c>
      <c r="G164" s="3">
        <v>17.639202999999998</v>
      </c>
      <c r="H164" s="12">
        <v>-1</v>
      </c>
      <c r="I164" s="3">
        <f t="shared" si="26"/>
        <v>256868.02234451109</v>
      </c>
      <c r="J164" s="3">
        <f t="shared" si="27"/>
        <v>1.2002836496015288</v>
      </c>
      <c r="K164" s="1">
        <f t="shared" si="28"/>
        <v>308314.4873255968</v>
      </c>
      <c r="L164" s="3"/>
      <c r="M164" s="4">
        <f t="shared" si="29"/>
        <v>308314.4873255968</v>
      </c>
      <c r="N164" s="4">
        <f t="shared" si="30"/>
        <v>0</v>
      </c>
    </row>
    <row r="165" spans="1:14" ht="15.65" outlineLevel="2">
      <c r="A165" s="5">
        <v>364</v>
      </c>
      <c r="B165" s="6">
        <v>1954</v>
      </c>
      <c r="C165" s="3">
        <v>195144.73999999999</v>
      </c>
      <c r="D165" s="3">
        <v>195144.73999999999</v>
      </c>
      <c r="F165" s="2">
        <v>54</v>
      </c>
      <c r="G165" s="3">
        <v>17.210569</v>
      </c>
      <c r="H165" s="12">
        <v>-1</v>
      </c>
      <c r="I165" s="3">
        <f t="shared" si="26"/>
        <v>265898.66471270146</v>
      </c>
      <c r="J165" s="3">
        <f t="shared" si="27"/>
        <v>1.2002836496015288</v>
      </c>
      <c r="K165" s="1">
        <f t="shared" si="28"/>
        <v>319153.81970553455</v>
      </c>
      <c r="L165" s="3"/>
      <c r="M165" s="4">
        <f t="shared" si="29"/>
        <v>319153.81970553455</v>
      </c>
      <c r="N165" s="4">
        <f t="shared" si="30"/>
        <v>0</v>
      </c>
    </row>
    <row r="166" spans="1:14" ht="15.65" outlineLevel="2">
      <c r="A166" s="5">
        <v>364</v>
      </c>
      <c r="B166" s="6">
        <v>1953</v>
      </c>
      <c r="C166" s="3">
        <v>168288.62</v>
      </c>
      <c r="D166" s="3">
        <v>168288.62</v>
      </c>
      <c r="F166" s="2">
        <v>54</v>
      </c>
      <c r="G166" s="3">
        <v>16.785207</v>
      </c>
      <c r="H166" s="12">
        <v>-1</v>
      </c>
      <c r="I166" s="3">
        <f t="shared" si="26"/>
        <v>231956.52435391332</v>
      </c>
      <c r="J166" s="3">
        <f t="shared" si="27"/>
        <v>1.2002836496015288</v>
      </c>
      <c r="K166" s="1">
        <f t="shared" si="28"/>
        <v>278413.62360040098</v>
      </c>
      <c r="L166" s="3"/>
      <c r="M166" s="4">
        <f t="shared" si="29"/>
        <v>278413.62360040098</v>
      </c>
      <c r="N166" s="4">
        <f t="shared" si="30"/>
        <v>0</v>
      </c>
    </row>
    <row r="167" spans="1:14" ht="15.65" outlineLevel="2">
      <c r="A167" s="5">
        <v>364</v>
      </c>
      <c r="B167" s="6">
        <v>1952</v>
      </c>
      <c r="C167" s="3">
        <v>181833.57999999999</v>
      </c>
      <c r="D167" s="3">
        <v>181833.57999999999</v>
      </c>
      <c r="F167" s="2">
        <v>54</v>
      </c>
      <c r="G167" s="3">
        <v>16.363047000000002</v>
      </c>
      <c r="H167" s="12">
        <v>-1</v>
      </c>
      <c r="I167" s="3">
        <f t="shared" si="26"/>
        <v>253468.95941784221</v>
      </c>
      <c r="J167" s="3">
        <f t="shared" si="27"/>
        <v>1.2002836496015288</v>
      </c>
      <c r="K167" s="1">
        <f t="shared" si="28"/>
        <v>304234.64767074946</v>
      </c>
      <c r="L167" s="3"/>
      <c r="M167" s="4">
        <f t="shared" si="29"/>
        <v>304234.64767074946</v>
      </c>
      <c r="N167" s="4">
        <f t="shared" si="30"/>
        <v>0</v>
      </c>
    </row>
    <row r="168" spans="1:14" ht="15.65" outlineLevel="2">
      <c r="A168" s="5">
        <v>364</v>
      </c>
      <c r="B168" s="6">
        <v>1951</v>
      </c>
      <c r="C168" s="3">
        <v>143529.42999999999</v>
      </c>
      <c r="D168" s="3">
        <v>143529.42999999999</v>
      </c>
      <c r="F168" s="2">
        <v>54</v>
      </c>
      <c r="G168" s="3">
        <v>15.943975999999999</v>
      </c>
      <c r="H168" s="12">
        <v>-1</v>
      </c>
      <c r="I168" s="3">
        <f t="shared" si="26"/>
        <v>202302.20121430815</v>
      </c>
      <c r="J168" s="3">
        <f t="shared" si="27"/>
        <v>1.2002836496015288</v>
      </c>
      <c r="K168" s="1">
        <f t="shared" si="28"/>
        <v>242820.02439593262</v>
      </c>
      <c r="L168" s="3"/>
      <c r="M168" s="4">
        <f t="shared" si="29"/>
        <v>242820.02439593262</v>
      </c>
      <c r="N168" s="4">
        <f t="shared" si="30"/>
        <v>0</v>
      </c>
    </row>
    <row r="169" spans="1:14" ht="15.65" outlineLevel="2">
      <c r="A169" s="5">
        <v>364</v>
      </c>
      <c r="B169" s="6">
        <v>1950</v>
      </c>
      <c r="C169" s="3">
        <v>76123.940000000002</v>
      </c>
      <c r="D169" s="3">
        <v>76123.940000000002</v>
      </c>
      <c r="F169" s="2">
        <v>54</v>
      </c>
      <c r="G169" s="3">
        <v>15.527862000000001</v>
      </c>
      <c r="H169" s="12">
        <v>-1</v>
      </c>
      <c r="I169" s="3">
        <f t="shared" si="26"/>
        <v>108468.54536236</v>
      </c>
      <c r="J169" s="3">
        <f t="shared" si="27"/>
        <v>1.2002836496015288</v>
      </c>
      <c r="K169" s="1">
        <f t="shared" si="28"/>
        <v>130193.02149450245</v>
      </c>
      <c r="L169" s="3"/>
      <c r="M169" s="4">
        <f t="shared" si="29"/>
        <v>130193.02149450245</v>
      </c>
      <c r="N169" s="4">
        <f t="shared" si="30"/>
        <v>0</v>
      </c>
    </row>
    <row r="170" spans="1:14" ht="15.65" outlineLevel="2">
      <c r="A170" s="5">
        <v>364</v>
      </c>
      <c r="B170" s="6">
        <v>1949</v>
      </c>
      <c r="C170" s="3">
        <v>88160.380000000005</v>
      </c>
      <c r="D170" s="3">
        <v>88160.380000000005</v>
      </c>
      <c r="F170" s="2">
        <v>54</v>
      </c>
      <c r="G170" s="3">
        <v>15.114573999999999</v>
      </c>
      <c r="H170" s="12">
        <v>-1</v>
      </c>
      <c r="I170" s="3">
        <f t="shared" si="26"/>
        <v>126968.66417118076</v>
      </c>
      <c r="J170" s="3">
        <f t="shared" si="27"/>
        <v>1.2002836496015288</v>
      </c>
      <c r="K170" s="1">
        <f t="shared" si="28"/>
        <v>152398.41161641572</v>
      </c>
      <c r="L170" s="3"/>
      <c r="M170" s="4">
        <f t="shared" si="29"/>
        <v>152398.41161641572</v>
      </c>
      <c r="N170" s="4">
        <f t="shared" si="30"/>
        <v>0</v>
      </c>
    </row>
    <row r="171" spans="1:14" ht="15.65" outlineLevel="2">
      <c r="A171" s="5">
        <v>364</v>
      </c>
      <c r="B171" s="6">
        <v>1948</v>
      </c>
      <c r="C171" s="3">
        <v>40954.220000000001</v>
      </c>
      <c r="D171" s="3">
        <v>40954.220000000001</v>
      </c>
      <c r="F171" s="2">
        <v>54</v>
      </c>
      <c r="G171" s="3">
        <v>14.70397</v>
      </c>
      <c r="H171" s="12">
        <v>-1</v>
      </c>
      <c r="I171" s="3">
        <f t="shared" si="26"/>
        <v>59605.120657281484</v>
      </c>
      <c r="J171" s="3">
        <f t="shared" si="27"/>
        <v>1.2002836496015288</v>
      </c>
      <c r="K171" s="1">
        <f t="shared" si="28"/>
        <v>71543.05175746129</v>
      </c>
      <c r="L171" s="3"/>
      <c r="M171" s="4">
        <f t="shared" si="29"/>
        <v>71543.05175746129</v>
      </c>
      <c r="N171" s="4">
        <f t="shared" si="30"/>
        <v>0</v>
      </c>
    </row>
    <row r="172" spans="1:14" ht="15.65" outlineLevel="2">
      <c r="A172" s="5">
        <v>364</v>
      </c>
      <c r="B172" s="6">
        <v>1947</v>
      </c>
      <c r="C172" s="3">
        <v>32866.580000000002</v>
      </c>
      <c r="D172" s="3">
        <v>32866.580000000002</v>
      </c>
      <c r="F172" s="2">
        <v>54</v>
      </c>
      <c r="G172" s="3">
        <v>14.295837000000001</v>
      </c>
      <c r="H172" s="12">
        <v>-1</v>
      </c>
      <c r="I172" s="3">
        <f t="shared" si="26"/>
        <v>48331.112947131114</v>
      </c>
      <c r="J172" s="3">
        <f t="shared" si="27"/>
        <v>1.2002836496015288</v>
      </c>
      <c r="K172" s="1">
        <f t="shared" si="28"/>
        <v>58011.044637486237</v>
      </c>
      <c r="L172" s="3"/>
      <c r="M172" s="4">
        <f t="shared" si="29"/>
        <v>58011.044637486237</v>
      </c>
      <c r="N172" s="4">
        <f t="shared" si="30"/>
        <v>0</v>
      </c>
    </row>
    <row r="173" spans="1:14" ht="15.65" outlineLevel="2">
      <c r="A173" s="5">
        <v>364</v>
      </c>
      <c r="B173" s="6">
        <v>1946</v>
      </c>
      <c r="C173" s="3">
        <v>4809.96</v>
      </c>
      <c r="D173" s="3">
        <v>4809.96</v>
      </c>
      <c r="F173" s="2">
        <v>54</v>
      </c>
      <c r="G173" s="3">
        <v>13.889858</v>
      </c>
      <c r="H173" s="12">
        <v>-1</v>
      </c>
      <c r="I173" s="3">
        <f t="shared" si="26"/>
        <v>7145.4880968266662</v>
      </c>
      <c r="J173" s="3">
        <f t="shared" si="27"/>
        <v>1.2002836496015288</v>
      </c>
      <c r="K173" s="1">
        <f t="shared" si="28"/>
        <v>8576.6125310433927</v>
      </c>
      <c r="L173" s="3"/>
      <c r="M173" s="4">
        <f t="shared" si="29"/>
        <v>8576.6125310433927</v>
      </c>
      <c r="N173" s="4">
        <f t="shared" si="30"/>
        <v>0</v>
      </c>
    </row>
    <row r="174" spans="1:14" ht="15.65" outlineLevel="2">
      <c r="A174" s="5">
        <v>364</v>
      </c>
      <c r="B174" s="6">
        <v>1945</v>
      </c>
      <c r="C174" s="3">
        <v>2102.5900000000001</v>
      </c>
      <c r="D174" s="3">
        <v>2102.5900000000001</v>
      </c>
      <c r="F174" s="2">
        <v>54</v>
      </c>
      <c r="G174" s="3">
        <v>13.485999</v>
      </c>
      <c r="H174" s="12">
        <v>-1</v>
      </c>
      <c r="I174" s="3">
        <f t="shared" si="26"/>
        <v>3154.9753097255557</v>
      </c>
      <c r="J174" s="3">
        <f t="shared" si="27"/>
        <v>1.2002836496015288</v>
      </c>
      <c r="K174" s="1">
        <f t="shared" si="28"/>
        <v>3786.8652791601035</v>
      </c>
      <c r="L174" s="3"/>
      <c r="M174" s="4">
        <f t="shared" si="29"/>
        <v>3786.8652791601035</v>
      </c>
      <c r="N174" s="4">
        <f t="shared" si="30"/>
        <v>0</v>
      </c>
    </row>
    <row r="175" spans="1:14" ht="15.65" outlineLevel="2">
      <c r="A175" s="5">
        <v>364</v>
      </c>
      <c r="B175" s="6">
        <v>1944</v>
      </c>
      <c r="C175" s="3">
        <v>7155.7200000000003</v>
      </c>
      <c r="D175" s="3">
        <v>7155.7200000000003</v>
      </c>
      <c r="F175" s="2">
        <v>54</v>
      </c>
      <c r="G175" s="3">
        <v>13.084070000000001</v>
      </c>
      <c r="H175" s="12">
        <v>-1</v>
      </c>
      <c r="I175" s="3">
        <f t="shared" si="26"/>
        <v>10843.812541466668</v>
      </c>
      <c r="J175" s="3">
        <f t="shared" si="27"/>
        <v>1.2002836496015288</v>
      </c>
      <c r="K175" s="1">
        <f t="shared" si="28"/>
        <v>13015.650892866443</v>
      </c>
      <c r="L175" s="3"/>
      <c r="M175" s="4">
        <f t="shared" si="29"/>
        <v>13015.650892866443</v>
      </c>
      <c r="N175" s="4">
        <f t="shared" si="30"/>
        <v>0</v>
      </c>
    </row>
    <row r="176" spans="1:14" ht="15.65" outlineLevel="2">
      <c r="A176" s="5">
        <v>364</v>
      </c>
      <c r="B176" s="6">
        <v>1943</v>
      </c>
      <c r="C176" s="3">
        <v>4863.8699999999999</v>
      </c>
      <c r="D176" s="3">
        <v>4863.8699999999999</v>
      </c>
      <c r="F176" s="2">
        <v>54</v>
      </c>
      <c r="G176" s="3">
        <v>12.683868</v>
      </c>
      <c r="H176" s="12">
        <v>-1</v>
      </c>
      <c r="I176" s="3">
        <f t="shared" si="26"/>
        <v>7442.8257389199989</v>
      </c>
      <c r="J176" s="3">
        <f t="shared" si="27"/>
        <v>1.2002836496015288</v>
      </c>
      <c r="K176" s="1">
        <f t="shared" si="28"/>
        <v>8933.5020412590911</v>
      </c>
      <c r="L176" s="3"/>
      <c r="M176" s="4">
        <f t="shared" si="29"/>
        <v>8933.5020412590911</v>
      </c>
      <c r="N176" s="4">
        <f t="shared" si="30"/>
        <v>0</v>
      </c>
    </row>
    <row r="177" spans="1:14" ht="15.65" outlineLevel="2">
      <c r="A177" s="5">
        <v>364</v>
      </c>
      <c r="B177" s="6">
        <v>1942</v>
      </c>
      <c r="C177" s="3">
        <v>5911.8800000000001</v>
      </c>
      <c r="D177" s="3">
        <v>5911.8800000000001</v>
      </c>
      <c r="F177" s="2">
        <v>54</v>
      </c>
      <c r="G177" s="3">
        <v>12.285176</v>
      </c>
      <c r="H177" s="12">
        <v>-1</v>
      </c>
      <c r="I177" s="3">
        <f t="shared" si="26"/>
        <v>9133.816063300741</v>
      </c>
      <c r="J177" s="3">
        <f t="shared" si="27"/>
        <v>1.2002836496015288</v>
      </c>
      <c r="K177" s="1">
        <f t="shared" si="28"/>
        <v>10963.170079247682</v>
      </c>
      <c r="L177" s="3"/>
      <c r="M177" s="4">
        <f t="shared" si="29"/>
        <v>10963.170079247682</v>
      </c>
      <c r="N177" s="4">
        <f t="shared" si="30"/>
        <v>0</v>
      </c>
    </row>
    <row r="178" spans="1:14" ht="15.65" outlineLevel="2">
      <c r="A178" s="5">
        <v>364</v>
      </c>
      <c r="B178" s="6">
        <v>1941</v>
      </c>
      <c r="C178" s="3">
        <v>9942.8700000000008</v>
      </c>
      <c r="D178" s="3">
        <v>9942.8700000000008</v>
      </c>
      <c r="F178" s="2">
        <v>54</v>
      </c>
      <c r="G178" s="3">
        <v>11.887772</v>
      </c>
      <c r="H178" s="12">
        <v>-1</v>
      </c>
      <c r="I178" s="3">
        <f t="shared" si="26"/>
        <v>15508.01512645778</v>
      </c>
      <c r="J178" s="3">
        <f t="shared" si="27"/>
        <v>1.2002836496015288</v>
      </c>
      <c r="K178" s="1">
        <f t="shared" si="28"/>
        <v>18614.016994060457</v>
      </c>
      <c r="L178" s="3"/>
      <c r="M178" s="4">
        <f t="shared" si="29"/>
        <v>18614.016994060457</v>
      </c>
      <c r="N178" s="4">
        <f t="shared" si="30"/>
        <v>0</v>
      </c>
    </row>
    <row r="179" spans="1:14" ht="15.65" outlineLevel="2">
      <c r="A179" s="5">
        <v>364</v>
      </c>
      <c r="B179" s="6">
        <v>1940</v>
      </c>
      <c r="C179" s="3">
        <v>296.30000000000001</v>
      </c>
      <c r="D179" s="3">
        <v>296.30000000000001</v>
      </c>
      <c r="F179" s="2">
        <v>54</v>
      </c>
      <c r="G179" s="3">
        <v>11.491168</v>
      </c>
      <c r="H179" s="12">
        <v>-1</v>
      </c>
      <c r="I179" s="3">
        <f t="shared" si="26"/>
        <v>466.49507117037035</v>
      </c>
      <c r="J179" s="3">
        <f t="shared" si="27"/>
        <v>1.2002836496015288</v>
      </c>
      <c r="K179" s="1">
        <f t="shared" si="28"/>
        <v>559.926406545497</v>
      </c>
      <c r="L179" s="3"/>
      <c r="M179" s="4">
        <f t="shared" si="29"/>
        <v>559.926406545497</v>
      </c>
      <c r="N179" s="4">
        <f t="shared" si="30"/>
        <v>0</v>
      </c>
    </row>
    <row r="180" spans="1:14" ht="15.65" outlineLevel="2">
      <c r="A180" s="5">
        <v>364</v>
      </c>
      <c r="B180" s="6">
        <v>1939</v>
      </c>
      <c r="C180" s="3">
        <v>88.780000000000001</v>
      </c>
      <c r="D180" s="3">
        <v>88.780000000000001</v>
      </c>
      <c r="F180" s="2">
        <v>54</v>
      </c>
      <c r="G180" s="3">
        <v>11.095036</v>
      </c>
      <c r="H180" s="12">
        <v>-1</v>
      </c>
      <c r="I180" s="3">
        <f t="shared" si="26"/>
        <v>141.07787792296296</v>
      </c>
      <c r="J180" s="3">
        <f t="shared" si="27"/>
        <v>1.2002836496015288</v>
      </c>
      <c r="K180" s="1">
        <f t="shared" si="28"/>
        <v>169.33347019141291</v>
      </c>
      <c r="L180" s="3"/>
      <c r="M180" s="4">
        <f t="shared" si="29"/>
        <v>169.33347019141291</v>
      </c>
      <c r="N180" s="4">
        <f t="shared" si="30"/>
        <v>0</v>
      </c>
    </row>
    <row r="181" spans="1:14" ht="15.65" outlineLevel="2">
      <c r="A181" s="5">
        <v>364</v>
      </c>
      <c r="B181" s="6">
        <v>1938</v>
      </c>
      <c r="C181" s="3">
        <v>40.240000000000002</v>
      </c>
      <c r="D181" s="3">
        <v>40.240000000000002</v>
      </c>
      <c r="F181" s="2">
        <v>54</v>
      </c>
      <c r="G181" s="3">
        <v>10.699277</v>
      </c>
      <c r="H181" s="12">
        <v>-1</v>
      </c>
      <c r="I181" s="3">
        <f t="shared" si="26"/>
        <v>64.534114574814822</v>
      </c>
      <c r="J181" s="3">
        <f t="shared" si="27"/>
        <v>1.2002836496015288</v>
      </c>
      <c r="K181" s="1">
        <f t="shared" si="28"/>
        <v>77.459242565661938</v>
      </c>
      <c r="L181" s="3"/>
      <c r="M181" s="4">
        <f t="shared" si="29"/>
        <v>77.459242565661938</v>
      </c>
      <c r="N181" s="4">
        <f t="shared" si="30"/>
        <v>0</v>
      </c>
    </row>
    <row r="182" spans="1:14" ht="15.65" outlineLevel="2">
      <c r="A182" s="5">
        <v>364</v>
      </c>
      <c r="B182" s="6">
        <v>1937</v>
      </c>
      <c r="C182" s="3">
        <v>268.75999999999999</v>
      </c>
      <c r="D182" s="3">
        <v>268.75999999999999</v>
      </c>
      <c r="F182" s="2">
        <v>54</v>
      </c>
      <c r="G182" s="3">
        <v>10.303583</v>
      </c>
      <c r="H182" s="12">
        <v>-1</v>
      </c>
      <c r="I182" s="3">
        <f t="shared" si="26"/>
        <v>434.95737158962959</v>
      </c>
      <c r="J182" s="3">
        <f t="shared" si="27"/>
        <v>1.2002836496015288</v>
      </c>
      <c r="K182" s="1">
        <f t="shared" si="28"/>
        <v>522.0722213926889</v>
      </c>
      <c r="L182" s="3"/>
      <c r="M182" s="4">
        <f t="shared" si="29"/>
        <v>522.0722213926889</v>
      </c>
      <c r="N182" s="4">
        <f t="shared" si="30"/>
        <v>0</v>
      </c>
    </row>
    <row r="183" spans="1:14" ht="15.65" outlineLevel="2">
      <c r="A183" s="5">
        <v>364</v>
      </c>
      <c r="B183" s="6">
        <v>1935</v>
      </c>
      <c r="C183" s="3">
        <v>244.38</v>
      </c>
      <c r="D183" s="3">
        <v>244.38</v>
      </c>
      <c r="F183" s="2">
        <v>54</v>
      </c>
      <c r="G183" s="3">
        <v>9.5110320000000002</v>
      </c>
      <c r="H183" s="12">
        <v>-1</v>
      </c>
      <c r="I183" s="3">
        <f t="shared" si="26"/>
        <v>402.67459258666668</v>
      </c>
      <c r="J183" s="3">
        <f t="shared" si="27"/>
        <v>1.2002836496015288</v>
      </c>
      <c r="K183" s="1">
        <f t="shared" si="28"/>
        <v>483.32372959173296</v>
      </c>
      <c r="L183" s="3"/>
      <c r="M183" s="4">
        <f t="shared" si="29"/>
        <v>483.32372959173296</v>
      </c>
      <c r="N183" s="4">
        <f t="shared" si="30"/>
        <v>0</v>
      </c>
    </row>
    <row r="184" spans="1:14" ht="15.65" outlineLevel="2">
      <c r="A184" s="5">
        <v>364</v>
      </c>
      <c r="B184" s="6">
        <v>1934</v>
      </c>
      <c r="C184" s="3">
        <v>84.859999999999999</v>
      </c>
      <c r="D184" s="3">
        <v>84.859999999999999</v>
      </c>
      <c r="F184" s="2">
        <v>54</v>
      </c>
      <c r="G184" s="3">
        <v>9.1134430000000002</v>
      </c>
      <c r="H184" s="12">
        <v>-1</v>
      </c>
      <c r="I184" s="3">
        <f t="shared" si="26"/>
        <v>141.07678618592593</v>
      </c>
      <c r="J184" s="3">
        <f t="shared" si="27"/>
        <v>1.2002836496015288</v>
      </c>
      <c r="K184" s="1">
        <f t="shared" si="28"/>
        <v>169.33215979729772</v>
      </c>
      <c r="L184" s="3"/>
      <c r="M184" s="4">
        <f t="shared" si="29"/>
        <v>169.33215979729772</v>
      </c>
      <c r="N184" s="4">
        <f t="shared" si="30"/>
        <v>0</v>
      </c>
    </row>
    <row r="185" spans="1:14" ht="15.65" outlineLevel="2">
      <c r="A185" s="5">
        <v>364</v>
      </c>
      <c r="B185" s="6">
        <v>1932</v>
      </c>
      <c r="C185" s="3">
        <v>467.79000000000002</v>
      </c>
      <c r="D185" s="3">
        <v>467.79000000000002</v>
      </c>
      <c r="F185" s="2">
        <v>54</v>
      </c>
      <c r="G185" s="3">
        <v>8.3122600000000002</v>
      </c>
      <c r="H185" s="12">
        <v>-1</v>
      </c>
      <c r="I185" s="3">
        <f t="shared" si="26"/>
        <v>791.56547757777776</v>
      </c>
      <c r="J185" s="3">
        <f t="shared" si="27"/>
        <v>1.2002836496015288</v>
      </c>
      <c r="K185" s="1">
        <f t="shared" si="28"/>
        <v>935.58000000000004</v>
      </c>
      <c r="L185" s="3"/>
      <c r="M185" s="4">
        <f t="shared" si="29"/>
        <v>935.58000000000004</v>
      </c>
      <c r="N185" s="4">
        <f t="shared" si="30"/>
        <v>0</v>
      </c>
    </row>
    <row r="186" spans="1:14" ht="15.65" outlineLevel="2">
      <c r="A186" s="5">
        <v>364</v>
      </c>
      <c r="B186" s="6">
        <v>1931</v>
      </c>
      <c r="C186" s="3">
        <v>70.75</v>
      </c>
      <c r="D186" s="3">
        <v>70.75</v>
      </c>
      <c r="F186" s="2">
        <v>54</v>
      </c>
      <c r="G186" s="3">
        <v>7.9081669999999997</v>
      </c>
      <c r="H186" s="12">
        <v>-1</v>
      </c>
      <c r="I186" s="3">
        <f t="shared" si="26"/>
        <v>120.77767350925926</v>
      </c>
      <c r="J186" s="3">
        <f t="shared" si="27"/>
        <v>1.2002836496015288</v>
      </c>
      <c r="K186" s="1">
        <f t="shared" si="28"/>
        <v>141.5</v>
      </c>
      <c r="L186" s="3"/>
      <c r="M186" s="4">
        <f t="shared" si="29"/>
        <v>141.5</v>
      </c>
      <c r="N186" s="4">
        <f t="shared" si="30"/>
        <v>0</v>
      </c>
    </row>
    <row r="187" spans="1:14" ht="15.65" outlineLevel="2">
      <c r="A187" s="5">
        <v>364</v>
      </c>
      <c r="B187" s="6">
        <v>1930</v>
      </c>
      <c r="C187" s="3">
        <v>415.98000000000002</v>
      </c>
      <c r="D187" s="3">
        <v>415.98000000000002</v>
      </c>
      <c r="F187" s="2">
        <v>54</v>
      </c>
      <c r="G187" s="3">
        <v>7.5011510000000001</v>
      </c>
      <c r="H187" s="12">
        <v>-1</v>
      </c>
      <c r="I187" s="3">
        <f t="shared" si="26"/>
        <v>716.39226692666659</v>
      </c>
      <c r="J187" s="3">
        <f t="shared" si="27"/>
        <v>1.2002836496015288</v>
      </c>
      <c r="K187" s="1">
        <f t="shared" si="28"/>
        <v>831.96000000000004</v>
      </c>
      <c r="L187" s="3"/>
      <c r="M187" s="4">
        <f t="shared" si="29"/>
        <v>831.96000000000004</v>
      </c>
      <c r="N187" s="4">
        <f t="shared" si="30"/>
        <v>0</v>
      </c>
    </row>
    <row r="188" spans="1:14" ht="15.65" outlineLevel="2">
      <c r="A188" s="5">
        <v>364</v>
      </c>
      <c r="B188" s="6">
        <v>1908</v>
      </c>
      <c r="C188" s="3">
        <v>3778.79</v>
      </c>
      <c r="D188" s="3">
        <v>3778.79</v>
      </c>
      <c r="F188" s="2">
        <v>54</v>
      </c>
      <c r="G188" s="3">
        <v>0</v>
      </c>
      <c r="H188" s="12">
        <v>-1</v>
      </c>
      <c r="I188" s="3">
        <f t="shared" si="26"/>
        <v>7557.5799999999999</v>
      </c>
      <c r="J188" s="3">
        <f t="shared" si="27"/>
        <v>1.2002836496015288</v>
      </c>
      <c r="K188" s="1">
        <f t="shared" si="28"/>
        <v>7557.5799999999999</v>
      </c>
      <c r="L188" s="3"/>
      <c r="M188" s="4">
        <f t="shared" si="29"/>
        <v>7557.5799999999999</v>
      </c>
      <c r="N188" s="4">
        <f t="shared" si="30"/>
        <v>0</v>
      </c>
    </row>
    <row r="189" spans="1:15" ht="15.65" outlineLevel="1">
      <c r="A189" s="7" t="s">
        <v>3</v>
      </c>
      <c r="B189" s="6"/>
      <c r="C189" s="3">
        <f>SUBTOTAL(9,C98:C188)</f>
        <v>2678358260.8099999</v>
      </c>
      <c r="I189" s="3">
        <f>SUBTOTAL(9,I98:I188)</f>
        <v>922882806.63103974</v>
      </c>
      <c r="J189" s="3">
        <v>1.2002836496015288</v>
      </c>
      <c r="K189" s="1">
        <f>SUBTOTAL(9,K98:K188)</f>
        <v>1107719583.7334096</v>
      </c>
      <c r="L189" s="3">
        <v>1107719583.7334101</v>
      </c>
      <c r="M189" s="3">
        <f t="shared" si="31" ref="M189:N189">SUBTOTAL(9,M98:M188)</f>
        <v>1107719583.7334096</v>
      </c>
      <c r="N189" s="3">
        <f t="shared" si="31"/>
        <v>0</v>
      </c>
      <c r="O189" s="4">
        <f>+L189-K189</f>
        <v>0</v>
      </c>
    </row>
    <row r="190" spans="1:14" ht="15.65" outlineLevel="2">
      <c r="A190" s="5">
        <v>365</v>
      </c>
      <c r="B190" s="6">
        <v>2021</v>
      </c>
      <c r="C190" s="3">
        <v>165113070.24000001</v>
      </c>
      <c r="D190" s="3">
        <v>165113070.24000001</v>
      </c>
      <c r="F190" s="2">
        <v>52</v>
      </c>
      <c r="G190" s="3">
        <v>51.689298999999998</v>
      </c>
      <c r="H190" s="12">
        <v>-0.75</v>
      </c>
      <c r="I190" s="3">
        <f t="shared" si="32" ref="I190:I221">+C190*(1-H190)*(1-G190/F190)</f>
        <v>1726469.0973868733</v>
      </c>
      <c r="J190" s="3">
        <f t="shared" si="33" ref="J190:J221">$J$265</f>
        <v>1.2012890774978156</v>
      </c>
      <c r="K190" s="1">
        <f t="shared" si="34" ref="K190:K221">IF((C190*(1-H190)-I190*J190)&lt;0,C190*(1-H190),I190*J190)</f>
        <v>2073988.4693283634</v>
      </c>
      <c r="L190" s="3"/>
      <c r="M190" s="4">
        <f t="shared" si="35" ref="M190:M221">+K190/D190*C190</f>
        <v>2073988.4693283632</v>
      </c>
      <c r="N190" s="4">
        <f t="shared" si="36" ref="N190:N221">+E190/C190*K190</f>
        <v>0</v>
      </c>
    </row>
    <row r="191" spans="1:14" ht="15.65" outlineLevel="2">
      <c r="A191" s="5">
        <v>365</v>
      </c>
      <c r="B191" s="6">
        <v>2020</v>
      </c>
      <c r="C191" s="3">
        <v>154103835.75999999</v>
      </c>
      <c r="D191" s="3">
        <v>154103835.75999999</v>
      </c>
      <c r="F191" s="2">
        <v>52</v>
      </c>
      <c r="G191" s="3">
        <v>51.069181999999998</v>
      </c>
      <c r="H191" s="12">
        <v>-0.75</v>
      </c>
      <c r="I191" s="3">
        <f t="shared" si="32"/>
        <v>4827396.0065440508</v>
      </c>
      <c r="J191" s="3">
        <f t="shared" si="33"/>
        <v>1.2012890774978156</v>
      </c>
      <c r="K191" s="1">
        <f t="shared" si="34"/>
        <v>5799098.0954179419</v>
      </c>
      <c r="L191" s="3"/>
      <c r="M191" s="4">
        <f t="shared" si="35"/>
        <v>5799098.0954179419</v>
      </c>
      <c r="N191" s="4">
        <f t="shared" si="36"/>
        <v>0</v>
      </c>
    </row>
    <row r="192" spans="1:14" ht="15.65" outlineLevel="2">
      <c r="A192" s="5">
        <v>365</v>
      </c>
      <c r="B192" s="6">
        <v>2019</v>
      </c>
      <c r="C192" s="3">
        <v>117829991.68000001</v>
      </c>
      <c r="D192" s="3">
        <v>117829991.68000001</v>
      </c>
      <c r="F192" s="2">
        <v>52</v>
      </c>
      <c r="G192" s="3">
        <v>50.450758</v>
      </c>
      <c r="H192" s="12">
        <v>-0.75</v>
      </c>
      <c r="I192" s="3">
        <f t="shared" si="32"/>
        <v>6143414.4413083922</v>
      </c>
      <c r="J192" s="3">
        <f t="shared" si="33"/>
        <v>1.2012890774978156</v>
      </c>
      <c r="K192" s="1">
        <f t="shared" si="34"/>
        <v>7380016.6668861164</v>
      </c>
      <c r="L192" s="3"/>
      <c r="M192" s="4">
        <f t="shared" si="35"/>
        <v>7380016.6668861164</v>
      </c>
      <c r="N192" s="4">
        <f t="shared" si="36"/>
        <v>0</v>
      </c>
    </row>
    <row r="193" spans="1:14" ht="15.65" outlineLevel="2">
      <c r="A193" s="5">
        <v>365</v>
      </c>
      <c r="B193" s="6">
        <v>2018</v>
      </c>
      <c r="C193" s="3">
        <v>73815258.859999999</v>
      </c>
      <c r="D193" s="3">
        <v>73815258.859999999</v>
      </c>
      <c r="F193" s="2">
        <v>52</v>
      </c>
      <c r="G193" s="3">
        <v>49.834004</v>
      </c>
      <c r="H193" s="12">
        <v>-0.75</v>
      </c>
      <c r="I193" s="3">
        <f t="shared" si="32"/>
        <v>5380696.5769618861</v>
      </c>
      <c r="J193" s="3">
        <f t="shared" si="33"/>
        <v>1.2012890774978156</v>
      </c>
      <c r="K193" s="1">
        <f t="shared" si="34"/>
        <v>6463772.0272341985</v>
      </c>
      <c r="L193" s="3"/>
      <c r="M193" s="4">
        <f t="shared" si="35"/>
        <v>6463772.0272341985</v>
      </c>
      <c r="N193" s="4">
        <f t="shared" si="36"/>
        <v>0</v>
      </c>
    </row>
    <row r="194" spans="1:14" ht="15.65" outlineLevel="2">
      <c r="A194" s="5">
        <v>365</v>
      </c>
      <c r="B194" s="6">
        <v>2017</v>
      </c>
      <c r="C194" s="3">
        <v>74800825.799999997</v>
      </c>
      <c r="D194" s="3">
        <v>74800825.799999997</v>
      </c>
      <c r="F194" s="2">
        <v>52</v>
      </c>
      <c r="G194" s="3">
        <v>49.218893000000001</v>
      </c>
      <c r="H194" s="12">
        <v>-0.75</v>
      </c>
      <c r="I194" s="3">
        <f t="shared" si="32"/>
        <v>7000979.3349380977</v>
      </c>
      <c r="J194" s="3">
        <f t="shared" si="33"/>
        <v>1.2012890774978156</v>
      </c>
      <c r="K194" s="1">
        <f t="shared" si="34"/>
        <v>8410200.006849058</v>
      </c>
      <c r="L194" s="3"/>
      <c r="M194" s="4">
        <f t="shared" si="35"/>
        <v>8410200.006849058</v>
      </c>
      <c r="N194" s="4">
        <f t="shared" si="36"/>
        <v>0</v>
      </c>
    </row>
    <row r="195" spans="1:14" ht="15.65" outlineLevel="2">
      <c r="A195" s="5">
        <v>365</v>
      </c>
      <c r="B195" s="6">
        <v>2016</v>
      </c>
      <c r="C195" s="3">
        <v>54019234.460000001</v>
      </c>
      <c r="D195" s="3">
        <v>54019234.460000001</v>
      </c>
      <c r="F195" s="2">
        <v>52</v>
      </c>
      <c r="G195" s="3">
        <v>48.605398000000001</v>
      </c>
      <c r="H195" s="12">
        <v>-0.75</v>
      </c>
      <c r="I195" s="3">
        <f t="shared" si="32"/>
        <v>6171233.6988206478</v>
      </c>
      <c r="J195" s="3">
        <f t="shared" si="33"/>
        <v>1.2012890774978156</v>
      </c>
      <c r="K195" s="1">
        <f t="shared" si="34"/>
        <v>7413435.6370796878</v>
      </c>
      <c r="L195" s="3"/>
      <c r="M195" s="4">
        <f t="shared" si="35"/>
        <v>7413435.6370796887</v>
      </c>
      <c r="N195" s="4">
        <f t="shared" si="36"/>
        <v>0</v>
      </c>
    </row>
    <row r="196" spans="1:14" ht="15.65" outlineLevel="2">
      <c r="A196" s="5">
        <v>365</v>
      </c>
      <c r="B196" s="6">
        <v>2015</v>
      </c>
      <c r="C196" s="3">
        <v>57738364.780000001</v>
      </c>
      <c r="D196" s="3">
        <v>57738364.780000001</v>
      </c>
      <c r="F196" s="2">
        <v>52</v>
      </c>
      <c r="G196" s="3">
        <v>47.993487999999999</v>
      </c>
      <c r="H196" s="12">
        <v>-0.75</v>
      </c>
      <c r="I196" s="3">
        <f t="shared" si="32"/>
        <v>7785125.766635254</v>
      </c>
      <c r="J196" s="3">
        <f t="shared" si="33"/>
        <v>1.2012890774978156</v>
      </c>
      <c r="K196" s="1">
        <f t="shared" si="34"/>
        <v>9352186.5504057389</v>
      </c>
      <c r="L196" s="3"/>
      <c r="M196" s="4">
        <f t="shared" si="35"/>
        <v>9352186.5504057389</v>
      </c>
      <c r="N196" s="4">
        <f t="shared" si="36"/>
        <v>0</v>
      </c>
    </row>
    <row r="197" spans="1:14" ht="15.65" outlineLevel="2">
      <c r="A197" s="5">
        <v>365</v>
      </c>
      <c r="B197" s="6">
        <v>2014</v>
      </c>
      <c r="C197" s="3">
        <v>50473857.799999997</v>
      </c>
      <c r="D197" s="3">
        <v>50473857.799999997</v>
      </c>
      <c r="F197" s="2">
        <v>52</v>
      </c>
      <c r="G197" s="3">
        <v>47.383128999999997</v>
      </c>
      <c r="H197" s="12">
        <v>-0.75</v>
      </c>
      <c r="I197" s="3">
        <f t="shared" si="32"/>
        <v>7842399.1939644599</v>
      </c>
      <c r="J197" s="3">
        <f t="shared" si="33"/>
        <v>1.2012890774978156</v>
      </c>
      <c r="K197" s="1">
        <f t="shared" si="34"/>
        <v>9420988.4930871781</v>
      </c>
      <c r="L197" s="3"/>
      <c r="M197" s="4">
        <f t="shared" si="35"/>
        <v>9420988.4930871781</v>
      </c>
      <c r="N197" s="4">
        <f t="shared" si="36"/>
        <v>0</v>
      </c>
    </row>
    <row r="198" spans="1:14" ht="15.65" outlineLevel="2">
      <c r="A198" s="5">
        <v>365</v>
      </c>
      <c r="B198" s="6">
        <v>2013</v>
      </c>
      <c r="C198" s="3">
        <v>42911615.219999999</v>
      </c>
      <c r="D198" s="3">
        <v>42911615.219999999</v>
      </c>
      <c r="F198" s="2">
        <v>52</v>
      </c>
      <c r="G198" s="3">
        <v>46.774287000000001</v>
      </c>
      <c r="H198" s="12">
        <v>-0.75</v>
      </c>
      <c r="I198" s="3">
        <f t="shared" si="32"/>
        <v>7546665.8583801072</v>
      </c>
      <c r="J198" s="3">
        <f t="shared" si="33"/>
        <v>1.2012890774978156</v>
      </c>
      <c r="K198" s="1">
        <f t="shared" si="34"/>
        <v>9065727.2671977002</v>
      </c>
      <c r="L198" s="3"/>
      <c r="M198" s="4">
        <f t="shared" si="35"/>
        <v>9065727.2671977002</v>
      </c>
      <c r="N198" s="4">
        <f t="shared" si="36"/>
        <v>0</v>
      </c>
    </row>
    <row r="199" spans="1:14" ht="15.65" outlineLevel="2">
      <c r="A199" s="5">
        <v>365</v>
      </c>
      <c r="B199" s="6">
        <v>2012</v>
      </c>
      <c r="C199" s="3">
        <v>30793705</v>
      </c>
      <c r="D199" s="3">
        <v>30793705</v>
      </c>
      <c r="F199" s="2">
        <v>52</v>
      </c>
      <c r="G199" s="3">
        <v>46.166922999999997</v>
      </c>
      <c r="H199" s="12">
        <v>-0.75</v>
      </c>
      <c r="I199" s="3">
        <f t="shared" si="32"/>
        <v>6044972.9166442109</v>
      </c>
      <c r="J199" s="3">
        <f t="shared" si="33"/>
        <v>1.2012890774978156</v>
      </c>
      <c r="K199" s="1">
        <f t="shared" si="34"/>
        <v>7261759.9385348037</v>
      </c>
      <c r="L199" s="3"/>
      <c r="M199" s="4">
        <f t="shared" si="35"/>
        <v>7261759.9385348037</v>
      </c>
      <c r="N199" s="4">
        <f t="shared" si="36"/>
        <v>0</v>
      </c>
    </row>
    <row r="200" spans="1:14" ht="15.65" outlineLevel="2">
      <c r="A200" s="5">
        <v>365</v>
      </c>
      <c r="B200" s="6">
        <v>2011</v>
      </c>
      <c r="C200" s="3">
        <v>22627578.530000001</v>
      </c>
      <c r="D200" s="3">
        <v>22627578.530000001</v>
      </c>
      <c r="F200" s="2">
        <v>52</v>
      </c>
      <c r="G200" s="3">
        <v>45.560997</v>
      </c>
      <c r="H200" s="12">
        <v>-0.75</v>
      </c>
      <c r="I200" s="3">
        <f t="shared" si="32"/>
        <v>4903333.2801049938</v>
      </c>
      <c r="J200" s="3">
        <f t="shared" si="33"/>
        <v>1.2012890774978156</v>
      </c>
      <c r="K200" s="1">
        <f t="shared" si="34"/>
        <v>5890320.7127216663</v>
      </c>
      <c r="L200" s="3"/>
      <c r="M200" s="4">
        <f t="shared" si="35"/>
        <v>5890320.7127216663</v>
      </c>
      <c r="N200" s="4">
        <f t="shared" si="36"/>
        <v>0</v>
      </c>
    </row>
    <row r="201" spans="1:14" ht="15.65" outlineLevel="2">
      <c r="A201" s="5">
        <v>365</v>
      </c>
      <c r="B201" s="6">
        <v>2010</v>
      </c>
      <c r="C201" s="3">
        <v>22821707.899999999</v>
      </c>
      <c r="D201" s="3">
        <v>22821707.899999999</v>
      </c>
      <c r="F201" s="2">
        <v>52</v>
      </c>
      <c r="G201" s="3">
        <v>44.956460999999997</v>
      </c>
      <c r="H201" s="12">
        <v>-0.75</v>
      </c>
      <c r="I201" s="3">
        <f t="shared" si="32"/>
        <v>5409707.343662533</v>
      </c>
      <c r="J201" s="3">
        <f t="shared" si="33"/>
        <v>1.2012890774978156</v>
      </c>
      <c r="K201" s="1">
        <f t="shared" si="34"/>
        <v>6498622.3444015225</v>
      </c>
      <c r="L201" s="3"/>
      <c r="M201" s="4">
        <f t="shared" si="35"/>
        <v>6498622.3444015216</v>
      </c>
      <c r="N201" s="4">
        <f t="shared" si="36"/>
        <v>0</v>
      </c>
    </row>
    <row r="202" spans="1:14" ht="15.65" outlineLevel="2">
      <c r="A202" s="5">
        <v>365</v>
      </c>
      <c r="B202" s="6">
        <v>2009</v>
      </c>
      <c r="C202" s="3">
        <v>23455644.920000002</v>
      </c>
      <c r="D202" s="3">
        <v>23455644.920000002</v>
      </c>
      <c r="F202" s="2">
        <v>52</v>
      </c>
      <c r="G202" s="3">
        <v>44.353273999999999</v>
      </c>
      <c r="H202" s="12">
        <v>-0.75</v>
      </c>
      <c r="I202" s="3">
        <f t="shared" si="32"/>
        <v>6036116.4855563641</v>
      </c>
      <c r="J202" s="3">
        <f t="shared" si="33"/>
        <v>1.2012890774978156</v>
      </c>
      <c r="K202" s="1">
        <f t="shared" si="34"/>
        <v>7251120.8046033606</v>
      </c>
      <c r="L202" s="3"/>
      <c r="M202" s="4">
        <f t="shared" si="35"/>
        <v>7251120.8046033597</v>
      </c>
      <c r="N202" s="4">
        <f t="shared" si="36"/>
        <v>0</v>
      </c>
    </row>
    <row r="203" spans="1:14" ht="15.65" outlineLevel="2">
      <c r="A203" s="5">
        <v>365</v>
      </c>
      <c r="B203" s="6">
        <v>2008</v>
      </c>
      <c r="C203" s="3">
        <v>31687970.760000002</v>
      </c>
      <c r="D203" s="3">
        <v>31687970.760000002</v>
      </c>
      <c r="F203" s="2">
        <v>52</v>
      </c>
      <c r="G203" s="3">
        <v>43.751421000000001</v>
      </c>
      <c r="H203" s="12">
        <v>-0.75</v>
      </c>
      <c r="I203" s="3">
        <f t="shared" si="32"/>
        <v>8796466.8805040866</v>
      </c>
      <c r="J203" s="3">
        <f t="shared" si="33"/>
        <v>1.2012890774978156</v>
      </c>
      <c r="K203" s="1">
        <f t="shared" si="34"/>
        <v>10567099.584120842</v>
      </c>
      <c r="L203" s="3"/>
      <c r="M203" s="4">
        <f t="shared" si="35"/>
        <v>10567099.584120842</v>
      </c>
      <c r="N203" s="4">
        <f t="shared" si="36"/>
        <v>0</v>
      </c>
    </row>
    <row r="204" spans="1:14" ht="15.65" outlineLevel="2">
      <c r="A204" s="5">
        <v>365</v>
      </c>
      <c r="B204" s="6">
        <v>2007</v>
      </c>
      <c r="C204" s="3">
        <v>29875513.949999999</v>
      </c>
      <c r="D204" s="3">
        <v>29875513.949999999</v>
      </c>
      <c r="F204" s="2">
        <v>52</v>
      </c>
      <c r="G204" s="3">
        <v>43.150843999999999</v>
      </c>
      <c r="H204" s="12">
        <v>-0.75</v>
      </c>
      <c r="I204" s="3">
        <f t="shared" si="32"/>
        <v>8897171.0801254008</v>
      </c>
      <c r="J204" s="3">
        <f t="shared" si="33"/>
        <v>1.2012890774978156</v>
      </c>
      <c r="K204" s="1">
        <f t="shared" si="34"/>
        <v>10688074.439184086</v>
      </c>
      <c r="L204" s="3"/>
      <c r="M204" s="4">
        <f t="shared" si="35"/>
        <v>10688074.439184086</v>
      </c>
      <c r="N204" s="4">
        <f t="shared" si="36"/>
        <v>0</v>
      </c>
    </row>
    <row r="205" spans="1:14" ht="15.65" outlineLevel="2">
      <c r="A205" s="5">
        <v>365</v>
      </c>
      <c r="B205" s="6">
        <v>2006</v>
      </c>
      <c r="C205" s="3">
        <v>37692931.060000002</v>
      </c>
      <c r="D205" s="3">
        <v>37692931.060000002</v>
      </c>
      <c r="F205" s="2">
        <v>52</v>
      </c>
      <c r="G205" s="3">
        <v>42.551470999999999</v>
      </c>
      <c r="H205" s="12">
        <v>-0.75</v>
      </c>
      <c r="I205" s="3">
        <f t="shared" si="32"/>
        <v>11985573.391864786</v>
      </c>
      <c r="J205" s="3">
        <f t="shared" si="33"/>
        <v>1.2012890774978156</v>
      </c>
      <c r="K205" s="1">
        <f t="shared" si="34"/>
        <v>14398138.403195612</v>
      </c>
      <c r="L205" s="3"/>
      <c r="M205" s="4">
        <f t="shared" si="35"/>
        <v>14398138.403195612</v>
      </c>
      <c r="N205" s="4">
        <f t="shared" si="36"/>
        <v>0</v>
      </c>
    </row>
    <row r="206" spans="1:14" ht="15.65" outlineLevel="2">
      <c r="A206" s="5">
        <v>365</v>
      </c>
      <c r="B206" s="6">
        <v>2005</v>
      </c>
      <c r="C206" s="3">
        <v>34952286.619999997</v>
      </c>
      <c r="D206" s="3">
        <v>34952286.619999997</v>
      </c>
      <c r="F206" s="2">
        <v>52</v>
      </c>
      <c r="G206" s="3">
        <v>41.953282999999999</v>
      </c>
      <c r="H206" s="12">
        <v>-0.75</v>
      </c>
      <c r="I206" s="3">
        <f t="shared" si="32"/>
        <v>11817740.986625895</v>
      </c>
      <c r="J206" s="3">
        <f t="shared" si="33"/>
        <v>1.2012890774978156</v>
      </c>
      <c r="K206" s="1">
        <f t="shared" si="34"/>
        <v>14196523.167931946</v>
      </c>
      <c r="L206" s="3"/>
      <c r="M206" s="4">
        <f t="shared" si="35"/>
        <v>14196523.167931946</v>
      </c>
      <c r="N206" s="4">
        <f t="shared" si="36"/>
        <v>0</v>
      </c>
    </row>
    <row r="207" spans="1:14" ht="15.65" outlineLevel="2">
      <c r="A207" s="5">
        <v>365</v>
      </c>
      <c r="B207" s="6">
        <v>2004</v>
      </c>
      <c r="C207" s="3">
        <v>61792373.420000002</v>
      </c>
      <c r="D207" s="3">
        <v>61792373.420000002</v>
      </c>
      <c r="F207" s="2">
        <v>52</v>
      </c>
      <c r="G207" s="3">
        <v>41.356321999999999</v>
      </c>
      <c r="H207" s="12">
        <v>-0.75</v>
      </c>
      <c r="I207" s="3">
        <f t="shared" si="32"/>
        <v>22134071.53253689</v>
      </c>
      <c r="J207" s="3">
        <f t="shared" si="33"/>
        <v>1.2012890774978156</v>
      </c>
      <c r="K207" s="1">
        <f t="shared" si="34"/>
        <v>26589418.372591902</v>
      </c>
      <c r="L207" s="3"/>
      <c r="M207" s="4">
        <f t="shared" si="35"/>
        <v>26589418.372591902</v>
      </c>
      <c r="N207" s="4">
        <f t="shared" si="36"/>
        <v>0</v>
      </c>
    </row>
    <row r="208" spans="1:14" ht="15.65" outlineLevel="2">
      <c r="A208" s="5">
        <v>365</v>
      </c>
      <c r="B208" s="6">
        <v>2003</v>
      </c>
      <c r="C208" s="3">
        <v>19152573.18</v>
      </c>
      <c r="D208" s="3">
        <v>19152573.18</v>
      </c>
      <c r="F208" s="2">
        <v>52</v>
      </c>
      <c r="G208" s="3">
        <v>40.760655999999997</v>
      </c>
      <c r="H208" s="12">
        <v>-0.75</v>
      </c>
      <c r="I208" s="3">
        <f t="shared" si="32"/>
        <v>7244406.2941651829</v>
      </c>
      <c r="J208" s="3">
        <f t="shared" si="33"/>
        <v>1.2012890774978156</v>
      </c>
      <c r="K208" s="1">
        <f t="shared" si="34"/>
        <v>8702626.1541370619</v>
      </c>
      <c r="L208" s="3"/>
      <c r="M208" s="4">
        <f t="shared" si="35"/>
        <v>8702626.1541370619</v>
      </c>
      <c r="N208" s="4">
        <f t="shared" si="36"/>
        <v>0</v>
      </c>
    </row>
    <row r="209" spans="1:14" ht="15.65" outlineLevel="2">
      <c r="A209" s="5">
        <v>365</v>
      </c>
      <c r="B209" s="6">
        <v>2002</v>
      </c>
      <c r="C209" s="3">
        <v>15757366.99</v>
      </c>
      <c r="D209" s="3">
        <v>15757366.99</v>
      </c>
      <c r="F209" s="2">
        <v>52</v>
      </c>
      <c r="G209" s="3">
        <v>40.166384000000001</v>
      </c>
      <c r="H209" s="12">
        <v>-0.75</v>
      </c>
      <c r="I209" s="3">
        <f t="shared" si="32"/>
        <v>6275319.2832459193</v>
      </c>
      <c r="J209" s="3">
        <f t="shared" si="33"/>
        <v>1.2012890774978156</v>
      </c>
      <c r="K209" s="1">
        <f t="shared" si="34"/>
        <v>7538472.5127747431</v>
      </c>
      <c r="L209" s="3"/>
      <c r="M209" s="4">
        <f t="shared" si="35"/>
        <v>7538472.5127747431</v>
      </c>
      <c r="N209" s="4">
        <f t="shared" si="36"/>
        <v>0</v>
      </c>
    </row>
    <row r="210" spans="1:14" ht="15.65" outlineLevel="2">
      <c r="A210" s="5">
        <v>365</v>
      </c>
      <c r="B210" s="6">
        <v>2001</v>
      </c>
      <c r="C210" s="3">
        <v>22635611.440000001</v>
      </c>
      <c r="D210" s="3">
        <v>22635611.440000001</v>
      </c>
      <c r="F210" s="2">
        <v>52</v>
      </c>
      <c r="G210" s="3">
        <v>39.573611999999997</v>
      </c>
      <c r="H210" s="12">
        <v>-0.75</v>
      </c>
      <c r="I210" s="3">
        <f t="shared" si="32"/>
        <v>9466116.5028593838</v>
      </c>
      <c r="J210" s="3">
        <f t="shared" si="33"/>
        <v>1.2012890774978156</v>
      </c>
      <c r="K210" s="1">
        <f t="shared" si="34"/>
        <v>11371542.361206798</v>
      </c>
      <c r="L210" s="3"/>
      <c r="M210" s="4">
        <f t="shared" si="35"/>
        <v>11371542.361206798</v>
      </c>
      <c r="N210" s="4">
        <f t="shared" si="36"/>
        <v>0</v>
      </c>
    </row>
    <row r="211" spans="1:14" ht="15.65" outlineLevel="2">
      <c r="A211" s="5">
        <v>365</v>
      </c>
      <c r="B211" s="6">
        <v>2000</v>
      </c>
      <c r="C211" s="3">
        <v>20836430.329999998</v>
      </c>
      <c r="D211" s="3">
        <v>20836430.329999998</v>
      </c>
      <c r="F211" s="2">
        <v>52</v>
      </c>
      <c r="G211" s="3">
        <v>38.982478999999998</v>
      </c>
      <c r="H211" s="12">
        <v>-0.75</v>
      </c>
      <c r="I211" s="3">
        <f t="shared" si="32"/>
        <v>9128224.450484056</v>
      </c>
      <c r="J211" s="3">
        <f t="shared" si="33"/>
        <v>1.2012890774978156</v>
      </c>
      <c r="K211" s="1">
        <f t="shared" si="34"/>
        <v>10965636.329314996</v>
      </c>
      <c r="L211" s="3"/>
      <c r="M211" s="4">
        <f t="shared" si="35"/>
        <v>10965636.329314996</v>
      </c>
      <c r="N211" s="4">
        <f t="shared" si="36"/>
        <v>0</v>
      </c>
    </row>
    <row r="212" spans="1:14" ht="15.65" outlineLevel="2">
      <c r="A212" s="5">
        <v>365</v>
      </c>
      <c r="B212" s="6">
        <v>1999</v>
      </c>
      <c r="C212" s="3">
        <v>21379185.969999999</v>
      </c>
      <c r="D212" s="3">
        <v>21379185.969999999</v>
      </c>
      <c r="F212" s="2">
        <v>52</v>
      </c>
      <c r="G212" s="3">
        <v>38.393118999999999</v>
      </c>
      <c r="H212" s="12">
        <v>-0.75</v>
      </c>
      <c r="I212" s="3">
        <f t="shared" si="32"/>
        <v>9790039.7865125816</v>
      </c>
      <c r="J212" s="3">
        <f t="shared" si="33"/>
        <v>1.2012890774978156</v>
      </c>
      <c r="K212" s="1">
        <f t="shared" si="34"/>
        <v>11760667.863806611</v>
      </c>
      <c r="L212" s="3"/>
      <c r="M212" s="4">
        <f t="shared" si="35"/>
        <v>11760667.863806611</v>
      </c>
      <c r="N212" s="4">
        <f t="shared" si="36"/>
        <v>0</v>
      </c>
    </row>
    <row r="213" spans="1:14" ht="15.65" outlineLevel="2">
      <c r="A213" s="5">
        <v>365</v>
      </c>
      <c r="B213" s="6">
        <v>1998</v>
      </c>
      <c r="C213" s="3">
        <v>19391472.059999999</v>
      </c>
      <c r="D213" s="3">
        <v>19391472.059999999</v>
      </c>
      <c r="F213" s="2">
        <v>52</v>
      </c>
      <c r="G213" s="3">
        <v>37.805683999999999</v>
      </c>
      <c r="H213" s="12">
        <v>-0.75</v>
      </c>
      <c r="I213" s="3">
        <f t="shared" si="32"/>
        <v>9263176.8022772931</v>
      </c>
      <c r="J213" s="3">
        <f t="shared" si="33"/>
        <v>1.2012890774978156</v>
      </c>
      <c r="K213" s="1">
        <f t="shared" si="34"/>
        <v>11127753.115506854</v>
      </c>
      <c r="L213" s="3"/>
      <c r="M213" s="4">
        <f t="shared" si="35"/>
        <v>11127753.115506854</v>
      </c>
      <c r="N213" s="4">
        <f t="shared" si="36"/>
        <v>0</v>
      </c>
    </row>
    <row r="214" spans="1:14" ht="15.65" outlineLevel="2">
      <c r="A214" s="5">
        <v>365</v>
      </c>
      <c r="B214" s="6">
        <v>1997</v>
      </c>
      <c r="C214" s="3">
        <v>38682247.049999997</v>
      </c>
      <c r="D214" s="3">
        <v>38682247.049999997</v>
      </c>
      <c r="F214" s="2">
        <v>52</v>
      </c>
      <c r="G214" s="3">
        <v>37.220322000000003</v>
      </c>
      <c r="H214" s="12">
        <v>-0.75</v>
      </c>
      <c r="I214" s="3">
        <f t="shared" si="32"/>
        <v>19240279.278885327</v>
      </c>
      <c r="J214" s="3">
        <f t="shared" si="33"/>
        <v>1.2012890774978156</v>
      </c>
      <c r="K214" s="1">
        <f t="shared" si="34"/>
        <v>23113137.345732491</v>
      </c>
      <c r="L214" s="3"/>
      <c r="M214" s="4">
        <f t="shared" si="35"/>
        <v>23113137.345732488</v>
      </c>
      <c r="N214" s="4">
        <f t="shared" si="36"/>
        <v>0</v>
      </c>
    </row>
    <row r="215" spans="1:14" ht="15.65" outlineLevel="2">
      <c r="A215" s="5">
        <v>365</v>
      </c>
      <c r="B215" s="6">
        <v>1996</v>
      </c>
      <c r="C215" s="3">
        <v>44011167</v>
      </c>
      <c r="D215" s="3">
        <v>44011167</v>
      </c>
      <c r="F215" s="2">
        <v>52</v>
      </c>
      <c r="G215" s="3">
        <v>36.637194999999998</v>
      </c>
      <c r="H215" s="12">
        <v>-0.75</v>
      </c>
      <c r="I215" s="3">
        <f t="shared" si="32"/>
        <v>22754542.476461761</v>
      </c>
      <c r="J215" s="3">
        <f t="shared" si="33"/>
        <v>1.2012890774978156</v>
      </c>
      <c r="K215" s="1">
        <f t="shared" si="34"/>
        <v>27334783.340433609</v>
      </c>
      <c r="L215" s="3"/>
      <c r="M215" s="4">
        <f t="shared" si="35"/>
        <v>27334783.340433605</v>
      </c>
      <c r="N215" s="4">
        <f t="shared" si="36"/>
        <v>0</v>
      </c>
    </row>
    <row r="216" spans="1:14" ht="15.65" outlineLevel="2">
      <c r="A216" s="5">
        <v>365</v>
      </c>
      <c r="B216" s="6">
        <v>1995</v>
      </c>
      <c r="C216" s="3">
        <v>16999541.690000001</v>
      </c>
      <c r="D216" s="3">
        <v>16999541.690000001</v>
      </c>
      <c r="F216" s="2">
        <v>52</v>
      </c>
      <c r="G216" s="3">
        <v>36.056510000000003</v>
      </c>
      <c r="H216" s="12">
        <v>-0.75</v>
      </c>
      <c r="I216" s="3">
        <f t="shared" si="32"/>
        <v>9121270.0027581081</v>
      </c>
      <c r="J216" s="3">
        <f t="shared" si="33"/>
        <v>1.2012890774978156</v>
      </c>
      <c r="K216" s="1">
        <f t="shared" si="34"/>
        <v>10957282.027221786</v>
      </c>
      <c r="L216" s="3"/>
      <c r="M216" s="4">
        <f t="shared" si="35"/>
        <v>10957282.027221786</v>
      </c>
      <c r="N216" s="4">
        <f t="shared" si="36"/>
        <v>0</v>
      </c>
    </row>
    <row r="217" spans="1:14" ht="15.65" outlineLevel="2">
      <c r="A217" s="5">
        <v>365</v>
      </c>
      <c r="B217" s="6">
        <v>1994</v>
      </c>
      <c r="C217" s="3">
        <v>12758062.220000001</v>
      </c>
      <c r="D217" s="3">
        <v>12758062.220000001</v>
      </c>
      <c r="F217" s="2">
        <v>52</v>
      </c>
      <c r="G217" s="3">
        <v>35.478425000000001</v>
      </c>
      <c r="H217" s="12">
        <v>-0.75</v>
      </c>
      <c r="I217" s="3">
        <f t="shared" si="32"/>
        <v>7093668.1382537279</v>
      </c>
      <c r="J217" s="3">
        <f t="shared" si="33"/>
        <v>1.2012890774978156</v>
      </c>
      <c r="K217" s="1">
        <f t="shared" si="34"/>
        <v>8521546.0538784675</v>
      </c>
      <c r="L217" s="3"/>
      <c r="M217" s="4">
        <f t="shared" si="35"/>
        <v>8521546.0538784675</v>
      </c>
      <c r="N217" s="4">
        <f t="shared" si="36"/>
        <v>0</v>
      </c>
    </row>
    <row r="218" spans="1:14" ht="15.65" outlineLevel="2">
      <c r="A218" s="5">
        <v>365</v>
      </c>
      <c r="B218" s="6">
        <v>1993</v>
      </c>
      <c r="C218" s="3">
        <v>10089490.289999999</v>
      </c>
      <c r="D218" s="3">
        <v>10089490.289999999</v>
      </c>
      <c r="F218" s="2">
        <v>52</v>
      </c>
      <c r="G218" s="3">
        <v>34.903053999999997</v>
      </c>
      <c r="H218" s="12">
        <v>-0.75</v>
      </c>
      <c r="I218" s="3">
        <f t="shared" si="32"/>
        <v>5805270.6470652912</v>
      </c>
      <c r="J218" s="3">
        <f t="shared" si="33"/>
        <v>1.2012890774978156</v>
      </c>
      <c r="K218" s="1">
        <f t="shared" si="34"/>
        <v>6973808.2202382106</v>
      </c>
      <c r="L218" s="3"/>
      <c r="M218" s="4">
        <f t="shared" si="35"/>
        <v>6973808.2202382106</v>
      </c>
      <c r="N218" s="4">
        <f t="shared" si="36"/>
        <v>0</v>
      </c>
    </row>
    <row r="219" spans="1:14" ht="15.65" outlineLevel="2">
      <c r="A219" s="5">
        <v>365</v>
      </c>
      <c r="B219" s="6">
        <v>1992</v>
      </c>
      <c r="C219" s="3">
        <v>19435336.82</v>
      </c>
      <c r="D219" s="3">
        <v>19435336.82</v>
      </c>
      <c r="F219" s="2">
        <v>52</v>
      </c>
      <c r="G219" s="3">
        <v>34.330551</v>
      </c>
      <c r="H219" s="12">
        <v>-0.75</v>
      </c>
      <c r="I219" s="3">
        <f t="shared" si="32"/>
        <v>11557124.274863871</v>
      </c>
      <c r="J219" s="3">
        <f t="shared" si="33"/>
        <v>1.2012890774978156</v>
      </c>
      <c r="K219" s="1">
        <f t="shared" si="34"/>
        <v>13883447.15867883</v>
      </c>
      <c r="L219" s="3"/>
      <c r="M219" s="4">
        <f t="shared" si="35"/>
        <v>13883447.15867883</v>
      </c>
      <c r="N219" s="4">
        <f t="shared" si="36"/>
        <v>0</v>
      </c>
    </row>
    <row r="220" spans="1:14" ht="15.65" outlineLevel="2">
      <c r="A220" s="5">
        <v>365</v>
      </c>
      <c r="B220" s="6">
        <v>1991</v>
      </c>
      <c r="C220" s="3">
        <v>22886370.469999999</v>
      </c>
      <c r="D220" s="3">
        <v>22886370.469999999</v>
      </c>
      <c r="F220" s="2">
        <v>52</v>
      </c>
      <c r="G220" s="3">
        <v>33.761069999999997</v>
      </c>
      <c r="H220" s="12">
        <v>-0.75</v>
      </c>
      <c r="I220" s="3">
        <f t="shared" si="32"/>
        <v>14047886.359109521</v>
      </c>
      <c r="J220" s="3">
        <f t="shared" si="33"/>
        <v>1.2012890774978156</v>
      </c>
      <c r="K220" s="1">
        <f t="shared" si="34"/>
        <v>16875572.445128825</v>
      </c>
      <c r="L220" s="3"/>
      <c r="M220" s="4">
        <f t="shared" si="35"/>
        <v>16875572.445128825</v>
      </c>
      <c r="N220" s="4">
        <f t="shared" si="36"/>
        <v>0</v>
      </c>
    </row>
    <row r="221" spans="1:14" ht="15.65" outlineLevel="2">
      <c r="A221" s="5">
        <v>365</v>
      </c>
      <c r="B221" s="6">
        <v>1990</v>
      </c>
      <c r="C221" s="3">
        <v>20691904.309999999</v>
      </c>
      <c r="D221" s="3">
        <v>20691904.309999999</v>
      </c>
      <c r="F221" s="2">
        <v>52</v>
      </c>
      <c r="G221" s="3">
        <v>33.194747999999997</v>
      </c>
      <c r="H221" s="12">
        <v>-0.75</v>
      </c>
      <c r="I221" s="3">
        <f t="shared" si="32"/>
        <v>13095265.982529102</v>
      </c>
      <c r="J221" s="3">
        <f t="shared" si="33"/>
        <v>1.2012890774978156</v>
      </c>
      <c r="K221" s="1">
        <f t="shared" si="34"/>
        <v>15731199.99174091</v>
      </c>
      <c r="L221" s="3"/>
      <c r="M221" s="4">
        <f t="shared" si="35"/>
        <v>15731199.99174091</v>
      </c>
      <c r="N221" s="4">
        <f t="shared" si="36"/>
        <v>0</v>
      </c>
    </row>
    <row r="222" spans="1:14" ht="15.65" outlineLevel="2">
      <c r="A222" s="5">
        <v>365</v>
      </c>
      <c r="B222" s="6">
        <v>1989</v>
      </c>
      <c r="C222" s="3">
        <v>19312159.75</v>
      </c>
      <c r="D222" s="3">
        <v>19312159.75</v>
      </c>
      <c r="F222" s="2">
        <v>52</v>
      </c>
      <c r="G222" s="3">
        <v>32.631731000000002</v>
      </c>
      <c r="H222" s="12">
        <v>-0.75</v>
      </c>
      <c r="I222" s="3">
        <f t="shared" si="37" ref="I222:I253">+C222*(1-H222)*(1-G222/F222)</f>
        <v>12587989.110878887</v>
      </c>
      <c r="J222" s="3">
        <f t="shared" si="38" ref="J222:J253">$J$265</f>
        <v>1.2012890774978156</v>
      </c>
      <c r="K222" s="1">
        <f t="shared" si="39" ref="K222:K253">IF((C222*(1-H222)-I222*J222)&lt;0,C222*(1-H222),I222*J222)</f>
        <v>15121813.826560246</v>
      </c>
      <c r="L222" s="3"/>
      <c r="M222" s="4">
        <f t="shared" si="40" ref="M222:M253">+K222/D222*C222</f>
        <v>15121813.826560246</v>
      </c>
      <c r="N222" s="4">
        <f t="shared" si="41" ref="N222:N253">+E222/C222*K222</f>
        <v>0</v>
      </c>
    </row>
    <row r="223" spans="1:14" ht="15.65" outlineLevel="2">
      <c r="A223" s="5">
        <v>365</v>
      </c>
      <c r="B223" s="6">
        <v>1988</v>
      </c>
      <c r="C223" s="3">
        <v>20654505.399999999</v>
      </c>
      <c r="D223" s="3">
        <v>20654505.399999999</v>
      </c>
      <c r="F223" s="2">
        <v>52</v>
      </c>
      <c r="G223" s="3">
        <v>32.072144000000002</v>
      </c>
      <c r="H223" s="12">
        <v>-0.75</v>
      </c>
      <c r="I223" s="3">
        <f t="shared" si="37"/>
        <v>13851923.392004598</v>
      </c>
      <c r="J223" s="3">
        <f t="shared" si="38"/>
        <v>1.2012890774978156</v>
      </c>
      <c r="K223" s="1">
        <f t="shared" si="39"/>
        <v>16640164.273151616</v>
      </c>
      <c r="L223" s="3"/>
      <c r="M223" s="4">
        <f t="shared" si="40"/>
        <v>16640164.273151614</v>
      </c>
      <c r="N223" s="4">
        <f t="shared" si="41"/>
        <v>0</v>
      </c>
    </row>
    <row r="224" spans="1:14" ht="15.65" outlineLevel="2">
      <c r="A224" s="5">
        <v>365</v>
      </c>
      <c r="B224" s="6">
        <v>1987</v>
      </c>
      <c r="C224" s="3">
        <v>17545794.07</v>
      </c>
      <c r="D224" s="3">
        <v>17545794.07</v>
      </c>
      <c r="F224" s="2">
        <v>52</v>
      </c>
      <c r="G224" s="3">
        <v>31.516116</v>
      </c>
      <c r="H224" s="12">
        <v>-0.75</v>
      </c>
      <c r="I224" s="3">
        <f t="shared" si="37"/>
        <v>12095394.581367189</v>
      </c>
      <c r="J224" s="3">
        <f t="shared" si="38"/>
        <v>1.2012890774978156</v>
      </c>
      <c r="K224" s="1">
        <f t="shared" si="39"/>
        <v>14530065.398622667</v>
      </c>
      <c r="L224" s="3"/>
      <c r="M224" s="4">
        <f t="shared" si="40"/>
        <v>14530065.398622667</v>
      </c>
      <c r="N224" s="4">
        <f t="shared" si="41"/>
        <v>0</v>
      </c>
    </row>
    <row r="225" spans="1:14" ht="15.65" outlineLevel="2">
      <c r="A225" s="5">
        <v>365</v>
      </c>
      <c r="B225" s="6">
        <v>1986</v>
      </c>
      <c r="C225" s="3">
        <v>21629264.09</v>
      </c>
      <c r="D225" s="3">
        <v>21629264.09</v>
      </c>
      <c r="F225" s="2">
        <v>52</v>
      </c>
      <c r="G225" s="3">
        <v>30.963764999999999</v>
      </c>
      <c r="H225" s="12">
        <v>-0.75</v>
      </c>
      <c r="I225" s="3">
        <f t="shared" si="37"/>
        <v>15312442.191923596</v>
      </c>
      <c r="J225" s="3">
        <f t="shared" si="38"/>
        <v>1.2012890774978156</v>
      </c>
      <c r="K225" s="1">
        <f t="shared" si="39"/>
        <v>18394669.554974526</v>
      </c>
      <c r="L225" s="3"/>
      <c r="M225" s="4">
        <f t="shared" si="40"/>
        <v>18394669.554974526</v>
      </c>
      <c r="N225" s="4">
        <f t="shared" si="41"/>
        <v>0</v>
      </c>
    </row>
    <row r="226" spans="1:14" ht="15.65" outlineLevel="2">
      <c r="A226" s="5">
        <v>365</v>
      </c>
      <c r="B226" s="6">
        <v>1985</v>
      </c>
      <c r="C226" s="3">
        <v>25153861.02</v>
      </c>
      <c r="D226" s="3">
        <v>25153861.02</v>
      </c>
      <c r="F226" s="2">
        <v>52</v>
      </c>
      <c r="G226" s="3">
        <v>30.415199999999999</v>
      </c>
      <c r="H226" s="12">
        <v>-0.75</v>
      </c>
      <c r="I226" s="3">
        <f t="shared" si="37"/>
        <v>18272054.881785925</v>
      </c>
      <c r="J226" s="3">
        <f t="shared" si="38"/>
        <v>1.2012890774978156</v>
      </c>
      <c r="K226" s="1">
        <f t="shared" si="39"/>
        <v>21950019.95293007</v>
      </c>
      <c r="L226" s="3"/>
      <c r="M226" s="4">
        <f t="shared" si="40"/>
        <v>21950019.95293007</v>
      </c>
      <c r="N226" s="4">
        <f t="shared" si="41"/>
        <v>0</v>
      </c>
    </row>
    <row r="227" spans="1:14" ht="15.65" outlineLevel="2">
      <c r="A227" s="5">
        <v>365</v>
      </c>
      <c r="B227" s="6">
        <v>1984</v>
      </c>
      <c r="C227" s="3">
        <v>17627901.66</v>
      </c>
      <c r="D227" s="3">
        <v>17627901.66</v>
      </c>
      <c r="F227" s="2">
        <v>52</v>
      </c>
      <c r="G227" s="3">
        <v>29.870528</v>
      </c>
      <c r="H227" s="12">
        <v>-0.75</v>
      </c>
      <c r="I227" s="3">
        <f t="shared" si="37"/>
        <v>13128236.026086848</v>
      </c>
      <c r="J227" s="3">
        <f t="shared" si="38"/>
        <v>1.2012890774978156</v>
      </c>
      <c r="K227" s="1">
        <f t="shared" si="39"/>
        <v>15770806.544951458</v>
      </c>
      <c r="L227" s="3"/>
      <c r="M227" s="4">
        <f t="shared" si="40"/>
        <v>15770806.544951458</v>
      </c>
      <c r="N227" s="4">
        <f t="shared" si="41"/>
        <v>0</v>
      </c>
    </row>
    <row r="228" spans="1:14" ht="15.65" outlineLevel="2">
      <c r="A228" s="5">
        <v>365</v>
      </c>
      <c r="B228" s="6">
        <v>1983</v>
      </c>
      <c r="C228" s="3">
        <v>15124626.69</v>
      </c>
      <c r="D228" s="3">
        <v>15124626.69</v>
      </c>
      <c r="F228" s="2">
        <v>52</v>
      </c>
      <c r="G228" s="3">
        <v>29.329834999999999</v>
      </c>
      <c r="H228" s="12">
        <v>-0.75</v>
      </c>
      <c r="I228" s="3">
        <f t="shared" si="37"/>
        <v>11539156.146057339</v>
      </c>
      <c r="J228" s="3">
        <f t="shared" si="38"/>
        <v>1.2012890774978156</v>
      </c>
      <c r="K228" s="1">
        <f t="shared" si="39"/>
        <v>13861862.24180047</v>
      </c>
      <c r="L228" s="3"/>
      <c r="M228" s="4">
        <f t="shared" si="40"/>
        <v>13861862.24180047</v>
      </c>
      <c r="N228" s="4">
        <f t="shared" si="41"/>
        <v>0</v>
      </c>
    </row>
    <row r="229" spans="1:14" ht="15.65" outlineLevel="2">
      <c r="A229" s="5">
        <v>365</v>
      </c>
      <c r="B229" s="6">
        <v>1982</v>
      </c>
      <c r="C229" s="3">
        <v>15739616</v>
      </c>
      <c r="D229" s="3">
        <v>15739616</v>
      </c>
      <c r="F229" s="2">
        <v>52</v>
      </c>
      <c r="G229" s="3">
        <v>28.793268999999999</v>
      </c>
      <c r="H229" s="12">
        <v>-0.75</v>
      </c>
      <c r="I229" s="3">
        <f t="shared" si="37"/>
        <v>12292573.278303232</v>
      </c>
      <c r="J229" s="3">
        <f t="shared" si="38"/>
        <v>1.2012890774978156</v>
      </c>
      <c r="K229" s="1">
        <f t="shared" si="39"/>
        <v>14766934.013567189</v>
      </c>
      <c r="L229" s="3"/>
      <c r="M229" s="4">
        <f t="shared" si="40"/>
        <v>14766934.013567189</v>
      </c>
      <c r="N229" s="4">
        <f t="shared" si="41"/>
        <v>0</v>
      </c>
    </row>
    <row r="230" spans="1:14" ht="15.65" outlineLevel="2">
      <c r="A230" s="5">
        <v>365</v>
      </c>
      <c r="B230" s="6">
        <v>1981</v>
      </c>
      <c r="C230" s="3">
        <v>13132347.51</v>
      </c>
      <c r="D230" s="3">
        <v>13132347.51</v>
      </c>
      <c r="F230" s="2">
        <v>52</v>
      </c>
      <c r="G230" s="3">
        <v>28.260905000000001</v>
      </c>
      <c r="H230" s="12">
        <v>-0.75</v>
      </c>
      <c r="I230" s="3">
        <f t="shared" si="37"/>
        <v>10491588.05668425</v>
      </c>
      <c r="J230" s="3">
        <f t="shared" si="38"/>
        <v>1.2012890774978156</v>
      </c>
      <c r="K230" s="1">
        <f t="shared" si="39"/>
        <v>12603430.138101323</v>
      </c>
      <c r="L230" s="3"/>
      <c r="M230" s="4">
        <f t="shared" si="40"/>
        <v>12603430.138101323</v>
      </c>
      <c r="N230" s="4">
        <f t="shared" si="41"/>
        <v>0</v>
      </c>
    </row>
    <row r="231" spans="1:14" ht="15.65" outlineLevel="2">
      <c r="A231" s="5">
        <v>365</v>
      </c>
      <c r="B231" s="6">
        <v>1980</v>
      </c>
      <c r="C231" s="3">
        <v>10983828.220000001</v>
      </c>
      <c r="D231" s="3">
        <v>10983828.220000001</v>
      </c>
      <c r="F231" s="2">
        <v>52</v>
      </c>
      <c r="G231" s="3">
        <v>27.732762999999998</v>
      </c>
      <c r="H231" s="12">
        <v>-0.75</v>
      </c>
      <c r="I231" s="3">
        <f t="shared" si="37"/>
        <v>8970337.202279795</v>
      </c>
      <c r="J231" s="3">
        <f t="shared" si="38"/>
        <v>1.2012890774978156</v>
      </c>
      <c r="K231" s="1">
        <f t="shared" si="39"/>
        <v>10775968.102571031</v>
      </c>
      <c r="L231" s="3"/>
      <c r="M231" s="4">
        <f t="shared" si="40"/>
        <v>10775968.102571031</v>
      </c>
      <c r="N231" s="4">
        <f t="shared" si="41"/>
        <v>0</v>
      </c>
    </row>
    <row r="232" spans="1:14" ht="15.65" outlineLevel="2">
      <c r="A232" s="5">
        <v>365</v>
      </c>
      <c r="B232" s="6">
        <v>1979</v>
      </c>
      <c r="C232" s="3">
        <v>10340374.279999999</v>
      </c>
      <c r="D232" s="3">
        <v>10340374.279999999</v>
      </c>
      <c r="F232" s="2">
        <v>52</v>
      </c>
      <c r="G232" s="3">
        <v>27.208894999999998</v>
      </c>
      <c r="H232" s="12">
        <v>-0.75</v>
      </c>
      <c r="I232" s="3">
        <f t="shared" si="37"/>
        <v>8627140.0557858441</v>
      </c>
      <c r="J232" s="3">
        <f t="shared" si="38"/>
        <v>1.2012890774978156</v>
      </c>
      <c r="K232" s="1">
        <f t="shared" si="39"/>
        <v>10363689.11905943</v>
      </c>
      <c r="L232" s="3"/>
      <c r="M232" s="4">
        <f t="shared" si="40"/>
        <v>10363689.119059432</v>
      </c>
      <c r="N232" s="4">
        <f t="shared" si="41"/>
        <v>0</v>
      </c>
    </row>
    <row r="233" spans="1:14" ht="15.65" outlineLevel="2">
      <c r="A233" s="5">
        <v>365</v>
      </c>
      <c r="B233" s="6">
        <v>1978</v>
      </c>
      <c r="C233" s="3">
        <v>8626568.0800000001</v>
      </c>
      <c r="D233" s="3">
        <v>8626568.0800000001</v>
      </c>
      <c r="F233" s="2">
        <v>52</v>
      </c>
      <c r="G233" s="3">
        <v>26.689359</v>
      </c>
      <c r="H233" s="12">
        <v>-0.75</v>
      </c>
      <c r="I233" s="3">
        <f t="shared" si="37"/>
        <v>7348114.2987719951</v>
      </c>
      <c r="J233" s="3">
        <f t="shared" si="38"/>
        <v>1.2012890774978156</v>
      </c>
      <c r="K233" s="1">
        <f t="shared" si="39"/>
        <v>8827209.4473203178</v>
      </c>
      <c r="L233" s="3"/>
      <c r="M233" s="4">
        <f t="shared" si="40"/>
        <v>8827209.4473203178</v>
      </c>
      <c r="N233" s="4">
        <f t="shared" si="41"/>
        <v>0</v>
      </c>
    </row>
    <row r="234" spans="1:14" ht="15.65" outlineLevel="2">
      <c r="A234" s="5">
        <v>365</v>
      </c>
      <c r="B234" s="6">
        <v>1977</v>
      </c>
      <c r="C234" s="3">
        <v>6952858.2999999998</v>
      </c>
      <c r="D234" s="3">
        <v>6952858.2999999998</v>
      </c>
      <c r="F234" s="2">
        <v>52</v>
      </c>
      <c r="G234" s="3">
        <v>26.174192999999999</v>
      </c>
      <c r="H234" s="12">
        <v>-0.75</v>
      </c>
      <c r="I234" s="3">
        <f t="shared" si="37"/>
        <v>6042991.5186492158</v>
      </c>
      <c r="J234" s="3">
        <f t="shared" si="38"/>
        <v>1.2012890774978156</v>
      </c>
      <c r="K234" s="1">
        <f t="shared" si="39"/>
        <v>7259379.7067652401</v>
      </c>
      <c r="L234" s="3"/>
      <c r="M234" s="4">
        <f t="shared" si="40"/>
        <v>7259379.7067652391</v>
      </c>
      <c r="N234" s="4">
        <f t="shared" si="41"/>
        <v>0</v>
      </c>
    </row>
    <row r="235" spans="1:14" ht="15.65" outlineLevel="2">
      <c r="A235" s="5">
        <v>365</v>
      </c>
      <c r="B235" s="6">
        <v>1976</v>
      </c>
      <c r="C235" s="3">
        <v>5258881.1699999999</v>
      </c>
      <c r="D235" s="3">
        <v>5258881.1699999999</v>
      </c>
      <c r="F235" s="2">
        <v>52</v>
      </c>
      <c r="G235" s="3">
        <v>25.663433000000001</v>
      </c>
      <c r="H235" s="12">
        <v>-0.75</v>
      </c>
      <c r="I235" s="3">
        <f t="shared" si="37"/>
        <v>4661087.1824577097</v>
      </c>
      <c r="J235" s="3">
        <f t="shared" si="38"/>
        <v>1.2012890774978156</v>
      </c>
      <c r="K235" s="1">
        <f t="shared" si="39"/>
        <v>5599313.1215515146</v>
      </c>
      <c r="L235" s="3"/>
      <c r="M235" s="4">
        <f t="shared" si="40"/>
        <v>5599313.1215515155</v>
      </c>
      <c r="N235" s="4">
        <f t="shared" si="41"/>
        <v>0</v>
      </c>
    </row>
    <row r="236" spans="1:14" ht="15.65" outlineLevel="2">
      <c r="A236" s="5">
        <v>365</v>
      </c>
      <c r="B236" s="6">
        <v>1975</v>
      </c>
      <c r="C236" s="3">
        <v>3532499.4500000002</v>
      </c>
      <c r="D236" s="3">
        <v>3532499.4500000002</v>
      </c>
      <c r="F236" s="2">
        <v>52</v>
      </c>
      <c r="G236" s="3">
        <v>25.157108000000001</v>
      </c>
      <c r="H236" s="12">
        <v>-0.75</v>
      </c>
      <c r="I236" s="3">
        <f t="shared" si="37"/>
        <v>3191141.8681964707</v>
      </c>
      <c r="J236" s="3">
        <f t="shared" si="38"/>
        <v>1.2012890774978156</v>
      </c>
      <c r="K236" s="1">
        <f t="shared" si="39"/>
        <v>3833483.8710103938</v>
      </c>
      <c r="L236" s="3"/>
      <c r="M236" s="4">
        <f t="shared" si="40"/>
        <v>3833483.8710103938</v>
      </c>
      <c r="N236" s="4">
        <f t="shared" si="41"/>
        <v>0</v>
      </c>
    </row>
    <row r="237" spans="1:14" ht="15.65" outlineLevel="2">
      <c r="A237" s="5">
        <v>365</v>
      </c>
      <c r="B237" s="6">
        <v>1974</v>
      </c>
      <c r="C237" s="3">
        <v>3312453.6099999999</v>
      </c>
      <c r="D237" s="3">
        <v>3312453.6099999999</v>
      </c>
      <c r="F237" s="2">
        <v>52</v>
      </c>
      <c r="G237" s="3">
        <v>24.655238000000001</v>
      </c>
      <c r="H237" s="12">
        <v>-0.75</v>
      </c>
      <c r="I237" s="3">
        <f t="shared" si="37"/>
        <v>3048306.6788963256</v>
      </c>
      <c r="J237" s="3">
        <f t="shared" si="38"/>
        <v>1.2012890774978156</v>
      </c>
      <c r="K237" s="1">
        <f t="shared" si="39"/>
        <v>3661897.518221797</v>
      </c>
      <c r="L237" s="3"/>
      <c r="M237" s="4">
        <f t="shared" si="40"/>
        <v>3661897.518221797</v>
      </c>
      <c r="N237" s="4">
        <f t="shared" si="41"/>
        <v>0</v>
      </c>
    </row>
    <row r="238" spans="1:14" ht="15.65" outlineLevel="2">
      <c r="A238" s="5">
        <v>365</v>
      </c>
      <c r="B238" s="6">
        <v>1973</v>
      </c>
      <c r="C238" s="3">
        <v>3480165.9900000002</v>
      </c>
      <c r="D238" s="3">
        <v>3480165.9900000002</v>
      </c>
      <c r="F238" s="2">
        <v>52</v>
      </c>
      <c r="G238" s="3">
        <v>24.157831000000002</v>
      </c>
      <c r="H238" s="12">
        <v>-0.75</v>
      </c>
      <c r="I238" s="3">
        <f t="shared" si="37"/>
        <v>3260901.8629395487</v>
      </c>
      <c r="J238" s="3">
        <f t="shared" si="38"/>
        <v>1.2012890774978156</v>
      </c>
      <c r="K238" s="1">
        <f t="shared" si="39"/>
        <v>3917285.7907415587</v>
      </c>
      <c r="L238" s="3"/>
      <c r="M238" s="4">
        <f t="shared" si="40"/>
        <v>3917285.7907415587</v>
      </c>
      <c r="N238" s="4">
        <f t="shared" si="41"/>
        <v>0</v>
      </c>
    </row>
    <row r="239" spans="1:14" ht="15.65" outlineLevel="2">
      <c r="A239" s="5">
        <v>365</v>
      </c>
      <c r="B239" s="6">
        <v>1972</v>
      </c>
      <c r="C239" s="3">
        <v>3143231.1600000001</v>
      </c>
      <c r="D239" s="3">
        <v>3143231.1600000001</v>
      </c>
      <c r="F239" s="2">
        <v>52</v>
      </c>
      <c r="G239" s="3">
        <v>23.664894</v>
      </c>
      <c r="H239" s="12">
        <v>-0.75</v>
      </c>
      <c r="I239" s="3">
        <f t="shared" si="37"/>
        <v>2997339.0226332727</v>
      </c>
      <c r="J239" s="3">
        <f t="shared" si="38"/>
        <v>1.2012890774978156</v>
      </c>
      <c r="K239" s="1">
        <f t="shared" si="39"/>
        <v>3600670.6294473284</v>
      </c>
      <c r="L239" s="3"/>
      <c r="M239" s="4">
        <f t="shared" si="40"/>
        <v>3600670.6294473284</v>
      </c>
      <c r="N239" s="4">
        <f t="shared" si="41"/>
        <v>0</v>
      </c>
    </row>
    <row r="240" spans="1:14" ht="15.65" outlineLevel="2">
      <c r="A240" s="5">
        <v>365</v>
      </c>
      <c r="B240" s="6">
        <v>1971</v>
      </c>
      <c r="C240" s="3">
        <v>3132564.77</v>
      </c>
      <c r="D240" s="3">
        <v>3132564.77</v>
      </c>
      <c r="F240" s="2">
        <v>52</v>
      </c>
      <c r="G240" s="3">
        <v>23.17642</v>
      </c>
      <c r="H240" s="12">
        <v>-0.75</v>
      </c>
      <c r="I240" s="3">
        <f t="shared" si="37"/>
        <v>3038664.0325621935</v>
      </c>
      <c r="J240" s="3">
        <f t="shared" si="38"/>
        <v>1.2012890774978156</v>
      </c>
      <c r="K240" s="1">
        <f t="shared" si="39"/>
        <v>3650313.9125024294</v>
      </c>
      <c r="L240" s="3"/>
      <c r="M240" s="4">
        <f t="shared" si="40"/>
        <v>3650313.9125024294</v>
      </c>
      <c r="N240" s="4">
        <f t="shared" si="41"/>
        <v>0</v>
      </c>
    </row>
    <row r="241" spans="1:14" ht="15.65" outlineLevel="2">
      <c r="A241" s="5">
        <v>365</v>
      </c>
      <c r="B241" s="6">
        <v>1970</v>
      </c>
      <c r="C241" s="3">
        <v>2999082.7799999998</v>
      </c>
      <c r="D241" s="3">
        <v>2999082.7799999998</v>
      </c>
      <c r="F241" s="2">
        <v>52</v>
      </c>
      <c r="G241" s="3">
        <v>22.692397</v>
      </c>
      <c r="H241" s="12">
        <v>-0.75</v>
      </c>
      <c r="I241" s="3">
        <f t="shared" si="37"/>
        <v>2958036.0209742039</v>
      </c>
      <c r="J241" s="3">
        <f t="shared" si="38"/>
        <v>1.2012890774978156</v>
      </c>
      <c r="K241" s="1">
        <f t="shared" si="39"/>
        <v>3553456.3628414106</v>
      </c>
      <c r="L241" s="3"/>
      <c r="M241" s="4">
        <f t="shared" si="40"/>
        <v>3553456.3628414101</v>
      </c>
      <c r="N241" s="4">
        <f t="shared" si="41"/>
        <v>0</v>
      </c>
    </row>
    <row r="242" spans="1:14" ht="15.65" outlineLevel="2">
      <c r="A242" s="5">
        <v>365</v>
      </c>
      <c r="B242" s="6">
        <v>1969</v>
      </c>
      <c r="C242" s="3">
        <v>2559408.9399999999</v>
      </c>
      <c r="D242" s="3">
        <v>2559408.9399999999</v>
      </c>
      <c r="F242" s="2">
        <v>52</v>
      </c>
      <c r="G242" s="3">
        <v>22.212848000000001</v>
      </c>
      <c r="H242" s="12">
        <v>-0.75</v>
      </c>
      <c r="I242" s="3">
        <f t="shared" si="37"/>
        <v>2565685.201353712</v>
      </c>
      <c r="J242" s="3">
        <f t="shared" si="38"/>
        <v>1.2012890774978156</v>
      </c>
      <c r="K242" s="1">
        <f t="shared" si="39"/>
        <v>3082129.6086839978</v>
      </c>
      <c r="L242" s="3"/>
      <c r="M242" s="4">
        <f t="shared" si="40"/>
        <v>3082129.6086839982</v>
      </c>
      <c r="N242" s="4">
        <f t="shared" si="41"/>
        <v>0</v>
      </c>
    </row>
    <row r="243" spans="1:14" ht="15.65" outlineLevel="2">
      <c r="A243" s="5">
        <v>365</v>
      </c>
      <c r="B243" s="6">
        <v>1968</v>
      </c>
      <c r="C243" s="3">
        <v>2632357.3199999998</v>
      </c>
      <c r="D243" s="3">
        <v>2632357.3199999998</v>
      </c>
      <c r="F243" s="2">
        <v>52</v>
      </c>
      <c r="G243" s="3">
        <v>21.737731</v>
      </c>
      <c r="H243" s="12">
        <v>-0.75</v>
      </c>
      <c r="I243" s="3">
        <f t="shared" si="37"/>
        <v>2680902.5829505455</v>
      </c>
      <c r="J243" s="3">
        <f t="shared" si="38"/>
        <v>1.2012890774978156</v>
      </c>
      <c r="K243" s="1">
        <f t="shared" si="39"/>
        <v>3220538.9907341716</v>
      </c>
      <c r="L243" s="3"/>
      <c r="M243" s="4">
        <f t="shared" si="40"/>
        <v>3220538.9907341716</v>
      </c>
      <c r="N243" s="4">
        <f t="shared" si="41"/>
        <v>0</v>
      </c>
    </row>
    <row r="244" spans="1:14" ht="15.65" outlineLevel="2">
      <c r="A244" s="5">
        <v>365</v>
      </c>
      <c r="B244" s="6">
        <v>1967</v>
      </c>
      <c r="C244" s="3">
        <v>2556645.6200000001</v>
      </c>
      <c r="D244" s="3">
        <v>2556645.6200000001</v>
      </c>
      <c r="F244" s="2">
        <v>52</v>
      </c>
      <c r="G244" s="3">
        <v>21.266983</v>
      </c>
      <c r="H244" s="12">
        <v>-0.75</v>
      </c>
      <c r="I244" s="3">
        <f t="shared" si="37"/>
        <v>2644298.2361396574</v>
      </c>
      <c r="J244" s="3">
        <f t="shared" si="38"/>
        <v>1.2012890774978156</v>
      </c>
      <c r="K244" s="1">
        <f t="shared" si="39"/>
        <v>3176566.5887213098</v>
      </c>
      <c r="L244" s="3"/>
      <c r="M244" s="4">
        <f t="shared" si="40"/>
        <v>3176566.5887213098</v>
      </c>
      <c r="N244" s="4">
        <f t="shared" si="41"/>
        <v>0</v>
      </c>
    </row>
    <row r="245" spans="1:14" ht="15.65" outlineLevel="2">
      <c r="A245" s="5">
        <v>365</v>
      </c>
      <c r="B245" s="6">
        <v>1966</v>
      </c>
      <c r="C245" s="3">
        <v>2436009.21</v>
      </c>
      <c r="D245" s="3">
        <v>2436009.21</v>
      </c>
      <c r="F245" s="2">
        <v>52</v>
      </c>
      <c r="G245" s="3">
        <v>20.800560999999998</v>
      </c>
      <c r="H245" s="12">
        <v>-0.75</v>
      </c>
      <c r="I245" s="3">
        <f t="shared" si="37"/>
        <v>2557763.6791145783</v>
      </c>
      <c r="J245" s="3">
        <f t="shared" si="38"/>
        <v>1.2012890774978156</v>
      </c>
      <c r="K245" s="1">
        <f t="shared" si="39"/>
        <v>3072613.5705409707</v>
      </c>
      <c r="L245" s="3"/>
      <c r="M245" s="4">
        <f t="shared" si="40"/>
        <v>3072613.5705409707</v>
      </c>
      <c r="N245" s="4">
        <f t="shared" si="41"/>
        <v>0</v>
      </c>
    </row>
    <row r="246" spans="1:14" ht="15.65" outlineLevel="2">
      <c r="A246" s="5">
        <v>365</v>
      </c>
      <c r="B246" s="6">
        <v>1965</v>
      </c>
      <c r="C246" s="3">
        <v>24298913.129999999</v>
      </c>
      <c r="D246" s="3">
        <v>24298913.129999999</v>
      </c>
      <c r="F246" s="2">
        <v>52</v>
      </c>
      <c r="G246" s="3">
        <v>20.338417</v>
      </c>
      <c r="H246" s="12">
        <v>-0.75</v>
      </c>
      <c r="I246" s="3">
        <f t="shared" si="37"/>
        <v>25891319.154456697</v>
      </c>
      <c r="J246" s="3">
        <f t="shared" si="38"/>
        <v>1.2012890774978156</v>
      </c>
      <c r="K246" s="1">
        <f t="shared" si="39"/>
        <v>31102958.902258806</v>
      </c>
      <c r="L246" s="3"/>
      <c r="M246" s="4">
        <f t="shared" si="40"/>
        <v>31102958.902258806</v>
      </c>
      <c r="N246" s="4">
        <f t="shared" si="41"/>
        <v>0</v>
      </c>
    </row>
    <row r="247" spans="1:14" ht="15.65" outlineLevel="2">
      <c r="A247" s="5">
        <v>365</v>
      </c>
      <c r="B247" s="6">
        <v>1964</v>
      </c>
      <c r="C247" s="3">
        <v>1116487.1799999999</v>
      </c>
      <c r="D247" s="3">
        <v>1116487.1799999999</v>
      </c>
      <c r="F247" s="2">
        <v>52</v>
      </c>
      <c r="G247" s="3">
        <v>19.880493999999999</v>
      </c>
      <c r="H247" s="12">
        <v>-0.75</v>
      </c>
      <c r="I247" s="3">
        <f t="shared" si="37"/>
        <v>1206861.1381660171</v>
      </c>
      <c r="J247" s="3">
        <f t="shared" si="38"/>
        <v>1.2012890774978156</v>
      </c>
      <c r="K247" s="1">
        <f t="shared" si="39"/>
        <v>1449789.1033354185</v>
      </c>
      <c r="L247" s="3"/>
      <c r="M247" s="4">
        <f t="shared" si="40"/>
        <v>1449789.1033354185</v>
      </c>
      <c r="N247" s="4">
        <f t="shared" si="41"/>
        <v>0</v>
      </c>
    </row>
    <row r="248" spans="1:14" ht="15.65" outlineLevel="2">
      <c r="A248" s="5">
        <v>365</v>
      </c>
      <c r="B248" s="6">
        <v>1963</v>
      </c>
      <c r="C248" s="3">
        <v>8816724.0500000007</v>
      </c>
      <c r="D248" s="3">
        <v>8816724.0500000007</v>
      </c>
      <c r="F248" s="2">
        <v>52</v>
      </c>
      <c r="G248" s="3">
        <v>19.426732999999999</v>
      </c>
      <c r="H248" s="12">
        <v>-0.75</v>
      </c>
      <c r="I248" s="3">
        <f t="shared" si="37"/>
        <v>9665031.4702971149</v>
      </c>
      <c r="J248" s="3">
        <f t="shared" si="38"/>
        <v>1.2012890774978156</v>
      </c>
      <c r="K248" s="1">
        <f t="shared" si="39"/>
        <v>11610496.738940578</v>
      </c>
      <c r="L248" s="3"/>
      <c r="M248" s="4">
        <f t="shared" si="40"/>
        <v>11610496.73894058</v>
      </c>
      <c r="N248" s="4">
        <f t="shared" si="41"/>
        <v>0</v>
      </c>
    </row>
    <row r="249" spans="1:14" ht="15.65" outlineLevel="2">
      <c r="A249" s="5">
        <v>365</v>
      </c>
      <c r="B249" s="6">
        <v>1962</v>
      </c>
      <c r="C249" s="3">
        <v>3994836.5699999998</v>
      </c>
      <c r="D249" s="3">
        <v>3994836.5699999998</v>
      </c>
      <c r="F249" s="2">
        <v>52</v>
      </c>
      <c r="G249" s="3">
        <v>18.977060000000002</v>
      </c>
      <c r="H249" s="12">
        <v>-0.75</v>
      </c>
      <c r="I249" s="3">
        <f t="shared" si="37"/>
        <v>4439657.3967615888</v>
      </c>
      <c r="J249" s="3">
        <f t="shared" si="38"/>
        <v>1.2012890774978156</v>
      </c>
      <c r="K249" s="1">
        <f t="shared" si="39"/>
        <v>5333311.9385620821</v>
      </c>
      <c r="L249" s="3"/>
      <c r="M249" s="4">
        <f t="shared" si="40"/>
        <v>5333311.9385620821</v>
      </c>
      <c r="N249" s="4">
        <f t="shared" si="41"/>
        <v>0</v>
      </c>
    </row>
    <row r="250" spans="1:14" ht="15.65" outlineLevel="2">
      <c r="A250" s="5">
        <v>365</v>
      </c>
      <c r="B250" s="6">
        <v>1961</v>
      </c>
      <c r="C250" s="3">
        <v>6060171.1399999997</v>
      </c>
      <c r="D250" s="3">
        <v>6060171.1399999997</v>
      </c>
      <c r="F250" s="2">
        <v>52</v>
      </c>
      <c r="G250" s="3">
        <v>18.531407999999999</v>
      </c>
      <c r="H250" s="12">
        <v>-0.75</v>
      </c>
      <c r="I250" s="3">
        <f t="shared" si="37"/>
        <v>6825854.6506915577</v>
      </c>
      <c r="J250" s="3">
        <f t="shared" si="38"/>
        <v>1.2012890774978156</v>
      </c>
      <c r="K250" s="1">
        <f t="shared" si="39"/>
        <v>8199824.6364634354</v>
      </c>
      <c r="L250" s="3"/>
      <c r="M250" s="4">
        <f t="shared" si="40"/>
        <v>8199824.6364634363</v>
      </c>
      <c r="N250" s="4">
        <f t="shared" si="41"/>
        <v>0</v>
      </c>
    </row>
    <row r="251" spans="1:14" ht="15.65" outlineLevel="2">
      <c r="A251" s="5">
        <v>365</v>
      </c>
      <c r="B251" s="6">
        <v>1960</v>
      </c>
      <c r="C251" s="3">
        <v>1610114.01</v>
      </c>
      <c r="D251" s="3">
        <v>1610114.01</v>
      </c>
      <c r="F251" s="2">
        <v>52</v>
      </c>
      <c r="G251" s="3">
        <v>18.089690999999998</v>
      </c>
      <c r="H251" s="12">
        <v>-0.75</v>
      </c>
      <c r="I251" s="3">
        <f t="shared" si="37"/>
        <v>1837481.9482226139</v>
      </c>
      <c r="J251" s="3">
        <f t="shared" si="38"/>
        <v>1.2012890774978156</v>
      </c>
      <c r="K251" s="1">
        <f t="shared" si="39"/>
        <v>2207346.9944992326</v>
      </c>
      <c r="L251" s="3"/>
      <c r="M251" s="4">
        <f t="shared" si="40"/>
        <v>2207346.9944992326</v>
      </c>
      <c r="N251" s="4">
        <f t="shared" si="41"/>
        <v>0</v>
      </c>
    </row>
    <row r="252" spans="1:14" ht="15.65" outlineLevel="2">
      <c r="A252" s="5">
        <v>365</v>
      </c>
      <c r="B252" s="6">
        <v>1959</v>
      </c>
      <c r="C252" s="3">
        <v>149779.25</v>
      </c>
      <c r="D252" s="3">
        <v>149779.25</v>
      </c>
      <c r="F252" s="2">
        <v>52</v>
      </c>
      <c r="G252" s="3">
        <v>17.651816</v>
      </c>
      <c r="H252" s="12">
        <v>-0.75</v>
      </c>
      <c r="I252" s="3">
        <f t="shared" si="37"/>
        <v>173137.099368625</v>
      </c>
      <c r="J252" s="3">
        <f t="shared" si="38"/>
        <v>1.2012890774978156</v>
      </c>
      <c r="K252" s="1">
        <f t="shared" si="39"/>
        <v>207987.70638118315</v>
      </c>
      <c r="L252" s="3"/>
      <c r="M252" s="4">
        <f t="shared" si="40"/>
        <v>207987.70638118315</v>
      </c>
      <c r="N252" s="4">
        <f t="shared" si="41"/>
        <v>0</v>
      </c>
    </row>
    <row r="253" spans="1:14" ht="15.65" outlineLevel="2">
      <c r="A253" s="5">
        <v>365</v>
      </c>
      <c r="B253" s="6">
        <v>1958</v>
      </c>
      <c r="C253" s="3">
        <v>60807.379999999997</v>
      </c>
      <c r="D253" s="3">
        <v>60807.379999999997</v>
      </c>
      <c r="F253" s="2">
        <v>52</v>
      </c>
      <c r="G253" s="3">
        <v>17.217690000000001</v>
      </c>
      <c r="H253" s="12">
        <v>-0.75</v>
      </c>
      <c r="I253" s="3">
        <f t="shared" si="37"/>
        <v>71178.596106416328</v>
      </c>
      <c r="J253" s="3">
        <f t="shared" si="38"/>
        <v>1.2012890774978156</v>
      </c>
      <c r="K253" s="1">
        <f t="shared" si="39"/>
        <v>85506.070054266471</v>
      </c>
      <c r="L253" s="3"/>
      <c r="M253" s="4">
        <f t="shared" si="40"/>
        <v>85506.070054266471</v>
      </c>
      <c r="N253" s="4">
        <f t="shared" si="41"/>
        <v>0</v>
      </c>
    </row>
    <row r="254" spans="1:14" ht="15.65" outlineLevel="2">
      <c r="A254" s="5">
        <v>365</v>
      </c>
      <c r="B254" s="6">
        <v>1957</v>
      </c>
      <c r="C254" s="3">
        <v>60312.519999999997</v>
      </c>
      <c r="D254" s="3">
        <v>60312.519999999997</v>
      </c>
      <c r="F254" s="2">
        <v>52</v>
      </c>
      <c r="G254" s="3">
        <v>16.787209000000001</v>
      </c>
      <c r="H254" s="12">
        <v>-0.75</v>
      </c>
      <c r="I254" s="3">
        <f t="shared" si="42" ref="I254:I259">+C254*(1-H254)*(1-G254/F254)</f>
        <v>71473.101587034806</v>
      </c>
      <c r="J254" s="3">
        <f t="shared" si="43" ref="J254:J264">$J$265</f>
        <v>1.2012890774978156</v>
      </c>
      <c r="K254" s="1">
        <f t="shared" si="44" ref="K254:K264">IF((C254*(1-H254)-I254*J254)&lt;0,C254*(1-H254),I254*J254)</f>
        <v>85859.856271396697</v>
      </c>
      <c r="L254" s="3"/>
      <c r="M254" s="4">
        <f t="shared" si="45" ref="M254:M264">+K254/D254*C254</f>
        <v>85859.856271396697</v>
      </c>
      <c r="N254" s="4">
        <f t="shared" si="46" ref="N254:N264">+E254/C254*K254</f>
        <v>0</v>
      </c>
    </row>
    <row r="255" spans="1:14" ht="15.65" outlineLevel="2">
      <c r="A255" s="5">
        <v>365</v>
      </c>
      <c r="B255" s="6">
        <v>1956</v>
      </c>
      <c r="C255" s="3">
        <v>21931.700000000001</v>
      </c>
      <c r="D255" s="3">
        <v>21931.700000000001</v>
      </c>
      <c r="F255" s="2">
        <v>52</v>
      </c>
      <c r="G255" s="3">
        <v>16.360239</v>
      </c>
      <c r="H255" s="12">
        <v>-0.75</v>
      </c>
      <c r="I255" s="3">
        <f t="shared" si="42"/>
        <v>26305.210693586061</v>
      </c>
      <c r="J255" s="3">
        <f t="shared" si="43"/>
        <v>1.2012890774978156</v>
      </c>
      <c r="K255" s="1">
        <f t="shared" si="44"/>
        <v>31600.162287483672</v>
      </c>
      <c r="L255" s="3"/>
      <c r="M255" s="4">
        <f t="shared" si="45"/>
        <v>31600.162287483672</v>
      </c>
      <c r="N255" s="4">
        <f t="shared" si="46"/>
        <v>0</v>
      </c>
    </row>
    <row r="256" spans="1:14" ht="15.65" outlineLevel="2">
      <c r="A256" s="5">
        <v>365</v>
      </c>
      <c r="B256" s="6">
        <v>1955</v>
      </c>
      <c r="C256" s="3">
        <v>119108.11</v>
      </c>
      <c r="D256" s="3">
        <v>119108.11</v>
      </c>
      <c r="F256" s="2">
        <v>52</v>
      </c>
      <c r="G256" s="3">
        <v>15.936640000000001</v>
      </c>
      <c r="H256" s="12">
        <v>-0.75</v>
      </c>
      <c r="I256" s="3">
        <f t="shared" si="42"/>
        <v>144558.0314853231</v>
      </c>
      <c r="J256" s="3">
        <f t="shared" si="43"/>
        <v>1.2012890774978156</v>
      </c>
      <c r="K256" s="1">
        <f t="shared" si="44"/>
        <v>173655.98428790396</v>
      </c>
      <c r="L256" s="3"/>
      <c r="M256" s="4">
        <f t="shared" si="45"/>
        <v>173655.98428790396</v>
      </c>
      <c r="N256" s="4">
        <f t="shared" si="46"/>
        <v>0</v>
      </c>
    </row>
    <row r="257" spans="1:14" ht="15.65" outlineLevel="2">
      <c r="A257" s="5">
        <v>365</v>
      </c>
      <c r="B257" s="6">
        <v>1953</v>
      </c>
      <c r="C257" s="3">
        <v>3944.79</v>
      </c>
      <c r="D257" s="3">
        <v>3944.79</v>
      </c>
      <c r="F257" s="2">
        <v>52</v>
      </c>
      <c r="G257" s="3">
        <v>15.099062999999999</v>
      </c>
      <c r="H257" s="12">
        <v>-0.75</v>
      </c>
      <c r="I257" s="3">
        <f t="shared" si="42"/>
        <v>4898.8708215269708</v>
      </c>
      <c r="J257" s="3">
        <f t="shared" si="43"/>
        <v>1.2012890774978156</v>
      </c>
      <c r="K257" s="1">
        <f t="shared" si="44"/>
        <v>5884.9600099731006</v>
      </c>
      <c r="L257" s="3"/>
      <c r="M257" s="4">
        <f t="shared" si="45"/>
        <v>5884.9600099731006</v>
      </c>
      <c r="N257" s="4">
        <f t="shared" si="46"/>
        <v>0</v>
      </c>
    </row>
    <row r="258" spans="1:14" ht="15.65" outlineLevel="2">
      <c r="A258" s="5">
        <v>365</v>
      </c>
      <c r="B258" s="6">
        <v>1952</v>
      </c>
      <c r="C258" s="3">
        <v>9413.3799999999992</v>
      </c>
      <c r="D258" s="3">
        <v>9413.3799999999992</v>
      </c>
      <c r="F258" s="2">
        <v>52</v>
      </c>
      <c r="G258" s="3">
        <v>14.684789</v>
      </c>
      <c r="H258" s="12">
        <v>-0.75</v>
      </c>
      <c r="I258" s="3">
        <f t="shared" si="42"/>
        <v>11821.326088760863</v>
      </c>
      <c r="J258" s="3">
        <f t="shared" si="43"/>
        <v>1.2012890774978156</v>
      </c>
      <c r="K258" s="1">
        <f t="shared" si="44"/>
        <v>14200.829911968398</v>
      </c>
      <c r="L258" s="3"/>
      <c r="M258" s="4">
        <f t="shared" si="45"/>
        <v>14200.829911968398</v>
      </c>
      <c r="N258" s="4">
        <f t="shared" si="46"/>
        <v>0</v>
      </c>
    </row>
    <row r="259" spans="1:14" ht="15.65" outlineLevel="2">
      <c r="A259" s="5">
        <v>365</v>
      </c>
      <c r="B259" s="6">
        <v>1950</v>
      </c>
      <c r="C259" s="3">
        <v>244.41</v>
      </c>
      <c r="D259" s="3">
        <v>244.41</v>
      </c>
      <c r="F259" s="2">
        <v>52</v>
      </c>
      <c r="G259" s="3">
        <v>13.864464</v>
      </c>
      <c r="H259" s="12">
        <v>-0.75</v>
      </c>
      <c r="I259" s="3">
        <f t="shared" si="42"/>
        <v>313.67761767461536</v>
      </c>
      <c r="J259" s="3">
        <f t="shared" si="43"/>
        <v>1.2012890774978156</v>
      </c>
      <c r="K259" s="1">
        <f t="shared" si="44"/>
        <v>376.81749596805116</v>
      </c>
      <c r="L259" s="3"/>
      <c r="M259" s="4">
        <f t="shared" si="45"/>
        <v>376.81749596805116</v>
      </c>
      <c r="N259" s="4">
        <f t="shared" si="46"/>
        <v>0</v>
      </c>
    </row>
    <row r="260" spans="1:14" ht="15.65" outlineLevel="2">
      <c r="A260" s="5">
        <v>365</v>
      </c>
      <c r="B260" s="6">
        <v>1949</v>
      </c>
      <c r="C260" s="3">
        <v>4619.6700000000001</v>
      </c>
      <c r="D260" s="3">
        <v>4619.6700000000001</v>
      </c>
      <c r="F260" s="2">
        <v>52</v>
      </c>
      <c r="G260" s="3">
        <v>13.458057</v>
      </c>
      <c r="H260" s="12">
        <v>-0.75</v>
      </c>
      <c r="I260" s="3">
        <f>+C259*(1-H260)*(1-G260/F260)</f>
        <v>317.02045202120189</v>
      </c>
      <c r="J260" s="3">
        <f t="shared" si="43"/>
        <v>1.2012890774978156</v>
      </c>
      <c r="K260" s="1">
        <f t="shared" si="44"/>
        <v>380.83320635649011</v>
      </c>
      <c r="L260" s="3"/>
      <c r="M260" s="4">
        <f t="shared" si="45"/>
        <v>380.83320635649011</v>
      </c>
      <c r="N260" s="4">
        <f t="shared" si="46"/>
        <v>0</v>
      </c>
    </row>
    <row r="261" spans="1:14" ht="15.65" outlineLevel="2">
      <c r="A261" s="5">
        <v>365</v>
      </c>
      <c r="B261" s="6">
        <v>1948</v>
      </c>
      <c r="C261" s="3">
        <v>2708.5300000000002</v>
      </c>
      <c r="D261" s="3">
        <v>2708.5300000000002</v>
      </c>
      <c r="F261" s="2">
        <v>52</v>
      </c>
      <c r="G261" s="3">
        <v>13.053890000000001</v>
      </c>
      <c r="H261" s="12">
        <v>-0.75</v>
      </c>
      <c r="I261" s="3">
        <f>+C260*(1-H261)*(1-G261/F261)</f>
        <v>6054.9386148360582</v>
      </c>
      <c r="J261" s="3">
        <f t="shared" si="43"/>
        <v>1.2012890774978156</v>
      </c>
      <c r="K261" s="1">
        <f t="shared" si="44"/>
        <v>4739.9275000000007</v>
      </c>
      <c r="L261" s="3"/>
      <c r="M261" s="4">
        <f t="shared" si="45"/>
        <v>4739.9275000000007</v>
      </c>
      <c r="N261" s="4">
        <f t="shared" si="46"/>
        <v>0</v>
      </c>
    </row>
    <row r="262" spans="1:14" ht="15.65" outlineLevel="2">
      <c r="A262" s="5">
        <v>365</v>
      </c>
      <c r="B262" s="6">
        <v>1947</v>
      </c>
      <c r="C262" s="3">
        <v>486.60000000000002</v>
      </c>
      <c r="D262" s="3">
        <v>486.60000000000002</v>
      </c>
      <c r="F262" s="2">
        <v>52</v>
      </c>
      <c r="G262" s="3">
        <v>12.651756000000001</v>
      </c>
      <c r="H262" s="12">
        <v>-0.75</v>
      </c>
      <c r="I262" s="3">
        <f>+C261*(1-H262)*(1-G262/F262)</f>
        <v>3586.6889194675005</v>
      </c>
      <c r="J262" s="3">
        <f t="shared" si="43"/>
        <v>1.2012890774978156</v>
      </c>
      <c r="K262" s="1">
        <f t="shared" si="44"/>
        <v>851.55000000000007</v>
      </c>
      <c r="L262" s="3"/>
      <c r="M262" s="4">
        <f t="shared" si="45"/>
        <v>851.55000000000007</v>
      </c>
      <c r="N262" s="4">
        <f t="shared" si="46"/>
        <v>0</v>
      </c>
    </row>
    <row r="263" spans="1:14" ht="15.65" outlineLevel="2">
      <c r="A263" s="5">
        <v>365</v>
      </c>
      <c r="B263" s="6">
        <v>1946</v>
      </c>
      <c r="C263" s="3">
        <v>287.52999999999997</v>
      </c>
      <c r="D263" s="3">
        <v>287.52999999999997</v>
      </c>
      <c r="F263" s="2">
        <v>52</v>
      </c>
      <c r="G263" s="3">
        <v>12.25142</v>
      </c>
      <c r="H263" s="12">
        <v>-0.75</v>
      </c>
      <c r="I263" s="3">
        <f>+C262*(1-H263)*(1-G263/F263)</f>
        <v>650.92121728846155</v>
      </c>
      <c r="J263" s="3">
        <f t="shared" si="43"/>
        <v>1.2012890774978156</v>
      </c>
      <c r="K263" s="1">
        <f t="shared" si="44"/>
        <v>503.17749999999995</v>
      </c>
      <c r="L263" s="3"/>
      <c r="M263" s="4">
        <f t="shared" si="45"/>
        <v>503.17749999999995</v>
      </c>
      <c r="N263" s="4">
        <f t="shared" si="46"/>
        <v>0</v>
      </c>
    </row>
    <row r="264" spans="1:14" ht="15.65" outlineLevel="2">
      <c r="A264" s="5">
        <v>365</v>
      </c>
      <c r="B264" s="6">
        <v>1941</v>
      </c>
      <c r="C264" s="3">
        <v>436.5</v>
      </c>
      <c r="D264" s="3">
        <v>436.5</v>
      </c>
      <c r="F264" s="2">
        <v>52</v>
      </c>
      <c r="G264" s="3">
        <v>10.266866</v>
      </c>
      <c r="H264" s="12">
        <v>-0.75</v>
      </c>
      <c r="I264" s="3">
        <f>+C263*(1-H264)*(1-G264/F264)</f>
        <v>403.83026987086532</v>
      </c>
      <c r="J264" s="3">
        <f t="shared" si="43"/>
        <v>1.2012890774978156</v>
      </c>
      <c r="K264" s="1">
        <f t="shared" si="44"/>
        <v>485.1168923588657</v>
      </c>
      <c r="L264" s="3"/>
      <c r="M264" s="4">
        <f t="shared" si="45"/>
        <v>485.1168923588657</v>
      </c>
      <c r="N264" s="4">
        <f t="shared" si="46"/>
        <v>0</v>
      </c>
    </row>
    <row r="265" spans="1:17" ht="15.65" outlineLevel="1">
      <c r="A265" s="7" t="s">
        <v>4</v>
      </c>
      <c r="B265" s="6"/>
      <c r="C265" s="3">
        <f>SUBTOTAL(9,C190:C264)</f>
        <v>1675410858.1200001</v>
      </c>
      <c r="I265" s="3">
        <f>SUBTOTAL(9,I190:I264)</f>
        <v>528877096.33267117</v>
      </c>
      <c r="J265" s="3">
        <v>1.2012890774978156</v>
      </c>
      <c r="K265" s="1">
        <f>SUBTOTAL(9,K190:K264)</f>
        <v>635328009.49180269</v>
      </c>
      <c r="L265" s="3">
        <v>635328009.49180281</v>
      </c>
      <c r="M265" s="3">
        <f t="shared" si="47" ref="M265:N265">SUBTOTAL(9,M190:M264)</f>
        <v>635328009.49180269</v>
      </c>
      <c r="N265" s="3">
        <f t="shared" si="47"/>
        <v>0</v>
      </c>
      <c r="O265" s="4">
        <f>+L265-K265</f>
        <v>0</v>
      </c>
      <c r="Q265" s="1"/>
    </row>
    <row r="266" spans="1:14" ht="15.65" outlineLevel="2">
      <c r="A266" s="5">
        <v>366</v>
      </c>
      <c r="B266" s="6">
        <v>2021</v>
      </c>
      <c r="C266" s="3">
        <v>64054006.549999997</v>
      </c>
      <c r="D266" s="3">
        <v>64054006.549999997</v>
      </c>
      <c r="F266" s="2">
        <v>60</v>
      </c>
      <c r="G266" s="3">
        <v>59.527473000000001</v>
      </c>
      <c r="H266" s="12">
        <v>-0.40000000000000002</v>
      </c>
      <c r="I266" s="3">
        <f t="shared" si="48" ref="I266:I297">+C266*(1-H266)*(1-G266/F266)</f>
        <v>706235.77623787697</v>
      </c>
      <c r="J266" s="3">
        <f t="shared" si="49" ref="J266:J297">$J$351</f>
        <v>1.2002805876063227</v>
      </c>
      <c r="K266" s="1">
        <f t="shared" si="50" ref="K266:K297">IF((C266*(1-H266)-I266*J266)&lt;0,C266*(1-H266),I266*J266)</f>
        <v>847681.09249140637</v>
      </c>
      <c r="L266" s="3"/>
      <c r="M266" s="4">
        <f t="shared" si="51" ref="M266:M297">+K266/D266*C266</f>
        <v>847681.09249140637</v>
      </c>
      <c r="N266" s="4">
        <f t="shared" si="52" ref="N266:N297">+E266/C266*K266</f>
        <v>0</v>
      </c>
    </row>
    <row r="267" spans="1:14" ht="15.65" outlineLevel="2">
      <c r="A267" s="5">
        <v>366</v>
      </c>
      <c r="B267" s="6">
        <v>2020</v>
      </c>
      <c r="C267" s="3">
        <v>55564815.950000003</v>
      </c>
      <c r="D267" s="3">
        <v>55564815.950000003</v>
      </c>
      <c r="F267" s="2">
        <v>60</v>
      </c>
      <c r="G267" s="3">
        <v>58.584575999999998</v>
      </c>
      <c r="H267" s="12">
        <v>-0.40000000000000002</v>
      </c>
      <c r="I267" s="3">
        <f t="shared" si="48"/>
        <v>1835114.7278616328</v>
      </c>
      <c r="J267" s="3">
        <f t="shared" si="49"/>
        <v>1.2002805876063227</v>
      </c>
      <c r="K267" s="1">
        <f t="shared" si="50"/>
        <v>2202652.5838827775</v>
      </c>
      <c r="L267" s="3"/>
      <c r="M267" s="4">
        <f t="shared" si="51"/>
        <v>2202652.5838827775</v>
      </c>
      <c r="N267" s="4">
        <f t="shared" si="52"/>
        <v>0</v>
      </c>
    </row>
    <row r="268" spans="1:14" ht="15.65" outlineLevel="2">
      <c r="A268" s="5">
        <v>366</v>
      </c>
      <c r="B268" s="6">
        <v>2019</v>
      </c>
      <c r="C268" s="3">
        <v>48307413.869999997</v>
      </c>
      <c r="D268" s="3">
        <v>48307413.869999997</v>
      </c>
      <c r="F268" s="2">
        <v>60</v>
      </c>
      <c r="G268" s="3">
        <v>57.644638999999998</v>
      </c>
      <c r="H268" s="12">
        <v>-0.40000000000000002</v>
      </c>
      <c r="I268" s="3">
        <f t="shared" si="48"/>
        <v>2654899.3016059985</v>
      </c>
      <c r="J268" s="3">
        <f t="shared" si="49"/>
        <v>1.2002805876063227</v>
      </c>
      <c r="K268" s="1">
        <f t="shared" si="50"/>
        <v>3186624.0937672639</v>
      </c>
      <c r="L268" s="3"/>
      <c r="M268" s="4">
        <f t="shared" si="51"/>
        <v>3186624.0937672639</v>
      </c>
      <c r="N268" s="4">
        <f t="shared" si="52"/>
        <v>0</v>
      </c>
    </row>
    <row r="269" spans="1:14" ht="15.65" outlineLevel="2">
      <c r="A269" s="5">
        <v>366</v>
      </c>
      <c r="B269" s="6">
        <v>2018</v>
      </c>
      <c r="C269" s="3">
        <v>42604051.18</v>
      </c>
      <c r="D269" s="3">
        <v>42604051.18</v>
      </c>
      <c r="F269" s="2">
        <v>60</v>
      </c>
      <c r="G269" s="3">
        <v>56.708043000000004</v>
      </c>
      <c r="H269" s="12">
        <v>-0.40000000000000002</v>
      </c>
      <c r="I269" s="3">
        <f t="shared" si="48"/>
        <v>3272516.4385750457</v>
      </c>
      <c r="J269" s="3">
        <f t="shared" si="49"/>
        <v>1.2002805876063227</v>
      </c>
      <c r="K269" s="1">
        <f t="shared" si="50"/>
        <v>3927937.9538442064</v>
      </c>
      <c r="L269" s="3"/>
      <c r="M269" s="4">
        <f t="shared" si="51"/>
        <v>3927937.9538442064</v>
      </c>
      <c r="N269" s="4">
        <f t="shared" si="52"/>
        <v>0</v>
      </c>
    </row>
    <row r="270" spans="1:14" ht="15.65" outlineLevel="2">
      <c r="A270" s="5">
        <v>366</v>
      </c>
      <c r="B270" s="6">
        <v>2017</v>
      </c>
      <c r="C270" s="3">
        <v>68849961.480000004</v>
      </c>
      <c r="D270" s="3">
        <v>68849961.480000004</v>
      </c>
      <c r="F270" s="2">
        <v>60</v>
      </c>
      <c r="G270" s="3">
        <v>55.774943999999998</v>
      </c>
      <c r="H270" s="12">
        <v>-0.40000000000000002</v>
      </c>
      <c r="I270" s="3">
        <f t="shared" si="48"/>
        <v>6787548.6665196745</v>
      </c>
      <c r="J270" s="3">
        <f t="shared" si="49"/>
        <v>1.2002805876063227</v>
      </c>
      <c r="K270" s="1">
        <f t="shared" si="50"/>
        <v>8146962.9018567475</v>
      </c>
      <c r="L270" s="3"/>
      <c r="M270" s="4">
        <f t="shared" si="51"/>
        <v>8146962.9018567475</v>
      </c>
      <c r="N270" s="4">
        <f t="shared" si="52"/>
        <v>0</v>
      </c>
    </row>
    <row r="271" spans="1:14" ht="15.65" outlineLevel="2">
      <c r="A271" s="5">
        <v>366</v>
      </c>
      <c r="B271" s="6">
        <v>2016</v>
      </c>
      <c r="C271" s="3">
        <v>30817462.789999999</v>
      </c>
      <c r="D271" s="3">
        <v>30817462.789999999</v>
      </c>
      <c r="F271" s="2">
        <v>60</v>
      </c>
      <c r="G271" s="3">
        <v>54.845230000000001</v>
      </c>
      <c r="H271" s="12">
        <v>-0.40000000000000002</v>
      </c>
      <c r="I271" s="3">
        <f t="shared" si="48"/>
        <v>3706661.7622068599</v>
      </c>
      <c r="J271" s="3">
        <f t="shared" si="49"/>
        <v>1.2002805876063227</v>
      </c>
      <c r="K271" s="1">
        <f t="shared" si="50"/>
        <v>4449034.1579995379</v>
      </c>
      <c r="L271" s="3"/>
      <c r="M271" s="4">
        <f t="shared" si="51"/>
        <v>4449034.1579995379</v>
      </c>
      <c r="N271" s="4">
        <f t="shared" si="52"/>
        <v>0</v>
      </c>
    </row>
    <row r="272" spans="1:14" ht="15.65" outlineLevel="2">
      <c r="A272" s="5">
        <v>366</v>
      </c>
      <c r="B272" s="6">
        <v>2015</v>
      </c>
      <c r="C272" s="3">
        <v>28214497.190000001</v>
      </c>
      <c r="D272" s="3">
        <v>28214497.190000001</v>
      </c>
      <c r="F272" s="2">
        <v>60</v>
      </c>
      <c r="G272" s="3">
        <v>53.919317999999997</v>
      </c>
      <c r="H272" s="12">
        <v>-0.40000000000000002</v>
      </c>
      <c r="I272" s="3">
        <f t="shared" si="48"/>
        <v>4003145.654719953</v>
      </c>
      <c r="J272" s="3">
        <f t="shared" si="49"/>
        <v>1.2002805876063227</v>
      </c>
      <c r="K272" s="1">
        <f t="shared" si="50"/>
        <v>4804898.018720963</v>
      </c>
      <c r="L272" s="3"/>
      <c r="M272" s="4">
        <f t="shared" si="51"/>
        <v>4804898.018720963</v>
      </c>
      <c r="N272" s="4">
        <f t="shared" si="52"/>
        <v>0</v>
      </c>
    </row>
    <row r="273" spans="1:14" ht="15.65" outlineLevel="2">
      <c r="A273" s="5">
        <v>366</v>
      </c>
      <c r="B273" s="6">
        <v>2014</v>
      </c>
      <c r="C273" s="3">
        <v>24879398.579999998</v>
      </c>
      <c r="D273" s="3">
        <v>24879398.579999998</v>
      </c>
      <c r="F273" s="2">
        <v>60</v>
      </c>
      <c r="G273" s="3">
        <v>52.997393000000002</v>
      </c>
      <c r="H273" s="12">
        <v>-0.40000000000000002</v>
      </c>
      <c r="I273" s="3">
        <f t="shared" si="48"/>
        <v>4065148.5152156199</v>
      </c>
      <c r="J273" s="3">
        <f t="shared" si="49"/>
        <v>1.2002805876063227</v>
      </c>
      <c r="K273" s="1">
        <f t="shared" si="50"/>
        <v>4879318.8485499751</v>
      </c>
      <c r="L273" s="3"/>
      <c r="M273" s="4">
        <f t="shared" si="51"/>
        <v>4879318.8485499751</v>
      </c>
      <c r="N273" s="4">
        <f t="shared" si="52"/>
        <v>0</v>
      </c>
    </row>
    <row r="274" spans="1:14" ht="15.65" outlineLevel="2">
      <c r="A274" s="5">
        <v>366</v>
      </c>
      <c r="B274" s="6">
        <v>2013</v>
      </c>
      <c r="C274" s="3">
        <v>22342362.329999998</v>
      </c>
      <c r="D274" s="3">
        <v>22342362.329999998</v>
      </c>
      <c r="F274" s="2">
        <v>60</v>
      </c>
      <c r="G274" s="3">
        <v>52.079293</v>
      </c>
      <c r="H274" s="12">
        <v>-0.40000000000000002</v>
      </c>
      <c r="I274" s="3">
        <f t="shared" si="48"/>
        <v>4129237.1330879023</v>
      </c>
      <c r="J274" s="3">
        <f t="shared" si="49"/>
        <v>1.2002805876063227</v>
      </c>
      <c r="K274" s="1">
        <f t="shared" si="50"/>
        <v>4956243.1724685952</v>
      </c>
      <c r="L274" s="3"/>
      <c r="M274" s="4">
        <f t="shared" si="51"/>
        <v>4956243.1724685952</v>
      </c>
      <c r="N274" s="4">
        <f t="shared" si="52"/>
        <v>0</v>
      </c>
    </row>
    <row r="275" spans="1:14" ht="15.65" outlineLevel="2">
      <c r="A275" s="5">
        <v>366</v>
      </c>
      <c r="B275" s="6">
        <v>2012</v>
      </c>
      <c r="C275" s="3">
        <v>18720976.879999999</v>
      </c>
      <c r="D275" s="3">
        <v>18720976.879999999</v>
      </c>
      <c r="F275" s="2">
        <v>60</v>
      </c>
      <c r="G275" s="3">
        <v>51.165494000000002</v>
      </c>
      <c r="H275" s="12">
        <v>-0.40000000000000002</v>
      </c>
      <c r="I275" s="3">
        <f t="shared" si="48"/>
        <v>3859113.5933518293</v>
      </c>
      <c r="J275" s="3">
        <f t="shared" si="49"/>
        <v>1.2002805876063227</v>
      </c>
      <c r="K275" s="1">
        <f t="shared" si="50"/>
        <v>4632019.1314678816</v>
      </c>
      <c r="L275" s="3"/>
      <c r="M275" s="4">
        <f t="shared" si="51"/>
        <v>4632019.1314678816</v>
      </c>
      <c r="N275" s="4">
        <f t="shared" si="52"/>
        <v>0</v>
      </c>
    </row>
    <row r="276" spans="1:14" ht="15.65" outlineLevel="2">
      <c r="A276" s="5">
        <v>366</v>
      </c>
      <c r="B276" s="6">
        <v>2011</v>
      </c>
      <c r="C276" s="3">
        <v>13788161.18</v>
      </c>
      <c r="D276" s="3">
        <v>13788161.18</v>
      </c>
      <c r="F276" s="2">
        <v>60</v>
      </c>
      <c r="G276" s="3">
        <v>50.256188999999999</v>
      </c>
      <c r="H276" s="12">
        <v>-0.40000000000000002</v>
      </c>
      <c r="I276" s="3">
        <f t="shared" si="48"/>
        <v>3134815.5200939965</v>
      </c>
      <c r="J276" s="3">
        <f t="shared" si="49"/>
        <v>1.2002805876063227</v>
      </c>
      <c r="K276" s="1">
        <f t="shared" si="50"/>
        <v>3762658.2144958423</v>
      </c>
      <c r="L276" s="3"/>
      <c r="M276" s="4">
        <f t="shared" si="51"/>
        <v>3762658.2144958423</v>
      </c>
      <c r="N276" s="4">
        <f t="shared" si="52"/>
        <v>0</v>
      </c>
    </row>
    <row r="277" spans="1:14" ht="15.65" outlineLevel="2">
      <c r="A277" s="5">
        <v>366</v>
      </c>
      <c r="B277" s="6">
        <v>2010</v>
      </c>
      <c r="C277" s="3">
        <v>14751233.83</v>
      </c>
      <c r="D277" s="3">
        <v>14751233.83</v>
      </c>
      <c r="F277" s="2">
        <v>60</v>
      </c>
      <c r="G277" s="3">
        <v>49.351176000000002</v>
      </c>
      <c r="H277" s="12">
        <v>-0.40000000000000002</v>
      </c>
      <c r="I277" s="3">
        <f t="shared" si="48"/>
        <v>3665276.8328987043</v>
      </c>
      <c r="J277" s="3">
        <f t="shared" si="49"/>
        <v>1.2002805876063227</v>
      </c>
      <c r="K277" s="1">
        <f t="shared" si="50"/>
        <v>4399360.6307314988</v>
      </c>
      <c r="L277" s="3"/>
      <c r="M277" s="4">
        <f t="shared" si="51"/>
        <v>4399360.6307314988</v>
      </c>
      <c r="N277" s="4">
        <f t="shared" si="52"/>
        <v>0</v>
      </c>
    </row>
    <row r="278" spans="1:14" ht="15.65" outlineLevel="2">
      <c r="A278" s="5">
        <v>366</v>
      </c>
      <c r="B278" s="6">
        <v>2009</v>
      </c>
      <c r="C278" s="3">
        <v>19243631.59</v>
      </c>
      <c r="D278" s="3">
        <v>19243631.59</v>
      </c>
      <c r="F278" s="2">
        <v>60</v>
      </c>
      <c r="G278" s="3">
        <v>48.450983000000001</v>
      </c>
      <c r="H278" s="12">
        <v>-0.40000000000000002</v>
      </c>
      <c r="I278" s="3">
        <f t="shared" si="48"/>
        <v>5185717.3287417646</v>
      </c>
      <c r="J278" s="3">
        <f t="shared" si="49"/>
        <v>1.2002805876063227</v>
      </c>
      <c r="K278" s="1">
        <f t="shared" si="50"/>
        <v>6224315.8425024552</v>
      </c>
      <c r="L278" s="3"/>
      <c r="M278" s="4">
        <f t="shared" si="51"/>
        <v>6224315.8425024543</v>
      </c>
      <c r="N278" s="4">
        <f t="shared" si="52"/>
        <v>0</v>
      </c>
    </row>
    <row r="279" spans="1:14" ht="15.65" outlineLevel="2">
      <c r="A279" s="5">
        <v>366</v>
      </c>
      <c r="B279" s="6">
        <v>2008</v>
      </c>
      <c r="C279" s="3">
        <v>25475525.399999999</v>
      </c>
      <c r="D279" s="3">
        <v>25475525.399999999</v>
      </c>
      <c r="F279" s="2">
        <v>60</v>
      </c>
      <c r="G279" s="3">
        <v>47.555801000000002</v>
      </c>
      <c r="H279" s="12">
        <v>-0.40000000000000002</v>
      </c>
      <c r="I279" s="3">
        <f t="shared" si="48"/>
        <v>7397191.8465002729</v>
      </c>
      <c r="J279" s="3">
        <f t="shared" si="49"/>
        <v>1.2002805876063227</v>
      </c>
      <c r="K279" s="1">
        <f t="shared" si="50"/>
        <v>8878705.7761540469</v>
      </c>
      <c r="L279" s="3"/>
      <c r="M279" s="4">
        <f t="shared" si="51"/>
        <v>8878705.7761540469</v>
      </c>
      <c r="N279" s="4">
        <f t="shared" si="52"/>
        <v>0</v>
      </c>
    </row>
    <row r="280" spans="1:14" ht="15.65" outlineLevel="2">
      <c r="A280" s="5">
        <v>366</v>
      </c>
      <c r="B280" s="6">
        <v>2007</v>
      </c>
      <c r="C280" s="3">
        <v>22883352.079999998</v>
      </c>
      <c r="D280" s="3">
        <v>22883352.079999998</v>
      </c>
      <c r="F280" s="2">
        <v>60</v>
      </c>
      <c r="G280" s="3">
        <v>46.665390000000002</v>
      </c>
      <c r="H280" s="12">
        <v>-0.40000000000000002</v>
      </c>
      <c r="I280" s="3">
        <f t="shared" si="48"/>
        <v>7119946.7611880694</v>
      </c>
      <c r="J280" s="3">
        <f t="shared" si="49"/>
        <v>1.2002805876063227</v>
      </c>
      <c r="K280" s="1">
        <f t="shared" si="50"/>
        <v>8545933.8822445497</v>
      </c>
      <c r="L280" s="3"/>
      <c r="M280" s="4">
        <f t="shared" si="51"/>
        <v>8545933.8822445497</v>
      </c>
      <c r="N280" s="4">
        <f t="shared" si="52"/>
        <v>0</v>
      </c>
    </row>
    <row r="281" spans="1:14" ht="15.65" outlineLevel="2">
      <c r="A281" s="5">
        <v>366</v>
      </c>
      <c r="B281" s="6">
        <v>2006</v>
      </c>
      <c r="C281" s="3">
        <v>34271540.219999999</v>
      </c>
      <c r="D281" s="3">
        <v>34271540.219999999</v>
      </c>
      <c r="F281" s="2">
        <v>60</v>
      </c>
      <c r="G281" s="3">
        <v>45.780327</v>
      </c>
      <c r="H281" s="12">
        <v>-0.40000000000000002</v>
      </c>
      <c r="I281" s="3">
        <f t="shared" si="48"/>
        <v>11371035.553144122</v>
      </c>
      <c r="J281" s="3">
        <f t="shared" si="49"/>
        <v>1.2002805876063227</v>
      </c>
      <c r="K281" s="1">
        <f t="shared" si="50"/>
        <v>13648433.235420214</v>
      </c>
      <c r="L281" s="3"/>
      <c r="M281" s="4">
        <f t="shared" si="51"/>
        <v>13648433.235420212</v>
      </c>
      <c r="N281" s="4">
        <f t="shared" si="52"/>
        <v>0</v>
      </c>
    </row>
    <row r="282" spans="1:14" ht="15.65" outlineLevel="2">
      <c r="A282" s="5">
        <v>366</v>
      </c>
      <c r="B282" s="6">
        <v>2005</v>
      </c>
      <c r="C282" s="3">
        <v>39481517.990000002</v>
      </c>
      <c r="D282" s="3">
        <v>39481517.990000002</v>
      </c>
      <c r="F282" s="2">
        <v>60</v>
      </c>
      <c r="G282" s="3">
        <v>44.900798999999999</v>
      </c>
      <c r="H282" s="12">
        <v>-0.40000000000000002</v>
      </c>
      <c r="I282" s="3">
        <f t="shared" si="48"/>
        <v>13909918.771376273</v>
      </c>
      <c r="J282" s="3">
        <f t="shared" si="49"/>
        <v>1.2002805876063227</v>
      </c>
      <c r="K282" s="1">
        <f t="shared" si="50"/>
        <v>16695805.476463731</v>
      </c>
      <c r="L282" s="3"/>
      <c r="M282" s="4">
        <f t="shared" si="51"/>
        <v>16695805.476463731</v>
      </c>
      <c r="N282" s="4">
        <f t="shared" si="52"/>
        <v>0</v>
      </c>
    </row>
    <row r="283" spans="1:14" ht="15.65" outlineLevel="2">
      <c r="A283" s="5">
        <v>366</v>
      </c>
      <c r="B283" s="6">
        <v>2004</v>
      </c>
      <c r="C283" s="3">
        <v>24854340.43</v>
      </c>
      <c r="D283" s="3">
        <v>24854340.43</v>
      </c>
      <c r="F283" s="2">
        <v>60</v>
      </c>
      <c r="G283" s="3">
        <v>44.026515000000003</v>
      </c>
      <c r="H283" s="12">
        <v>-0.40000000000000002</v>
      </c>
      <c r="I283" s="3">
        <f t="shared" si="48"/>
        <v>9263576.7943482958</v>
      </c>
      <c r="J283" s="3">
        <f t="shared" si="49"/>
        <v>1.2002805876063227</v>
      </c>
      <c r="K283" s="1">
        <f t="shared" si="50"/>
        <v>11118891.398056667</v>
      </c>
      <c r="L283" s="3"/>
      <c r="M283" s="4">
        <f t="shared" si="51"/>
        <v>11118891.398056667</v>
      </c>
      <c r="N283" s="4">
        <f t="shared" si="52"/>
        <v>0</v>
      </c>
    </row>
    <row r="284" spans="1:14" ht="15.65" outlineLevel="2">
      <c r="A284" s="5">
        <v>366</v>
      </c>
      <c r="B284" s="6">
        <v>2003</v>
      </c>
      <c r="C284" s="3">
        <v>26488170.52</v>
      </c>
      <c r="D284" s="3">
        <v>26488170.52</v>
      </c>
      <c r="F284" s="2">
        <v>60</v>
      </c>
      <c r="G284" s="3">
        <v>43.158093999999998</v>
      </c>
      <c r="H284" s="12">
        <v>-0.40000000000000002</v>
      </c>
      <c r="I284" s="3">
        <f t="shared" si="48"/>
        <v>10409263.153562259</v>
      </c>
      <c r="J284" s="3">
        <f t="shared" si="49"/>
        <v>1.2002805876063227</v>
      </c>
      <c r="K284" s="1">
        <f t="shared" si="50"/>
        <v>12494036.494506553</v>
      </c>
      <c r="L284" s="3"/>
      <c r="M284" s="4">
        <f t="shared" si="51"/>
        <v>12494036.494506553</v>
      </c>
      <c r="N284" s="4">
        <f t="shared" si="52"/>
        <v>0</v>
      </c>
    </row>
    <row r="285" spans="1:14" ht="15.65" outlineLevel="2">
      <c r="A285" s="5">
        <v>366</v>
      </c>
      <c r="B285" s="6">
        <v>2002</v>
      </c>
      <c r="C285" s="3">
        <v>26626481.09</v>
      </c>
      <c r="D285" s="3">
        <v>26626481.09</v>
      </c>
      <c r="F285" s="2">
        <v>60</v>
      </c>
      <c r="G285" s="3">
        <v>42.295729000000001</v>
      </c>
      <c r="H285" s="12">
        <v>-0.40000000000000002</v>
      </c>
      <c r="I285" s="3">
        <f t="shared" si="48"/>
        <v>10999390.196520491</v>
      </c>
      <c r="J285" s="3">
        <f t="shared" si="49"/>
        <v>1.2002805876063227</v>
      </c>
      <c r="K285" s="1">
        <f t="shared" si="50"/>
        <v>13202354.52839084</v>
      </c>
      <c r="L285" s="3"/>
      <c r="M285" s="4">
        <f t="shared" si="51"/>
        <v>13202354.52839084</v>
      </c>
      <c r="N285" s="4">
        <f t="shared" si="52"/>
        <v>0</v>
      </c>
    </row>
    <row r="286" spans="1:14" ht="15.65" outlineLevel="2">
      <c r="A286" s="5">
        <v>366</v>
      </c>
      <c r="B286" s="6">
        <v>2001</v>
      </c>
      <c r="C286" s="3">
        <v>34445863.850000001</v>
      </c>
      <c r="D286" s="3">
        <v>34445863.850000001</v>
      </c>
      <c r="F286" s="2">
        <v>60</v>
      </c>
      <c r="G286" s="3">
        <v>41.439072000000003</v>
      </c>
      <c r="H286" s="12">
        <v>-0.40000000000000002</v>
      </c>
      <c r="I286" s="3">
        <f t="shared" si="48"/>
        <v>14918101.305745231</v>
      </c>
      <c r="J286" s="3">
        <f t="shared" si="49"/>
        <v>1.2002805876063227</v>
      </c>
      <c r="K286" s="1">
        <f t="shared" si="50"/>
        <v>17905907.401230536</v>
      </c>
      <c r="L286" s="3"/>
      <c r="M286" s="4">
        <f t="shared" si="51"/>
        <v>17905907.401230536</v>
      </c>
      <c r="N286" s="4">
        <f t="shared" si="52"/>
        <v>0</v>
      </c>
    </row>
    <row r="287" spans="1:14" ht="15.65" outlineLevel="2">
      <c r="A287" s="5">
        <v>366</v>
      </c>
      <c r="B287" s="6">
        <v>2000</v>
      </c>
      <c r="C287" s="3">
        <v>38097737.270000003</v>
      </c>
      <c r="D287" s="3">
        <v>38097737.270000003</v>
      </c>
      <c r="F287" s="2">
        <v>60</v>
      </c>
      <c r="G287" s="3">
        <v>40.588777</v>
      </c>
      <c r="H287" s="12">
        <v>-0.40000000000000002</v>
      </c>
      <c r="I287" s="3">
        <f t="shared" si="48"/>
        <v>17255552.392012227</v>
      </c>
      <c r="J287" s="3">
        <f t="shared" si="49"/>
        <v>1.2002805876063227</v>
      </c>
      <c r="K287" s="1">
        <f t="shared" si="50"/>
        <v>20711504.564556126</v>
      </c>
      <c r="L287" s="3"/>
      <c r="M287" s="4">
        <f t="shared" si="51"/>
        <v>20711504.564556126</v>
      </c>
      <c r="N287" s="4">
        <f t="shared" si="52"/>
        <v>0</v>
      </c>
    </row>
    <row r="288" spans="1:14" ht="15.65" outlineLevel="2">
      <c r="A288" s="5">
        <v>366</v>
      </c>
      <c r="B288" s="6">
        <v>1999</v>
      </c>
      <c r="C288" s="3">
        <v>38388551.630000003</v>
      </c>
      <c r="D288" s="3">
        <v>38388551.630000003</v>
      </c>
      <c r="F288" s="2">
        <v>60</v>
      </c>
      <c r="G288" s="3">
        <v>39.74503</v>
      </c>
      <c r="H288" s="12">
        <v>-0.40000000000000002</v>
      </c>
      <c r="I288" s="3">
        <f t="shared" si="48"/>
        <v>18143042.437545694</v>
      </c>
      <c r="J288" s="3">
        <f t="shared" si="49"/>
        <v>1.2002805876063227</v>
      </c>
      <c r="K288" s="1">
        <f t="shared" si="50"/>
        <v>21776741.637903795</v>
      </c>
      <c r="L288" s="3"/>
      <c r="M288" s="4">
        <f t="shared" si="51"/>
        <v>21776741.637903791</v>
      </c>
      <c r="N288" s="4">
        <f t="shared" si="52"/>
        <v>0</v>
      </c>
    </row>
    <row r="289" spans="1:14" ht="15.65" outlineLevel="2">
      <c r="A289" s="5">
        <v>366</v>
      </c>
      <c r="B289" s="6">
        <v>1998</v>
      </c>
      <c r="C289" s="3">
        <v>25179206.280000001</v>
      </c>
      <c r="D289" s="3">
        <v>25179206.280000001</v>
      </c>
      <c r="F289" s="2">
        <v>60</v>
      </c>
      <c r="G289" s="3">
        <v>38.907431000000003</v>
      </c>
      <c r="H289" s="12">
        <v>-0.40000000000000002</v>
      </c>
      <c r="I289" s="3">
        <f t="shared" si="48"/>
        <v>12392196.735943109</v>
      </c>
      <c r="J289" s="3">
        <f t="shared" si="49"/>
        <v>1.2002805876063227</v>
      </c>
      <c r="K289" s="1">
        <f t="shared" si="50"/>
        <v>14874113.179950949</v>
      </c>
      <c r="L289" s="3"/>
      <c r="M289" s="4">
        <f t="shared" si="51"/>
        <v>14874113.179950949</v>
      </c>
      <c r="N289" s="4">
        <f t="shared" si="52"/>
        <v>0</v>
      </c>
    </row>
    <row r="290" spans="1:14" ht="15.65" outlineLevel="2">
      <c r="A290" s="5">
        <v>366</v>
      </c>
      <c r="B290" s="6">
        <v>1997</v>
      </c>
      <c r="C290" s="3">
        <v>29424360.34</v>
      </c>
      <c r="D290" s="3">
        <v>29424360.34</v>
      </c>
      <c r="F290" s="2">
        <v>60</v>
      </c>
      <c r="G290" s="3">
        <v>38.076669000000003</v>
      </c>
      <c r="H290" s="12">
        <v>-0.40000000000000002</v>
      </c>
      <c r="I290" s="3">
        <f t="shared" si="48"/>
        <v>15051866.461265491</v>
      </c>
      <c r="J290" s="3">
        <f t="shared" si="49"/>
        <v>1.2002805876063227</v>
      </c>
      <c r="K290" s="1">
        <f t="shared" si="50"/>
        <v>18066463.120699644</v>
      </c>
      <c r="L290" s="3"/>
      <c r="M290" s="4">
        <f t="shared" si="51"/>
        <v>18066463.120699644</v>
      </c>
      <c r="N290" s="4">
        <f t="shared" si="52"/>
        <v>0</v>
      </c>
    </row>
    <row r="291" spans="1:14" ht="15.65" outlineLevel="2">
      <c r="A291" s="5">
        <v>366</v>
      </c>
      <c r="B291" s="6">
        <v>1996</v>
      </c>
      <c r="C291" s="3">
        <v>44371884.490000002</v>
      </c>
      <c r="D291" s="3">
        <v>44371884.490000002</v>
      </c>
      <c r="F291" s="2">
        <v>60</v>
      </c>
      <c r="G291" s="3">
        <v>37.252929000000002</v>
      </c>
      <c r="H291" s="12">
        <v>-0.40000000000000002</v>
      </c>
      <c r="I291" s="3">
        <f t="shared" si="48"/>
        <v>23551042.827616002</v>
      </c>
      <c r="J291" s="3">
        <f t="shared" si="49"/>
        <v>1.2002805876063227</v>
      </c>
      <c r="K291" s="1">
        <f t="shared" si="50"/>
        <v>28267859.523872606</v>
      </c>
      <c r="L291" s="3"/>
      <c r="M291" s="4">
        <f t="shared" si="51"/>
        <v>28267859.52387261</v>
      </c>
      <c r="N291" s="4">
        <f t="shared" si="52"/>
        <v>0</v>
      </c>
    </row>
    <row r="292" spans="1:14" ht="15.65" outlineLevel="2">
      <c r="A292" s="5">
        <v>366</v>
      </c>
      <c r="B292" s="6">
        <v>1995</v>
      </c>
      <c r="C292" s="3">
        <v>30354811.460000001</v>
      </c>
      <c r="D292" s="3">
        <v>30354811.460000001</v>
      </c>
      <c r="F292" s="2">
        <v>60</v>
      </c>
      <c r="G292" s="3">
        <v>36.435747999999997</v>
      </c>
      <c r="H292" s="12">
        <v>-0.40000000000000002</v>
      </c>
      <c r="I292" s="3">
        <f t="shared" si="48"/>
        <v>16690063.28863832</v>
      </c>
      <c r="J292" s="3">
        <f t="shared" si="49"/>
        <v>1.2002805876063227</v>
      </c>
      <c r="K292" s="1">
        <f t="shared" si="50"/>
        <v>20032758.971273519</v>
      </c>
      <c r="L292" s="3"/>
      <c r="M292" s="4">
        <f t="shared" si="51"/>
        <v>20032758.971273519</v>
      </c>
      <c r="N292" s="4">
        <f t="shared" si="52"/>
        <v>0</v>
      </c>
    </row>
    <row r="293" spans="1:14" ht="15.65" outlineLevel="2">
      <c r="A293" s="5">
        <v>366</v>
      </c>
      <c r="B293" s="6">
        <v>1994</v>
      </c>
      <c r="C293" s="3">
        <v>16651657.539999999</v>
      </c>
      <c r="D293" s="3">
        <v>16651657.539999999</v>
      </c>
      <c r="F293" s="2">
        <v>60</v>
      </c>
      <c r="G293" s="3">
        <v>35.625858000000001</v>
      </c>
      <c r="H293" s="12">
        <v>-0.40000000000000002</v>
      </c>
      <c r="I293" s="3">
        <f t="shared" si="48"/>
        <v>9470296.859691048</v>
      </c>
      <c r="J293" s="3">
        <f t="shared" si="49"/>
        <v>1.2002805876063227</v>
      </c>
      <c r="K293" s="1">
        <f t="shared" si="50"/>
        <v>11367013.479556285</v>
      </c>
      <c r="L293" s="3"/>
      <c r="M293" s="4">
        <f t="shared" si="51"/>
        <v>11367013.479556285</v>
      </c>
      <c r="N293" s="4">
        <f t="shared" si="52"/>
        <v>0</v>
      </c>
    </row>
    <row r="294" spans="1:14" ht="15.65" outlineLevel="2">
      <c r="A294" s="5">
        <v>366</v>
      </c>
      <c r="B294" s="6">
        <v>1993</v>
      </c>
      <c r="C294" s="3">
        <v>12632843.33</v>
      </c>
      <c r="D294" s="3">
        <v>12632843.33</v>
      </c>
      <c r="F294" s="2">
        <v>60</v>
      </c>
      <c r="G294" s="3">
        <v>34.823436999999998</v>
      </c>
      <c r="H294" s="12">
        <v>-0.40000000000000002</v>
      </c>
      <c r="I294" s="3">
        <f t="shared" si="48"/>
        <v>7421203.4392270781</v>
      </c>
      <c r="J294" s="3">
        <f t="shared" si="49"/>
        <v>1.2002805876063227</v>
      </c>
      <c r="K294" s="1">
        <f t="shared" si="50"/>
        <v>8907526.4247815404</v>
      </c>
      <c r="L294" s="3"/>
      <c r="M294" s="4">
        <f t="shared" si="51"/>
        <v>8907526.4247815404</v>
      </c>
      <c r="N294" s="4">
        <f t="shared" si="52"/>
        <v>0</v>
      </c>
    </row>
    <row r="295" spans="1:14" ht="15.65" outlineLevel="2">
      <c r="A295" s="5">
        <v>366</v>
      </c>
      <c r="B295" s="6">
        <v>1992</v>
      </c>
      <c r="C295" s="3">
        <v>11187608.84</v>
      </c>
      <c r="D295" s="3">
        <v>11187608.84</v>
      </c>
      <c r="F295" s="2">
        <v>60</v>
      </c>
      <c r="G295" s="3">
        <v>34.027965000000002</v>
      </c>
      <c r="H295" s="12">
        <v>-0.40000000000000002</v>
      </c>
      <c r="I295" s="3">
        <f t="shared" si="48"/>
        <v>6779849.2617050838</v>
      </c>
      <c r="J295" s="3">
        <f t="shared" si="49"/>
        <v>1.2002805876063227</v>
      </c>
      <c r="K295" s="1">
        <f t="shared" si="50"/>
        <v>8137721.4557216717</v>
      </c>
      <c r="L295" s="3"/>
      <c r="M295" s="4">
        <f t="shared" si="51"/>
        <v>8137721.4557216717</v>
      </c>
      <c r="N295" s="4">
        <f t="shared" si="52"/>
        <v>0</v>
      </c>
    </row>
    <row r="296" spans="1:14" ht="15.65" outlineLevel="2">
      <c r="A296" s="5">
        <v>366</v>
      </c>
      <c r="B296" s="6">
        <v>1991</v>
      </c>
      <c r="C296" s="3">
        <v>7937109.8799999999</v>
      </c>
      <c r="D296" s="3">
        <v>7937109.8799999999</v>
      </c>
      <c r="F296" s="2">
        <v>60</v>
      </c>
      <c r="G296" s="3">
        <v>33.240225000000002</v>
      </c>
      <c r="H296" s="12">
        <v>-0.40000000000000002</v>
      </c>
      <c r="I296" s="3">
        <f t="shared" si="48"/>
        <v>4955889.7392451288</v>
      </c>
      <c r="J296" s="3">
        <f t="shared" si="49"/>
        <v>1.2002805876063227</v>
      </c>
      <c r="K296" s="1">
        <f t="shared" si="50"/>
        <v>5948458.2483332884</v>
      </c>
      <c r="L296" s="3"/>
      <c r="M296" s="4">
        <f t="shared" si="51"/>
        <v>5948458.2483332884</v>
      </c>
      <c r="N296" s="4">
        <f t="shared" si="52"/>
        <v>0</v>
      </c>
    </row>
    <row r="297" spans="1:14" ht="15.65" outlineLevel="2">
      <c r="A297" s="5">
        <v>366</v>
      </c>
      <c r="B297" s="6">
        <v>1990</v>
      </c>
      <c r="C297" s="3">
        <v>9933415.6400000006</v>
      </c>
      <c r="D297" s="3">
        <v>9933415.6400000006</v>
      </c>
      <c r="F297" s="2">
        <v>60</v>
      </c>
      <c r="G297" s="3">
        <v>32.460389999999997</v>
      </c>
      <c r="H297" s="12">
        <v>-0.40000000000000002</v>
      </c>
      <c r="I297" s="3">
        <f t="shared" si="48"/>
        <v>6383122.4961816762</v>
      </c>
      <c r="J297" s="3">
        <f t="shared" si="49"/>
        <v>1.2002805876063227</v>
      </c>
      <c r="K297" s="1">
        <f t="shared" si="50"/>
        <v>7661538.0204800796</v>
      </c>
      <c r="L297" s="3"/>
      <c r="M297" s="4">
        <f t="shared" si="51"/>
        <v>7661538.0204800796</v>
      </c>
      <c r="N297" s="4">
        <f t="shared" si="52"/>
        <v>0</v>
      </c>
    </row>
    <row r="298" spans="1:14" ht="15.65" outlineLevel="2">
      <c r="A298" s="5">
        <v>366</v>
      </c>
      <c r="B298" s="6">
        <v>1989</v>
      </c>
      <c r="C298" s="3">
        <v>9953000.7599999998</v>
      </c>
      <c r="D298" s="3">
        <v>9953000.7599999998</v>
      </c>
      <c r="F298" s="2">
        <v>60</v>
      </c>
      <c r="G298" s="3">
        <v>31.687902000000001</v>
      </c>
      <c r="H298" s="12">
        <v>-0.40000000000000002</v>
      </c>
      <c r="I298" s="3">
        <f t="shared" si="53" ref="I298:I329">+C298*(1-H298)*(1-G298/F298)</f>
        <v>6575107.7679278711</v>
      </c>
      <c r="J298" s="3">
        <f t="shared" si="54" ref="J298:J329">$J$351</f>
        <v>1.2002805876063227</v>
      </c>
      <c r="K298" s="1">
        <f t="shared" si="55" ref="K298:K329">IF((C298*(1-H298)-I298*J298)&lt;0,C298*(1-H298),I298*J298)</f>
        <v>7891974.215263362</v>
      </c>
      <c r="L298" s="3"/>
      <c r="M298" s="4">
        <f t="shared" si="56" ref="M298:M329">+K298/D298*C298</f>
        <v>7891974.215263362</v>
      </c>
      <c r="N298" s="4">
        <f t="shared" si="57" ref="N298:N329">+E298/C298*K298</f>
        <v>0</v>
      </c>
    </row>
    <row r="299" spans="1:14" ht="15.65" outlineLevel="2">
      <c r="A299" s="5">
        <v>366</v>
      </c>
      <c r="B299" s="6">
        <v>1988</v>
      </c>
      <c r="C299" s="3">
        <v>9542173.7799999993</v>
      </c>
      <c r="D299" s="3">
        <v>9542173.7799999993</v>
      </c>
      <c r="F299" s="2">
        <v>60</v>
      </c>
      <c r="G299" s="3">
        <v>30.923594999999999</v>
      </c>
      <c r="H299" s="12">
        <v>-0.40000000000000002</v>
      </c>
      <c r="I299" s="3">
        <f t="shared" si="53"/>
        <v>6473882.5528454194</v>
      </c>
      <c r="J299" s="3">
        <f t="shared" si="54"/>
        <v>1.2002805876063227</v>
      </c>
      <c r="K299" s="1">
        <f t="shared" si="55"/>
        <v>7770475.5546236206</v>
      </c>
      <c r="L299" s="3"/>
      <c r="M299" s="4">
        <f t="shared" si="56"/>
        <v>7770475.5546236206</v>
      </c>
      <c r="N299" s="4">
        <f t="shared" si="57"/>
        <v>0</v>
      </c>
    </row>
    <row r="300" spans="1:14" ht="15.65" outlineLevel="2">
      <c r="A300" s="5">
        <v>366</v>
      </c>
      <c r="B300" s="6">
        <v>1987</v>
      </c>
      <c r="C300" s="3">
        <v>7059580.3799999999</v>
      </c>
      <c r="D300" s="3">
        <v>7059580.3799999999</v>
      </c>
      <c r="F300" s="2">
        <v>60</v>
      </c>
      <c r="G300" s="3">
        <v>30.167653999999999</v>
      </c>
      <c r="H300" s="12">
        <v>-0.40000000000000002</v>
      </c>
      <c r="I300" s="3">
        <f t="shared" si="53"/>
        <v>4914089.7052560011</v>
      </c>
      <c r="J300" s="3">
        <f t="shared" si="54"/>
        <v>1.2002805876063227</v>
      </c>
      <c r="K300" s="1">
        <f t="shared" si="55"/>
        <v>5898286.4789748546</v>
      </c>
      <c r="L300" s="3"/>
      <c r="M300" s="4">
        <f t="shared" si="56"/>
        <v>5898286.4789748546</v>
      </c>
      <c r="N300" s="4">
        <f t="shared" si="57"/>
        <v>0</v>
      </c>
    </row>
    <row r="301" spans="1:14" ht="15.65" outlineLevel="2">
      <c r="A301" s="5">
        <v>366</v>
      </c>
      <c r="B301" s="6">
        <v>1986</v>
      </c>
      <c r="C301" s="3">
        <v>11269311.43</v>
      </c>
      <c r="D301" s="3">
        <v>11269311.43</v>
      </c>
      <c r="F301" s="2">
        <v>60</v>
      </c>
      <c r="G301" s="3">
        <v>29.419485999999999</v>
      </c>
      <c r="H301" s="12">
        <v>-0.40000000000000002</v>
      </c>
      <c r="I301" s="3">
        <f t="shared" si="53"/>
        <v>8041164.5056277514</v>
      </c>
      <c r="J301" s="3">
        <f t="shared" si="54"/>
        <v>1.2002805876063227</v>
      </c>
      <c r="K301" s="1">
        <f t="shared" si="55"/>
        <v>9651653.6578539833</v>
      </c>
      <c r="L301" s="3"/>
      <c r="M301" s="4">
        <f t="shared" si="56"/>
        <v>9651653.6578539833</v>
      </c>
      <c r="N301" s="4">
        <f t="shared" si="57"/>
        <v>0</v>
      </c>
    </row>
    <row r="302" spans="1:14" ht="15.65" outlineLevel="2">
      <c r="A302" s="5">
        <v>366</v>
      </c>
      <c r="B302" s="6">
        <v>1985</v>
      </c>
      <c r="C302" s="3">
        <v>10424602.109999999</v>
      </c>
      <c r="D302" s="3">
        <v>10424602.109999999</v>
      </c>
      <c r="F302" s="2">
        <v>60</v>
      </c>
      <c r="G302" s="3">
        <v>28.679995000000002</v>
      </c>
      <c r="H302" s="12">
        <v>-0.40000000000000002</v>
      </c>
      <c r="I302" s="3">
        <f t="shared" si="53"/>
        <v>7618300.4381915787</v>
      </c>
      <c r="J302" s="3">
        <f t="shared" si="54"/>
        <v>1.2002805876063227</v>
      </c>
      <c r="K302" s="1">
        <f t="shared" si="55"/>
        <v>9144098.126514094</v>
      </c>
      <c r="L302" s="3"/>
      <c r="M302" s="4">
        <f t="shared" si="56"/>
        <v>9144098.126514094</v>
      </c>
      <c r="N302" s="4">
        <f t="shared" si="57"/>
        <v>0</v>
      </c>
    </row>
    <row r="303" spans="1:14" ht="15.65" outlineLevel="2">
      <c r="A303" s="5">
        <v>366</v>
      </c>
      <c r="B303" s="6">
        <v>1984</v>
      </c>
      <c r="C303" s="3">
        <v>8375888.5999999996</v>
      </c>
      <c r="D303" s="3">
        <v>8375888.5999999996</v>
      </c>
      <c r="F303" s="2">
        <v>60</v>
      </c>
      <c r="G303" s="3">
        <v>27.949394000000002</v>
      </c>
      <c r="H303" s="12">
        <v>-0.40000000000000002</v>
      </c>
      <c r="I303" s="3">
        <f t="shared" si="53"/>
        <v>6263887.1264314689</v>
      </c>
      <c r="J303" s="3">
        <f t="shared" si="54"/>
        <v>1.2002805876063227</v>
      </c>
      <c r="K303" s="1">
        <f t="shared" si="55"/>
        <v>7518422.1208128436</v>
      </c>
      <c r="L303" s="3"/>
      <c r="M303" s="4">
        <f t="shared" si="56"/>
        <v>7518422.1208128436</v>
      </c>
      <c r="N303" s="4">
        <f t="shared" si="57"/>
        <v>0</v>
      </c>
    </row>
    <row r="304" spans="1:14" ht="15.65" outlineLevel="2">
      <c r="A304" s="5">
        <v>366</v>
      </c>
      <c r="B304" s="6">
        <v>1983</v>
      </c>
      <c r="C304" s="3">
        <v>7410388.2699999996</v>
      </c>
      <c r="D304" s="3">
        <v>7410388.2699999996</v>
      </c>
      <c r="F304" s="2">
        <v>60</v>
      </c>
      <c r="G304" s="3">
        <v>27.227067999999999</v>
      </c>
      <c r="H304" s="12">
        <v>-0.40000000000000002</v>
      </c>
      <c r="I304" s="3">
        <f t="shared" si="53"/>
        <v>5666736.8535471773</v>
      </c>
      <c r="J304" s="3">
        <f t="shared" si="54"/>
        <v>1.2002805876063227</v>
      </c>
      <c r="K304" s="1">
        <f t="shared" si="55"/>
        <v>6801674.2403860101</v>
      </c>
      <c r="L304" s="3"/>
      <c r="M304" s="4">
        <f t="shared" si="56"/>
        <v>6801674.2403860101</v>
      </c>
      <c r="N304" s="4">
        <f t="shared" si="57"/>
        <v>0</v>
      </c>
    </row>
    <row r="305" spans="1:14" ht="15.65" outlineLevel="2">
      <c r="A305" s="5">
        <v>366</v>
      </c>
      <c r="B305" s="6">
        <v>1982</v>
      </c>
      <c r="C305" s="3">
        <v>6703920.71</v>
      </c>
      <c r="D305" s="3">
        <v>6703920.71</v>
      </c>
      <c r="F305" s="2">
        <v>60</v>
      </c>
      <c r="G305" s="3">
        <v>26.514005000000001</v>
      </c>
      <c r="H305" s="12">
        <v>-0.40000000000000002</v>
      </c>
      <c r="I305" s="3">
        <f t="shared" si="53"/>
        <v>5238040.6254273169</v>
      </c>
      <c r="J305" s="3">
        <f t="shared" si="54"/>
        <v>1.2002805876063227</v>
      </c>
      <c r="K305" s="1">
        <f t="shared" si="55"/>
        <v>6287118.4797936901</v>
      </c>
      <c r="L305" s="3"/>
      <c r="M305" s="4">
        <f t="shared" si="56"/>
        <v>6287118.4797936901</v>
      </c>
      <c r="N305" s="4">
        <f t="shared" si="57"/>
        <v>0</v>
      </c>
    </row>
    <row r="306" spans="1:14" ht="15.65" outlineLevel="2">
      <c r="A306" s="5">
        <v>366</v>
      </c>
      <c r="B306" s="6">
        <v>1981</v>
      </c>
      <c r="C306" s="3">
        <v>6904871.0899999999</v>
      </c>
      <c r="D306" s="3">
        <v>6904871.0899999999</v>
      </c>
      <c r="F306" s="2">
        <v>60</v>
      </c>
      <c r="G306" s="3">
        <v>25.810457</v>
      </c>
      <c r="H306" s="12">
        <v>-0.40000000000000002</v>
      </c>
      <c r="I306" s="3">
        <f t="shared" si="53"/>
        <v>5508402.3642902765</v>
      </c>
      <c r="J306" s="3">
        <f t="shared" si="54"/>
        <v>1.2002805876063227</v>
      </c>
      <c r="K306" s="1">
        <f t="shared" si="55"/>
        <v>6611628.4265823904</v>
      </c>
      <c r="L306" s="3"/>
      <c r="M306" s="4">
        <f t="shared" si="56"/>
        <v>6611628.4265823904</v>
      </c>
      <c r="N306" s="4">
        <f t="shared" si="57"/>
        <v>0</v>
      </c>
    </row>
    <row r="307" spans="1:14" ht="15.65" outlineLevel="2">
      <c r="A307" s="5">
        <v>366</v>
      </c>
      <c r="B307" s="6">
        <v>1980</v>
      </c>
      <c r="C307" s="3">
        <v>4027303.7799999998</v>
      </c>
      <c r="D307" s="3">
        <v>4027303.7799999998</v>
      </c>
      <c r="F307" s="2">
        <v>60</v>
      </c>
      <c r="G307" s="3">
        <v>25.115805000000002</v>
      </c>
      <c r="H307" s="12">
        <v>-0.40000000000000002</v>
      </c>
      <c r="I307" s="3">
        <f t="shared" si="53"/>
        <v>3278082.5090009985</v>
      </c>
      <c r="J307" s="3">
        <f t="shared" si="54"/>
        <v>1.2002805876063227</v>
      </c>
      <c r="K307" s="1">
        <f t="shared" si="55"/>
        <v>3934618.800125727</v>
      </c>
      <c r="L307" s="3"/>
      <c r="M307" s="4">
        <f t="shared" si="56"/>
        <v>3934618.800125727</v>
      </c>
      <c r="N307" s="4">
        <f t="shared" si="57"/>
        <v>0</v>
      </c>
    </row>
    <row r="308" spans="1:14" ht="15.65" outlineLevel="2">
      <c r="A308" s="5">
        <v>366</v>
      </c>
      <c r="B308" s="6">
        <v>1979</v>
      </c>
      <c r="C308" s="3">
        <v>3044885</v>
      </c>
      <c r="D308" s="3">
        <v>3044885</v>
      </c>
      <c r="F308" s="2">
        <v>60</v>
      </c>
      <c r="G308" s="3">
        <v>24.431131000000001</v>
      </c>
      <c r="H308" s="12">
        <v>-0.40000000000000002</v>
      </c>
      <c r="I308" s="3">
        <f t="shared" si="53"/>
        <v>2527072.6993181831</v>
      </c>
      <c r="J308" s="3">
        <f t="shared" si="54"/>
        <v>1.2002805876063227</v>
      </c>
      <c r="K308" s="1">
        <f t="shared" si="55"/>
        <v>3033196.3044615248</v>
      </c>
      <c r="L308" s="3"/>
      <c r="M308" s="4">
        <f t="shared" si="56"/>
        <v>3033196.3044615248</v>
      </c>
      <c r="N308" s="4">
        <f t="shared" si="57"/>
        <v>0</v>
      </c>
    </row>
    <row r="309" spans="1:14" ht="15.65" outlineLevel="2">
      <c r="A309" s="5">
        <v>366</v>
      </c>
      <c r="B309" s="6">
        <v>1978</v>
      </c>
      <c r="C309" s="3">
        <v>2589693.3599999999</v>
      </c>
      <c r="D309" s="3">
        <v>2589693.3599999999</v>
      </c>
      <c r="F309" s="2">
        <v>60</v>
      </c>
      <c r="G309" s="3">
        <v>23.756737000000001</v>
      </c>
      <c r="H309" s="12">
        <v>-0.40000000000000002</v>
      </c>
      <c r="I309" s="3">
        <f t="shared" si="53"/>
        <v>2190041.8758361191</v>
      </c>
      <c r="J309" s="3">
        <f t="shared" si="54"/>
        <v>1.2002805876063227</v>
      </c>
      <c r="K309" s="1">
        <f t="shared" si="55"/>
        <v>2628664.7496110303</v>
      </c>
      <c r="L309" s="3"/>
      <c r="M309" s="4">
        <f t="shared" si="56"/>
        <v>2628664.7496110299</v>
      </c>
      <c r="N309" s="4">
        <f t="shared" si="57"/>
        <v>0</v>
      </c>
    </row>
    <row r="310" spans="1:14" ht="15.65" outlineLevel="2">
      <c r="A310" s="5">
        <v>366</v>
      </c>
      <c r="B310" s="6">
        <v>1977</v>
      </c>
      <c r="C310" s="3">
        <v>1063913.7</v>
      </c>
      <c r="D310" s="3">
        <v>1063913.7</v>
      </c>
      <c r="F310" s="2">
        <v>60</v>
      </c>
      <c r="G310" s="3">
        <v>23.091996000000002</v>
      </c>
      <c r="H310" s="12">
        <v>-0.40000000000000002</v>
      </c>
      <c r="I310" s="3">
        <f t="shared" si="53"/>
        <v>916228.39222261182</v>
      </c>
      <c r="J310" s="3">
        <f t="shared" si="54"/>
        <v>1.2002805876063227</v>
      </c>
      <c r="K310" s="1">
        <f t="shared" si="55"/>
        <v>1099731.1529985529</v>
      </c>
      <c r="L310" s="3"/>
      <c r="M310" s="4">
        <f t="shared" si="56"/>
        <v>1099731.1529985529</v>
      </c>
      <c r="N310" s="4">
        <f t="shared" si="57"/>
        <v>0</v>
      </c>
    </row>
    <row r="311" spans="1:14" ht="15.65" outlineLevel="2">
      <c r="A311" s="5">
        <v>366</v>
      </c>
      <c r="B311" s="6">
        <v>1976</v>
      </c>
      <c r="C311" s="3">
        <v>1880193.3500000001</v>
      </c>
      <c r="D311" s="3">
        <v>1880193.3500000001</v>
      </c>
      <c r="F311" s="2">
        <v>60</v>
      </c>
      <c r="G311" s="3">
        <v>22.438091</v>
      </c>
      <c r="H311" s="12">
        <v>-0.40000000000000002</v>
      </c>
      <c r="I311" s="3">
        <f t="shared" si="53"/>
        <v>1647885.2020191203</v>
      </c>
      <c r="J311" s="3">
        <f t="shared" si="54"/>
        <v>1.2002805876063227</v>
      </c>
      <c r="K311" s="1">
        <f t="shared" si="55"/>
        <v>1977924.6185872736</v>
      </c>
      <c r="L311" s="3"/>
      <c r="M311" s="4">
        <f t="shared" si="56"/>
        <v>1977924.6185872739</v>
      </c>
      <c r="N311" s="4">
        <f t="shared" si="57"/>
        <v>0</v>
      </c>
    </row>
    <row r="312" spans="1:14" ht="15.65" outlineLevel="2">
      <c r="A312" s="5">
        <v>366</v>
      </c>
      <c r="B312" s="6">
        <v>1975</v>
      </c>
      <c r="C312" s="3">
        <v>3159309.3799999999</v>
      </c>
      <c r="D312" s="3">
        <v>3159309.3799999999</v>
      </c>
      <c r="F312" s="2">
        <v>60</v>
      </c>
      <c r="G312" s="3">
        <v>21.795373000000001</v>
      </c>
      <c r="H312" s="12">
        <v>-0.40000000000000002</v>
      </c>
      <c r="I312" s="3">
        <f t="shared" si="53"/>
        <v>2816338.8502783626</v>
      </c>
      <c r="J312" s="3">
        <f t="shared" si="54"/>
        <v>1.2002805876063227</v>
      </c>
      <c r="K312" s="1">
        <f t="shared" si="55"/>
        <v>3380396.8501106286</v>
      </c>
      <c r="L312" s="3"/>
      <c r="M312" s="4">
        <f t="shared" si="56"/>
        <v>3380396.8501106286</v>
      </c>
      <c r="N312" s="4">
        <f t="shared" si="57"/>
        <v>0</v>
      </c>
    </row>
    <row r="313" spans="1:14" ht="15.65" outlineLevel="2">
      <c r="A313" s="5">
        <v>366</v>
      </c>
      <c r="B313" s="6">
        <v>1974</v>
      </c>
      <c r="C313" s="3">
        <v>6945186.8399999999</v>
      </c>
      <c r="D313" s="3">
        <v>6945186.8399999999</v>
      </c>
      <c r="F313" s="2">
        <v>60</v>
      </c>
      <c r="G313" s="3">
        <v>21.163207</v>
      </c>
      <c r="H313" s="12">
        <v>-0.40000000000000002</v>
      </c>
      <c r="I313" s="3">
        <f t="shared" si="53"/>
        <v>6293671.6185327619</v>
      </c>
      <c r="J313" s="3">
        <f t="shared" si="54"/>
        <v>1.2002805876063227</v>
      </c>
      <c r="K313" s="1">
        <f t="shared" si="55"/>
        <v>7554171.8684937395</v>
      </c>
      <c r="L313" s="3"/>
      <c r="M313" s="4">
        <f t="shared" si="56"/>
        <v>7554171.8684937386</v>
      </c>
      <c r="N313" s="4">
        <f t="shared" si="57"/>
        <v>0</v>
      </c>
    </row>
    <row r="314" spans="1:14" ht="15.65" outlineLevel="2">
      <c r="A314" s="5">
        <v>366</v>
      </c>
      <c r="B314" s="6">
        <v>1973</v>
      </c>
      <c r="C314" s="3">
        <v>3540357.4399999999</v>
      </c>
      <c r="D314" s="3">
        <v>3540357.4399999999</v>
      </c>
      <c r="F314" s="2">
        <v>60</v>
      </c>
      <c r="G314" s="3">
        <v>20.542857999999999</v>
      </c>
      <c r="H314" s="12">
        <v>-0.40000000000000002</v>
      </c>
      <c r="I314" s="3">
        <f t="shared" si="53"/>
        <v>3259489.0122861844</v>
      </c>
      <c r="J314" s="3">
        <f t="shared" si="54"/>
        <v>1.2002805876063227</v>
      </c>
      <c r="K314" s="1">
        <f t="shared" si="55"/>
        <v>3912301.3869632138</v>
      </c>
      <c r="L314" s="3"/>
      <c r="M314" s="4">
        <f t="shared" si="56"/>
        <v>3912301.3869632143</v>
      </c>
      <c r="N314" s="4">
        <f t="shared" si="57"/>
        <v>0</v>
      </c>
    </row>
    <row r="315" spans="1:14" ht="15.65" outlineLevel="2">
      <c r="A315" s="5">
        <v>366</v>
      </c>
      <c r="B315" s="6">
        <v>1972</v>
      </c>
      <c r="C315" s="3">
        <v>5471025.96</v>
      </c>
      <c r="D315" s="3">
        <v>5471025.96</v>
      </c>
      <c r="F315" s="2">
        <v>60</v>
      </c>
      <c r="G315" s="3">
        <v>19.934695000000001</v>
      </c>
      <c r="H315" s="12">
        <v>-0.40000000000000002</v>
      </c>
      <c r="I315" s="3">
        <f t="shared" si="53"/>
        <v>5114627.5541740814</v>
      </c>
      <c r="J315" s="3">
        <f t="shared" si="54"/>
        <v>1.2002805876063227</v>
      </c>
      <c r="K315" s="1">
        <f t="shared" si="55"/>
        <v>6138988.1661115559</v>
      </c>
      <c r="L315" s="3"/>
      <c r="M315" s="4">
        <f t="shared" si="56"/>
        <v>6138988.1661115559</v>
      </c>
      <c r="N315" s="4">
        <f t="shared" si="57"/>
        <v>0</v>
      </c>
    </row>
    <row r="316" spans="1:14" ht="15.65" outlineLevel="2">
      <c r="A316" s="5">
        <v>366</v>
      </c>
      <c r="B316" s="6">
        <v>1971</v>
      </c>
      <c r="C316" s="3">
        <v>4353478.71</v>
      </c>
      <c r="D316" s="3">
        <v>4353478.71</v>
      </c>
      <c r="F316" s="2">
        <v>60</v>
      </c>
      <c r="G316" s="3">
        <v>19.338075</v>
      </c>
      <c r="H316" s="12">
        <v>-0.40000000000000002</v>
      </c>
      <c r="I316" s="3">
        <f t="shared" si="53"/>
        <v>4130485.9118860569</v>
      </c>
      <c r="J316" s="3">
        <f t="shared" si="54"/>
        <v>1.2002805876063227</v>
      </c>
      <c r="K316" s="1">
        <f t="shared" si="55"/>
        <v>4957742.0574182337</v>
      </c>
      <c r="L316" s="3"/>
      <c r="M316" s="4">
        <f t="shared" si="56"/>
        <v>4957742.0574182337</v>
      </c>
      <c r="N316" s="4">
        <f t="shared" si="57"/>
        <v>0</v>
      </c>
    </row>
    <row r="317" spans="1:14" ht="15.65" outlineLevel="2">
      <c r="A317" s="5">
        <v>366</v>
      </c>
      <c r="B317" s="6">
        <v>1970</v>
      </c>
      <c r="C317" s="3">
        <v>2896105.1899999999</v>
      </c>
      <c r="D317" s="3">
        <v>2896105.1899999999</v>
      </c>
      <c r="F317" s="2">
        <v>60</v>
      </c>
      <c r="G317" s="3">
        <v>18.754294000000002</v>
      </c>
      <c r="H317" s="12">
        <v>-0.40000000000000002</v>
      </c>
      <c r="I317" s="3">
        <f t="shared" si="53"/>
        <v>2787211.0749423299</v>
      </c>
      <c r="J317" s="3">
        <f t="shared" si="54"/>
        <v>1.2002805876063227</v>
      </c>
      <c r="K317" s="1">
        <f t="shared" si="55"/>
        <v>3345435.3468146301</v>
      </c>
      <c r="L317" s="3"/>
      <c r="M317" s="4">
        <f t="shared" si="56"/>
        <v>3345435.3468146301</v>
      </c>
      <c r="N317" s="4">
        <f t="shared" si="57"/>
        <v>0</v>
      </c>
    </row>
    <row r="318" spans="1:14" ht="15.65" outlineLevel="2">
      <c r="A318" s="5">
        <v>366</v>
      </c>
      <c r="B318" s="6">
        <v>1969</v>
      </c>
      <c r="C318" s="3">
        <v>2734858.2599999998</v>
      </c>
      <c r="D318" s="3">
        <v>2734858.2599999998</v>
      </c>
      <c r="F318" s="2">
        <v>60</v>
      </c>
      <c r="G318" s="3">
        <v>18.183707999999999</v>
      </c>
      <c r="H318" s="12">
        <v>-0.40000000000000002</v>
      </c>
      <c r="I318" s="3">
        <f t="shared" si="53"/>
        <v>2668438.0701713441</v>
      </c>
      <c r="J318" s="3">
        <f t="shared" si="54"/>
        <v>1.2002805876063227</v>
      </c>
      <c r="K318" s="1">
        <f t="shared" si="55"/>
        <v>3202874.4148563426</v>
      </c>
      <c r="L318" s="3"/>
      <c r="M318" s="4">
        <f t="shared" si="56"/>
        <v>3202874.4148563426</v>
      </c>
      <c r="N318" s="4">
        <f t="shared" si="57"/>
        <v>0</v>
      </c>
    </row>
    <row r="319" spans="1:14" ht="15.65" outlineLevel="2">
      <c r="A319" s="5">
        <v>366</v>
      </c>
      <c r="B319" s="6">
        <v>1968</v>
      </c>
      <c r="C319" s="3">
        <v>1407299.26</v>
      </c>
      <c r="D319" s="3">
        <v>1407299.26</v>
      </c>
      <c r="F319" s="2">
        <v>60</v>
      </c>
      <c r="G319" s="3">
        <v>17.625647000000001</v>
      </c>
      <c r="H319" s="12">
        <v>-0.40000000000000002</v>
      </c>
      <c r="I319" s="3">
        <f t="shared" si="53"/>
        <v>1391445.8977971715</v>
      </c>
      <c r="J319" s="3">
        <f t="shared" si="54"/>
        <v>1.2002805876063227</v>
      </c>
      <c r="K319" s="1">
        <f t="shared" si="55"/>
        <v>1670125.4998303964</v>
      </c>
      <c r="L319" s="3"/>
      <c r="M319" s="4">
        <f t="shared" si="56"/>
        <v>1670125.4998303964</v>
      </c>
      <c r="N319" s="4">
        <f t="shared" si="57"/>
        <v>0</v>
      </c>
    </row>
    <row r="320" spans="1:14" ht="15.65" outlineLevel="2">
      <c r="A320" s="5">
        <v>366</v>
      </c>
      <c r="B320" s="6">
        <v>1967</v>
      </c>
      <c r="C320" s="3">
        <v>1936362.8899999999</v>
      </c>
      <c r="D320" s="3">
        <v>1936362.8899999999</v>
      </c>
      <c r="F320" s="2">
        <v>60</v>
      </c>
      <c r="G320" s="3">
        <v>17.081378000000001</v>
      </c>
      <c r="H320" s="12">
        <v>-0.40000000000000002</v>
      </c>
      <c r="I320" s="3">
        <f t="shared" si="53"/>
        <v>1939140.6283838768</v>
      </c>
      <c r="J320" s="3">
        <f t="shared" si="54"/>
        <v>1.2002805876063227</v>
      </c>
      <c r="K320" s="1">
        <f t="shared" si="55"/>
        <v>2327512.8528878936</v>
      </c>
      <c r="L320" s="3"/>
      <c r="M320" s="4">
        <f t="shared" si="56"/>
        <v>2327512.8528878936</v>
      </c>
      <c r="N320" s="4">
        <f t="shared" si="57"/>
        <v>0</v>
      </c>
    </row>
    <row r="321" spans="1:14" ht="15.65" outlineLevel="2">
      <c r="A321" s="5">
        <v>366</v>
      </c>
      <c r="B321" s="6">
        <v>1966</v>
      </c>
      <c r="C321" s="3">
        <v>738887.66000000003</v>
      </c>
      <c r="D321" s="3">
        <v>738887.66000000003</v>
      </c>
      <c r="F321" s="2">
        <v>60</v>
      </c>
      <c r="G321" s="3">
        <v>16.551176999999999</v>
      </c>
      <c r="H321" s="12">
        <v>-0.40000000000000002</v>
      </c>
      <c r="I321" s="3">
        <f t="shared" si="53"/>
        <v>749088.64697856421</v>
      </c>
      <c r="J321" s="3">
        <f t="shared" si="54"/>
        <v>1.2002805876063227</v>
      </c>
      <c r="K321" s="1">
        <f t="shared" si="55"/>
        <v>899116.56136465631</v>
      </c>
      <c r="L321" s="3"/>
      <c r="M321" s="4">
        <f t="shared" si="56"/>
        <v>899116.56136465631</v>
      </c>
      <c r="N321" s="4">
        <f t="shared" si="57"/>
        <v>0</v>
      </c>
    </row>
    <row r="322" spans="1:14" ht="15.65" outlineLevel="2">
      <c r="A322" s="5">
        <v>366</v>
      </c>
      <c r="B322" s="6">
        <v>1965</v>
      </c>
      <c r="C322" s="3">
        <v>6478862.5199999996</v>
      </c>
      <c r="D322" s="3">
        <v>6478862.5199999996</v>
      </c>
      <c r="F322" s="2">
        <v>60</v>
      </c>
      <c r="G322" s="3">
        <v>16.034354</v>
      </c>
      <c r="H322" s="12">
        <v>-0.40000000000000002</v>
      </c>
      <c r="I322" s="3">
        <f t="shared" si="53"/>
        <v>6646438.7741963845</v>
      </c>
      <c r="J322" s="3">
        <f t="shared" si="54"/>
        <v>1.2002805876063227</v>
      </c>
      <c r="K322" s="1">
        <f t="shared" si="55"/>
        <v>7977591.4373818841</v>
      </c>
      <c r="L322" s="3"/>
      <c r="M322" s="4">
        <f t="shared" si="56"/>
        <v>7977591.4373818841</v>
      </c>
      <c r="N322" s="4">
        <f t="shared" si="57"/>
        <v>0</v>
      </c>
    </row>
    <row r="323" spans="1:14" ht="15.65" outlineLevel="2">
      <c r="A323" s="5">
        <v>366</v>
      </c>
      <c r="B323" s="6">
        <v>1964</v>
      </c>
      <c r="C323" s="3">
        <v>2109.1100000000001</v>
      </c>
      <c r="D323" s="3">
        <v>2109.1100000000001</v>
      </c>
      <c r="F323" s="2">
        <v>60</v>
      </c>
      <c r="G323" s="3">
        <v>15.532048</v>
      </c>
      <c r="H323" s="12">
        <v>-0.40000000000000002</v>
      </c>
      <c r="I323" s="3">
        <f t="shared" si="53"/>
        <v>2188.3820523301333</v>
      </c>
      <c r="J323" s="3">
        <f t="shared" si="54"/>
        <v>1.2002805876063227</v>
      </c>
      <c r="K323" s="1">
        <f t="shared" si="55"/>
        <v>2626.6724956779431</v>
      </c>
      <c r="L323" s="3"/>
      <c r="M323" s="4">
        <f t="shared" si="56"/>
        <v>2626.6724956779431</v>
      </c>
      <c r="N323" s="4">
        <f t="shared" si="57"/>
        <v>0</v>
      </c>
    </row>
    <row r="324" spans="1:14" ht="15.65" outlineLevel="2">
      <c r="A324" s="5">
        <v>366</v>
      </c>
      <c r="B324" s="6">
        <v>1963</v>
      </c>
      <c r="C324" s="3">
        <v>46114.360000000001</v>
      </c>
      <c r="D324" s="3">
        <v>46114.360000000001</v>
      </c>
      <c r="F324" s="2">
        <v>60</v>
      </c>
      <c r="G324" s="3">
        <v>15.044389000000001</v>
      </c>
      <c r="H324" s="12">
        <v>-0.40000000000000002</v>
      </c>
      <c r="I324" s="3">
        <f t="shared" si="53"/>
        <v>48372.315359059066</v>
      </c>
      <c r="J324" s="3">
        <f t="shared" si="54"/>
        <v>1.2002805876063227</v>
      </c>
      <c r="K324" s="1">
        <f t="shared" si="55"/>
        <v>58060.351103049768</v>
      </c>
      <c r="L324" s="3"/>
      <c r="M324" s="4">
        <f t="shared" si="56"/>
        <v>58060.351103049768</v>
      </c>
      <c r="N324" s="4">
        <f t="shared" si="57"/>
        <v>0</v>
      </c>
    </row>
    <row r="325" spans="1:14" ht="15.65" outlineLevel="2">
      <c r="A325" s="5">
        <v>366</v>
      </c>
      <c r="B325" s="6">
        <v>1962</v>
      </c>
      <c r="C325" s="3">
        <v>14957.81</v>
      </c>
      <c r="D325" s="3">
        <v>14957.81</v>
      </c>
      <c r="F325" s="2">
        <v>60</v>
      </c>
      <c r="G325" s="3">
        <v>14.570703</v>
      </c>
      <c r="H325" s="12">
        <v>-0.40000000000000002</v>
      </c>
      <c r="I325" s="3">
        <f t="shared" si="53"/>
        <v>15855.531835723297</v>
      </c>
      <c r="J325" s="3">
        <f t="shared" si="54"/>
        <v>1.2002805876063227</v>
      </c>
      <c r="K325" s="1">
        <f t="shared" si="55"/>
        <v>19031.087068592715</v>
      </c>
      <c r="L325" s="3"/>
      <c r="M325" s="4">
        <f t="shared" si="56"/>
        <v>19031.087068592715</v>
      </c>
      <c r="N325" s="4">
        <f t="shared" si="57"/>
        <v>0</v>
      </c>
    </row>
    <row r="326" spans="1:14" ht="15.65" outlineLevel="2">
      <c r="A326" s="5">
        <v>366</v>
      </c>
      <c r="B326" s="6">
        <v>1961</v>
      </c>
      <c r="C326" s="3">
        <v>9722.0200000000004</v>
      </c>
      <c r="D326" s="3">
        <v>9722.0200000000004</v>
      </c>
      <c r="F326" s="2">
        <v>60</v>
      </c>
      <c r="G326" s="3">
        <v>14.111865</v>
      </c>
      <c r="H326" s="12">
        <v>-0.40000000000000002</v>
      </c>
      <c r="I326" s="3">
        <f t="shared" si="53"/>
        <v>10409.591878763</v>
      </c>
      <c r="J326" s="3">
        <f t="shared" si="54"/>
        <v>1.2002805876063227</v>
      </c>
      <c r="K326" s="1">
        <f t="shared" si="55"/>
        <v>12494.431056983658</v>
      </c>
      <c r="L326" s="3"/>
      <c r="M326" s="4">
        <f t="shared" si="56"/>
        <v>12494.431056983658</v>
      </c>
      <c r="N326" s="4">
        <f t="shared" si="57"/>
        <v>0</v>
      </c>
    </row>
    <row r="327" spans="1:14" ht="15.65" outlineLevel="2">
      <c r="A327" s="5">
        <v>366</v>
      </c>
      <c r="B327" s="6">
        <v>1960</v>
      </c>
      <c r="C327" s="3">
        <v>34964.120000000003</v>
      </c>
      <c r="D327" s="3">
        <v>34964.120000000003</v>
      </c>
      <c r="F327" s="2">
        <v>60</v>
      </c>
      <c r="G327" s="3">
        <v>13.667802999999999</v>
      </c>
      <c r="H327" s="12">
        <v>-0.40000000000000002</v>
      </c>
      <c r="I327" s="3">
        <f t="shared" si="53"/>
        <v>37799.171568004938</v>
      </c>
      <c r="J327" s="3">
        <f t="shared" si="54"/>
        <v>1.2002805876063227</v>
      </c>
      <c r="K327" s="1">
        <f t="shared" si="55"/>
        <v>45369.611860677178</v>
      </c>
      <c r="L327" s="3"/>
      <c r="M327" s="4">
        <f t="shared" si="56"/>
        <v>45369.611860677178</v>
      </c>
      <c r="N327" s="4">
        <f t="shared" si="57"/>
        <v>0</v>
      </c>
    </row>
    <row r="328" spans="1:14" ht="15.65" outlineLevel="2">
      <c r="A328" s="5">
        <v>366</v>
      </c>
      <c r="B328" s="6">
        <v>1959</v>
      </c>
      <c r="C328" s="3">
        <v>16465.740000000002</v>
      </c>
      <c r="D328" s="3">
        <v>16465.740000000002</v>
      </c>
      <c r="F328" s="2">
        <v>60</v>
      </c>
      <c r="G328" s="3">
        <v>13.237919</v>
      </c>
      <c r="H328" s="12">
        <v>-0.40000000000000002</v>
      </c>
      <c r="I328" s="3">
        <f t="shared" si="53"/>
        <v>17966.019577448598</v>
      </c>
      <c r="J328" s="3">
        <f t="shared" si="54"/>
        <v>1.2002805876063227</v>
      </c>
      <c r="K328" s="1">
        <f t="shared" si="55"/>
        <v>21564.264535366703</v>
      </c>
      <c r="L328" s="3"/>
      <c r="M328" s="4">
        <f t="shared" si="56"/>
        <v>21564.264535366703</v>
      </c>
      <c r="N328" s="4">
        <f t="shared" si="57"/>
        <v>0</v>
      </c>
    </row>
    <row r="329" spans="1:14" ht="15.65" outlineLevel="2">
      <c r="A329" s="5">
        <v>366</v>
      </c>
      <c r="B329" s="6">
        <v>1958</v>
      </c>
      <c r="C329" s="3">
        <v>10579.15</v>
      </c>
      <c r="D329" s="3">
        <v>10579.15</v>
      </c>
      <c r="F329" s="2">
        <v>60</v>
      </c>
      <c r="G329" s="3">
        <v>12.822683</v>
      </c>
      <c r="H329" s="12">
        <v>-0.40000000000000002</v>
      </c>
      <c r="I329" s="3">
        <f t="shared" si="53"/>
        <v>11645.571306612832</v>
      </c>
      <c r="J329" s="3">
        <f t="shared" si="54"/>
        <v>1.2002805876063227</v>
      </c>
      <c r="K329" s="1">
        <f t="shared" si="55"/>
        <v>13977.953170912582</v>
      </c>
      <c r="L329" s="3"/>
      <c r="M329" s="4">
        <f t="shared" si="56"/>
        <v>13977.953170912582</v>
      </c>
      <c r="N329" s="4">
        <f t="shared" si="57"/>
        <v>0</v>
      </c>
    </row>
    <row r="330" spans="1:14" ht="15.65" outlineLevel="2">
      <c r="A330" s="5">
        <v>366</v>
      </c>
      <c r="B330" s="6">
        <v>1957</v>
      </c>
      <c r="C330" s="3">
        <v>1227.23</v>
      </c>
      <c r="D330" s="3">
        <v>1227.23</v>
      </c>
      <c r="F330" s="2">
        <v>60</v>
      </c>
      <c r="G330" s="3">
        <v>12.421782</v>
      </c>
      <c r="H330" s="12">
        <v>-0.40000000000000002</v>
      </c>
      <c r="I330" s="3">
        <f t="shared" si="58" ref="I330:I350">+C330*(1-H330)*(1-G330/F330)</f>
        <v>1362.4197177766</v>
      </c>
      <c r="J330" s="3">
        <f t="shared" si="59" ref="J330:J350">$J$351</f>
        <v>1.2002805876063227</v>
      </c>
      <c r="K330" s="1">
        <f t="shared" si="60" ref="K330:K350">IF((C330*(1-H330)-I330*J330)&lt;0,C330*(1-H330),I330*J330)</f>
        <v>1635.2859394193379</v>
      </c>
      <c r="L330" s="3"/>
      <c r="M330" s="4">
        <f t="shared" si="61" ref="M330:M350">+K330/D330*C330</f>
        <v>1635.2859394193381</v>
      </c>
      <c r="N330" s="4">
        <f t="shared" si="62" ref="N330:N350">+E330/C330*K330</f>
        <v>0</v>
      </c>
    </row>
    <row r="331" spans="1:14" ht="15.65" outlineLevel="2">
      <c r="A331" s="5">
        <v>366</v>
      </c>
      <c r="B331" s="6">
        <v>1956</v>
      </c>
      <c r="C331" s="3">
        <v>585.16999999999996</v>
      </c>
      <c r="D331" s="3">
        <v>585.16999999999996</v>
      </c>
      <c r="F331" s="2">
        <v>60</v>
      </c>
      <c r="G331" s="3">
        <v>12.03477</v>
      </c>
      <c r="H331" s="12">
        <v>-0.40000000000000002</v>
      </c>
      <c r="I331" s="3">
        <f t="shared" si="58"/>
        <v>654.91565157899993</v>
      </c>
      <c r="J331" s="3">
        <f t="shared" si="59"/>
        <v>1.2002805876063227</v>
      </c>
      <c r="K331" s="1">
        <f t="shared" si="60"/>
        <v>786.08254310981977</v>
      </c>
      <c r="L331" s="3"/>
      <c r="M331" s="4">
        <f t="shared" si="61"/>
        <v>786.08254310981977</v>
      </c>
      <c r="N331" s="4">
        <f t="shared" si="62"/>
        <v>0</v>
      </c>
    </row>
    <row r="332" spans="1:14" ht="15.65" outlineLevel="2">
      <c r="A332" s="5">
        <v>366</v>
      </c>
      <c r="B332" s="6">
        <v>1955</v>
      </c>
      <c r="C332" s="3">
        <v>18344.509999999998</v>
      </c>
      <c r="D332" s="3">
        <v>18344.509999999998</v>
      </c>
      <c r="F332" s="2">
        <v>60</v>
      </c>
      <c r="G332" s="3">
        <v>11.661580000000001</v>
      </c>
      <c r="H332" s="12">
        <v>-0.40000000000000002</v>
      </c>
      <c r="I332" s="3">
        <f t="shared" si="58"/>
        <v>20690.708011731327</v>
      </c>
      <c r="J332" s="3">
        <f t="shared" si="59"/>
        <v>1.2002805876063227</v>
      </c>
      <c r="K332" s="1">
        <f t="shared" si="60"/>
        <v>24834.655170311726</v>
      </c>
      <c r="L332" s="3"/>
      <c r="M332" s="4">
        <f t="shared" si="61"/>
        <v>24834.655170311726</v>
      </c>
      <c r="N332" s="4">
        <f t="shared" si="62"/>
        <v>0</v>
      </c>
    </row>
    <row r="333" spans="1:14" ht="15.65" outlineLevel="2">
      <c r="A333" s="5">
        <v>366</v>
      </c>
      <c r="B333" s="6">
        <v>1954</v>
      </c>
      <c r="C333" s="3">
        <v>27128.75</v>
      </c>
      <c r="D333" s="3">
        <v>27128.75</v>
      </c>
      <c r="F333" s="2">
        <v>60</v>
      </c>
      <c r="G333" s="3">
        <v>11.301629999999999</v>
      </c>
      <c r="H333" s="12">
        <v>-0.40000000000000002</v>
      </c>
      <c r="I333" s="3">
        <f t="shared" si="58"/>
        <v>30826.271119875004</v>
      </c>
      <c r="J333" s="3">
        <f t="shared" si="59"/>
        <v>1.2002805876063227</v>
      </c>
      <c r="K333" s="1">
        <f t="shared" si="60"/>
        <v>37000.174813475387</v>
      </c>
      <c r="L333" s="3"/>
      <c r="M333" s="4">
        <f t="shared" si="61"/>
        <v>37000.174813475387</v>
      </c>
      <c r="N333" s="4">
        <f t="shared" si="62"/>
        <v>0</v>
      </c>
    </row>
    <row r="334" spans="1:14" ht="15.65" outlineLevel="2">
      <c r="A334" s="5">
        <v>366</v>
      </c>
      <c r="B334" s="6">
        <v>1953</v>
      </c>
      <c r="C334" s="3">
        <v>25701.360000000001</v>
      </c>
      <c r="D334" s="3">
        <v>25701.360000000001</v>
      </c>
      <c r="F334" s="2">
        <v>60</v>
      </c>
      <c r="G334" s="3">
        <v>10.954723</v>
      </c>
      <c r="H334" s="12">
        <v>-0.40000000000000002</v>
      </c>
      <c r="I334" s="3">
        <f t="shared" si="58"/>
        <v>29412.374144456793</v>
      </c>
      <c r="J334" s="3">
        <f t="shared" si="59"/>
        <v>1.2002805876063227</v>
      </c>
      <c r="K334" s="1">
        <f t="shared" si="60"/>
        <v>35303.101721005616</v>
      </c>
      <c r="L334" s="3"/>
      <c r="M334" s="4">
        <f t="shared" si="61"/>
        <v>35303.101721005616</v>
      </c>
      <c r="N334" s="4">
        <f t="shared" si="62"/>
        <v>0</v>
      </c>
    </row>
    <row r="335" spans="1:14" ht="15.65" outlineLevel="2">
      <c r="A335" s="5">
        <v>366</v>
      </c>
      <c r="B335" s="6">
        <v>1952</v>
      </c>
      <c r="C335" s="3">
        <v>92158.130000000005</v>
      </c>
      <c r="D335" s="3">
        <v>92158.130000000005</v>
      </c>
      <c r="F335" s="2">
        <v>60</v>
      </c>
      <c r="G335" s="3">
        <v>10.620142</v>
      </c>
      <c r="H335" s="12">
        <v>-0.40000000000000002</v>
      </c>
      <c r="I335" s="3">
        <f t="shared" si="58"/>
        <v>106184.29203539593</v>
      </c>
      <c r="J335" s="3">
        <f t="shared" si="59"/>
        <v>1.2002805876063227</v>
      </c>
      <c r="K335" s="1">
        <f t="shared" si="60"/>
        <v>127450.9444388064</v>
      </c>
      <c r="L335" s="3"/>
      <c r="M335" s="4">
        <f t="shared" si="61"/>
        <v>127450.9444388064</v>
      </c>
      <c r="N335" s="4">
        <f t="shared" si="62"/>
        <v>0</v>
      </c>
    </row>
    <row r="336" spans="1:14" ht="15.65" outlineLevel="2">
      <c r="A336" s="5">
        <v>366</v>
      </c>
      <c r="B336" s="6">
        <v>1951</v>
      </c>
      <c r="C336" s="3">
        <v>2394.8600000000001</v>
      </c>
      <c r="D336" s="3">
        <v>2394.8600000000001</v>
      </c>
      <c r="F336" s="2">
        <v>60</v>
      </c>
      <c r="G336" s="3">
        <v>10.297045000000001</v>
      </c>
      <c r="H336" s="12">
        <v>-0.40000000000000002</v>
      </c>
      <c r="I336" s="3">
        <f t="shared" si="58"/>
        <v>2777.4044389303335</v>
      </c>
      <c r="J336" s="3">
        <f t="shared" si="59"/>
        <v>1.2002805876063227</v>
      </c>
      <c r="K336" s="1">
        <f t="shared" si="60"/>
        <v>3333.6646319797096</v>
      </c>
      <c r="L336" s="3"/>
      <c r="M336" s="4">
        <f t="shared" si="61"/>
        <v>3333.6646319797096</v>
      </c>
      <c r="N336" s="4">
        <f t="shared" si="62"/>
        <v>0</v>
      </c>
    </row>
    <row r="337" spans="1:14" ht="15.65" outlineLevel="2">
      <c r="A337" s="5">
        <v>366</v>
      </c>
      <c r="B337" s="6">
        <v>1950</v>
      </c>
      <c r="C337" s="3">
        <v>6851.5600000000004</v>
      </c>
      <c r="D337" s="3">
        <v>6851.5600000000004</v>
      </c>
      <c r="F337" s="2">
        <v>60</v>
      </c>
      <c r="G337" s="3">
        <v>9.9855999999999998</v>
      </c>
      <c r="H337" s="12">
        <v>-0.40000000000000002</v>
      </c>
      <c r="I337" s="3">
        <f t="shared" si="58"/>
        <v>7995.7887908266657</v>
      </c>
      <c r="J337" s="3">
        <f t="shared" si="59"/>
        <v>1.2002805876063227</v>
      </c>
      <c r="K337" s="1">
        <f t="shared" si="60"/>
        <v>9592.1839999999993</v>
      </c>
      <c r="L337" s="3"/>
      <c r="M337" s="4">
        <f t="shared" si="61"/>
        <v>9592.1839999999993</v>
      </c>
      <c r="N337" s="4">
        <f t="shared" si="62"/>
        <v>0</v>
      </c>
    </row>
    <row r="338" spans="1:14" ht="15.65" outlineLevel="2">
      <c r="A338" s="5">
        <v>366</v>
      </c>
      <c r="B338" s="6">
        <v>1949</v>
      </c>
      <c r="C338" s="3">
        <v>40738.089999999997</v>
      </c>
      <c r="D338" s="3">
        <v>40738.089999999997</v>
      </c>
      <c r="F338" s="2">
        <v>60</v>
      </c>
      <c r="G338" s="3">
        <v>9.6843690000000002</v>
      </c>
      <c r="H338" s="12">
        <v>-0.40000000000000002</v>
      </c>
      <c r="I338" s="3">
        <f t="shared" si="58"/>
        <v>47827.796428645095</v>
      </c>
      <c r="J338" s="3">
        <f t="shared" si="59"/>
        <v>1.2002805876063227</v>
      </c>
      <c r="K338" s="1">
        <f t="shared" si="60"/>
        <v>57033.325999999994</v>
      </c>
      <c r="L338" s="3"/>
      <c r="M338" s="4">
        <f t="shared" si="61"/>
        <v>57033.325999999994</v>
      </c>
      <c r="N338" s="4">
        <f t="shared" si="62"/>
        <v>0</v>
      </c>
    </row>
    <row r="339" spans="1:14" ht="15.65" outlineLevel="2">
      <c r="A339" s="5">
        <v>366</v>
      </c>
      <c r="B339" s="6">
        <v>1948</v>
      </c>
      <c r="C339" s="3">
        <v>32442.869999999999</v>
      </c>
      <c r="D339" s="3">
        <v>32442.869999999999</v>
      </c>
      <c r="F339" s="2">
        <v>60</v>
      </c>
      <c r="G339" s="3">
        <v>9.3923030000000001</v>
      </c>
      <c r="H339" s="12">
        <v>-0.40000000000000002</v>
      </c>
      <c r="I339" s="3">
        <f t="shared" si="58"/>
        <v>38310.041811309093</v>
      </c>
      <c r="J339" s="3">
        <f t="shared" si="59"/>
        <v>1.2002805876063227</v>
      </c>
      <c r="K339" s="1">
        <f t="shared" si="60"/>
        <v>45420.017999999996</v>
      </c>
      <c r="L339" s="3"/>
      <c r="M339" s="4">
        <f t="shared" si="61"/>
        <v>45420.017999999996</v>
      </c>
      <c r="N339" s="4">
        <f t="shared" si="62"/>
        <v>0</v>
      </c>
    </row>
    <row r="340" spans="1:14" ht="15.65" outlineLevel="2">
      <c r="A340" s="5">
        <v>366</v>
      </c>
      <c r="B340" s="6">
        <v>1947</v>
      </c>
      <c r="C340" s="3">
        <v>4997.5</v>
      </c>
      <c r="D340" s="3">
        <v>4997.5</v>
      </c>
      <c r="F340" s="2">
        <v>60</v>
      </c>
      <c r="G340" s="3">
        <v>9.1100790000000007</v>
      </c>
      <c r="H340" s="12">
        <v>-0.40000000000000002</v>
      </c>
      <c r="I340" s="3">
        <f t="shared" si="58"/>
        <v>5934.1888712749997</v>
      </c>
      <c r="J340" s="3">
        <f t="shared" si="59"/>
        <v>1.2002805876063227</v>
      </c>
      <c r="K340" s="1">
        <f t="shared" si="60"/>
        <v>6996.5</v>
      </c>
      <c r="L340" s="3"/>
      <c r="M340" s="4">
        <f t="shared" si="61"/>
        <v>6996.5</v>
      </c>
      <c r="N340" s="4">
        <f t="shared" si="62"/>
        <v>0</v>
      </c>
    </row>
    <row r="341" spans="1:14" ht="15.65" outlineLevel="2">
      <c r="A341" s="5">
        <v>366</v>
      </c>
      <c r="B341" s="6">
        <v>1946</v>
      </c>
      <c r="C341" s="3">
        <v>575.98000000000002</v>
      </c>
      <c r="D341" s="3">
        <v>575.98000000000002</v>
      </c>
      <c r="F341" s="2">
        <v>60</v>
      </c>
      <c r="G341" s="3">
        <v>8.8355300000000003</v>
      </c>
      <c r="H341" s="12">
        <v>-0.40000000000000002</v>
      </c>
      <c r="I341" s="3">
        <f t="shared" si="58"/>
        <v>687.62660004733334</v>
      </c>
      <c r="J341" s="3">
        <f t="shared" si="59"/>
        <v>1.2002805876063227</v>
      </c>
      <c r="K341" s="1">
        <f t="shared" si="60"/>
        <v>806.37199999999996</v>
      </c>
      <c r="L341" s="3"/>
      <c r="M341" s="4">
        <f t="shared" si="61"/>
        <v>806.37199999999996</v>
      </c>
      <c r="N341" s="4">
        <f t="shared" si="62"/>
        <v>0</v>
      </c>
    </row>
    <row r="342" spans="1:14" ht="15.65" outlineLevel="2">
      <c r="A342" s="5">
        <v>366</v>
      </c>
      <c r="B342" s="6">
        <v>1945</v>
      </c>
      <c r="C342" s="3">
        <v>885.49000000000001</v>
      </c>
      <c r="D342" s="3">
        <v>885.49000000000001</v>
      </c>
      <c r="F342" s="2">
        <v>60</v>
      </c>
      <c r="G342" s="3">
        <v>8.5675399999999993</v>
      </c>
      <c r="H342" s="12">
        <v>-0.40000000000000002</v>
      </c>
      <c r="I342" s="3">
        <f t="shared" si="58"/>
        <v>1062.6683434593333</v>
      </c>
      <c r="J342" s="3">
        <f t="shared" si="59"/>
        <v>1.2002805876063227</v>
      </c>
      <c r="K342" s="1">
        <f t="shared" si="60"/>
        <v>1239.6859999999999</v>
      </c>
      <c r="L342" s="3"/>
      <c r="M342" s="4">
        <f t="shared" si="61"/>
        <v>1239.6859999999999</v>
      </c>
      <c r="N342" s="4">
        <f t="shared" si="62"/>
        <v>0</v>
      </c>
    </row>
    <row r="343" spans="1:14" ht="15.65" outlineLevel="2">
      <c r="A343" s="5">
        <v>366</v>
      </c>
      <c r="B343" s="6">
        <v>1944</v>
      </c>
      <c r="C343" s="3">
        <v>835.35000000000002</v>
      </c>
      <c r="D343" s="3">
        <v>835.35000000000002</v>
      </c>
      <c r="F343" s="2">
        <v>60</v>
      </c>
      <c r="G343" s="3">
        <v>8.3074270000000006</v>
      </c>
      <c r="H343" s="12">
        <v>-0.40000000000000002</v>
      </c>
      <c r="I343" s="3">
        <f t="shared" si="58"/>
        <v>1007.5657866294999</v>
      </c>
      <c r="J343" s="3">
        <f t="shared" si="59"/>
        <v>1.2002805876063227</v>
      </c>
      <c r="K343" s="1">
        <f t="shared" si="60"/>
        <v>1169.49</v>
      </c>
      <c r="L343" s="3"/>
      <c r="M343" s="4">
        <f t="shared" si="61"/>
        <v>1169.49</v>
      </c>
      <c r="N343" s="4">
        <f t="shared" si="62"/>
        <v>0</v>
      </c>
    </row>
    <row r="344" spans="1:14" ht="15.65" outlineLevel="2">
      <c r="A344" s="5">
        <v>366</v>
      </c>
      <c r="B344" s="6">
        <v>1932</v>
      </c>
      <c r="C344" s="3">
        <v>1404.52</v>
      </c>
      <c r="D344" s="3">
        <v>1404.52</v>
      </c>
      <c r="F344" s="2">
        <v>60</v>
      </c>
      <c r="G344" s="3">
        <v>5.4845220000000001</v>
      </c>
      <c r="H344" s="12">
        <v>-0.40000000000000002</v>
      </c>
      <c r="I344" s="3">
        <f t="shared" si="58"/>
        <v>1786.5885137463997</v>
      </c>
      <c r="J344" s="3">
        <f t="shared" si="59"/>
        <v>1.2002805876063227</v>
      </c>
      <c r="K344" s="1">
        <f t="shared" si="60"/>
        <v>1966.3279999999998</v>
      </c>
      <c r="L344" s="3"/>
      <c r="M344" s="4">
        <f t="shared" si="61"/>
        <v>1966.3279999999998</v>
      </c>
      <c r="N344" s="4">
        <f t="shared" si="62"/>
        <v>0</v>
      </c>
    </row>
    <row r="345" spans="1:14" ht="15.65" outlineLevel="2">
      <c r="A345" s="5">
        <v>366</v>
      </c>
      <c r="B345" s="6">
        <v>1930</v>
      </c>
      <c r="C345" s="3">
        <v>916017.51000000001</v>
      </c>
      <c r="D345" s="3">
        <v>916017.51000000001</v>
      </c>
      <c r="F345" s="2">
        <v>60</v>
      </c>
      <c r="G345" s="3">
        <v>5.0429360000000001</v>
      </c>
      <c r="H345" s="12">
        <v>-0.40000000000000002</v>
      </c>
      <c r="I345" s="3">
        <f t="shared" si="58"/>
        <v>1174638.1015177816</v>
      </c>
      <c r="J345" s="3">
        <f t="shared" si="59"/>
        <v>1.2002805876063227</v>
      </c>
      <c r="K345" s="1">
        <f t="shared" si="60"/>
        <v>1282424.514</v>
      </c>
      <c r="L345" s="3"/>
      <c r="M345" s="4">
        <f t="shared" si="61"/>
        <v>1282424.514</v>
      </c>
      <c r="N345" s="4">
        <f t="shared" si="62"/>
        <v>0</v>
      </c>
    </row>
    <row r="346" spans="1:14" ht="15.65" outlineLevel="2">
      <c r="A346" s="5">
        <v>366</v>
      </c>
      <c r="B346" s="6">
        <v>1926</v>
      </c>
      <c r="C346" s="3">
        <v>405.56</v>
      </c>
      <c r="D346" s="3">
        <v>405.56</v>
      </c>
      <c r="F346" s="2">
        <v>60</v>
      </c>
      <c r="G346" s="3">
        <v>4.1389230000000001</v>
      </c>
      <c r="H346" s="12">
        <v>-0.40000000000000002</v>
      </c>
      <c r="I346" s="3">
        <f t="shared" si="58"/>
        <v>528.61709572279995</v>
      </c>
      <c r="J346" s="3">
        <f t="shared" si="59"/>
        <v>1.2002805876063227</v>
      </c>
      <c r="K346" s="1">
        <f t="shared" si="60"/>
        <v>567.78399999999999</v>
      </c>
      <c r="L346" s="3"/>
      <c r="M346" s="4">
        <f t="shared" si="61"/>
        <v>567.78399999999999</v>
      </c>
      <c r="N346" s="4">
        <f t="shared" si="62"/>
        <v>0</v>
      </c>
    </row>
    <row r="347" spans="1:14" ht="15.65" outlineLevel="2">
      <c r="A347" s="5">
        <v>366</v>
      </c>
      <c r="B347" s="6">
        <v>1921</v>
      </c>
      <c r="C347" s="3">
        <v>43285.690000000002</v>
      </c>
      <c r="D347" s="3">
        <v>43285.690000000002</v>
      </c>
      <c r="F347" s="2">
        <v>60</v>
      </c>
      <c r="G347" s="3">
        <v>2.7951160000000002</v>
      </c>
      <c r="H347" s="12">
        <v>-0.40000000000000002</v>
      </c>
      <c r="I347" s="3">
        <f t="shared" si="58"/>
        <v>57776.900423899067</v>
      </c>
      <c r="J347" s="3">
        <f t="shared" si="59"/>
        <v>1.2002805876063227</v>
      </c>
      <c r="K347" s="1">
        <f t="shared" si="60"/>
        <v>60599.966</v>
      </c>
      <c r="L347" s="3"/>
      <c r="M347" s="4">
        <f t="shared" si="61"/>
        <v>60599.966</v>
      </c>
      <c r="N347" s="4">
        <f t="shared" si="62"/>
        <v>0</v>
      </c>
    </row>
    <row r="348" spans="1:14" ht="15.65" outlineLevel="2">
      <c r="A348" s="5">
        <v>366</v>
      </c>
      <c r="B348" s="6">
        <v>1912</v>
      </c>
      <c r="C348" s="3">
        <v>10181.08</v>
      </c>
      <c r="D348" s="3">
        <v>10181.08</v>
      </c>
      <c r="F348" s="2">
        <v>60</v>
      </c>
      <c r="G348" s="3">
        <v>0</v>
      </c>
      <c r="H348" s="12">
        <v>-0.40000000000000002</v>
      </c>
      <c r="I348" s="3">
        <f t="shared" si="58"/>
        <v>14253.511999999999</v>
      </c>
      <c r="J348" s="3">
        <f t="shared" si="59"/>
        <v>1.2002805876063227</v>
      </c>
      <c r="K348" s="1">
        <f t="shared" si="60"/>
        <v>14253.511999999999</v>
      </c>
      <c r="L348" s="3"/>
      <c r="M348" s="4">
        <f t="shared" si="61"/>
        <v>14253.511999999999</v>
      </c>
      <c r="N348" s="4">
        <f t="shared" si="62"/>
        <v>0</v>
      </c>
    </row>
    <row r="349" spans="1:14" ht="15.65" outlineLevel="2">
      <c r="A349" s="5">
        <v>366</v>
      </c>
      <c r="B349" s="6">
        <v>1908</v>
      </c>
      <c r="C349" s="3">
        <v>712.48000000000002</v>
      </c>
      <c r="D349" s="3">
        <v>712.48000000000002</v>
      </c>
      <c r="F349" s="2">
        <v>60</v>
      </c>
      <c r="G349" s="3">
        <v>0</v>
      </c>
      <c r="H349" s="12">
        <v>-0.40000000000000002</v>
      </c>
      <c r="I349" s="3">
        <f t="shared" si="58"/>
        <v>997.47199999999998</v>
      </c>
      <c r="J349" s="3">
        <f t="shared" si="59"/>
        <v>1.2002805876063227</v>
      </c>
      <c r="K349" s="1">
        <f t="shared" si="60"/>
        <v>997.47199999999998</v>
      </c>
      <c r="L349" s="3"/>
      <c r="M349" s="4">
        <f t="shared" si="61"/>
        <v>997.47199999999998</v>
      </c>
      <c r="N349" s="4">
        <f t="shared" si="62"/>
        <v>0</v>
      </c>
    </row>
    <row r="350" spans="1:14" ht="15.65" outlineLevel="2">
      <c r="A350" s="5">
        <v>366</v>
      </c>
      <c r="B350" s="6">
        <v>1902</v>
      </c>
      <c r="C350" s="3">
        <v>21280</v>
      </c>
      <c r="D350" s="3">
        <v>21280</v>
      </c>
      <c r="F350" s="2">
        <v>60</v>
      </c>
      <c r="G350" s="3">
        <v>0</v>
      </c>
      <c r="H350" s="12">
        <v>-0.40000000000000002</v>
      </c>
      <c r="I350" s="3">
        <f t="shared" si="58"/>
        <v>29791.999999999996</v>
      </c>
      <c r="J350" s="3">
        <f t="shared" si="59"/>
        <v>1.2002805876063227</v>
      </c>
      <c r="K350" s="1">
        <f t="shared" si="60"/>
        <v>29791.999999999996</v>
      </c>
      <c r="L350" s="3"/>
      <c r="M350" s="4">
        <f t="shared" si="61"/>
        <v>29791.999999999996</v>
      </c>
      <c r="N350" s="4">
        <f t="shared" si="62"/>
        <v>0</v>
      </c>
    </row>
    <row r="351" spans="1:15" ht="15.65" outlineLevel="1">
      <c r="A351" s="7" t="s">
        <v>5</v>
      </c>
      <c r="B351" s="6"/>
      <c r="C351" s="3">
        <f>SUBTOTAL(9,C266:C350)</f>
        <v>1082118478.1099994</v>
      </c>
      <c r="I351" s="3">
        <f t="shared" si="63" ref="I351:K351">SUBTOTAL(9,I266:I350)</f>
        <v>376862024.06702256</v>
      </c>
      <c r="J351" s="3">
        <v>1.2002805876063227</v>
      </c>
      <c r="K351" s="1">
        <f t="shared" si="63"/>
        <v>452193524.26374716</v>
      </c>
      <c r="L351" s="3">
        <v>452193524.26374727</v>
      </c>
      <c r="M351" s="3">
        <f>SUBTOTAL(9,K266:K350)</f>
        <v>452193524.26374716</v>
      </c>
      <c r="N351" s="3">
        <f t="shared" si="64" ref="N351">SUBTOTAL(9,N266:N350)</f>
        <v>0</v>
      </c>
      <c r="O351" s="4">
        <f>+L351-K351</f>
        <v>0</v>
      </c>
    </row>
    <row r="352" spans="1:14" ht="15.65" outlineLevel="2">
      <c r="A352" s="5">
        <v>367</v>
      </c>
      <c r="B352" s="6">
        <v>2021</v>
      </c>
      <c r="C352" s="3">
        <v>193408262.86000001</v>
      </c>
      <c r="D352" s="3">
        <v>193408262.86000001</v>
      </c>
      <c r="F352" s="2">
        <v>52</v>
      </c>
      <c r="G352" s="3">
        <v>51.689298999999998</v>
      </c>
      <c r="H352" s="12">
        <v>-0.20000000000000001</v>
      </c>
      <c r="I352" s="3">
        <f t="shared" si="65" ref="I352:I383">+C352*(1-H352)*(1-G352/F352)</f>
        <v>1386741.707973812</v>
      </c>
      <c r="J352" s="3">
        <f t="shared" si="66" ref="J352:J383">$J$429</f>
        <v>1.2002429808633148</v>
      </c>
      <c r="K352" s="1">
        <f t="shared" si="67" ref="K352:K383">IF((C352*(1-H352)-I352*J352)&lt;0,C352*(1-H352),I352*J352)</f>
        <v>1664427.0012659726</v>
      </c>
      <c r="L352" s="3"/>
      <c r="M352" s="4">
        <f t="shared" si="68" ref="M352:M383">+K352/D352*C352</f>
        <v>1664427.0012659726</v>
      </c>
      <c r="N352" s="4">
        <f t="shared" si="69" ref="N352:N383">+E352/C352*K352</f>
        <v>0</v>
      </c>
    </row>
    <row r="353" spans="1:14" ht="15.65" outlineLevel="2">
      <c r="A353" s="5">
        <v>367</v>
      </c>
      <c r="B353" s="6">
        <v>2020</v>
      </c>
      <c r="C353" s="3">
        <v>181898061.75999999</v>
      </c>
      <c r="D353" s="3">
        <v>181898061.75999999</v>
      </c>
      <c r="F353" s="2">
        <v>52</v>
      </c>
      <c r="G353" s="3">
        <v>51.069181999999998</v>
      </c>
      <c r="H353" s="12">
        <v>-0.20000000000000001</v>
      </c>
      <c r="I353" s="3">
        <f t="shared" si="65"/>
        <v>3907245.9242612268</v>
      </c>
      <c r="J353" s="3">
        <f t="shared" si="66"/>
        <v>1.2002429808633148</v>
      </c>
      <c r="K353" s="1">
        <f t="shared" si="67"/>
        <v>4689644.4951013327</v>
      </c>
      <c r="L353" s="3"/>
      <c r="M353" s="4">
        <f t="shared" si="68"/>
        <v>4689644.4951013327</v>
      </c>
      <c r="N353" s="4">
        <f t="shared" si="69"/>
        <v>0</v>
      </c>
    </row>
    <row r="354" spans="1:14" ht="15.65" outlineLevel="2">
      <c r="A354" s="5">
        <v>367</v>
      </c>
      <c r="B354" s="6">
        <v>2019</v>
      </c>
      <c r="C354" s="3">
        <v>173138791.11000001</v>
      </c>
      <c r="D354" s="3">
        <v>173138791.11000001</v>
      </c>
      <c r="F354" s="2">
        <v>52</v>
      </c>
      <c r="G354" s="3">
        <v>50.450758</v>
      </c>
      <c r="H354" s="12">
        <v>-0.20000000000000001</v>
      </c>
      <c r="I354" s="3">
        <f t="shared" si="65"/>
        <v>6190012.7773116594</v>
      </c>
      <c r="J354" s="3">
        <f t="shared" si="66"/>
        <v>1.2002429808633148</v>
      </c>
      <c r="K354" s="1">
        <f t="shared" si="67"/>
        <v>7429519.3874225523</v>
      </c>
      <c r="L354" s="3"/>
      <c r="M354" s="4">
        <f t="shared" si="68"/>
        <v>7429519.3874225523</v>
      </c>
      <c r="N354" s="4">
        <f t="shared" si="69"/>
        <v>0</v>
      </c>
    </row>
    <row r="355" spans="1:14" ht="15.65" outlineLevel="2">
      <c r="A355" s="5">
        <v>367</v>
      </c>
      <c r="B355" s="6">
        <v>2018</v>
      </c>
      <c r="C355" s="3">
        <v>144670009.87000001</v>
      </c>
      <c r="D355" s="3">
        <v>144670009.87000001</v>
      </c>
      <c r="F355" s="2">
        <v>52</v>
      </c>
      <c r="G355" s="3">
        <v>49.834004</v>
      </c>
      <c r="H355" s="12">
        <v>-0.20000000000000001</v>
      </c>
      <c r="I355" s="3">
        <f t="shared" si="65"/>
        <v>7231261.4468857069</v>
      </c>
      <c r="J355" s="3">
        <f t="shared" si="66"/>
        <v>1.2002429808633148</v>
      </c>
      <c r="K355" s="1">
        <f t="shared" si="67"/>
        <v>8679270.7944120672</v>
      </c>
      <c r="L355" s="3"/>
      <c r="M355" s="4">
        <f t="shared" si="68"/>
        <v>8679270.7944120672</v>
      </c>
      <c r="N355" s="4">
        <f t="shared" si="69"/>
        <v>0</v>
      </c>
    </row>
    <row r="356" spans="1:14" ht="15.65" outlineLevel="2">
      <c r="A356" s="5">
        <v>367</v>
      </c>
      <c r="B356" s="6">
        <v>2017</v>
      </c>
      <c r="C356" s="3">
        <v>137877087.68000001</v>
      </c>
      <c r="D356" s="3">
        <v>137877087.68000001</v>
      </c>
      <c r="F356" s="2">
        <v>52</v>
      </c>
      <c r="G356" s="3">
        <v>49.218893000000001</v>
      </c>
      <c r="H356" s="12">
        <v>-0.20000000000000001</v>
      </c>
      <c r="I356" s="3">
        <f t="shared" si="65"/>
        <v>8848867.7004568111</v>
      </c>
      <c r="J356" s="3">
        <f t="shared" si="66"/>
        <v>1.2002429808633148</v>
      </c>
      <c r="K356" s="1">
        <f t="shared" si="67"/>
        <v>10620791.34606139</v>
      </c>
      <c r="L356" s="3"/>
      <c r="M356" s="4">
        <f t="shared" si="68"/>
        <v>10620791.34606139</v>
      </c>
      <c r="N356" s="4">
        <f t="shared" si="69"/>
        <v>0</v>
      </c>
    </row>
    <row r="357" spans="1:14" ht="15.65" outlineLevel="2">
      <c r="A357" s="5">
        <v>367</v>
      </c>
      <c r="B357" s="6">
        <v>2016</v>
      </c>
      <c r="C357" s="3">
        <v>120460604.09999999</v>
      </c>
      <c r="D357" s="3">
        <v>120460604.09999999</v>
      </c>
      <c r="F357" s="2">
        <v>52</v>
      </c>
      <c r="G357" s="3">
        <v>48.605398000000001</v>
      </c>
      <c r="H357" s="12">
        <v>-0.20000000000000001</v>
      </c>
      <c r="I357" s="3">
        <f t="shared" si="65"/>
        <v>9436518.6369015761</v>
      </c>
      <c r="J357" s="3">
        <f t="shared" si="66"/>
        <v>1.2002429808633148</v>
      </c>
      <c r="K357" s="1">
        <f t="shared" si="67"/>
        <v>11326115.257726973</v>
      </c>
      <c r="L357" s="3"/>
      <c r="M357" s="4">
        <f t="shared" si="68"/>
        <v>11326115.257726973</v>
      </c>
      <c r="N357" s="4">
        <f t="shared" si="69"/>
        <v>0</v>
      </c>
    </row>
    <row r="358" spans="1:14" ht="15.65" outlineLevel="2">
      <c r="A358" s="5">
        <v>367</v>
      </c>
      <c r="B358" s="6">
        <v>2015</v>
      </c>
      <c r="C358" s="3">
        <v>96540703.569999993</v>
      </c>
      <c r="D358" s="3">
        <v>96540703.569999993</v>
      </c>
      <c r="F358" s="2">
        <v>52</v>
      </c>
      <c r="G358" s="3">
        <v>47.993487999999999</v>
      </c>
      <c r="H358" s="12">
        <v>-0.20000000000000001</v>
      </c>
      <c r="I358" s="3">
        <f t="shared" si="65"/>
        <v>8925957.4001918789</v>
      </c>
      <c r="J358" s="3">
        <f t="shared" si="66"/>
        <v>1.2002429808633148</v>
      </c>
      <c r="K358" s="1">
        <f t="shared" si="67"/>
        <v>10713317.717065265</v>
      </c>
      <c r="L358" s="3"/>
      <c r="M358" s="4">
        <f t="shared" si="68"/>
        <v>10713317.717065265</v>
      </c>
      <c r="N358" s="4">
        <f t="shared" si="69"/>
        <v>0</v>
      </c>
    </row>
    <row r="359" spans="1:14" ht="15.65" outlineLevel="2">
      <c r="A359" s="5">
        <v>367</v>
      </c>
      <c r="B359" s="6">
        <v>2014</v>
      </c>
      <c r="C359" s="3">
        <v>73117015.640000001</v>
      </c>
      <c r="D359" s="3">
        <v>73117015.640000001</v>
      </c>
      <c r="F359" s="2">
        <v>52</v>
      </c>
      <c r="G359" s="3">
        <v>47.383128999999997</v>
      </c>
      <c r="H359" s="12">
        <v>-0.20000000000000001</v>
      </c>
      <c r="I359" s="3">
        <f t="shared" si="65"/>
        <v>7790119.1334199077</v>
      </c>
      <c r="J359" s="3">
        <f t="shared" si="66"/>
        <v>1.2002429808633148</v>
      </c>
      <c r="K359" s="1">
        <f t="shared" si="67"/>
        <v>9350035.8099762537</v>
      </c>
      <c r="L359" s="3"/>
      <c r="M359" s="4">
        <f t="shared" si="68"/>
        <v>9350035.8099762537</v>
      </c>
      <c r="N359" s="4">
        <f t="shared" si="69"/>
        <v>0</v>
      </c>
    </row>
    <row r="360" spans="1:14" ht="15.65" outlineLevel="2">
      <c r="A360" s="5">
        <v>367</v>
      </c>
      <c r="B360" s="6">
        <v>2013</v>
      </c>
      <c r="C360" s="3">
        <v>67756461.010000005</v>
      </c>
      <c r="D360" s="3">
        <v>67756461.010000005</v>
      </c>
      <c r="F360" s="2">
        <v>52</v>
      </c>
      <c r="G360" s="3">
        <v>46.774287000000001</v>
      </c>
      <c r="H360" s="12">
        <v>-0.20000000000000001</v>
      </c>
      <c r="I360" s="3">
        <f t="shared" si="65"/>
        <v>8170980.4415526921</v>
      </c>
      <c r="J360" s="3">
        <f t="shared" si="66"/>
        <v>1.2002429808633148</v>
      </c>
      <c r="K360" s="1">
        <f t="shared" si="67"/>
        <v>9807161.921745047</v>
      </c>
      <c r="L360" s="3"/>
      <c r="M360" s="4">
        <f t="shared" si="68"/>
        <v>9807161.921745047</v>
      </c>
      <c r="N360" s="4">
        <f t="shared" si="69"/>
        <v>0</v>
      </c>
    </row>
    <row r="361" spans="1:14" ht="15.65" outlineLevel="2">
      <c r="A361" s="5">
        <v>367</v>
      </c>
      <c r="B361" s="6">
        <v>2012</v>
      </c>
      <c r="C361" s="3">
        <v>61619323.82</v>
      </c>
      <c r="D361" s="3">
        <v>61619323.82</v>
      </c>
      <c r="F361" s="2">
        <v>52</v>
      </c>
      <c r="G361" s="3">
        <v>46.166922999999997</v>
      </c>
      <c r="H361" s="12">
        <v>-0.20000000000000001</v>
      </c>
      <c r="I361" s="3">
        <f t="shared" si="65"/>
        <v>8294544.4737691004</v>
      </c>
      <c r="J361" s="3">
        <f t="shared" si="66"/>
        <v>1.2002429808633148</v>
      </c>
      <c r="K361" s="1">
        <f t="shared" si="67"/>
        <v>9955468.7840999607</v>
      </c>
      <c r="L361" s="3"/>
      <c r="M361" s="4">
        <f t="shared" si="68"/>
        <v>9955468.7840999607</v>
      </c>
      <c r="N361" s="4">
        <f t="shared" si="69"/>
        <v>0</v>
      </c>
    </row>
    <row r="362" spans="1:14" ht="15.65" outlineLevel="2">
      <c r="A362" s="5">
        <v>367</v>
      </c>
      <c r="B362" s="6">
        <v>2011</v>
      </c>
      <c r="C362" s="3">
        <v>54013299.979999997</v>
      </c>
      <c r="D362" s="3">
        <v>54013299.979999997</v>
      </c>
      <c r="F362" s="2">
        <v>52</v>
      </c>
      <c r="G362" s="3">
        <v>45.560997</v>
      </c>
      <c r="H362" s="12">
        <v>-0.20000000000000001</v>
      </c>
      <c r="I362" s="3">
        <f t="shared" si="65"/>
        <v>8025964.6294873785</v>
      </c>
      <c r="J362" s="3">
        <f t="shared" si="66"/>
        <v>1.2002429808633148</v>
      </c>
      <c r="K362" s="1">
        <f t="shared" si="67"/>
        <v>9633107.7111994606</v>
      </c>
      <c r="L362" s="3"/>
      <c r="M362" s="4">
        <f t="shared" si="68"/>
        <v>9633107.7111994606</v>
      </c>
      <c r="N362" s="4">
        <f t="shared" si="69"/>
        <v>0</v>
      </c>
    </row>
    <row r="363" spans="1:14" ht="15.65" outlineLevel="2">
      <c r="A363" s="5">
        <v>367</v>
      </c>
      <c r="B363" s="6">
        <v>2010</v>
      </c>
      <c r="C363" s="3">
        <v>47872875.600000001</v>
      </c>
      <c r="D363" s="3">
        <v>47872875.600000001</v>
      </c>
      <c r="F363" s="2">
        <v>52</v>
      </c>
      <c r="G363" s="3">
        <v>44.956460999999997</v>
      </c>
      <c r="H363" s="12">
        <v>-0.20000000000000001</v>
      </c>
      <c r="I363" s="3">
        <f t="shared" si="65"/>
        <v>7781410.7614788106</v>
      </c>
      <c r="J363" s="3">
        <f t="shared" si="66"/>
        <v>1.2002429808633148</v>
      </c>
      <c r="K363" s="1">
        <f t="shared" si="67"/>
        <v>9339583.6476792041</v>
      </c>
      <c r="L363" s="3"/>
      <c r="M363" s="4">
        <f t="shared" si="68"/>
        <v>9339583.6476792041</v>
      </c>
      <c r="N363" s="4">
        <f t="shared" si="69"/>
        <v>0</v>
      </c>
    </row>
    <row r="364" spans="1:14" ht="15.65" outlineLevel="2">
      <c r="A364" s="5">
        <v>367</v>
      </c>
      <c r="B364" s="6">
        <v>2009</v>
      </c>
      <c r="C364" s="3">
        <v>56576146.340000004</v>
      </c>
      <c r="D364" s="3">
        <v>56576146.340000004</v>
      </c>
      <c r="F364" s="2">
        <v>52</v>
      </c>
      <c r="G364" s="3">
        <v>44.353273999999999</v>
      </c>
      <c r="H364" s="12">
        <v>-0.20000000000000001</v>
      </c>
      <c r="I364" s="3">
        <f t="shared" si="65"/>
        <v>9983591.2891819142</v>
      </c>
      <c r="J364" s="3">
        <f t="shared" si="66"/>
        <v>1.2002429808633148</v>
      </c>
      <c r="K364" s="1">
        <f t="shared" si="67"/>
        <v>11982735.368648725</v>
      </c>
      <c r="L364" s="3"/>
      <c r="M364" s="4">
        <f t="shared" si="68"/>
        <v>11982735.368648725</v>
      </c>
      <c r="N364" s="4">
        <f t="shared" si="69"/>
        <v>0</v>
      </c>
    </row>
    <row r="365" spans="1:14" ht="15.65" outlineLevel="2">
      <c r="A365" s="5">
        <v>367</v>
      </c>
      <c r="B365" s="6">
        <v>2008</v>
      </c>
      <c r="C365" s="3">
        <v>76839368.859999999</v>
      </c>
      <c r="D365" s="3">
        <v>76839368.859999999</v>
      </c>
      <c r="F365" s="2">
        <v>52</v>
      </c>
      <c r="G365" s="3">
        <v>43.751421000000001</v>
      </c>
      <c r="H365" s="12">
        <v>-0.20000000000000001</v>
      </c>
      <c r="I365" s="3">
        <f t="shared" si="65"/>
        <v>14626513.94658115</v>
      </c>
      <c r="J365" s="3">
        <f t="shared" si="66"/>
        <v>1.2002429808633148</v>
      </c>
      <c r="K365" s="1">
        <f t="shared" si="67"/>
        <v>17555370.698883407</v>
      </c>
      <c r="L365" s="3"/>
      <c r="M365" s="4">
        <f t="shared" si="68"/>
        <v>17555370.698883407</v>
      </c>
      <c r="N365" s="4">
        <f t="shared" si="69"/>
        <v>0</v>
      </c>
    </row>
    <row r="366" spans="1:14" ht="15.65" outlineLevel="2">
      <c r="A366" s="5">
        <v>367</v>
      </c>
      <c r="B366" s="6">
        <v>2007</v>
      </c>
      <c r="C366" s="3">
        <v>50956263.130000003</v>
      </c>
      <c r="D366" s="3">
        <v>50956263.130000003</v>
      </c>
      <c r="F366" s="2">
        <v>52</v>
      </c>
      <c r="G366" s="3">
        <v>43.150843999999999</v>
      </c>
      <c r="H366" s="12">
        <v>-0.20000000000000001</v>
      </c>
      <c r="I366" s="3">
        <f t="shared" si="65"/>
        <v>10405844.344948113</v>
      </c>
      <c r="J366" s="3">
        <f t="shared" si="66"/>
        <v>1.2002429808633148</v>
      </c>
      <c r="K366" s="1">
        <f t="shared" si="67"/>
        <v>12489541.634980191</v>
      </c>
      <c r="L366" s="3"/>
      <c r="M366" s="4">
        <f t="shared" si="68"/>
        <v>12489541.634980191</v>
      </c>
      <c r="N366" s="4">
        <f t="shared" si="69"/>
        <v>0</v>
      </c>
    </row>
    <row r="367" spans="1:14" ht="15.65" outlineLevel="2">
      <c r="A367" s="5">
        <v>367</v>
      </c>
      <c r="B367" s="6">
        <v>2006</v>
      </c>
      <c r="C367" s="3">
        <v>64501702.990000002</v>
      </c>
      <c r="D367" s="3">
        <v>64501702.990000002</v>
      </c>
      <c r="F367" s="2">
        <v>52</v>
      </c>
      <c r="G367" s="3">
        <v>42.551470999999999</v>
      </c>
      <c r="H367" s="12">
        <v>-0.20000000000000001</v>
      </c>
      <c r="I367" s="3">
        <f t="shared" si="65"/>
        <v>14064143.336547732</v>
      </c>
      <c r="J367" s="3">
        <f t="shared" si="66"/>
        <v>1.2002429808633148</v>
      </c>
      <c r="K367" s="1">
        <f t="shared" si="67"/>
        <v>16880389.321546976</v>
      </c>
      <c r="L367" s="3"/>
      <c r="M367" s="4">
        <f t="shared" si="68"/>
        <v>16880389.321546976</v>
      </c>
      <c r="N367" s="4">
        <f t="shared" si="69"/>
        <v>0</v>
      </c>
    </row>
    <row r="368" spans="1:14" ht="15.65" outlineLevel="2">
      <c r="A368" s="5">
        <v>367</v>
      </c>
      <c r="B368" s="6">
        <v>2005</v>
      </c>
      <c r="C368" s="3">
        <v>75709562.530000001</v>
      </c>
      <c r="D368" s="3">
        <v>75709562.530000001</v>
      </c>
      <c r="F368" s="2">
        <v>52</v>
      </c>
      <c r="G368" s="3">
        <v>41.953282999999999</v>
      </c>
      <c r="H368" s="12">
        <v>-0.20000000000000001</v>
      </c>
      <c r="I368" s="3">
        <f t="shared" si="65"/>
        <v>17553058.821524173</v>
      </c>
      <c r="J368" s="3">
        <f t="shared" si="66"/>
        <v>1.2002429808633148</v>
      </c>
      <c r="K368" s="1">
        <f t="shared" si="67"/>
        <v>21067935.643215276</v>
      </c>
      <c r="L368" s="3"/>
      <c r="M368" s="4">
        <f t="shared" si="68"/>
        <v>21067935.643215276</v>
      </c>
      <c r="N368" s="4">
        <f t="shared" si="69"/>
        <v>0</v>
      </c>
    </row>
    <row r="369" spans="1:14" ht="15.65" outlineLevel="2">
      <c r="A369" s="5">
        <v>367</v>
      </c>
      <c r="B369" s="6">
        <v>2004</v>
      </c>
      <c r="C369" s="3">
        <v>48253744.359999999</v>
      </c>
      <c r="D369" s="3">
        <v>48253744.359999999</v>
      </c>
      <c r="F369" s="2">
        <v>52</v>
      </c>
      <c r="G369" s="3">
        <v>41.356321999999999</v>
      </c>
      <c r="H369" s="12">
        <v>-0.20000000000000001</v>
      </c>
      <c r="I369" s="3">
        <f t="shared" si="65"/>
        <v>11852245.782972837</v>
      </c>
      <c r="J369" s="3">
        <f t="shared" si="66"/>
        <v>1.2002429808633148</v>
      </c>
      <c r="K369" s="1">
        <f t="shared" si="67"/>
        <v>14225574.80847997</v>
      </c>
      <c r="L369" s="3"/>
      <c r="M369" s="4">
        <f t="shared" si="68"/>
        <v>14225574.80847997</v>
      </c>
      <c r="N369" s="4">
        <f t="shared" si="69"/>
        <v>0</v>
      </c>
    </row>
    <row r="370" spans="1:14" ht="15.65" outlineLevel="2">
      <c r="A370" s="5">
        <v>367</v>
      </c>
      <c r="B370" s="6">
        <v>2003</v>
      </c>
      <c r="C370" s="3">
        <v>50877551.049999997</v>
      </c>
      <c r="D370" s="3">
        <v>50877551.049999997</v>
      </c>
      <c r="F370" s="2">
        <v>52</v>
      </c>
      <c r="G370" s="3">
        <v>40.760655999999997</v>
      </c>
      <c r="H370" s="12">
        <v>-0.20000000000000001</v>
      </c>
      <c r="I370" s="3">
        <f t="shared" si="65"/>
        <v>13196083.802965647</v>
      </c>
      <c r="J370" s="3">
        <f t="shared" si="66"/>
        <v>1.2002429808633148</v>
      </c>
      <c r="K370" s="1">
        <f t="shared" si="67"/>
        <v>15838506.959393594</v>
      </c>
      <c r="L370" s="3"/>
      <c r="M370" s="4">
        <f t="shared" si="68"/>
        <v>15838506.959393596</v>
      </c>
      <c r="N370" s="4">
        <f t="shared" si="69"/>
        <v>0</v>
      </c>
    </row>
    <row r="371" spans="1:14" ht="15.65" outlineLevel="2">
      <c r="A371" s="5">
        <v>367</v>
      </c>
      <c r="B371" s="6">
        <v>2002</v>
      </c>
      <c r="C371" s="3">
        <v>56365601.170000002</v>
      </c>
      <c r="D371" s="3">
        <v>56365601.170000002</v>
      </c>
      <c r="F371" s="2">
        <v>52</v>
      </c>
      <c r="G371" s="3">
        <v>40.166384000000001</v>
      </c>
      <c r="H371" s="12">
        <v>-0.20000000000000001</v>
      </c>
      <c r="I371" s="3">
        <f t="shared" si="65"/>
        <v>15392512.612036865</v>
      </c>
      <c r="J371" s="3">
        <f t="shared" si="66"/>
        <v>1.2002429808633148</v>
      </c>
      <c r="K371" s="1">
        <f t="shared" si="67"/>
        <v>18474755.220447294</v>
      </c>
      <c r="L371" s="3"/>
      <c r="M371" s="4">
        <f t="shared" si="68"/>
        <v>18474755.220447294</v>
      </c>
      <c r="N371" s="4">
        <f t="shared" si="69"/>
        <v>0</v>
      </c>
    </row>
    <row r="372" spans="1:14" ht="15.65" outlineLevel="2">
      <c r="A372" s="5">
        <v>367</v>
      </c>
      <c r="B372" s="6">
        <v>2001</v>
      </c>
      <c r="C372" s="3">
        <v>59494483.359999999</v>
      </c>
      <c r="D372" s="3">
        <v>59494483.359999999</v>
      </c>
      <c r="F372" s="2">
        <v>52</v>
      </c>
      <c r="G372" s="3">
        <v>39.573611999999997</v>
      </c>
      <c r="H372" s="12">
        <v>-0.20000000000000001</v>
      </c>
      <c r="I372" s="3">
        <f t="shared" si="65"/>
        <v>17060804.632867012</v>
      </c>
      <c r="J372" s="3">
        <f t="shared" si="66"/>
        <v>1.2002429808633148</v>
      </c>
      <c r="K372" s="1">
        <f t="shared" si="67"/>
        <v>20477111.008478954</v>
      </c>
      <c r="L372" s="3"/>
      <c r="M372" s="4">
        <f t="shared" si="68"/>
        <v>20477111.008478954</v>
      </c>
      <c r="N372" s="4">
        <f t="shared" si="69"/>
        <v>0</v>
      </c>
    </row>
    <row r="373" spans="1:14" ht="15.65" outlineLevel="2">
      <c r="A373" s="5">
        <v>367</v>
      </c>
      <c r="B373" s="6">
        <v>2000</v>
      </c>
      <c r="C373" s="3">
        <v>68183029.480000004</v>
      </c>
      <c r="D373" s="3">
        <v>68183029.480000004</v>
      </c>
      <c r="F373" s="2">
        <v>52</v>
      </c>
      <c r="G373" s="3">
        <v>38.982478999999998</v>
      </c>
      <c r="H373" s="12">
        <v>-0.20000000000000001</v>
      </c>
      <c r="I373" s="3">
        <f t="shared" si="65"/>
        <v>20482477.340758134</v>
      </c>
      <c r="J373" s="3">
        <f t="shared" si="66"/>
        <v>1.2002429808633148</v>
      </c>
      <c r="K373" s="1">
        <f t="shared" si="67"/>
        <v>24583949.658936843</v>
      </c>
      <c r="L373" s="3"/>
      <c r="M373" s="4">
        <f t="shared" si="68"/>
        <v>24583949.658936843</v>
      </c>
      <c r="N373" s="4">
        <f t="shared" si="69"/>
        <v>0</v>
      </c>
    </row>
    <row r="374" spans="1:14" ht="15.65" outlineLevel="2">
      <c r="A374" s="5">
        <v>367</v>
      </c>
      <c r="B374" s="6">
        <v>1999</v>
      </c>
      <c r="C374" s="3">
        <v>67328188.599999994</v>
      </c>
      <c r="D374" s="3">
        <v>67328188.599999994</v>
      </c>
      <c r="F374" s="2">
        <v>52</v>
      </c>
      <c r="G374" s="3">
        <v>38.393118999999999</v>
      </c>
      <c r="H374" s="12">
        <v>-0.20000000000000001</v>
      </c>
      <c r="I374" s="3">
        <f t="shared" si="65"/>
        <v>21141384.235978998</v>
      </c>
      <c r="J374" s="3">
        <f t="shared" si="66"/>
        <v>1.2002429808633148</v>
      </c>
      <c r="K374" s="1">
        <f t="shared" si="67"/>
        <v>25374798.034968127</v>
      </c>
      <c r="L374" s="3"/>
      <c r="M374" s="4">
        <f t="shared" si="68"/>
        <v>25374798.034968127</v>
      </c>
      <c r="N374" s="4">
        <f t="shared" si="69"/>
        <v>0</v>
      </c>
    </row>
    <row r="375" spans="1:14" ht="15.65" outlineLevel="2">
      <c r="A375" s="5">
        <v>367</v>
      </c>
      <c r="B375" s="6">
        <v>1998</v>
      </c>
      <c r="C375" s="3">
        <v>51520013.049999997</v>
      </c>
      <c r="D375" s="3">
        <v>51520013.049999997</v>
      </c>
      <c r="F375" s="2">
        <v>52</v>
      </c>
      <c r="G375" s="3">
        <v>37.805683999999999</v>
      </c>
      <c r="H375" s="12">
        <v>-0.20000000000000001</v>
      </c>
      <c r="I375" s="3">
        <f t="shared" si="65"/>
        <v>16875954.128211323</v>
      </c>
      <c r="J375" s="3">
        <f t="shared" si="66"/>
        <v>1.2002429808633148</v>
      </c>
      <c r="K375" s="1">
        <f t="shared" si="67"/>
        <v>20255245.487756923</v>
      </c>
      <c r="L375" s="3"/>
      <c r="M375" s="4">
        <f t="shared" si="68"/>
        <v>20255245.487756923</v>
      </c>
      <c r="N375" s="4">
        <f t="shared" si="69"/>
        <v>0</v>
      </c>
    </row>
    <row r="376" spans="1:14" ht="15.65" outlineLevel="2">
      <c r="A376" s="5">
        <v>367</v>
      </c>
      <c r="B376" s="6">
        <v>1997</v>
      </c>
      <c r="C376" s="3">
        <v>46402544.869999997</v>
      </c>
      <c r="D376" s="3">
        <v>46402544.869999997</v>
      </c>
      <c r="F376" s="2">
        <v>52</v>
      </c>
      <c r="G376" s="3">
        <v>37.220322000000003</v>
      </c>
      <c r="H376" s="12">
        <v>-0.20000000000000001</v>
      </c>
      <c r="I376" s="3">
        <f t="shared" si="65"/>
        <v>15826492.42059581</v>
      </c>
      <c r="J376" s="3">
        <f t="shared" si="66"/>
        <v>1.2002429808633148</v>
      </c>
      <c r="K376" s="1">
        <f t="shared" si="67"/>
        <v>18995636.439506575</v>
      </c>
      <c r="L376" s="3"/>
      <c r="M376" s="4">
        <f t="shared" si="68"/>
        <v>18995636.439506575</v>
      </c>
      <c r="N376" s="4">
        <f t="shared" si="69"/>
        <v>0</v>
      </c>
    </row>
    <row r="377" spans="1:14" ht="15.65" outlineLevel="2">
      <c r="A377" s="5">
        <v>367</v>
      </c>
      <c r="B377" s="6">
        <v>1996</v>
      </c>
      <c r="C377" s="3">
        <v>53800421.329999998</v>
      </c>
      <c r="D377" s="3">
        <v>53800421.329999998</v>
      </c>
      <c r="F377" s="2">
        <v>52</v>
      </c>
      <c r="G377" s="3">
        <v>36.637194999999998</v>
      </c>
      <c r="H377" s="12">
        <v>-0.20000000000000001</v>
      </c>
      <c r="I377" s="3">
        <f t="shared" si="65"/>
        <v>19073662.657168403</v>
      </c>
      <c r="J377" s="3">
        <f t="shared" si="66"/>
        <v>1.2002429808633148</v>
      </c>
      <c r="K377" s="1">
        <f t="shared" si="67"/>
        <v>22893029.7236211</v>
      </c>
      <c r="L377" s="3"/>
      <c r="M377" s="4">
        <f t="shared" si="68"/>
        <v>22893029.7236211</v>
      </c>
      <c r="N377" s="4">
        <f t="shared" si="69"/>
        <v>0</v>
      </c>
    </row>
    <row r="378" spans="1:14" ht="15.65" outlineLevel="2">
      <c r="A378" s="5">
        <v>367</v>
      </c>
      <c r="B378" s="6">
        <v>1995</v>
      </c>
      <c r="C378" s="3">
        <v>47521093.960000001</v>
      </c>
      <c r="D378" s="3">
        <v>47521093.960000001</v>
      </c>
      <c r="F378" s="2">
        <v>52</v>
      </c>
      <c r="G378" s="3">
        <v>36.056510000000003</v>
      </c>
      <c r="H378" s="12">
        <v>-0.20000000000000001</v>
      </c>
      <c r="I378" s="3">
        <f t="shared" si="65"/>
        <v>17484278.915545851</v>
      </c>
      <c r="J378" s="3">
        <f t="shared" si="66"/>
        <v>1.2002429808633148</v>
      </c>
      <c r="K378" s="1">
        <f t="shared" si="67"/>
        <v>20985383.043840356</v>
      </c>
      <c r="L378" s="3"/>
      <c r="M378" s="4">
        <f t="shared" si="68"/>
        <v>20985383.043840356</v>
      </c>
      <c r="N378" s="4">
        <f t="shared" si="69"/>
        <v>0</v>
      </c>
    </row>
    <row r="379" spans="1:14" ht="15.65" outlineLevel="2">
      <c r="A379" s="5">
        <v>367</v>
      </c>
      <c r="B379" s="6">
        <v>1994</v>
      </c>
      <c r="C379" s="3">
        <v>35521658.369999997</v>
      </c>
      <c r="D379" s="3">
        <v>35521658.369999997</v>
      </c>
      <c r="F379" s="2">
        <v>52</v>
      </c>
      <c r="G379" s="3">
        <v>35.478425000000001</v>
      </c>
      <c r="H379" s="12">
        <v>-0.20000000000000001</v>
      </c>
      <c r="I379" s="3">
        <f t="shared" si="65"/>
        <v>13543240.220407676</v>
      </c>
      <c r="J379" s="3">
        <f t="shared" si="66"/>
        <v>1.2002429808633148</v>
      </c>
      <c r="K379" s="1">
        <f t="shared" si="67"/>
        <v>16255179.012690045</v>
      </c>
      <c r="L379" s="3"/>
      <c r="M379" s="4">
        <f t="shared" si="68"/>
        <v>16255179.012690045</v>
      </c>
      <c r="N379" s="4">
        <f t="shared" si="69"/>
        <v>0</v>
      </c>
    </row>
    <row r="380" spans="1:14" ht="15.65" outlineLevel="2">
      <c r="A380" s="5">
        <v>367</v>
      </c>
      <c r="B380" s="6">
        <v>1993</v>
      </c>
      <c r="C380" s="3">
        <v>18304509.09</v>
      </c>
      <c r="D380" s="3">
        <v>18304509.09</v>
      </c>
      <c r="F380" s="2">
        <v>52</v>
      </c>
      <c r="G380" s="3">
        <v>34.903053999999997</v>
      </c>
      <c r="H380" s="12">
        <v>-0.20000000000000001</v>
      </c>
      <c r="I380" s="3">
        <f t="shared" si="65"/>
        <v>7221950.8492670571</v>
      </c>
      <c r="J380" s="3">
        <f t="shared" si="66"/>
        <v>1.2002429808633148</v>
      </c>
      <c r="K380" s="1">
        <f t="shared" si="67"/>
        <v>8668095.8149726409</v>
      </c>
      <c r="L380" s="3"/>
      <c r="M380" s="4">
        <f t="shared" si="68"/>
        <v>8668095.8149726409</v>
      </c>
      <c r="N380" s="4">
        <f t="shared" si="69"/>
        <v>0</v>
      </c>
    </row>
    <row r="381" spans="1:14" ht="15.65" outlineLevel="2">
      <c r="A381" s="5">
        <v>367</v>
      </c>
      <c r="B381" s="6">
        <v>1992</v>
      </c>
      <c r="C381" s="3">
        <v>21827954.629999999</v>
      </c>
      <c r="D381" s="3">
        <v>21827954.629999999</v>
      </c>
      <c r="F381" s="2">
        <v>52</v>
      </c>
      <c r="G381" s="3">
        <v>34.330551</v>
      </c>
      <c r="H381" s="12">
        <v>-0.20000000000000001</v>
      </c>
      <c r="I381" s="3">
        <f t="shared" si="65"/>
        <v>8900490.7179022804</v>
      </c>
      <c r="J381" s="3">
        <f t="shared" si="66"/>
        <v>1.2002429808633148</v>
      </c>
      <c r="K381" s="1">
        <f t="shared" si="67"/>
        <v>10682751.510401297</v>
      </c>
      <c r="L381" s="3"/>
      <c r="M381" s="4">
        <f t="shared" si="68"/>
        <v>10682751.510401297</v>
      </c>
      <c r="N381" s="4">
        <f t="shared" si="69"/>
        <v>0</v>
      </c>
    </row>
    <row r="382" spans="1:14" ht="15.65" outlineLevel="2">
      <c r="A382" s="5">
        <v>367</v>
      </c>
      <c r="B382" s="6">
        <v>1991</v>
      </c>
      <c r="C382" s="3">
        <v>23122717.280000001</v>
      </c>
      <c r="D382" s="3">
        <v>23122717.280000001</v>
      </c>
      <c r="F382" s="2">
        <v>52</v>
      </c>
      <c r="G382" s="3">
        <v>33.761069999999997</v>
      </c>
      <c r="H382" s="12">
        <v>-0.20000000000000001</v>
      </c>
      <c r="I382" s="3">
        <f t="shared" si="65"/>
        <v>9732314.3510702439</v>
      </c>
      <c r="J382" s="3">
        <f t="shared" si="66"/>
        <v>1.2002429808633148</v>
      </c>
      <c r="K382" s="1">
        <f t="shared" si="67"/>
        <v>11681141.987427367</v>
      </c>
      <c r="L382" s="3"/>
      <c r="M382" s="4">
        <f t="shared" si="68"/>
        <v>11681141.987427367</v>
      </c>
      <c r="N382" s="4">
        <f t="shared" si="69"/>
        <v>0</v>
      </c>
    </row>
    <row r="383" spans="1:14" ht="15.65" outlineLevel="2">
      <c r="A383" s="5">
        <v>367</v>
      </c>
      <c r="B383" s="6">
        <v>1990</v>
      </c>
      <c r="C383" s="3">
        <v>21560405.329999998</v>
      </c>
      <c r="D383" s="3">
        <v>21560405.329999998</v>
      </c>
      <c r="F383" s="2">
        <v>52</v>
      </c>
      <c r="G383" s="3">
        <v>33.194747999999997</v>
      </c>
      <c r="H383" s="12">
        <v>-0.20000000000000001</v>
      </c>
      <c r="I383" s="3">
        <f t="shared" si="65"/>
        <v>9356512.0489106122</v>
      </c>
      <c r="J383" s="3">
        <f t="shared" si="66"/>
        <v>1.2002429808633148</v>
      </c>
      <c r="K383" s="1">
        <f t="shared" si="67"/>
        <v>11230087.912067995</v>
      </c>
      <c r="L383" s="3"/>
      <c r="M383" s="4">
        <f t="shared" si="68"/>
        <v>11230087.912067996</v>
      </c>
      <c r="N383" s="4">
        <f t="shared" si="69"/>
        <v>0</v>
      </c>
    </row>
    <row r="384" spans="1:14" ht="15.65" outlineLevel="2">
      <c r="A384" s="5">
        <v>367</v>
      </c>
      <c r="B384" s="6">
        <v>1989</v>
      </c>
      <c r="C384" s="3">
        <v>17279783</v>
      </c>
      <c r="D384" s="3">
        <v>17279783</v>
      </c>
      <c r="F384" s="2">
        <v>52</v>
      </c>
      <c r="G384" s="3">
        <v>32.631731000000002</v>
      </c>
      <c r="H384" s="12">
        <v>-0.20000000000000001</v>
      </c>
      <c r="I384" s="3">
        <f t="shared" si="70" ref="I384:I415">+C384*(1-H384)*(1-G384/F384)</f>
        <v>7723372.7401298508</v>
      </c>
      <c r="J384" s="3">
        <f t="shared" si="71" ref="J384:J415">$J$429</f>
        <v>1.2002429808633148</v>
      </c>
      <c r="K384" s="1">
        <f t="shared" si="72" ref="K384:K415">IF((C384*(1-H384)-I384*J384)&lt;0,C384*(1-H384),I384*J384)</f>
        <v>9269923.9199319202</v>
      </c>
      <c r="L384" s="3"/>
      <c r="M384" s="4">
        <f t="shared" si="73" ref="M384:M415">+K384/D384*C384</f>
        <v>9269923.9199319202</v>
      </c>
      <c r="N384" s="4">
        <f t="shared" si="74" ref="N384:N415">+E384/C384*K384</f>
        <v>0</v>
      </c>
    </row>
    <row r="385" spans="1:14" ht="15.65" outlineLevel="2">
      <c r="A385" s="5">
        <v>367</v>
      </c>
      <c r="B385" s="6">
        <v>1988</v>
      </c>
      <c r="C385" s="3">
        <v>14569357.359999999</v>
      </c>
      <c r="D385" s="3">
        <v>14569357.359999999</v>
      </c>
      <c r="F385" s="2">
        <v>52</v>
      </c>
      <c r="G385" s="3">
        <v>32.072144000000002</v>
      </c>
      <c r="H385" s="12">
        <v>-0.20000000000000001</v>
      </c>
      <c r="I385" s="3">
        <f t="shared" si="70"/>
        <v>6700062.8188296957</v>
      </c>
      <c r="J385" s="3">
        <f t="shared" si="71"/>
        <v>1.2002429808633148</v>
      </c>
      <c r="K385" s="1">
        <f t="shared" si="72"/>
        <v>8041703.3696436174</v>
      </c>
      <c r="L385" s="3"/>
      <c r="M385" s="4">
        <f t="shared" si="73"/>
        <v>8041703.3696436174</v>
      </c>
      <c r="N385" s="4">
        <f t="shared" si="74"/>
        <v>0</v>
      </c>
    </row>
    <row r="386" spans="1:14" ht="15.65" outlineLevel="2">
      <c r="A386" s="5">
        <v>367</v>
      </c>
      <c r="B386" s="6">
        <v>1987</v>
      </c>
      <c r="C386" s="3">
        <v>11377564.6</v>
      </c>
      <c r="D386" s="3">
        <v>11377564.6</v>
      </c>
      <c r="F386" s="2">
        <v>52</v>
      </c>
      <c r="G386" s="3">
        <v>31.516116</v>
      </c>
      <c r="H386" s="12">
        <v>-0.20000000000000001</v>
      </c>
      <c r="I386" s="3">
        <f t="shared" si="70"/>
        <v>5378231.8492824547</v>
      </c>
      <c r="J386" s="3">
        <f t="shared" si="71"/>
        <v>1.2002429808633148</v>
      </c>
      <c r="K386" s="1">
        <f t="shared" si="72"/>
        <v>6455185.0265567917</v>
      </c>
      <c r="L386" s="3"/>
      <c r="M386" s="4">
        <f t="shared" si="73"/>
        <v>6455185.0265567917</v>
      </c>
      <c r="N386" s="4">
        <f t="shared" si="74"/>
        <v>0</v>
      </c>
    </row>
    <row r="387" spans="1:14" ht="15.65" outlineLevel="2">
      <c r="A387" s="5">
        <v>367</v>
      </c>
      <c r="B387" s="6">
        <v>1986</v>
      </c>
      <c r="C387" s="3">
        <v>19745481.52</v>
      </c>
      <c r="D387" s="3">
        <v>19745481.52</v>
      </c>
      <c r="F387" s="2">
        <v>52</v>
      </c>
      <c r="G387" s="3">
        <v>30.963764999999999</v>
      </c>
      <c r="H387" s="12">
        <v>-0.20000000000000001</v>
      </c>
      <c r="I387" s="3">
        <f t="shared" si="70"/>
        <v>9585475.1409894731</v>
      </c>
      <c r="J387" s="3">
        <f t="shared" si="71"/>
        <v>1.2002429808633148</v>
      </c>
      <c r="K387" s="1">
        <f t="shared" si="72"/>
        <v>11504899.256212408</v>
      </c>
      <c r="L387" s="3"/>
      <c r="M387" s="4">
        <f t="shared" si="73"/>
        <v>11504899.256212408</v>
      </c>
      <c r="N387" s="4">
        <f t="shared" si="74"/>
        <v>0</v>
      </c>
    </row>
    <row r="388" spans="1:14" ht="15.65" outlineLevel="2">
      <c r="A388" s="5">
        <v>367</v>
      </c>
      <c r="B388" s="6">
        <v>1985</v>
      </c>
      <c r="C388" s="3">
        <v>21710223.16</v>
      </c>
      <c r="D388" s="3">
        <v>21710223.16</v>
      </c>
      <c r="F388" s="2">
        <v>52</v>
      </c>
      <c r="G388" s="3">
        <v>30.415199999999999</v>
      </c>
      <c r="H388" s="12">
        <v>-0.20000000000000001</v>
      </c>
      <c r="I388" s="3">
        <f t="shared" si="70"/>
        <v>10814095.958399262</v>
      </c>
      <c r="J388" s="3">
        <f t="shared" si="71"/>
        <v>1.2002429808633148</v>
      </c>
      <c r="K388" s="1">
        <f t="shared" si="72"/>
        <v>12979542.768451056</v>
      </c>
      <c r="L388" s="3"/>
      <c r="M388" s="4">
        <f t="shared" si="73"/>
        <v>12979542.768451056</v>
      </c>
      <c r="N388" s="4">
        <f t="shared" si="74"/>
        <v>0</v>
      </c>
    </row>
    <row r="389" spans="1:14" ht="15.65" outlineLevel="2">
      <c r="A389" s="5">
        <v>367</v>
      </c>
      <c r="B389" s="6">
        <v>1984</v>
      </c>
      <c r="C389" s="3">
        <v>17351455.780000001</v>
      </c>
      <c r="D389" s="3">
        <v>17351455.780000001</v>
      </c>
      <c r="F389" s="2">
        <v>52</v>
      </c>
      <c r="G389" s="3">
        <v>29.870528</v>
      </c>
      <c r="H389" s="12">
        <v>-0.20000000000000001</v>
      </c>
      <c r="I389" s="3">
        <f t="shared" si="70"/>
        <v>8861043.573294187</v>
      </c>
      <c r="J389" s="3">
        <f t="shared" si="71"/>
        <v>1.2002429808633148</v>
      </c>
      <c r="K389" s="1">
        <f t="shared" si="72"/>
        <v>10635405.351970334</v>
      </c>
      <c r="L389" s="3"/>
      <c r="M389" s="4">
        <f t="shared" si="73"/>
        <v>10635405.351970334</v>
      </c>
      <c r="N389" s="4">
        <f t="shared" si="74"/>
        <v>0</v>
      </c>
    </row>
    <row r="390" spans="1:14" ht="15.65" outlineLevel="2">
      <c r="A390" s="5">
        <v>367</v>
      </c>
      <c r="B390" s="6">
        <v>1983</v>
      </c>
      <c r="C390" s="3">
        <v>12658359.69</v>
      </c>
      <c r="D390" s="3">
        <v>12658359.69</v>
      </c>
      <c r="F390" s="2">
        <v>52</v>
      </c>
      <c r="G390" s="3">
        <v>29.329834999999999</v>
      </c>
      <c r="H390" s="12">
        <v>-0.20000000000000001</v>
      </c>
      <c r="I390" s="3">
        <f t="shared" si="70"/>
        <v>6622317.7569611259</v>
      </c>
      <c r="J390" s="3">
        <f t="shared" si="71"/>
        <v>1.2002429808633148</v>
      </c>
      <c r="K390" s="1">
        <f t="shared" si="72"/>
        <v>7948390.4048390826</v>
      </c>
      <c r="L390" s="3"/>
      <c r="M390" s="4">
        <f t="shared" si="73"/>
        <v>7948390.4048390826</v>
      </c>
      <c r="N390" s="4">
        <f t="shared" si="74"/>
        <v>0</v>
      </c>
    </row>
    <row r="391" spans="1:14" ht="15.65" outlineLevel="2">
      <c r="A391" s="5">
        <v>367</v>
      </c>
      <c r="B391" s="6">
        <v>1982</v>
      </c>
      <c r="C391" s="3">
        <v>10916169.67</v>
      </c>
      <c r="D391" s="3">
        <v>10916169.67</v>
      </c>
      <c r="F391" s="2">
        <v>52</v>
      </c>
      <c r="G391" s="3">
        <v>28.793268999999999</v>
      </c>
      <c r="H391" s="12">
        <v>-0.20000000000000001</v>
      </c>
      <c r="I391" s="3">
        <f t="shared" si="70"/>
        <v>5846044.9172780495</v>
      </c>
      <c r="J391" s="3">
        <f t="shared" si="71"/>
        <v>1.2002429808633148</v>
      </c>
      <c r="K391" s="1">
        <f t="shared" si="72"/>
        <v>7016674.3777746372</v>
      </c>
      <c r="L391" s="3"/>
      <c r="M391" s="4">
        <f t="shared" si="73"/>
        <v>7016674.3777746372</v>
      </c>
      <c r="N391" s="4">
        <f t="shared" si="74"/>
        <v>0</v>
      </c>
    </row>
    <row r="392" spans="1:14" ht="15.65" outlineLevel="2">
      <c r="A392" s="5">
        <v>367</v>
      </c>
      <c r="B392" s="6">
        <v>1981</v>
      </c>
      <c r="C392" s="3">
        <v>12594028.74</v>
      </c>
      <c r="D392" s="3">
        <v>12594028.74</v>
      </c>
      <c r="F392" s="2">
        <v>52</v>
      </c>
      <c r="G392" s="3">
        <v>28.260905000000001</v>
      </c>
      <c r="H392" s="12">
        <v>-0.20000000000000001</v>
      </c>
      <c r="I392" s="3">
        <f t="shared" si="70"/>
        <v>6899327.1851905445</v>
      </c>
      <c r="J392" s="3">
        <f t="shared" si="71"/>
        <v>1.2002429808633148</v>
      </c>
      <c r="K392" s="1">
        <f t="shared" si="72"/>
        <v>8280869.0267044026</v>
      </c>
      <c r="L392" s="3"/>
      <c r="M392" s="4">
        <f t="shared" si="73"/>
        <v>8280869.0267044026</v>
      </c>
      <c r="N392" s="4">
        <f t="shared" si="74"/>
        <v>0</v>
      </c>
    </row>
    <row r="393" spans="1:14" ht="15.65" outlineLevel="2">
      <c r="A393" s="5">
        <v>367</v>
      </c>
      <c r="B393" s="6">
        <v>1980</v>
      </c>
      <c r="C393" s="3">
        <v>6542356.3899999997</v>
      </c>
      <c r="D393" s="3">
        <v>6542356.3899999997</v>
      </c>
      <c r="F393" s="2">
        <v>52</v>
      </c>
      <c r="G393" s="3">
        <v>27.732762999999998</v>
      </c>
      <c r="H393" s="12">
        <v>-0.20000000000000001</v>
      </c>
      <c r="I393" s="3">
        <f t="shared" si="70"/>
        <v>3663805.6858752565</v>
      </c>
      <c r="J393" s="3">
        <f t="shared" si="71"/>
        <v>1.2002429808633148</v>
      </c>
      <c r="K393" s="1">
        <f t="shared" si="72"/>
        <v>4397457.0577188795</v>
      </c>
      <c r="L393" s="3"/>
      <c r="M393" s="4">
        <f t="shared" si="73"/>
        <v>4397457.0577188795</v>
      </c>
      <c r="N393" s="4">
        <f t="shared" si="74"/>
        <v>0</v>
      </c>
    </row>
    <row r="394" spans="1:14" ht="15.65" outlineLevel="2">
      <c r="A394" s="5">
        <v>367</v>
      </c>
      <c r="B394" s="6">
        <v>1979</v>
      </c>
      <c r="C394" s="3">
        <v>6578381.6500000004</v>
      </c>
      <c r="D394" s="3">
        <v>6578381.6500000004</v>
      </c>
      <c r="F394" s="2">
        <v>52</v>
      </c>
      <c r="G394" s="3">
        <v>27.208894999999998</v>
      </c>
      <c r="H394" s="12">
        <v>-0.20000000000000001</v>
      </c>
      <c r="I394" s="3">
        <f t="shared" si="70"/>
        <v>3763508.0818897677</v>
      </c>
      <c r="J394" s="3">
        <f t="shared" si="71"/>
        <v>1.2002429808633148</v>
      </c>
      <c r="K394" s="1">
        <f t="shared" si="72"/>
        <v>4517124.1587105514</v>
      </c>
      <c r="L394" s="3"/>
      <c r="M394" s="4">
        <f t="shared" si="73"/>
        <v>4517124.1587105514</v>
      </c>
      <c r="N394" s="4">
        <f t="shared" si="74"/>
        <v>0</v>
      </c>
    </row>
    <row r="395" spans="1:14" ht="15.65" outlineLevel="2">
      <c r="A395" s="5">
        <v>367</v>
      </c>
      <c r="B395" s="6">
        <v>1978</v>
      </c>
      <c r="C395" s="3">
        <v>4854342.4100000001</v>
      </c>
      <c r="D395" s="3">
        <v>4854342.4100000001</v>
      </c>
      <c r="F395" s="2">
        <v>52</v>
      </c>
      <c r="G395" s="3">
        <v>26.689359</v>
      </c>
      <c r="H395" s="12">
        <v>-0.20000000000000001</v>
      </c>
      <c r="I395" s="3">
        <f t="shared" si="70"/>
        <v>2835381.1853211881</v>
      </c>
      <c r="J395" s="3">
        <f t="shared" si="71"/>
        <v>1.2002429808633148</v>
      </c>
      <c r="K395" s="1">
        <f t="shared" si="72"/>
        <v>3403146.3657536618</v>
      </c>
      <c r="L395" s="3"/>
      <c r="M395" s="4">
        <f t="shared" si="73"/>
        <v>3403146.3657536618</v>
      </c>
      <c r="N395" s="4">
        <f t="shared" si="74"/>
        <v>0</v>
      </c>
    </row>
    <row r="396" spans="1:14" ht="15.65" outlineLevel="2">
      <c r="A396" s="5">
        <v>367</v>
      </c>
      <c r="B396" s="6">
        <v>1977</v>
      </c>
      <c r="C396" s="3">
        <v>3736999.7200000002</v>
      </c>
      <c r="D396" s="3">
        <v>3736999.7200000002</v>
      </c>
      <c r="F396" s="2">
        <v>52</v>
      </c>
      <c r="G396" s="3">
        <v>26.174192999999999</v>
      </c>
      <c r="H396" s="12">
        <v>-0.20000000000000001</v>
      </c>
      <c r="I396" s="3">
        <f t="shared" si="70"/>
        <v>2227177.6967947856</v>
      </c>
      <c r="J396" s="3">
        <f t="shared" si="71"/>
        <v>1.2002429808633148</v>
      </c>
      <c r="K396" s="1">
        <f t="shared" si="72"/>
        <v>2673154.3977132654</v>
      </c>
      <c r="L396" s="3"/>
      <c r="M396" s="4">
        <f t="shared" si="73"/>
        <v>2673154.3977132654</v>
      </c>
      <c r="N396" s="4">
        <f t="shared" si="74"/>
        <v>0</v>
      </c>
    </row>
    <row r="397" spans="1:14" ht="15.65" outlineLevel="2">
      <c r="A397" s="5">
        <v>367</v>
      </c>
      <c r="B397" s="6">
        <v>1976</v>
      </c>
      <c r="C397" s="3">
        <v>4567483.7999999998</v>
      </c>
      <c r="D397" s="3">
        <v>4567483.7999999998</v>
      </c>
      <c r="F397" s="2">
        <v>52</v>
      </c>
      <c r="G397" s="3">
        <v>25.663433000000001</v>
      </c>
      <c r="H397" s="12">
        <v>-0.20000000000000001</v>
      </c>
      <c r="I397" s="3">
        <f t="shared" si="70"/>
        <v>2775965.6104641827</v>
      </c>
      <c r="J397" s="3">
        <f t="shared" si="71"/>
        <v>1.2002429808633148</v>
      </c>
      <c r="K397" s="1">
        <f t="shared" si="72"/>
        <v>3331833.239077582</v>
      </c>
      <c r="L397" s="3"/>
      <c r="M397" s="4">
        <f t="shared" si="73"/>
        <v>3331833.239077582</v>
      </c>
      <c r="N397" s="4">
        <f t="shared" si="74"/>
        <v>0</v>
      </c>
    </row>
    <row r="398" spans="1:14" ht="15.65" outlineLevel="2">
      <c r="A398" s="5">
        <v>367</v>
      </c>
      <c r="B398" s="6">
        <v>1975</v>
      </c>
      <c r="C398" s="3">
        <v>4121287.1600000001</v>
      </c>
      <c r="D398" s="3">
        <v>4121287.1600000001</v>
      </c>
      <c r="F398" s="2">
        <v>52</v>
      </c>
      <c r="G398" s="3">
        <v>25.157108000000001</v>
      </c>
      <c r="H398" s="12">
        <v>-0.20000000000000001</v>
      </c>
      <c r="I398" s="3">
        <f t="shared" si="70"/>
        <v>2552936.9108507708</v>
      </c>
      <c r="J398" s="3">
        <f t="shared" si="71"/>
        <v>1.2002429808633148</v>
      </c>
      <c r="K398" s="1">
        <f t="shared" si="72"/>
        <v>3064144.6078355117</v>
      </c>
      <c r="L398" s="3"/>
      <c r="M398" s="4">
        <f t="shared" si="73"/>
        <v>3064144.6078355117</v>
      </c>
      <c r="N398" s="4">
        <f t="shared" si="74"/>
        <v>0</v>
      </c>
    </row>
    <row r="399" spans="1:14" ht="15.65" outlineLevel="2">
      <c r="A399" s="5">
        <v>367</v>
      </c>
      <c r="B399" s="6">
        <v>1974</v>
      </c>
      <c r="C399" s="3">
        <v>5899056.2999999998</v>
      </c>
      <c r="D399" s="3">
        <v>5899056.2999999998</v>
      </c>
      <c r="F399" s="2">
        <v>52</v>
      </c>
      <c r="G399" s="3">
        <v>24.655238000000001</v>
      </c>
      <c r="H399" s="12">
        <v>-0.20000000000000001</v>
      </c>
      <c r="I399" s="3">
        <f t="shared" si="70"/>
        <v>3722499.0126484754</v>
      </c>
      <c r="J399" s="3">
        <f t="shared" si="71"/>
        <v>1.2002429808633148</v>
      </c>
      <c r="K399" s="1">
        <f t="shared" si="72"/>
        <v>4467903.3112019524</v>
      </c>
      <c r="L399" s="3"/>
      <c r="M399" s="4">
        <f t="shared" si="73"/>
        <v>4467903.3112019524</v>
      </c>
      <c r="N399" s="4">
        <f t="shared" si="74"/>
        <v>0</v>
      </c>
    </row>
    <row r="400" spans="1:14" ht="15.65" outlineLevel="2">
      <c r="A400" s="5">
        <v>367</v>
      </c>
      <c r="B400" s="6">
        <v>1973</v>
      </c>
      <c r="C400" s="3">
        <v>5158906.2599999998</v>
      </c>
      <c r="D400" s="3">
        <v>5158906.2599999998</v>
      </c>
      <c r="F400" s="2">
        <v>52</v>
      </c>
      <c r="G400" s="3">
        <v>24.157831000000002</v>
      </c>
      <c r="H400" s="12">
        <v>-0.20000000000000001</v>
      </c>
      <c r="I400" s="3">
        <f t="shared" si="70"/>
        <v>3314657.0756787211</v>
      </c>
      <c r="J400" s="3">
        <f t="shared" si="71"/>
        <v>1.2002429808633148</v>
      </c>
      <c r="K400" s="1">
        <f t="shared" si="72"/>
        <v>3978393.8890523063</v>
      </c>
      <c r="L400" s="3"/>
      <c r="M400" s="4">
        <f t="shared" si="73"/>
        <v>3978393.8890523063</v>
      </c>
      <c r="N400" s="4">
        <f t="shared" si="74"/>
        <v>0</v>
      </c>
    </row>
    <row r="401" spans="1:14" ht="15.65" outlineLevel="2">
      <c r="A401" s="5">
        <v>367</v>
      </c>
      <c r="B401" s="6">
        <v>1972</v>
      </c>
      <c r="C401" s="3">
        <v>10751436.550000001</v>
      </c>
      <c r="D401" s="3">
        <v>10751436.550000001</v>
      </c>
      <c r="F401" s="2">
        <v>52</v>
      </c>
      <c r="G401" s="3">
        <v>23.664894</v>
      </c>
      <c r="H401" s="12">
        <v>-0.20000000000000001</v>
      </c>
      <c r="I401" s="3">
        <f t="shared" si="70"/>
        <v>7030225.2529967148</v>
      </c>
      <c r="J401" s="3">
        <f t="shared" si="71"/>
        <v>1.2002429808633148</v>
      </c>
      <c r="K401" s="1">
        <f t="shared" si="72"/>
        <v>8437978.5137973279</v>
      </c>
      <c r="L401" s="3"/>
      <c r="M401" s="4">
        <f t="shared" si="73"/>
        <v>8437978.5137973279</v>
      </c>
      <c r="N401" s="4">
        <f t="shared" si="74"/>
        <v>0</v>
      </c>
    </row>
    <row r="402" spans="1:14" ht="15.65" outlineLevel="2">
      <c r="A402" s="5">
        <v>367</v>
      </c>
      <c r="B402" s="6">
        <v>1971</v>
      </c>
      <c r="C402" s="3">
        <v>3780382.1800000002</v>
      </c>
      <c r="D402" s="3">
        <v>3780382.1800000002</v>
      </c>
      <c r="F402" s="2">
        <v>52</v>
      </c>
      <c r="G402" s="3">
        <v>23.17642</v>
      </c>
      <c r="H402" s="12">
        <v>-0.20000000000000001</v>
      </c>
      <c r="I402" s="3">
        <f t="shared" si="70"/>
        <v>2514557.2660570247</v>
      </c>
      <c r="J402" s="3">
        <f t="shared" si="71"/>
        <v>1.2002429808633148</v>
      </c>
      <c r="K402" s="1">
        <f t="shared" si="72"/>
        <v>3018079.7085637907</v>
      </c>
      <c r="L402" s="3"/>
      <c r="M402" s="4">
        <f t="shared" si="73"/>
        <v>3018079.7085637907</v>
      </c>
      <c r="N402" s="4">
        <f t="shared" si="74"/>
        <v>0</v>
      </c>
    </row>
    <row r="403" spans="1:14" ht="15.65" outlineLevel="2">
      <c r="A403" s="5">
        <v>367</v>
      </c>
      <c r="B403" s="6">
        <v>1970</v>
      </c>
      <c r="C403" s="3">
        <v>2605528.6699999999</v>
      </c>
      <c r="D403" s="3">
        <v>2605528.6699999999</v>
      </c>
      <c r="F403" s="2">
        <v>52</v>
      </c>
      <c r="G403" s="3">
        <v>22.692397</v>
      </c>
      <c r="H403" s="12">
        <v>-0.20000000000000001</v>
      </c>
      <c r="I403" s="3">
        <f t="shared" si="70"/>
        <v>1762195.381511031</v>
      </c>
      <c r="J403" s="3">
        <f t="shared" si="71"/>
        <v>1.2002429808633148</v>
      </c>
      <c r="K403" s="1">
        <f t="shared" si="72"/>
        <v>2115062.6375683662</v>
      </c>
      <c r="L403" s="3"/>
      <c r="M403" s="4">
        <f t="shared" si="73"/>
        <v>2115062.6375683662</v>
      </c>
      <c r="N403" s="4">
        <f t="shared" si="74"/>
        <v>0</v>
      </c>
    </row>
    <row r="404" spans="1:14" ht="15.65" outlineLevel="2">
      <c r="A404" s="5">
        <v>367</v>
      </c>
      <c r="B404" s="6">
        <v>1969</v>
      </c>
      <c r="C404" s="3">
        <v>2616165.6099999999</v>
      </c>
      <c r="D404" s="3">
        <v>2616165.6099999999</v>
      </c>
      <c r="F404" s="2">
        <v>52</v>
      </c>
      <c r="G404" s="3">
        <v>22.212848000000001</v>
      </c>
      <c r="H404" s="12">
        <v>-0.20000000000000001</v>
      </c>
      <c r="I404" s="3">
        <f t="shared" si="70"/>
        <v>1798341.2926671396</v>
      </c>
      <c r="J404" s="3">
        <f t="shared" si="71"/>
        <v>1.2002429808633148</v>
      </c>
      <c r="K404" s="1">
        <f t="shared" si="72"/>
        <v>2158446.5137203946</v>
      </c>
      <c r="L404" s="3"/>
      <c r="M404" s="4">
        <f t="shared" si="73"/>
        <v>2158446.5137203946</v>
      </c>
      <c r="N404" s="4">
        <f t="shared" si="74"/>
        <v>0</v>
      </c>
    </row>
    <row r="405" spans="1:14" ht="15.65" outlineLevel="2">
      <c r="A405" s="5">
        <v>367</v>
      </c>
      <c r="B405" s="6">
        <v>1968</v>
      </c>
      <c r="C405" s="3">
        <v>1450361.5500000001</v>
      </c>
      <c r="D405" s="3">
        <v>1450361.5500000001</v>
      </c>
      <c r="F405" s="2">
        <v>52</v>
      </c>
      <c r="G405" s="3">
        <v>21.737731</v>
      </c>
      <c r="H405" s="12">
        <v>-0.20000000000000001</v>
      </c>
      <c r="I405" s="3">
        <f t="shared" si="70"/>
        <v>1012874.5701543911</v>
      </c>
      <c r="J405" s="3">
        <f t="shared" si="71"/>
        <v>1.2002429808633148</v>
      </c>
      <c r="K405" s="1">
        <f t="shared" si="72"/>
        <v>1215695.5933227551</v>
      </c>
      <c r="L405" s="3"/>
      <c r="M405" s="4">
        <f t="shared" si="73"/>
        <v>1215695.5933227551</v>
      </c>
      <c r="N405" s="4">
        <f t="shared" si="74"/>
        <v>0</v>
      </c>
    </row>
    <row r="406" spans="1:14" ht="15.65" outlineLevel="2">
      <c r="A406" s="5">
        <v>367</v>
      </c>
      <c r="B406" s="6">
        <v>1967</v>
      </c>
      <c r="C406" s="3">
        <v>2712954.0099999998</v>
      </c>
      <c r="D406" s="3">
        <v>2712954.0099999998</v>
      </c>
      <c r="F406" s="2">
        <v>52</v>
      </c>
      <c r="G406" s="3">
        <v>21.266983</v>
      </c>
      <c r="H406" s="12">
        <v>-0.20000000000000001</v>
      </c>
      <c r="I406" s="3">
        <f t="shared" si="70"/>
        <v>1924090.6548357264</v>
      </c>
      <c r="J406" s="3">
        <f t="shared" si="71"/>
        <v>1.2002429808633148</v>
      </c>
      <c r="K406" s="1">
        <f t="shared" si="72"/>
        <v>2309376.3030112796</v>
      </c>
      <c r="L406" s="3"/>
      <c r="M406" s="4">
        <f t="shared" si="73"/>
        <v>2309376.3030112796</v>
      </c>
      <c r="N406" s="4">
        <f t="shared" si="74"/>
        <v>0</v>
      </c>
    </row>
    <row r="407" spans="1:14" ht="15.65" outlineLevel="2">
      <c r="A407" s="5">
        <v>367</v>
      </c>
      <c r="B407" s="6">
        <v>1966</v>
      </c>
      <c r="C407" s="3">
        <v>806849.89000000001</v>
      </c>
      <c r="D407" s="3">
        <v>806849.89000000001</v>
      </c>
      <c r="F407" s="2">
        <v>52</v>
      </c>
      <c r="G407" s="3">
        <v>20.800560999999998</v>
      </c>
      <c r="H407" s="12">
        <v>-0.20000000000000001</v>
      </c>
      <c r="I407" s="3">
        <f t="shared" si="70"/>
        <v>580921.47519719333</v>
      </c>
      <c r="J407" s="3">
        <f t="shared" si="71"/>
        <v>1.2002429808633148</v>
      </c>
      <c r="K407" s="1">
        <f t="shared" si="72"/>
        <v>697246.92303819349</v>
      </c>
      <c r="L407" s="3"/>
      <c r="M407" s="4">
        <f t="shared" si="73"/>
        <v>697246.92303819349</v>
      </c>
      <c r="N407" s="4">
        <f t="shared" si="74"/>
        <v>0</v>
      </c>
    </row>
    <row r="408" spans="1:14" ht="15.65" outlineLevel="2">
      <c r="A408" s="5">
        <v>367</v>
      </c>
      <c r="B408" s="6">
        <v>1965</v>
      </c>
      <c r="C408" s="3">
        <v>1838733.71</v>
      </c>
      <c r="D408" s="3">
        <v>1838733.71</v>
      </c>
      <c r="F408" s="2">
        <v>52</v>
      </c>
      <c r="G408" s="3">
        <v>20.338417</v>
      </c>
      <c r="H408" s="12">
        <v>-0.20000000000000001</v>
      </c>
      <c r="I408" s="3">
        <f t="shared" si="70"/>
        <v>1343474.30709376</v>
      </c>
      <c r="J408" s="3">
        <f t="shared" si="71"/>
        <v>1.2002429808633148</v>
      </c>
      <c r="K408" s="1">
        <f t="shared" si="72"/>
        <v>1612495.6070594909</v>
      </c>
      <c r="L408" s="3"/>
      <c r="M408" s="4">
        <f t="shared" si="73"/>
        <v>1612495.6070594909</v>
      </c>
      <c r="N408" s="4">
        <f t="shared" si="74"/>
        <v>0</v>
      </c>
    </row>
    <row r="409" spans="1:14" ht="15.65" outlineLevel="2">
      <c r="A409" s="5">
        <v>367</v>
      </c>
      <c r="B409" s="6">
        <v>1964</v>
      </c>
      <c r="C409" s="3">
        <v>13069.59</v>
      </c>
      <c r="D409" s="3">
        <v>13069.59</v>
      </c>
      <c r="F409" s="2">
        <v>52</v>
      </c>
      <c r="G409" s="3">
        <v>19.880493999999999</v>
      </c>
      <c r="H409" s="12">
        <v>-0.20000000000000001</v>
      </c>
      <c r="I409" s="3">
        <f t="shared" si="70"/>
        <v>9687.4332559047707</v>
      </c>
      <c r="J409" s="3">
        <f t="shared" si="71"/>
        <v>1.2002429808633148</v>
      </c>
      <c r="K409" s="1">
        <f t="shared" si="72"/>
        <v>11627.273767981549</v>
      </c>
      <c r="L409" s="3"/>
      <c r="M409" s="4">
        <f t="shared" si="73"/>
        <v>11627.273767981549</v>
      </c>
      <c r="N409" s="4">
        <f t="shared" si="74"/>
        <v>0</v>
      </c>
    </row>
    <row r="410" spans="1:14" ht="15.65" outlineLevel="2">
      <c r="A410" s="5">
        <v>367</v>
      </c>
      <c r="B410" s="6">
        <v>1963</v>
      </c>
      <c r="C410" s="3">
        <v>12222.93</v>
      </c>
      <c r="D410" s="3">
        <v>12222.93</v>
      </c>
      <c r="F410" s="2">
        <v>52</v>
      </c>
      <c r="G410" s="3">
        <v>19.426732999999999</v>
      </c>
      <c r="H410" s="12">
        <v>-0.20000000000000001</v>
      </c>
      <c r="I410" s="3">
        <f t="shared" si="70"/>
        <v>9187.8637479763856</v>
      </c>
      <c r="J410" s="3">
        <f t="shared" si="71"/>
        <v>1.2002429808633148</v>
      </c>
      <c r="K410" s="1">
        <f t="shared" si="72"/>
        <v>11027.668972637164</v>
      </c>
      <c r="L410" s="3"/>
      <c r="M410" s="4">
        <f t="shared" si="73"/>
        <v>11027.668972637164</v>
      </c>
      <c r="N410" s="4">
        <f t="shared" si="74"/>
        <v>0</v>
      </c>
    </row>
    <row r="411" spans="1:14" ht="15.65" outlineLevel="2">
      <c r="A411" s="5">
        <v>367</v>
      </c>
      <c r="B411" s="6">
        <v>1962</v>
      </c>
      <c r="C411" s="3">
        <v>4553.6400000000003</v>
      </c>
      <c r="D411" s="3">
        <v>4553.6400000000003</v>
      </c>
      <c r="F411" s="2">
        <v>52</v>
      </c>
      <c r="G411" s="3">
        <v>18.977060000000002</v>
      </c>
      <c r="H411" s="12">
        <v>-0.20000000000000001</v>
      </c>
      <c r="I411" s="3">
        <f t="shared" si="70"/>
        <v>3470.1826269600001</v>
      </c>
      <c r="J411" s="3">
        <f t="shared" si="71"/>
        <v>1.2002429808633148</v>
      </c>
      <c r="K411" s="1">
        <f t="shared" si="72"/>
        <v>4165.0623403225591</v>
      </c>
      <c r="L411" s="3"/>
      <c r="M411" s="4">
        <f t="shared" si="73"/>
        <v>4165.0623403225591</v>
      </c>
      <c r="N411" s="4">
        <f t="shared" si="74"/>
        <v>0</v>
      </c>
    </row>
    <row r="412" spans="1:14" ht="15.65" outlineLevel="2">
      <c r="A412" s="5">
        <v>367</v>
      </c>
      <c r="B412" s="6">
        <v>1961</v>
      </c>
      <c r="C412" s="3">
        <v>38605.169999999998</v>
      </c>
      <c r="D412" s="3">
        <v>38605.169999999998</v>
      </c>
      <c r="F412" s="2">
        <v>52</v>
      </c>
      <c r="G412" s="3">
        <v>18.531407999999999</v>
      </c>
      <c r="H412" s="12">
        <v>-0.20000000000000001</v>
      </c>
      <c r="I412" s="3">
        <f t="shared" si="70"/>
        <v>29816.785011245538</v>
      </c>
      <c r="J412" s="3">
        <f t="shared" si="71"/>
        <v>1.2002429808633148</v>
      </c>
      <c r="K412" s="1">
        <f t="shared" si="72"/>
        <v>35787.386921657948</v>
      </c>
      <c r="L412" s="3"/>
      <c r="M412" s="4">
        <f t="shared" si="73"/>
        <v>35787.386921657948</v>
      </c>
      <c r="N412" s="4">
        <f t="shared" si="74"/>
        <v>0</v>
      </c>
    </row>
    <row r="413" spans="1:14" ht="15.65" outlineLevel="2">
      <c r="A413" s="5">
        <v>367</v>
      </c>
      <c r="B413" s="6">
        <v>1960</v>
      </c>
      <c r="C413" s="3">
        <v>14378.719999999999</v>
      </c>
      <c r="D413" s="3">
        <v>14378.719999999999</v>
      </c>
      <c r="F413" s="2">
        <v>52</v>
      </c>
      <c r="G413" s="3">
        <v>18.089690999999998</v>
      </c>
      <c r="H413" s="12">
        <v>-0.20000000000000001</v>
      </c>
      <c r="I413" s="3">
        <f t="shared" si="70"/>
        <v>11252.003959026462</v>
      </c>
      <c r="J413" s="3">
        <f t="shared" si="71"/>
        <v>1.2002429808633148</v>
      </c>
      <c r="K413" s="1">
        <f t="shared" si="72"/>
        <v>13505.138772467741</v>
      </c>
      <c r="L413" s="3"/>
      <c r="M413" s="4">
        <f t="shared" si="73"/>
        <v>13505.138772467741</v>
      </c>
      <c r="N413" s="4">
        <f t="shared" si="74"/>
        <v>0</v>
      </c>
    </row>
    <row r="414" spans="1:14" ht="15.65" outlineLevel="2">
      <c r="A414" s="5">
        <v>367</v>
      </c>
      <c r="B414" s="6">
        <v>1959</v>
      </c>
      <c r="C414" s="3">
        <v>23233.529999999999</v>
      </c>
      <c r="D414" s="3">
        <v>23233.529999999999</v>
      </c>
      <c r="F414" s="2">
        <v>52</v>
      </c>
      <c r="G414" s="3">
        <v>17.651816</v>
      </c>
      <c r="H414" s="12">
        <v>-0.20000000000000001</v>
      </c>
      <c r="I414" s="3">
        <f t="shared" si="70"/>
        <v>18416.066847911996</v>
      </c>
      <c r="J414" s="3">
        <f t="shared" si="71"/>
        <v>1.2002429808633148</v>
      </c>
      <c r="K414" s="1">
        <f t="shared" si="72"/>
        <v>22103.754969315964</v>
      </c>
      <c r="L414" s="3"/>
      <c r="M414" s="4">
        <f t="shared" si="73"/>
        <v>22103.754969315964</v>
      </c>
      <c r="N414" s="4">
        <f t="shared" si="74"/>
        <v>0</v>
      </c>
    </row>
    <row r="415" spans="1:14" ht="15.65" outlineLevel="2">
      <c r="A415" s="5">
        <v>367</v>
      </c>
      <c r="B415" s="6">
        <v>1958</v>
      </c>
      <c r="C415" s="3">
        <v>18454.48</v>
      </c>
      <c r="D415" s="3">
        <v>18454.48</v>
      </c>
      <c r="F415" s="2">
        <v>52</v>
      </c>
      <c r="G415" s="3">
        <v>17.217690000000001</v>
      </c>
      <c r="H415" s="12">
        <v>-0.20000000000000001</v>
      </c>
      <c r="I415" s="3">
        <f t="shared" si="70"/>
        <v>14812.83332881846</v>
      </c>
      <c r="J415" s="3">
        <f t="shared" si="71"/>
        <v>1.2002429808633148</v>
      </c>
      <c r="K415" s="1">
        <f t="shared" si="72"/>
        <v>17778.999229612527</v>
      </c>
      <c r="L415" s="3"/>
      <c r="M415" s="4">
        <f t="shared" si="73"/>
        <v>17778.999229612527</v>
      </c>
      <c r="N415" s="4">
        <f t="shared" si="74"/>
        <v>0</v>
      </c>
    </row>
    <row r="416" spans="1:14" ht="15.65" outlineLevel="2">
      <c r="A416" s="5">
        <v>367</v>
      </c>
      <c r="B416" s="6">
        <v>1957</v>
      </c>
      <c r="C416" s="3">
        <v>33455.910000000003</v>
      </c>
      <c r="D416" s="3">
        <v>33455.910000000003</v>
      </c>
      <c r="F416" s="2">
        <v>52</v>
      </c>
      <c r="G416" s="3">
        <v>16.787209000000001</v>
      </c>
      <c r="H416" s="12">
        <v>-0.20000000000000001</v>
      </c>
      <c r="I416" s="3">
        <f t="shared" si="75" ref="I416:I428">+C416*(1-H416)*(1-G416/F416)</f>
        <v>27186.368458726389</v>
      </c>
      <c r="J416" s="3">
        <f t="shared" si="76" ref="J416:J428">$J$429</f>
        <v>1.2002429808633148</v>
      </c>
      <c r="K416" s="1">
        <f t="shared" si="77" ref="K416:K428">IF((C416*(1-H416)-I416*J416)&lt;0,C416*(1-H416),I416*J416)</f>
        <v>32630.247917750163</v>
      </c>
      <c r="L416" s="3"/>
      <c r="M416" s="4">
        <f t="shared" si="78" ref="M416:M428">+K416/D416*C416</f>
        <v>32630.247917750163</v>
      </c>
      <c r="N416" s="4">
        <f t="shared" si="79" ref="N416:N428">+E416/C416*K416</f>
        <v>0</v>
      </c>
    </row>
    <row r="417" spans="1:14" ht="15.65" outlineLevel="2">
      <c r="A417" s="5">
        <v>367</v>
      </c>
      <c r="B417" s="6">
        <v>1956</v>
      </c>
      <c r="C417" s="3">
        <v>12245.959999999999</v>
      </c>
      <c r="D417" s="3">
        <v>12245.959999999999</v>
      </c>
      <c r="F417" s="2">
        <v>52</v>
      </c>
      <c r="G417" s="3">
        <v>16.360239</v>
      </c>
      <c r="H417" s="12">
        <v>-0.20000000000000001</v>
      </c>
      <c r="I417" s="3">
        <f t="shared" si="75"/>
        <v>10071.763560359077</v>
      </c>
      <c r="J417" s="3">
        <f t="shared" si="76"/>
        <v>1.2002429808633148</v>
      </c>
      <c r="K417" s="1">
        <f t="shared" si="77"/>
        <v>12088.563518235891</v>
      </c>
      <c r="L417" s="3"/>
      <c r="M417" s="4">
        <f t="shared" si="78"/>
        <v>12088.563518235891</v>
      </c>
      <c r="N417" s="4">
        <f t="shared" si="79"/>
        <v>0</v>
      </c>
    </row>
    <row r="418" spans="1:14" ht="15.65" outlineLevel="2">
      <c r="A418" s="5">
        <v>367</v>
      </c>
      <c r="B418" s="6">
        <v>1955</v>
      </c>
      <c r="C418" s="3">
        <v>32705.799999999999</v>
      </c>
      <c r="D418" s="3">
        <v>32705.799999999999</v>
      </c>
      <c r="F418" s="2">
        <v>52</v>
      </c>
      <c r="G418" s="3">
        <v>15.936640000000001</v>
      </c>
      <c r="H418" s="12">
        <v>-0.20000000000000001</v>
      </c>
      <c r="I418" s="3">
        <f t="shared" si="75"/>
        <v>27218.793218953848</v>
      </c>
      <c r="J418" s="3">
        <f t="shared" si="76"/>
        <v>1.2002429808633148</v>
      </c>
      <c r="K418" s="1">
        <f t="shared" si="77"/>
        <v>32669.165508619346</v>
      </c>
      <c r="L418" s="3"/>
      <c r="M418" s="4">
        <f t="shared" si="78"/>
        <v>32669.165508619346</v>
      </c>
      <c r="N418" s="4">
        <f t="shared" si="79"/>
        <v>0</v>
      </c>
    </row>
    <row r="419" spans="1:14" ht="15.65" outlineLevel="2">
      <c r="A419" s="5">
        <v>367</v>
      </c>
      <c r="B419" s="6">
        <v>1954</v>
      </c>
      <c r="C419" s="3">
        <v>89821.100000000006</v>
      </c>
      <c r="D419" s="3">
        <v>89821.100000000006</v>
      </c>
      <c r="F419" s="2">
        <v>52</v>
      </c>
      <c r="G419" s="3">
        <v>15.516294</v>
      </c>
      <c r="H419" s="12">
        <v>-0.20000000000000001</v>
      </c>
      <c r="I419" s="3">
        <f t="shared" si="75"/>
        <v>75623.229346075401</v>
      </c>
      <c r="J419" s="3">
        <f t="shared" si="76"/>
        <v>1.2002429808633148</v>
      </c>
      <c r="K419" s="1">
        <f t="shared" si="77"/>
        <v>90766.250212843646</v>
      </c>
      <c r="L419" s="3"/>
      <c r="M419" s="4">
        <f t="shared" si="78"/>
        <v>90766.250212843632</v>
      </c>
      <c r="N419" s="4">
        <f t="shared" si="79"/>
        <v>0</v>
      </c>
    </row>
    <row r="420" spans="1:14" ht="15.65" outlineLevel="2">
      <c r="A420" s="5">
        <v>367</v>
      </c>
      <c r="B420" s="6">
        <v>1953</v>
      </c>
      <c r="C420" s="3">
        <v>21520.650000000001</v>
      </c>
      <c r="D420" s="3">
        <v>21520.650000000001</v>
      </c>
      <c r="F420" s="2">
        <v>52</v>
      </c>
      <c r="G420" s="3">
        <v>15.099062999999999</v>
      </c>
      <c r="H420" s="12">
        <v>-0.20000000000000001</v>
      </c>
      <c r="I420" s="3">
        <f t="shared" si="75"/>
        <v>18326.126534978077</v>
      </c>
      <c r="J420" s="3">
        <f t="shared" si="76"/>
        <v>1.2002429808633148</v>
      </c>
      <c r="K420" s="1">
        <f t="shared" si="77"/>
        <v>21995.80474002038</v>
      </c>
      <c r="L420" s="3"/>
      <c r="M420" s="4">
        <f t="shared" si="78"/>
        <v>21995.80474002038</v>
      </c>
      <c r="N420" s="4">
        <f t="shared" si="79"/>
        <v>0</v>
      </c>
    </row>
    <row r="421" spans="1:14" ht="15.65" outlineLevel="2">
      <c r="A421" s="5">
        <v>367</v>
      </c>
      <c r="B421" s="6">
        <v>1952</v>
      </c>
      <c r="C421" s="3">
        <v>53815.360000000001</v>
      </c>
      <c r="D421" s="3">
        <v>53815.360000000001</v>
      </c>
      <c r="F421" s="2">
        <v>52</v>
      </c>
      <c r="G421" s="3">
        <v>14.684789</v>
      </c>
      <c r="H421" s="12">
        <v>-0.20000000000000001</v>
      </c>
      <c r="I421" s="3">
        <f t="shared" si="75"/>
        <v>46341.496464022151</v>
      </c>
      <c r="J421" s="3">
        <f t="shared" si="76"/>
        <v>1.2002429808633148</v>
      </c>
      <c r="K421" s="1">
        <f t="shared" si="77"/>
        <v>55621.055853644713</v>
      </c>
      <c r="L421" s="3"/>
      <c r="M421" s="4">
        <f t="shared" si="78"/>
        <v>55621.055853644713</v>
      </c>
      <c r="N421" s="4">
        <f t="shared" si="79"/>
        <v>0</v>
      </c>
    </row>
    <row r="422" spans="1:14" ht="15.65" outlineLevel="2">
      <c r="A422" s="5">
        <v>367</v>
      </c>
      <c r="B422" s="6">
        <v>1951</v>
      </c>
      <c r="C422" s="3">
        <v>7637.6700000000001</v>
      </c>
      <c r="D422" s="3">
        <v>7637.6700000000001</v>
      </c>
      <c r="F422" s="2">
        <v>52</v>
      </c>
      <c r="G422" s="3">
        <v>14.273313</v>
      </c>
      <c r="H422" s="12">
        <v>-0.20000000000000001</v>
      </c>
      <c r="I422" s="3">
        <f t="shared" si="75"/>
        <v>6649.4765884451535</v>
      </c>
      <c r="J422" s="3">
        <f t="shared" si="76"/>
        <v>1.2002429808633148</v>
      </c>
      <c r="K422" s="1">
        <f t="shared" si="77"/>
        <v>7980.9876016962362</v>
      </c>
      <c r="L422" s="3"/>
      <c r="M422" s="4">
        <f t="shared" si="78"/>
        <v>7980.9876016962371</v>
      </c>
      <c r="N422" s="4">
        <f t="shared" si="79"/>
        <v>0</v>
      </c>
    </row>
    <row r="423" spans="1:14" ht="15.65" outlineLevel="2">
      <c r="A423" s="5">
        <v>367</v>
      </c>
      <c r="B423" s="6">
        <v>1950</v>
      </c>
      <c r="C423" s="3">
        <v>18048.299999999999</v>
      </c>
      <c r="D423" s="3">
        <v>18048.299999999999</v>
      </c>
      <c r="F423" s="2">
        <v>52</v>
      </c>
      <c r="G423" s="3">
        <v>13.864464</v>
      </c>
      <c r="H423" s="12">
        <v>-0.20000000000000001</v>
      </c>
      <c r="I423" s="3">
        <f t="shared" si="75"/>
        <v>15883.421408972306</v>
      </c>
      <c r="J423" s="3">
        <f t="shared" si="76"/>
        <v>1.2002429808633148</v>
      </c>
      <c r="K423" s="1">
        <f t="shared" si="77"/>
        <v>19063.965058213114</v>
      </c>
      <c r="L423" s="3"/>
      <c r="M423" s="4">
        <f t="shared" si="78"/>
        <v>19063.965058213114</v>
      </c>
      <c r="N423" s="4">
        <f t="shared" si="79"/>
        <v>0</v>
      </c>
    </row>
    <row r="424" spans="1:14" ht="15.65" outlineLevel="2">
      <c r="A424" s="5">
        <v>367</v>
      </c>
      <c r="B424" s="6">
        <v>1949</v>
      </c>
      <c r="C424" s="3">
        <v>31174.049999999999</v>
      </c>
      <c r="D424" s="3">
        <v>31174.049999999999</v>
      </c>
      <c r="F424" s="2">
        <v>52</v>
      </c>
      <c r="G424" s="3">
        <v>13.458057</v>
      </c>
      <c r="H424" s="12">
        <v>-0.20000000000000001</v>
      </c>
      <c r="I424" s="3">
        <f t="shared" si="75"/>
        <v>27727.118265672692</v>
      </c>
      <c r="J424" s="3">
        <f t="shared" si="76"/>
        <v>1.2002429808633148</v>
      </c>
      <c r="K424" s="1">
        <f t="shared" si="77"/>
        <v>33279.279077940657</v>
      </c>
      <c r="L424" s="3"/>
      <c r="M424" s="4">
        <f t="shared" si="78"/>
        <v>33279.279077940657</v>
      </c>
      <c r="N424" s="4">
        <f t="shared" si="79"/>
        <v>0</v>
      </c>
    </row>
    <row r="425" spans="1:14" ht="15.65" outlineLevel="2">
      <c r="A425" s="5">
        <v>367</v>
      </c>
      <c r="B425" s="6">
        <v>1948</v>
      </c>
      <c r="C425" s="3">
        <v>28653.380000000001</v>
      </c>
      <c r="D425" s="3">
        <v>28653.380000000001</v>
      </c>
      <c r="F425" s="2">
        <v>52</v>
      </c>
      <c r="G425" s="3">
        <v>13.053890000000001</v>
      </c>
      <c r="H425" s="12">
        <v>-0.20000000000000001</v>
      </c>
      <c r="I425" s="3">
        <f t="shared" si="75"/>
        <v>25752.408215810767</v>
      </c>
      <c r="J425" s="3">
        <f t="shared" si="76"/>
        <v>1.2002429808633148</v>
      </c>
      <c r="K425" s="1">
        <f t="shared" si="77"/>
        <v>30909.147201353633</v>
      </c>
      <c r="L425" s="3"/>
      <c r="M425" s="4">
        <f t="shared" si="78"/>
        <v>30909.147201353633</v>
      </c>
      <c r="N425" s="4">
        <f t="shared" si="79"/>
        <v>0</v>
      </c>
    </row>
    <row r="426" spans="1:14" ht="15.65" outlineLevel="2">
      <c r="A426" s="5">
        <v>367</v>
      </c>
      <c r="B426" s="6">
        <v>1947</v>
      </c>
      <c r="C426" s="3">
        <v>4359.8999999999996</v>
      </c>
      <c r="D426" s="3">
        <v>4359.8999999999996</v>
      </c>
      <c r="F426" s="2">
        <v>52</v>
      </c>
      <c r="G426" s="3">
        <v>12.651756000000001</v>
      </c>
      <c r="H426" s="12">
        <v>-0.20000000000000001</v>
      </c>
      <c r="I426" s="3">
        <f t="shared" si="75"/>
        <v>3958.947900359999</v>
      </c>
      <c r="J426" s="3">
        <f t="shared" si="76"/>
        <v>1.2002429808633148</v>
      </c>
      <c r="K426" s="1">
        <f t="shared" si="77"/>
        <v>4751.6994290106468</v>
      </c>
      <c r="L426" s="3"/>
      <c r="M426" s="4">
        <f t="shared" si="78"/>
        <v>4751.6994290106468</v>
      </c>
      <c r="N426" s="4">
        <f t="shared" si="79"/>
        <v>0</v>
      </c>
    </row>
    <row r="427" spans="1:14" ht="15.65" outlineLevel="2">
      <c r="A427" s="5">
        <v>367</v>
      </c>
      <c r="B427" s="6">
        <v>1930</v>
      </c>
      <c r="C427" s="3">
        <v>205232.89000000001</v>
      </c>
      <c r="D427" s="3">
        <v>205232.89000000001</v>
      </c>
      <c r="F427" s="2">
        <v>52</v>
      </c>
      <c r="G427" s="3">
        <v>5.8147080000000004</v>
      </c>
      <c r="H427" s="12">
        <v>-0.20000000000000001</v>
      </c>
      <c r="I427" s="3">
        <f t="shared" si="75"/>
        <v>218740.17583047415</v>
      </c>
      <c r="J427" s="3">
        <f t="shared" si="76"/>
        <v>1.2002429808633148</v>
      </c>
      <c r="K427" s="1">
        <f t="shared" si="77"/>
        <v>246279.46799999999</v>
      </c>
      <c r="L427" s="3"/>
      <c r="M427" s="4">
        <f t="shared" si="78"/>
        <v>246279.46799999999</v>
      </c>
      <c r="N427" s="4">
        <f t="shared" si="79"/>
        <v>0</v>
      </c>
    </row>
    <row r="428" spans="1:14" ht="15.65" outlineLevel="2">
      <c r="A428" s="5">
        <v>367</v>
      </c>
      <c r="B428" s="6">
        <v>1921</v>
      </c>
      <c r="C428" s="3">
        <v>1232.78</v>
      </c>
      <c r="D428" s="3">
        <v>1232.78</v>
      </c>
      <c r="F428" s="2">
        <v>52</v>
      </c>
      <c r="G428" s="3">
        <v>1.7486360000000001</v>
      </c>
      <c r="H428" s="12">
        <v>-0.20000000000000001</v>
      </c>
      <c r="I428" s="3">
        <f t="shared" si="75"/>
        <v>1429.5894579673848</v>
      </c>
      <c r="J428" s="3">
        <f t="shared" si="76"/>
        <v>1.2002429808633148</v>
      </c>
      <c r="K428" s="1">
        <f t="shared" si="77"/>
        <v>1479.336</v>
      </c>
      <c r="L428" s="3"/>
      <c r="M428" s="4">
        <f t="shared" si="78"/>
        <v>1479.336</v>
      </c>
      <c r="N428" s="4">
        <f t="shared" si="79"/>
        <v>0</v>
      </c>
    </row>
    <row r="429" spans="1:15" ht="15.65" outlineLevel="1">
      <c r="A429" s="7" t="s">
        <v>6</v>
      </c>
      <c r="B429" s="6"/>
      <c r="C429" s="3">
        <f>SUBTOTAL(9,C352:C428)</f>
        <v>2553927527.9700012</v>
      </c>
      <c r="I429" s="3">
        <f>SUBTOTAL(9,I352:I428)</f>
        <v>481617316.97355181</v>
      </c>
      <c r="J429" s="3">
        <v>1.2002429808633148</v>
      </c>
      <c r="K429" s="1">
        <f>SUBTOTAL(9,K352:K428)</f>
        <v>578041305.74834216</v>
      </c>
      <c r="L429" s="3">
        <v>578041305.74834192</v>
      </c>
      <c r="M429" s="3">
        <f t="shared" si="80" ref="M429:N429">SUBTOTAL(9,M352:M428)</f>
        <v>578041305.74834216</v>
      </c>
      <c r="N429" s="3">
        <f t="shared" si="80"/>
        <v>0</v>
      </c>
      <c r="O429" s="4">
        <f>+L429-K429</f>
        <v>0</v>
      </c>
    </row>
    <row r="430" spans="1:14" ht="15.65" outlineLevel="2">
      <c r="A430" s="5">
        <v>368</v>
      </c>
      <c r="B430" s="6">
        <v>2021</v>
      </c>
      <c r="C430" s="3">
        <v>127853222.74</v>
      </c>
      <c r="D430" s="3">
        <v>127853222.74</v>
      </c>
      <c r="F430" s="2">
        <v>50</v>
      </c>
      <c r="G430" s="3">
        <v>49.546653999999997</v>
      </c>
      <c r="H430" s="12">
        <v>-0.20000000000000001</v>
      </c>
      <c r="I430" s="3">
        <f t="shared" si="81" ref="I430:I461">+C430*(1-H430)*(1-G430/F430)</f>
        <v>1391081.9307909266</v>
      </c>
      <c r="J430" s="3">
        <f t="shared" si="82" ref="J430:J461">$J$540</f>
        <v>1.2002897871465943</v>
      </c>
      <c r="K430" s="1">
        <f t="shared" si="83" ref="K430:K461">IF((C430*(1-H430)-I430*J430)&lt;0,C430*(1-H430),I430*J430)</f>
        <v>1669701.4346125147</v>
      </c>
      <c r="L430" s="3"/>
      <c r="M430" s="4">
        <f t="shared" si="84" ref="M430:M461">+K430/D430*C430</f>
        <v>1669701.4346125147</v>
      </c>
      <c r="N430" s="4">
        <f t="shared" si="85" ref="N430:N461">+E430/C430*K430</f>
        <v>0</v>
      </c>
    </row>
    <row r="431" spans="1:14" ht="15.65" outlineLevel="2">
      <c r="A431" s="5">
        <v>368</v>
      </c>
      <c r="B431" s="6">
        <v>2020</v>
      </c>
      <c r="C431" s="3">
        <v>111634187.56999999</v>
      </c>
      <c r="D431" s="3">
        <v>111634187.56999999</v>
      </c>
      <c r="F431" s="2">
        <v>50</v>
      </c>
      <c r="G431" s="3">
        <v>48.684268000000003</v>
      </c>
      <c r="H431" s="12">
        <v>-0.20000000000000001</v>
      </c>
      <c r="I431" s="3">
        <f t="shared" si="81"/>
        <v>3525136.149116422</v>
      </c>
      <c r="J431" s="3">
        <f t="shared" si="82"/>
        <v>1.2002897871465943</v>
      </c>
      <c r="K431" s="1">
        <f t="shared" si="83"/>
        <v>4231184.9180857157</v>
      </c>
      <c r="L431" s="3"/>
      <c r="M431" s="4">
        <f t="shared" si="84"/>
        <v>4231184.9180857157</v>
      </c>
      <c r="N431" s="4">
        <f t="shared" si="85"/>
        <v>0</v>
      </c>
    </row>
    <row r="432" spans="1:14" ht="15.65" outlineLevel="2">
      <c r="A432" s="5">
        <v>368</v>
      </c>
      <c r="B432" s="6">
        <v>2019</v>
      </c>
      <c r="C432" s="3">
        <v>122886523.22</v>
      </c>
      <c r="D432" s="3">
        <v>122886523.22</v>
      </c>
      <c r="F432" s="2">
        <v>50</v>
      </c>
      <c r="G432" s="3">
        <v>47.860689000000001</v>
      </c>
      <c r="H432" s="12">
        <v>-0.20000000000000001</v>
      </c>
      <c r="I432" s="3">
        <f t="shared" si="81"/>
        <v>6309419.7810312314</v>
      </c>
      <c r="J432" s="3">
        <f t="shared" si="82"/>
        <v>1.2002897871465943</v>
      </c>
      <c r="K432" s="1">
        <f t="shared" si="83"/>
        <v>7573132.1259924881</v>
      </c>
      <c r="L432" s="3"/>
      <c r="M432" s="4">
        <f t="shared" si="84"/>
        <v>7573132.1259924881</v>
      </c>
      <c r="N432" s="4">
        <f t="shared" si="85"/>
        <v>0</v>
      </c>
    </row>
    <row r="433" spans="1:14" ht="15.65" outlineLevel="2">
      <c r="A433" s="5">
        <v>368</v>
      </c>
      <c r="B433" s="6">
        <v>2018</v>
      </c>
      <c r="C433" s="3">
        <v>105961025.09999999</v>
      </c>
      <c r="D433" s="3">
        <v>105961025.09999999</v>
      </c>
      <c r="F433" s="2">
        <v>50</v>
      </c>
      <c r="G433" s="3">
        <v>47.067028000000001</v>
      </c>
      <c r="H433" s="12">
        <v>-0.20000000000000001</v>
      </c>
      <c r="I433" s="3">
        <f t="shared" si="81"/>
        <v>7458737.2730303332</v>
      </c>
      <c r="J433" s="3">
        <f t="shared" si="82"/>
        <v>1.2002897871465943</v>
      </c>
      <c r="K433" s="1">
        <f t="shared" si="83"/>
        <v>8952646.173827948</v>
      </c>
      <c r="L433" s="3"/>
      <c r="M433" s="4">
        <f t="shared" si="84"/>
        <v>8952646.173827948</v>
      </c>
      <c r="N433" s="4">
        <f t="shared" si="85"/>
        <v>0</v>
      </c>
    </row>
    <row r="434" spans="1:14" ht="15.65" outlineLevel="2">
      <c r="A434" s="5">
        <v>368</v>
      </c>
      <c r="B434" s="6">
        <v>2017</v>
      </c>
      <c r="C434" s="3">
        <v>97242830.239999995</v>
      </c>
      <c r="D434" s="3">
        <v>97242830.239999995</v>
      </c>
      <c r="F434" s="2">
        <v>50</v>
      </c>
      <c r="G434" s="3">
        <v>46.299014999999997</v>
      </c>
      <c r="H434" s="12">
        <v>-0.20000000000000001</v>
      </c>
      <c r="I434" s="3">
        <f t="shared" si="81"/>
        <v>8637462.1458188761</v>
      </c>
      <c r="J434" s="3">
        <f t="shared" si="82"/>
        <v>1.2002897871465943</v>
      </c>
      <c r="K434" s="1">
        <f t="shared" si="83"/>
        <v>10367457.600491704</v>
      </c>
      <c r="L434" s="3"/>
      <c r="M434" s="4">
        <f t="shared" si="84"/>
        <v>10367457.600491704</v>
      </c>
      <c r="N434" s="4">
        <f t="shared" si="85"/>
        <v>0</v>
      </c>
    </row>
    <row r="435" spans="1:14" ht="15.65" outlineLevel="2">
      <c r="A435" s="5">
        <v>368</v>
      </c>
      <c r="B435" s="6">
        <v>2016</v>
      </c>
      <c r="C435" s="3">
        <v>120436705.84</v>
      </c>
      <c r="D435" s="3">
        <v>120436705.84</v>
      </c>
      <c r="F435" s="2">
        <v>50</v>
      </c>
      <c r="G435" s="3">
        <v>45.554161000000001</v>
      </c>
      <c r="H435" s="12">
        <v>-0.20000000000000001</v>
      </c>
      <c r="I435" s="3">
        <f t="shared" si="81"/>
        <v>12850612.892519997</v>
      </c>
      <c r="J435" s="3">
        <f t="shared" si="82"/>
        <v>1.2002897871465943</v>
      </c>
      <c r="K435" s="1">
        <f t="shared" si="83"/>
        <v>15424459.413466109</v>
      </c>
      <c r="L435" s="3"/>
      <c r="M435" s="4">
        <f t="shared" si="84"/>
        <v>15424459.413466111</v>
      </c>
      <c r="N435" s="4">
        <f t="shared" si="85"/>
        <v>0</v>
      </c>
    </row>
    <row r="436" spans="1:14" ht="15.65" outlineLevel="2">
      <c r="A436" s="5">
        <v>368</v>
      </c>
      <c r="B436" s="6">
        <v>2015</v>
      </c>
      <c r="C436" s="3">
        <v>96374688.489999995</v>
      </c>
      <c r="D436" s="3">
        <v>96374688.489999995</v>
      </c>
      <c r="F436" s="2">
        <v>50</v>
      </c>
      <c r="G436" s="3">
        <v>44.830908999999998</v>
      </c>
      <c r="H436" s="12">
        <v>-0.20000000000000001</v>
      </c>
      <c r="I436" s="3">
        <f t="shared" si="81"/>
        <v>11956068.837635109</v>
      </c>
      <c r="J436" s="3">
        <f t="shared" si="82"/>
        <v>1.2002897871465943</v>
      </c>
      <c r="K436" s="1">
        <f t="shared" si="83"/>
        <v>14350747.320235074</v>
      </c>
      <c r="L436" s="3"/>
      <c r="M436" s="4">
        <f t="shared" si="84"/>
        <v>14350747.320235074</v>
      </c>
      <c r="N436" s="4">
        <f t="shared" si="85"/>
        <v>0</v>
      </c>
    </row>
    <row r="437" spans="1:14" ht="15.65" outlineLevel="2">
      <c r="A437" s="5">
        <v>368</v>
      </c>
      <c r="B437" s="6">
        <v>2014</v>
      </c>
      <c r="C437" s="3">
        <v>79848352.950000003</v>
      </c>
      <c r="D437" s="3">
        <v>79848352.950000003</v>
      </c>
      <c r="F437" s="2">
        <v>50</v>
      </c>
      <c r="G437" s="3">
        <v>44.128194999999998</v>
      </c>
      <c r="H437" s="12">
        <v>-0.20000000000000001</v>
      </c>
      <c r="I437" s="3">
        <f t="shared" si="81"/>
        <v>11252494.994245799</v>
      </c>
      <c r="J437" s="3">
        <f t="shared" si="82"/>
        <v>1.2002897871465943</v>
      </c>
      <c r="K437" s="1">
        <f t="shared" si="83"/>
        <v>13506254.821511408</v>
      </c>
      <c r="L437" s="3"/>
      <c r="M437" s="4">
        <f t="shared" si="84"/>
        <v>13506254.821511408</v>
      </c>
      <c r="N437" s="4">
        <f t="shared" si="85"/>
        <v>0</v>
      </c>
    </row>
    <row r="438" spans="1:14" ht="15.65" outlineLevel="2">
      <c r="A438" s="5">
        <v>368</v>
      </c>
      <c r="B438" s="6">
        <v>2013</v>
      </c>
      <c r="C438" s="3">
        <v>79900753.989999995</v>
      </c>
      <c r="D438" s="3">
        <v>79900753.989999995</v>
      </c>
      <c r="F438" s="2">
        <v>50</v>
      </c>
      <c r="G438" s="3">
        <v>43.445310999999997</v>
      </c>
      <c r="H438" s="12">
        <v>-0.20000000000000001</v>
      </c>
      <c r="I438" s="3">
        <f t="shared" si="81"/>
        <v>12569390.238479022</v>
      </c>
      <c r="J438" s="3">
        <f t="shared" si="82"/>
        <v>1.2002897871465943</v>
      </c>
      <c r="K438" s="1">
        <f t="shared" si="83"/>
        <v>15086910.733906465</v>
      </c>
      <c r="L438" s="3"/>
      <c r="M438" s="4">
        <f t="shared" si="84"/>
        <v>15086910.733906465</v>
      </c>
      <c r="N438" s="4">
        <f t="shared" si="85"/>
        <v>0</v>
      </c>
    </row>
    <row r="439" spans="1:14" ht="15.65" outlineLevel="2">
      <c r="A439" s="5">
        <v>368</v>
      </c>
      <c r="B439" s="6">
        <v>2012</v>
      </c>
      <c r="C439" s="3">
        <v>70289944.670000002</v>
      </c>
      <c r="D439" s="3">
        <v>70289944.670000002</v>
      </c>
      <c r="F439" s="2">
        <v>50</v>
      </c>
      <c r="G439" s="3">
        <v>42.781726999999997</v>
      </c>
      <c r="H439" s="12">
        <v>-0.20000000000000001</v>
      </c>
      <c r="I439" s="3">
        <f t="shared" si="81"/>
        <v>12176928.234790923</v>
      </c>
      <c r="J439" s="3">
        <f t="shared" si="82"/>
        <v>1.2002897871465943</v>
      </c>
      <c r="K439" s="1">
        <f t="shared" si="83"/>
        <v>14615842.599036552</v>
      </c>
      <c r="L439" s="3"/>
      <c r="M439" s="4">
        <f t="shared" si="84"/>
        <v>14615842.599036552</v>
      </c>
      <c r="N439" s="4">
        <f t="shared" si="85"/>
        <v>0</v>
      </c>
    </row>
    <row r="440" spans="1:14" ht="15.65" outlineLevel="2">
      <c r="A440" s="5">
        <v>368</v>
      </c>
      <c r="B440" s="6">
        <v>2011</v>
      </c>
      <c r="C440" s="3">
        <v>72627736.480000004</v>
      </c>
      <c r="D440" s="3">
        <v>72627736.480000004</v>
      </c>
      <c r="F440" s="2">
        <v>50</v>
      </c>
      <c r="G440" s="3">
        <v>42.137053000000002</v>
      </c>
      <c r="H440" s="12">
        <v>-0.20000000000000001</v>
      </c>
      <c r="I440" s="3">
        <f t="shared" si="81"/>
        <v>13705633.024132956</v>
      </c>
      <c r="J440" s="3">
        <f t="shared" si="82"/>
        <v>1.2002897871465943</v>
      </c>
      <c r="K440" s="1">
        <f t="shared" si="83"/>
        <v>16450731.345245879</v>
      </c>
      <c r="L440" s="3"/>
      <c r="M440" s="4">
        <f t="shared" si="84"/>
        <v>16450731.345245879</v>
      </c>
      <c r="N440" s="4">
        <f t="shared" si="85"/>
        <v>0</v>
      </c>
    </row>
    <row r="441" spans="1:14" ht="15.65" outlineLevel="2">
      <c r="A441" s="5">
        <v>368</v>
      </c>
      <c r="B441" s="6">
        <v>2010</v>
      </c>
      <c r="C441" s="3">
        <v>54537069.380000003</v>
      </c>
      <c r="D441" s="3">
        <v>54537069.380000003</v>
      </c>
      <c r="F441" s="2">
        <v>50</v>
      </c>
      <c r="G441" s="3">
        <v>41.510976999999997</v>
      </c>
      <c r="H441" s="12">
        <v>-0.20000000000000001</v>
      </c>
      <c r="I441" s="3">
        <f t="shared" si="81"/>
        <v>11111194.471665978</v>
      </c>
      <c r="J441" s="3">
        <f t="shared" si="82"/>
        <v>1.2002897871465943</v>
      </c>
      <c r="K441" s="1">
        <f t="shared" si="83"/>
        <v>13336653.247340372</v>
      </c>
      <c r="L441" s="3"/>
      <c r="M441" s="4">
        <f t="shared" si="84"/>
        <v>13336653.247340372</v>
      </c>
      <c r="N441" s="4">
        <f t="shared" si="85"/>
        <v>0</v>
      </c>
    </row>
    <row r="442" spans="1:14" ht="15.65" outlineLevel="2">
      <c r="A442" s="5">
        <v>368</v>
      </c>
      <c r="B442" s="6">
        <v>2009</v>
      </c>
      <c r="C442" s="3">
        <v>56036054.130000003</v>
      </c>
      <c r="D442" s="3">
        <v>56036054.130000003</v>
      </c>
      <c r="F442" s="2">
        <v>50</v>
      </c>
      <c r="G442" s="3">
        <v>40.903224000000002</v>
      </c>
      <c r="H442" s="12">
        <v>-0.20000000000000001</v>
      </c>
      <c r="I442" s="3">
        <f t="shared" si="81"/>
        <v>12233938.376267638</v>
      </c>
      <c r="J442" s="3">
        <f t="shared" si="82"/>
        <v>1.2002897871465943</v>
      </c>
      <c r="K442" s="1">
        <f t="shared" si="83"/>
        <v>14684271.289614834</v>
      </c>
      <c r="L442" s="3"/>
      <c r="M442" s="4">
        <f t="shared" si="84"/>
        <v>14684271.289614832</v>
      </c>
      <c r="N442" s="4">
        <f t="shared" si="85"/>
        <v>0</v>
      </c>
    </row>
    <row r="443" spans="1:14" ht="15.65" outlineLevel="2">
      <c r="A443" s="5">
        <v>368</v>
      </c>
      <c r="B443" s="6">
        <v>2008</v>
      </c>
      <c r="C443" s="3">
        <v>70621303.780000001</v>
      </c>
      <c r="D443" s="3">
        <v>70621303.780000001</v>
      </c>
      <c r="F443" s="2">
        <v>50</v>
      </c>
      <c r="G443" s="3">
        <v>40.313519999999997</v>
      </c>
      <c r="H443" s="12">
        <v>-0.20000000000000001</v>
      </c>
      <c r="I443" s="3">
        <f t="shared" si="81"/>
        <v>16417724.31933347</v>
      </c>
      <c r="J443" s="3">
        <f t="shared" si="82"/>
        <v>1.2002897871465943</v>
      </c>
      <c r="K443" s="1">
        <f t="shared" si="83"/>
        <v>19706026.828684233</v>
      </c>
      <c r="L443" s="3"/>
      <c r="M443" s="4">
        <f t="shared" si="84"/>
        <v>19706026.828684233</v>
      </c>
      <c r="N443" s="4">
        <f t="shared" si="85"/>
        <v>0</v>
      </c>
    </row>
    <row r="444" spans="1:14" ht="15.65" outlineLevel="2">
      <c r="A444" s="5">
        <v>368</v>
      </c>
      <c r="B444" s="6">
        <v>2007</v>
      </c>
      <c r="C444" s="3">
        <v>74272025.680000007</v>
      </c>
      <c r="D444" s="3">
        <v>74272025.680000007</v>
      </c>
      <c r="F444" s="2">
        <v>50</v>
      </c>
      <c r="G444" s="3">
        <v>39.741591999999997</v>
      </c>
      <c r="H444" s="12">
        <v>-0.20000000000000001</v>
      </c>
      <c r="I444" s="3">
        <f t="shared" si="81"/>
        <v>18285905.817886021</v>
      </c>
      <c r="J444" s="3">
        <f t="shared" si="82"/>
        <v>1.2002897871465943</v>
      </c>
      <c r="K444" s="1">
        <f t="shared" si="83"/>
        <v>21948386.001933083</v>
      </c>
      <c r="L444" s="3"/>
      <c r="M444" s="4">
        <f t="shared" si="84"/>
        <v>21948386.001933083</v>
      </c>
      <c r="N444" s="4">
        <f t="shared" si="85"/>
        <v>0</v>
      </c>
    </row>
    <row r="445" spans="1:14" ht="15.65" outlineLevel="2">
      <c r="A445" s="5">
        <v>368</v>
      </c>
      <c r="B445" s="6">
        <v>2006</v>
      </c>
      <c r="C445" s="3">
        <v>64559339.439999998</v>
      </c>
      <c r="D445" s="3">
        <v>64559339.439999998</v>
      </c>
      <c r="F445" s="2">
        <v>50</v>
      </c>
      <c r="G445" s="3">
        <v>39.187137999999997</v>
      </c>
      <c r="H445" s="12">
        <v>-0.20000000000000001</v>
      </c>
      <c r="I445" s="3">
        <f t="shared" si="81"/>
        <v>16753709.476221055</v>
      </c>
      <c r="J445" s="3">
        <f t="shared" si="82"/>
        <v>1.2002897871465943</v>
      </c>
      <c r="K445" s="1">
        <f t="shared" si="83"/>
        <v>20109306.38112925</v>
      </c>
      <c r="L445" s="3"/>
      <c r="M445" s="4">
        <f t="shared" si="84"/>
        <v>20109306.38112925</v>
      </c>
      <c r="N445" s="4">
        <f t="shared" si="85"/>
        <v>0</v>
      </c>
    </row>
    <row r="446" spans="1:14" ht="15.65" outlineLevel="2">
      <c r="A446" s="5">
        <v>368</v>
      </c>
      <c r="B446" s="6">
        <v>2005</v>
      </c>
      <c r="C446" s="3">
        <v>61903200.649999999</v>
      </c>
      <c r="D446" s="3">
        <v>61903200.649999999</v>
      </c>
      <c r="F446" s="2">
        <v>50</v>
      </c>
      <c r="G446" s="3">
        <v>38.649794999999997</v>
      </c>
      <c r="H446" s="12">
        <v>-0.20000000000000001</v>
      </c>
      <c r="I446" s="3">
        <f t="shared" si="81"/>
        <v>16862736.420807201</v>
      </c>
      <c r="J446" s="3">
        <f t="shared" si="82"/>
        <v>1.2002897871465943</v>
      </c>
      <c r="K446" s="1">
        <f t="shared" si="83"/>
        <v>20240170.309239797</v>
      </c>
      <c r="L446" s="3"/>
      <c r="M446" s="4">
        <f t="shared" si="84"/>
        <v>20240170.309239797</v>
      </c>
      <c r="N446" s="4">
        <f t="shared" si="85"/>
        <v>0</v>
      </c>
    </row>
    <row r="447" spans="1:14" ht="15.65" outlineLevel="2">
      <c r="A447" s="5">
        <v>368</v>
      </c>
      <c r="B447" s="6">
        <v>2004</v>
      </c>
      <c r="C447" s="3">
        <v>51798340.920000002</v>
      </c>
      <c r="D447" s="3">
        <v>51798340.920000002</v>
      </c>
      <c r="F447" s="2">
        <v>50</v>
      </c>
      <c r="G447" s="3">
        <v>38.129167000000002</v>
      </c>
      <c r="H447" s="12">
        <v>-0.20000000000000001</v>
      </c>
      <c r="I447" s="3">
        <f t="shared" si="81"/>
        <v>14757346.913721269</v>
      </c>
      <c r="J447" s="3">
        <f t="shared" si="82"/>
        <v>1.2002897871465943</v>
      </c>
      <c r="K447" s="1">
        <f t="shared" si="83"/>
        <v>17713092.785918951</v>
      </c>
      <c r="L447" s="3"/>
      <c r="M447" s="4">
        <f t="shared" si="84"/>
        <v>17713092.785918951</v>
      </c>
      <c r="N447" s="4">
        <f t="shared" si="85"/>
        <v>0</v>
      </c>
    </row>
    <row r="448" spans="1:14" ht="15.65" outlineLevel="2">
      <c r="A448" s="5">
        <v>368</v>
      </c>
      <c r="B448" s="6">
        <v>2003</v>
      </c>
      <c r="C448" s="3">
        <v>45235189.460000001</v>
      </c>
      <c r="D448" s="3">
        <v>45235189.460000001</v>
      </c>
      <c r="F448" s="2">
        <v>50</v>
      </c>
      <c r="G448" s="3">
        <v>37.624785000000003</v>
      </c>
      <c r="H448" s="12">
        <v>-0.20000000000000001</v>
      </c>
      <c r="I448" s="3">
        <f t="shared" si="81"/>
        <v>13435084.683197608</v>
      </c>
      <c r="J448" s="3">
        <f t="shared" si="82"/>
        <v>1.2002897871465943</v>
      </c>
      <c r="K448" s="1">
        <f t="shared" si="83"/>
        <v>16125994.934691727</v>
      </c>
      <c r="L448" s="3"/>
      <c r="M448" s="4">
        <f t="shared" si="84"/>
        <v>16125994.934691727</v>
      </c>
      <c r="N448" s="4">
        <f t="shared" si="85"/>
        <v>0</v>
      </c>
    </row>
    <row r="449" spans="1:14" ht="15.65" outlineLevel="2">
      <c r="A449" s="5">
        <v>368</v>
      </c>
      <c r="B449" s="6">
        <v>2002</v>
      </c>
      <c r="C449" s="3">
        <v>41501698.600000001</v>
      </c>
      <c r="D449" s="3">
        <v>41501698.600000001</v>
      </c>
      <c r="F449" s="2">
        <v>50</v>
      </c>
      <c r="G449" s="3">
        <v>37.136108</v>
      </c>
      <c r="H449" s="12">
        <v>-0.20000000000000001</v>
      </c>
      <c r="I449" s="3">
        <f t="shared" si="81"/>
        <v>12812960.846566828</v>
      </c>
      <c r="J449" s="3">
        <f t="shared" si="82"/>
        <v>1.2002897871465943</v>
      </c>
      <c r="K449" s="1">
        <f t="shared" si="83"/>
        <v>15379266.047243344</v>
      </c>
      <c r="L449" s="3"/>
      <c r="M449" s="4">
        <f t="shared" si="84"/>
        <v>15379266.047243344</v>
      </c>
      <c r="N449" s="4">
        <f t="shared" si="85"/>
        <v>0</v>
      </c>
    </row>
    <row r="450" spans="1:14" ht="15.65" outlineLevel="2">
      <c r="A450" s="5">
        <v>368</v>
      </c>
      <c r="B450" s="6">
        <v>2001</v>
      </c>
      <c r="C450" s="3">
        <v>42290753.259999998</v>
      </c>
      <c r="D450" s="3">
        <v>42290753.259999998</v>
      </c>
      <c r="F450" s="2">
        <v>50</v>
      </c>
      <c r="G450" s="3">
        <v>36.662514999999999</v>
      </c>
      <c r="H450" s="12">
        <v>-0.20000000000000001</v>
      </c>
      <c r="I450" s="3">
        <f t="shared" si="81"/>
        <v>13537254.893854823</v>
      </c>
      <c r="J450" s="3">
        <f t="shared" si="82"/>
        <v>1.2002897871465943</v>
      </c>
      <c r="K450" s="1">
        <f t="shared" si="83"/>
        <v>16248628.795094198</v>
      </c>
      <c r="L450" s="3"/>
      <c r="M450" s="4">
        <f t="shared" si="84"/>
        <v>16248628.795094198</v>
      </c>
      <c r="N450" s="4">
        <f t="shared" si="85"/>
        <v>0</v>
      </c>
    </row>
    <row r="451" spans="1:14" ht="15.65" outlineLevel="2">
      <c r="A451" s="5">
        <v>368</v>
      </c>
      <c r="B451" s="6">
        <v>2000</v>
      </c>
      <c r="C451" s="3">
        <v>43154707.109999999</v>
      </c>
      <c r="D451" s="3">
        <v>43154707.109999999</v>
      </c>
      <c r="F451" s="2">
        <v>50</v>
      </c>
      <c r="G451" s="3">
        <v>36.203294999999997</v>
      </c>
      <c r="H451" s="12">
        <v>-0.20000000000000001</v>
      </c>
      <c r="I451" s="3">
        <f t="shared" si="81"/>
        <v>14289426.320593745</v>
      </c>
      <c r="J451" s="3">
        <f t="shared" si="82"/>
        <v>1.2002897871465943</v>
      </c>
      <c r="K451" s="1">
        <f t="shared" si="83"/>
        <v>17151452.476792406</v>
      </c>
      <c r="L451" s="3"/>
      <c r="M451" s="4">
        <f t="shared" si="84"/>
        <v>17151452.476792406</v>
      </c>
      <c r="N451" s="4">
        <f t="shared" si="85"/>
        <v>0</v>
      </c>
    </row>
    <row r="452" spans="1:14" ht="15.65" outlineLevel="2">
      <c r="A452" s="5">
        <v>368</v>
      </c>
      <c r="B452" s="6">
        <v>1999</v>
      </c>
      <c r="C452" s="3">
        <v>50142750.969999999</v>
      </c>
      <c r="D452" s="3">
        <v>50142750.969999999</v>
      </c>
      <c r="F452" s="2">
        <v>50</v>
      </c>
      <c r="G452" s="3">
        <v>35.757657000000002</v>
      </c>
      <c r="H452" s="12">
        <v>-0.20000000000000001</v>
      </c>
      <c r="I452" s="3">
        <f t="shared" si="81"/>
        <v>17139606.198679741</v>
      </c>
      <c r="J452" s="3">
        <f t="shared" si="82"/>
        <v>1.2002897871465943</v>
      </c>
      <c r="K452" s="1">
        <f t="shared" si="83"/>
        <v>20572494.275989756</v>
      </c>
      <c r="L452" s="3"/>
      <c r="M452" s="4">
        <f t="shared" si="84"/>
        <v>20572494.275989756</v>
      </c>
      <c r="N452" s="4">
        <f t="shared" si="85"/>
        <v>0</v>
      </c>
    </row>
    <row r="453" spans="1:14" ht="15.65" outlineLevel="2">
      <c r="A453" s="5">
        <v>368</v>
      </c>
      <c r="B453" s="6">
        <v>1998</v>
      </c>
      <c r="C453" s="3">
        <v>52162797.810000002</v>
      </c>
      <c r="D453" s="3">
        <v>52162797.810000002</v>
      </c>
      <c r="F453" s="2">
        <v>50</v>
      </c>
      <c r="G453" s="3">
        <v>35.324693000000003</v>
      </c>
      <c r="H453" s="12">
        <v>-0.20000000000000001</v>
      </c>
      <c r="I453" s="3">
        <f t="shared" si="81"/>
        <v>18372121.724176262</v>
      </c>
      <c r="J453" s="3">
        <f t="shared" si="82"/>
        <v>1.2002897871465943</v>
      </c>
      <c r="K453" s="1">
        <f t="shared" si="83"/>
        <v>22051870.073742844</v>
      </c>
      <c r="L453" s="3"/>
      <c r="M453" s="4">
        <f t="shared" si="84"/>
        <v>22051870.073742844</v>
      </c>
      <c r="N453" s="4">
        <f t="shared" si="85"/>
        <v>0</v>
      </c>
    </row>
    <row r="454" spans="1:14" ht="15.65" outlineLevel="2">
      <c r="A454" s="5">
        <v>368</v>
      </c>
      <c r="B454" s="6">
        <v>1997</v>
      </c>
      <c r="C454" s="3">
        <v>52564358.100000001</v>
      </c>
      <c r="D454" s="3">
        <v>52564358.100000001</v>
      </c>
      <c r="F454" s="2">
        <v>50</v>
      </c>
      <c r="G454" s="3">
        <v>34.903404999999999</v>
      </c>
      <c r="H454" s="12">
        <v>-0.20000000000000001</v>
      </c>
      <c r="I454" s="3">
        <f t="shared" si="81"/>
        <v>19045027.816096071</v>
      </c>
      <c r="J454" s="3">
        <f t="shared" si="82"/>
        <v>1.2002897871465943</v>
      </c>
      <c r="K454" s="1">
        <f t="shared" si="83"/>
        <v>22859552.38358292</v>
      </c>
      <c r="L454" s="3"/>
      <c r="M454" s="4">
        <f t="shared" si="84"/>
        <v>22859552.38358292</v>
      </c>
      <c r="N454" s="4">
        <f t="shared" si="85"/>
        <v>0</v>
      </c>
    </row>
    <row r="455" spans="1:14" ht="15.65" outlineLevel="2">
      <c r="A455" s="5">
        <v>368</v>
      </c>
      <c r="B455" s="6">
        <v>1996</v>
      </c>
      <c r="C455" s="3">
        <v>34821857.979999997</v>
      </c>
      <c r="D455" s="3">
        <v>34821857.979999997</v>
      </c>
      <c r="F455" s="2">
        <v>50</v>
      </c>
      <c r="G455" s="3">
        <v>34.492708</v>
      </c>
      <c r="H455" s="12">
        <v>-0.20000000000000001</v>
      </c>
      <c r="I455" s="3">
        <f t="shared" si="81"/>
        <v>12959825.272281364</v>
      </c>
      <c r="J455" s="3">
        <f t="shared" si="82"/>
        <v>1.2002897871465943</v>
      </c>
      <c r="K455" s="1">
        <f t="shared" si="83"/>
        <v>15555545.917523651</v>
      </c>
      <c r="L455" s="3"/>
      <c r="M455" s="4">
        <f t="shared" si="84"/>
        <v>15555545.917523651</v>
      </c>
      <c r="N455" s="4">
        <f t="shared" si="85"/>
        <v>0</v>
      </c>
    </row>
    <row r="456" spans="1:14" ht="15.65" outlineLevel="2">
      <c r="A456" s="5">
        <v>368</v>
      </c>
      <c r="B456" s="6">
        <v>1995</v>
      </c>
      <c r="C456" s="3">
        <v>38283745.859999999</v>
      </c>
      <c r="D456" s="3">
        <v>38283745.859999999</v>
      </c>
      <c r="F456" s="2">
        <v>50</v>
      </c>
      <c r="G456" s="3">
        <v>34.091591000000001</v>
      </c>
      <c r="H456" s="12">
        <v>-0.20000000000000001</v>
      </c>
      <c r="I456" s="3">
        <f t="shared" si="81"/>
        <v>14616803.692630483</v>
      </c>
      <c r="J456" s="3">
        <f t="shared" si="82"/>
        <v>1.2002897871465943</v>
      </c>
      <c r="K456" s="1">
        <f t="shared" si="83"/>
        <v>17544400.192990996</v>
      </c>
      <c r="L456" s="3"/>
      <c r="M456" s="4">
        <f t="shared" si="84"/>
        <v>17544400.192990996</v>
      </c>
      <c r="N456" s="4">
        <f t="shared" si="85"/>
        <v>0</v>
      </c>
    </row>
    <row r="457" spans="1:14" ht="15.65" outlineLevel="2">
      <c r="A457" s="5">
        <v>368</v>
      </c>
      <c r="B457" s="6">
        <v>1994</v>
      </c>
      <c r="C457" s="3">
        <v>16992385.170000002</v>
      </c>
      <c r="D457" s="3">
        <v>16992385.170000002</v>
      </c>
      <c r="F457" s="2">
        <v>50</v>
      </c>
      <c r="G457" s="3">
        <v>33.699021999999999</v>
      </c>
      <c r="H457" s="12">
        <v>-0.20000000000000001</v>
      </c>
      <c r="I457" s="3">
        <f t="shared" si="81"/>
        <v>6647819.9237687103</v>
      </c>
      <c r="J457" s="3">
        <f t="shared" si="82"/>
        <v>1.2002897871465943</v>
      </c>
      <c r="K457" s="1">
        <f t="shared" si="83"/>
        <v>7979310.3612892339</v>
      </c>
      <c r="L457" s="3"/>
      <c r="M457" s="4">
        <f t="shared" si="84"/>
        <v>7979310.3612892339</v>
      </c>
      <c r="N457" s="4">
        <f t="shared" si="85"/>
        <v>0</v>
      </c>
    </row>
    <row r="458" spans="1:14" ht="15.65" outlineLevel="2">
      <c r="A458" s="5">
        <v>368</v>
      </c>
      <c r="B458" s="6">
        <v>1993</v>
      </c>
      <c r="C458" s="3">
        <v>74131966.849999994</v>
      </c>
      <c r="D458" s="3">
        <v>74131966.849999994</v>
      </c>
      <c r="F458" s="2">
        <v>50</v>
      </c>
      <c r="G458" s="3">
        <v>33.313879999999997</v>
      </c>
      <c r="H458" s="12">
        <v>-0.20000000000000001</v>
      </c>
      <c r="I458" s="3">
        <f t="shared" si="81"/>
        <v>29687397.472682931</v>
      </c>
      <c r="J458" s="3">
        <f t="shared" si="82"/>
        <v>1.2002897871465943</v>
      </c>
      <c r="K458" s="1">
        <f t="shared" si="83"/>
        <v>35633479.993422933</v>
      </c>
      <c r="L458" s="3"/>
      <c r="M458" s="4">
        <f t="shared" si="84"/>
        <v>35633479.993422933</v>
      </c>
      <c r="N458" s="4">
        <f t="shared" si="85"/>
        <v>0</v>
      </c>
    </row>
    <row r="459" spans="1:14" ht="15.65" outlineLevel="2">
      <c r="A459" s="5">
        <v>368</v>
      </c>
      <c r="B459" s="6">
        <v>1992</v>
      </c>
      <c r="C459" s="3">
        <v>28095786.170000002</v>
      </c>
      <c r="D459" s="3">
        <v>28095786.170000002</v>
      </c>
      <c r="F459" s="2">
        <v>50</v>
      </c>
      <c r="G459" s="3">
        <v>32.934944999999999</v>
      </c>
      <c r="H459" s="12">
        <v>-0.20000000000000001</v>
      </c>
      <c r="I459" s="3">
        <f t="shared" si="81"/>
        <v>11506947.270222945</v>
      </c>
      <c r="J459" s="3">
        <f t="shared" si="82"/>
        <v>1.2002897871465943</v>
      </c>
      <c r="K459" s="1">
        <f t="shared" si="83"/>
        <v>13811671.289682983</v>
      </c>
      <c r="L459" s="3"/>
      <c r="M459" s="4">
        <f t="shared" si="84"/>
        <v>13811671.289682983</v>
      </c>
      <c r="N459" s="4">
        <f t="shared" si="85"/>
        <v>0</v>
      </c>
    </row>
    <row r="460" spans="1:14" ht="15.65" outlineLevel="2">
      <c r="A460" s="5">
        <v>368</v>
      </c>
      <c r="B460" s="6">
        <v>1991</v>
      </c>
      <c r="C460" s="3">
        <v>26147808.579999998</v>
      </c>
      <c r="D460" s="3">
        <v>26147808.579999998</v>
      </c>
      <c r="F460" s="2">
        <v>50</v>
      </c>
      <c r="G460" s="3">
        <v>32.560929000000002</v>
      </c>
      <c r="H460" s="12">
        <v>-0.20000000000000001</v>
      </c>
      <c r="I460" s="3">
        <f t="shared" si="81"/>
        <v>10943843.767704699</v>
      </c>
      <c r="J460" s="3">
        <f t="shared" si="82"/>
        <v>1.2002897871465943</v>
      </c>
      <c r="K460" s="1">
        <f t="shared" si="83"/>
        <v>13135783.906503856</v>
      </c>
      <c r="L460" s="3"/>
      <c r="M460" s="4">
        <f t="shared" si="84"/>
        <v>13135783.906503856</v>
      </c>
      <c r="N460" s="4">
        <f t="shared" si="85"/>
        <v>0</v>
      </c>
    </row>
    <row r="461" spans="1:14" ht="15.65" outlineLevel="2">
      <c r="A461" s="5">
        <v>368</v>
      </c>
      <c r="B461" s="6">
        <v>1990</v>
      </c>
      <c r="C461" s="3">
        <v>27314309.52</v>
      </c>
      <c r="D461" s="3">
        <v>27314309.52</v>
      </c>
      <c r="F461" s="2">
        <v>50</v>
      </c>
      <c r="G461" s="3">
        <v>32.191122999999997</v>
      </c>
      <c r="H461" s="12">
        <v>-0.20000000000000001</v>
      </c>
      <c r="I461" s="3">
        <f t="shared" si="81"/>
        <v>11674492.285958616</v>
      </c>
      <c r="J461" s="3">
        <f t="shared" si="82"/>
        <v>1.2002897871465943</v>
      </c>
      <c r="K461" s="1">
        <f t="shared" si="83"/>
        <v>14012773.860957824</v>
      </c>
      <c r="L461" s="3"/>
      <c r="M461" s="4">
        <f t="shared" si="84"/>
        <v>14012773.860957824</v>
      </c>
      <c r="N461" s="4">
        <f t="shared" si="85"/>
        <v>0</v>
      </c>
    </row>
    <row r="462" spans="1:14" ht="15.65" outlineLevel="2">
      <c r="A462" s="5">
        <v>368</v>
      </c>
      <c r="B462" s="6">
        <v>1989</v>
      </c>
      <c r="C462" s="3">
        <v>20566960.120000001</v>
      </c>
      <c r="D462" s="3">
        <v>20566960.120000001</v>
      </c>
      <c r="F462" s="2">
        <v>50</v>
      </c>
      <c r="G462" s="3">
        <v>31.825465000000001</v>
      </c>
      <c r="H462" s="12">
        <v>-0.20000000000000001</v>
      </c>
      <c r="I462" s="3">
        <f t="shared" si="86" ref="I462:I493">+C462*(1-H462)*(1-G462/F462)</f>
        <v>8971078.4770690594</v>
      </c>
      <c r="J462" s="3">
        <f t="shared" si="87" ref="J462:J493">$J$540</f>
        <v>1.2002897871465943</v>
      </c>
      <c r="K462" s="1">
        <f t="shared" si="88" ref="K462:K493">IF((C462*(1-H462)-I462*J462)&lt;0,C462*(1-H462),I462*J462)</f>
        <v>10767893.875716616</v>
      </c>
      <c r="L462" s="3"/>
      <c r="M462" s="4">
        <f t="shared" si="89" ref="M462:M493">+K462/D462*C462</f>
        <v>10767893.875716617</v>
      </c>
      <c r="N462" s="4">
        <f t="shared" si="90" ref="N462:N493">+E462/C462*K462</f>
        <v>0</v>
      </c>
    </row>
    <row r="463" spans="1:14" ht="15.65" outlineLevel="2">
      <c r="A463" s="5">
        <v>368</v>
      </c>
      <c r="B463" s="6">
        <v>1988</v>
      </c>
      <c r="C463" s="3">
        <v>21467784.399999999</v>
      </c>
      <c r="D463" s="3">
        <v>21467784.399999999</v>
      </c>
      <c r="F463" s="2">
        <v>50</v>
      </c>
      <c r="G463" s="3">
        <v>31.463892000000001</v>
      </c>
      <c r="H463" s="12">
        <v>-0.20000000000000001</v>
      </c>
      <c r="I463" s="3">
        <f t="shared" si="86"/>
        <v>9550300.0838187654</v>
      </c>
      <c r="J463" s="3">
        <f t="shared" si="87"/>
        <v>1.2002897871465943</v>
      </c>
      <c r="K463" s="1">
        <f t="shared" si="88"/>
        <v>11463127.654792927</v>
      </c>
      <c r="L463" s="3"/>
      <c r="M463" s="4">
        <f t="shared" si="89"/>
        <v>11463127.654792927</v>
      </c>
      <c r="N463" s="4">
        <f t="shared" si="90"/>
        <v>0</v>
      </c>
    </row>
    <row r="464" spans="1:14" ht="15.65" outlineLevel="2">
      <c r="A464" s="5">
        <v>368</v>
      </c>
      <c r="B464" s="6">
        <v>1987</v>
      </c>
      <c r="C464" s="3">
        <v>21951531.170000002</v>
      </c>
      <c r="D464" s="3">
        <v>21951531.170000002</v>
      </c>
      <c r="F464" s="2">
        <v>50</v>
      </c>
      <c r="G464" s="3">
        <v>31.106359999999999</v>
      </c>
      <c r="H464" s="12">
        <v>-0.20000000000000001</v>
      </c>
      <c r="I464" s="3">
        <f t="shared" si="86"/>
        <v>9953863.8569942117</v>
      </c>
      <c r="J464" s="3">
        <f t="shared" si="87"/>
        <v>1.2002897871465943</v>
      </c>
      <c r="K464" s="1">
        <f t="shared" si="88"/>
        <v>11947521.13019776</v>
      </c>
      <c r="L464" s="3"/>
      <c r="M464" s="4">
        <f t="shared" si="89"/>
        <v>11947521.13019776</v>
      </c>
      <c r="N464" s="4">
        <f t="shared" si="90"/>
        <v>0</v>
      </c>
    </row>
    <row r="465" spans="1:14" ht="15.65" outlineLevel="2">
      <c r="A465" s="5">
        <v>368</v>
      </c>
      <c r="B465" s="6">
        <v>1986</v>
      </c>
      <c r="C465" s="3">
        <v>33466234.399999999</v>
      </c>
      <c r="D465" s="3">
        <v>33466234.399999999</v>
      </c>
      <c r="F465" s="2">
        <v>50</v>
      </c>
      <c r="G465" s="3">
        <v>30.752814999999998</v>
      </c>
      <c r="H465" s="12">
        <v>-0.20000000000000001</v>
      </c>
      <c r="I465" s="3">
        <f t="shared" si="86"/>
        <v>15459139.314003933</v>
      </c>
      <c r="J465" s="3">
        <f t="shared" si="87"/>
        <v>1.2002897871465943</v>
      </c>
      <c r="K465" s="1">
        <f t="shared" si="88"/>
        <v>18555447.03667533</v>
      </c>
      <c r="L465" s="3"/>
      <c r="M465" s="4">
        <f t="shared" si="89"/>
        <v>18555447.03667533</v>
      </c>
      <c r="N465" s="4">
        <f t="shared" si="90"/>
        <v>0</v>
      </c>
    </row>
    <row r="466" spans="1:14" ht="15.65" outlineLevel="2">
      <c r="A466" s="5">
        <v>368</v>
      </c>
      <c r="B466" s="6">
        <v>1985</v>
      </c>
      <c r="C466" s="3">
        <v>43546840.420000002</v>
      </c>
      <c r="D466" s="3">
        <v>43546840.420000002</v>
      </c>
      <c r="F466" s="2">
        <v>50</v>
      </c>
      <c r="G466" s="3">
        <v>30.403213000000001</v>
      </c>
      <c r="H466" s="12">
        <v>-0.20000000000000001</v>
      </c>
      <c r="I466" s="3">
        <f t="shared" si="86"/>
        <v>20481075.749609534</v>
      </c>
      <c r="J466" s="3">
        <f t="shared" si="87"/>
        <v>1.2002897871465943</v>
      </c>
      <c r="K466" s="1">
        <f t="shared" si="88"/>
        <v>24583226.052032102</v>
      </c>
      <c r="L466" s="3"/>
      <c r="M466" s="4">
        <f t="shared" si="89"/>
        <v>24583226.052032102</v>
      </c>
      <c r="N466" s="4">
        <f t="shared" si="90"/>
        <v>0</v>
      </c>
    </row>
    <row r="467" spans="1:14" ht="15.65" outlineLevel="2">
      <c r="A467" s="5">
        <v>368</v>
      </c>
      <c r="B467" s="6">
        <v>1984</v>
      </c>
      <c r="C467" s="3">
        <v>38267172.119999997</v>
      </c>
      <c r="D467" s="3">
        <v>38267172.119999997</v>
      </c>
      <c r="F467" s="2">
        <v>50</v>
      </c>
      <c r="G467" s="3">
        <v>30.057501999999999</v>
      </c>
      <c r="H467" s="12">
        <v>-0.20000000000000001</v>
      </c>
      <c r="I467" s="3">
        <f t="shared" si="86"/>
        <v>18315432.083250139</v>
      </c>
      <c r="J467" s="3">
        <f t="shared" si="87"/>
        <v>1.2002897871465943</v>
      </c>
      <c r="K467" s="1">
        <f t="shared" si="88"/>
        <v>21983826.076702215</v>
      </c>
      <c r="L467" s="3"/>
      <c r="M467" s="4">
        <f t="shared" si="89"/>
        <v>21983826.076702215</v>
      </c>
      <c r="N467" s="4">
        <f t="shared" si="90"/>
        <v>0</v>
      </c>
    </row>
    <row r="468" spans="1:14" ht="15.65" outlineLevel="2">
      <c r="A468" s="5">
        <v>368</v>
      </c>
      <c r="B468" s="6">
        <v>1983</v>
      </c>
      <c r="C468" s="3">
        <v>31121437.390000001</v>
      </c>
      <c r="D468" s="3">
        <v>31121437.390000001</v>
      </c>
      <c r="F468" s="2">
        <v>50</v>
      </c>
      <c r="G468" s="3">
        <v>29.715623999999998</v>
      </c>
      <c r="H468" s="12">
        <v>-0.20000000000000001</v>
      </c>
      <c r="I468" s="3">
        <f t="shared" si="86"/>
        <v>15150694.50430125</v>
      </c>
      <c r="J468" s="3">
        <f t="shared" si="87"/>
        <v>1.2002897871465943</v>
      </c>
      <c r="K468" s="1">
        <f t="shared" si="88"/>
        <v>18185223.881690823</v>
      </c>
      <c r="L468" s="3"/>
      <c r="M468" s="4">
        <f t="shared" si="89"/>
        <v>18185223.881690823</v>
      </c>
      <c r="N468" s="4">
        <f t="shared" si="90"/>
        <v>0</v>
      </c>
    </row>
    <row r="469" spans="1:14" ht="15.65" outlineLevel="2">
      <c r="A469" s="5">
        <v>368</v>
      </c>
      <c r="B469" s="6">
        <v>1982</v>
      </c>
      <c r="C469" s="3">
        <v>22583870.920000002</v>
      </c>
      <c r="D469" s="3">
        <v>22583870.920000002</v>
      </c>
      <c r="F469" s="2">
        <v>50</v>
      </c>
      <c r="G469" s="3">
        <v>29.377549999999999</v>
      </c>
      <c r="H469" s="12">
        <v>-0.20000000000000001</v>
      </c>
      <c r="I469" s="3">
        <f t="shared" si="86"/>
        <v>11177633.972499698</v>
      </c>
      <c r="J469" s="3">
        <f t="shared" si="87"/>
        <v>1.2002897871465943</v>
      </c>
      <c r="K469" s="1">
        <f t="shared" si="88"/>
        <v>13416399.901654204</v>
      </c>
      <c r="L469" s="3"/>
      <c r="M469" s="4">
        <f t="shared" si="89"/>
        <v>13416399.901654206</v>
      </c>
      <c r="N469" s="4">
        <f t="shared" si="90"/>
        <v>0</v>
      </c>
    </row>
    <row r="470" spans="1:14" ht="15.65" outlineLevel="2">
      <c r="A470" s="5">
        <v>368</v>
      </c>
      <c r="B470" s="6">
        <v>1981</v>
      </c>
      <c r="C470" s="3">
        <v>20803313.170000002</v>
      </c>
      <c r="D470" s="3">
        <v>20803313.170000002</v>
      </c>
      <c r="F470" s="2">
        <v>50</v>
      </c>
      <c r="G470" s="3">
        <v>29.043223999999999</v>
      </c>
      <c r="H470" s="12">
        <v>-0.20000000000000001</v>
      </c>
      <c r="I470" s="3">
        <f t="shared" si="86"/>
        <v>10463288.979876958</v>
      </c>
      <c r="J470" s="3">
        <f t="shared" si="87"/>
        <v>1.2002897871465943</v>
      </c>
      <c r="K470" s="1">
        <f t="shared" si="88"/>
        <v>12558978.90250982</v>
      </c>
      <c r="L470" s="3"/>
      <c r="M470" s="4">
        <f t="shared" si="89"/>
        <v>12558978.90250982</v>
      </c>
      <c r="N470" s="4">
        <f t="shared" si="90"/>
        <v>0</v>
      </c>
    </row>
    <row r="471" spans="1:14" ht="15.65" outlineLevel="2">
      <c r="A471" s="5">
        <v>368</v>
      </c>
      <c r="B471" s="6">
        <v>1980</v>
      </c>
      <c r="C471" s="3">
        <v>15891656.15</v>
      </c>
      <c r="D471" s="3">
        <v>15891656.15</v>
      </c>
      <c r="F471" s="2">
        <v>50</v>
      </c>
      <c r="G471" s="3">
        <v>28.712596000000001</v>
      </c>
      <c r="H471" s="12">
        <v>-0.20000000000000001</v>
      </c>
      <c r="I471" s="3">
        <f t="shared" si="86"/>
        <v>8119010.5126592293</v>
      </c>
      <c r="J471" s="3">
        <f t="shared" si="87"/>
        <v>1.2002897871465943</v>
      </c>
      <c r="K471" s="1">
        <f t="shared" si="88"/>
        <v>9745165.4000807069</v>
      </c>
      <c r="L471" s="3"/>
      <c r="M471" s="4">
        <f t="shared" si="89"/>
        <v>9745165.4000807069</v>
      </c>
      <c r="N471" s="4">
        <f t="shared" si="90"/>
        <v>0</v>
      </c>
    </row>
    <row r="472" spans="1:14" ht="15.65" outlineLevel="2">
      <c r="A472" s="5">
        <v>368</v>
      </c>
      <c r="B472" s="6">
        <v>1979</v>
      </c>
      <c r="C472" s="3">
        <v>13926825.69</v>
      </c>
      <c r="D472" s="3">
        <v>13926825.69</v>
      </c>
      <c r="F472" s="2">
        <v>50</v>
      </c>
      <c r="G472" s="3">
        <v>28.385626999999999</v>
      </c>
      <c r="H472" s="12">
        <v>-0.20000000000000001</v>
      </c>
      <c r="I472" s="3">
        <f t="shared" si="86"/>
        <v>7224470.524071415</v>
      </c>
      <c r="J472" s="3">
        <f t="shared" si="87"/>
        <v>1.2002897871465943</v>
      </c>
      <c r="K472" s="1">
        <f t="shared" si="88"/>
        <v>8671458.1875845231</v>
      </c>
      <c r="L472" s="3"/>
      <c r="M472" s="4">
        <f t="shared" si="89"/>
        <v>8671458.1875845231</v>
      </c>
      <c r="N472" s="4">
        <f t="shared" si="90"/>
        <v>0</v>
      </c>
    </row>
    <row r="473" spans="1:14" ht="15.65" outlineLevel="2">
      <c r="A473" s="5">
        <v>368</v>
      </c>
      <c r="B473" s="6">
        <v>1978</v>
      </c>
      <c r="C473" s="3">
        <v>11922484.539999999</v>
      </c>
      <c r="D473" s="3">
        <v>11922484.539999999</v>
      </c>
      <c r="F473" s="2">
        <v>50</v>
      </c>
      <c r="G473" s="3">
        <v>28.062275</v>
      </c>
      <c r="H473" s="12">
        <v>-0.20000000000000001</v>
      </c>
      <c r="I473" s="3">
        <f t="shared" si="86"/>
        <v>6277252.4917265158</v>
      </c>
      <c r="J473" s="3">
        <f t="shared" si="87"/>
        <v>1.2002897871465943</v>
      </c>
      <c r="K473" s="1">
        <f t="shared" si="88"/>
        <v>7534522.0571598485</v>
      </c>
      <c r="L473" s="3"/>
      <c r="M473" s="4">
        <f t="shared" si="89"/>
        <v>7534522.0571598485</v>
      </c>
      <c r="N473" s="4">
        <f t="shared" si="90"/>
        <v>0</v>
      </c>
    </row>
    <row r="474" spans="1:14" ht="15.65" outlineLevel="2">
      <c r="A474" s="5">
        <v>368</v>
      </c>
      <c r="B474" s="6">
        <v>1977</v>
      </c>
      <c r="C474" s="3">
        <v>8342617.6699999999</v>
      </c>
      <c r="D474" s="3">
        <v>8342617.6699999999</v>
      </c>
      <c r="F474" s="2">
        <v>50</v>
      </c>
      <c r="G474" s="3">
        <v>27.742488000000002</v>
      </c>
      <c r="H474" s="12">
        <v>-0.20000000000000001</v>
      </c>
      <c r="I474" s="3">
        <f t="shared" si="86"/>
        <v>4456461.9096344877</v>
      </c>
      <c r="J474" s="3">
        <f t="shared" si="87"/>
        <v>1.2002897871465943</v>
      </c>
      <c r="K474" s="1">
        <f t="shared" si="88"/>
        <v>5349045.716942084</v>
      </c>
      <c r="L474" s="3"/>
      <c r="M474" s="4">
        <f t="shared" si="89"/>
        <v>5349045.716942084</v>
      </c>
      <c r="N474" s="4">
        <f t="shared" si="90"/>
        <v>0</v>
      </c>
    </row>
    <row r="475" spans="1:14" ht="15.65" outlineLevel="2">
      <c r="A475" s="5">
        <v>368</v>
      </c>
      <c r="B475" s="6">
        <v>1976</v>
      </c>
      <c r="C475" s="3">
        <v>5524608.7999999998</v>
      </c>
      <c r="D475" s="3">
        <v>5524608.7999999998</v>
      </c>
      <c r="F475" s="2">
        <v>50</v>
      </c>
      <c r="G475" s="3">
        <v>27.426227999999998</v>
      </c>
      <c r="H475" s="12">
        <v>-0.20000000000000001</v>
      </c>
      <c r="I475" s="3">
        <f t="shared" si="86"/>
        <v>2993070.2265694467</v>
      </c>
      <c r="J475" s="3">
        <f t="shared" si="87"/>
        <v>1.2002897871465943</v>
      </c>
      <c r="K475" s="1">
        <f t="shared" si="88"/>
        <v>3592551.6251638499</v>
      </c>
      <c r="L475" s="3"/>
      <c r="M475" s="4">
        <f t="shared" si="89"/>
        <v>3592551.6251638499</v>
      </c>
      <c r="N475" s="4">
        <f t="shared" si="90"/>
        <v>0</v>
      </c>
    </row>
    <row r="476" spans="1:14" ht="15.65" outlineLevel="2">
      <c r="A476" s="5">
        <v>368</v>
      </c>
      <c r="B476" s="6">
        <v>1975</v>
      </c>
      <c r="C476" s="3">
        <v>4888407.5599999996</v>
      </c>
      <c r="D476" s="3">
        <v>4888407.5599999996</v>
      </c>
      <c r="F476" s="2">
        <v>50</v>
      </c>
      <c r="G476" s="3">
        <v>27.113454000000001</v>
      </c>
      <c r="H476" s="12">
        <v>-0.20000000000000001</v>
      </c>
      <c r="I476" s="3">
        <f t="shared" si="86"/>
        <v>2685090.3477285057</v>
      </c>
      <c r="J476" s="3">
        <f t="shared" si="87"/>
        <v>1.2002897871465943</v>
      </c>
      <c r="K476" s="1">
        <f t="shared" si="88"/>
        <v>3222886.5219444232</v>
      </c>
      <c r="L476" s="3"/>
      <c r="M476" s="4">
        <f t="shared" si="89"/>
        <v>3222886.5219444232</v>
      </c>
      <c r="N476" s="4">
        <f t="shared" si="90"/>
        <v>0</v>
      </c>
    </row>
    <row r="477" spans="1:14" ht="15.65" outlineLevel="2">
      <c r="A477" s="5">
        <v>368</v>
      </c>
      <c r="B477" s="6">
        <v>1974</v>
      </c>
      <c r="C477" s="3">
        <v>8863061.3000000007</v>
      </c>
      <c r="D477" s="3">
        <v>8863061.3000000007</v>
      </c>
      <c r="F477" s="2">
        <v>50</v>
      </c>
      <c r="G477" s="3">
        <v>26.804124000000002</v>
      </c>
      <c r="H477" s="12">
        <v>-0.20000000000000001</v>
      </c>
      <c r="I477" s="3">
        <f t="shared" si="86"/>
        <v>4934075.3014847711</v>
      </c>
      <c r="J477" s="3">
        <f t="shared" si="87"/>
        <v>1.2002897871465943</v>
      </c>
      <c r="K477" s="1">
        <f t="shared" si="88"/>
        <v>5922320.1933844239</v>
      </c>
      <c r="L477" s="3"/>
      <c r="M477" s="4">
        <f t="shared" si="89"/>
        <v>5922320.1933844239</v>
      </c>
      <c r="N477" s="4">
        <f t="shared" si="90"/>
        <v>0</v>
      </c>
    </row>
    <row r="478" spans="1:14" ht="15.65" outlineLevel="2">
      <c r="A478" s="5">
        <v>368</v>
      </c>
      <c r="B478" s="6">
        <v>1973</v>
      </c>
      <c r="C478" s="3">
        <v>8832407.6199999992</v>
      </c>
      <c r="D478" s="3">
        <v>8832407.6199999992</v>
      </c>
      <c r="F478" s="2">
        <v>50</v>
      </c>
      <c r="G478" s="3">
        <v>26.498194999999999</v>
      </c>
      <c r="H478" s="12">
        <v>-0.20000000000000001</v>
      </c>
      <c r="I478" s="3">
        <f t="shared" si="86"/>
        <v>4981860.5175780989</v>
      </c>
      <c r="J478" s="3">
        <f t="shared" si="87"/>
        <v>1.2002897871465943</v>
      </c>
      <c r="K478" s="1">
        <f t="shared" si="88"/>
        <v>5979676.3002378382</v>
      </c>
      <c r="L478" s="3"/>
      <c r="M478" s="4">
        <f t="shared" si="89"/>
        <v>5979676.3002378382</v>
      </c>
      <c r="N478" s="4">
        <f t="shared" si="90"/>
        <v>0</v>
      </c>
    </row>
    <row r="479" spans="1:14" ht="15.65" outlineLevel="2">
      <c r="A479" s="5">
        <v>368</v>
      </c>
      <c r="B479" s="6">
        <v>1972</v>
      </c>
      <c r="C479" s="3">
        <v>7066208.96</v>
      </c>
      <c r="D479" s="3">
        <v>7066208.96</v>
      </c>
      <c r="F479" s="2">
        <v>50</v>
      </c>
      <c r="G479" s="3">
        <v>26.195632</v>
      </c>
      <c r="H479" s="12">
        <v>-0.20000000000000001</v>
      </c>
      <c r="I479" s="3">
        <f t="shared" si="86"/>
        <v>4036959.3227696945</v>
      </c>
      <c r="J479" s="3">
        <f t="shared" si="87"/>
        <v>1.2002897871465943</v>
      </c>
      <c r="K479" s="1">
        <f t="shared" si="88"/>
        <v>4845521.0462466963</v>
      </c>
      <c r="L479" s="3"/>
      <c r="M479" s="4">
        <f t="shared" si="89"/>
        <v>4845521.0462466963</v>
      </c>
      <c r="N479" s="4">
        <f t="shared" si="90"/>
        <v>0</v>
      </c>
    </row>
    <row r="480" spans="1:14" ht="15.65" outlineLevel="2">
      <c r="A480" s="5">
        <v>368</v>
      </c>
      <c r="B480" s="6">
        <v>1971</v>
      </c>
      <c r="C480" s="3">
        <v>5464864.7199999997</v>
      </c>
      <c r="D480" s="3">
        <v>5464864.7199999997</v>
      </c>
      <c r="F480" s="2">
        <v>50</v>
      </c>
      <c r="G480" s="3">
        <v>25.896398999999999</v>
      </c>
      <c r="H480" s="12">
        <v>-0.20000000000000001</v>
      </c>
      <c r="I480" s="3">
        <f t="shared" si="86"/>
        <v>3161350.0495165614</v>
      </c>
      <c r="J480" s="3">
        <f t="shared" si="87"/>
        <v>1.2002897871465943</v>
      </c>
      <c r="K480" s="1">
        <f t="shared" si="88"/>
        <v>3794536.178030109</v>
      </c>
      <c r="L480" s="3"/>
      <c r="M480" s="4">
        <f t="shared" si="89"/>
        <v>3794536.1780301095</v>
      </c>
      <c r="N480" s="4">
        <f t="shared" si="90"/>
        <v>0</v>
      </c>
    </row>
    <row r="481" spans="1:14" ht="15.65" outlineLevel="2">
      <c r="A481" s="5">
        <v>368</v>
      </c>
      <c r="B481" s="6">
        <v>1970</v>
      </c>
      <c r="C481" s="3">
        <v>6996467.7199999997</v>
      </c>
      <c r="D481" s="3">
        <v>6996467.7199999997</v>
      </c>
      <c r="F481" s="2">
        <v>50</v>
      </c>
      <c r="G481" s="3">
        <v>25.600455</v>
      </c>
      <c r="H481" s="12">
        <v>-0.20000000000000001</v>
      </c>
      <c r="I481" s="3">
        <f t="shared" si="86"/>
        <v>4097055.0954044969</v>
      </c>
      <c r="J481" s="3">
        <f t="shared" si="87"/>
        <v>1.2002897871465943</v>
      </c>
      <c r="K481" s="1">
        <f t="shared" si="88"/>
        <v>4917653.3883909332</v>
      </c>
      <c r="L481" s="3"/>
      <c r="M481" s="4">
        <f t="shared" si="89"/>
        <v>4917653.3883909332</v>
      </c>
      <c r="N481" s="4">
        <f t="shared" si="90"/>
        <v>0</v>
      </c>
    </row>
    <row r="482" spans="1:14" ht="15.65" outlineLevel="2">
      <c r="A482" s="5">
        <v>368</v>
      </c>
      <c r="B482" s="6">
        <v>1969</v>
      </c>
      <c r="C482" s="3">
        <v>5846257.3499999996</v>
      </c>
      <c r="D482" s="3">
        <v>5846257.3499999996</v>
      </c>
      <c r="F482" s="2">
        <v>50</v>
      </c>
      <c r="G482" s="3">
        <v>25.307760999999999</v>
      </c>
      <c r="H482" s="12">
        <v>-0.20000000000000001</v>
      </c>
      <c r="I482" s="3">
        <f t="shared" si="86"/>
        <v>3464572.4098009593</v>
      </c>
      <c r="J482" s="3">
        <f t="shared" si="87"/>
        <v>1.2002897871465943</v>
      </c>
      <c r="K482" s="1">
        <f t="shared" si="88"/>
        <v>4158490.8803139566</v>
      </c>
      <c r="L482" s="3"/>
      <c r="M482" s="4">
        <f t="shared" si="89"/>
        <v>4158490.8803139566</v>
      </c>
      <c r="N482" s="4">
        <f t="shared" si="90"/>
        <v>0</v>
      </c>
    </row>
    <row r="483" spans="1:14" ht="15.65" outlineLevel="2">
      <c r="A483" s="5">
        <v>368</v>
      </c>
      <c r="B483" s="6">
        <v>1968</v>
      </c>
      <c r="C483" s="3">
        <v>4066753.5699999998</v>
      </c>
      <c r="D483" s="3">
        <v>4066753.5699999998</v>
      </c>
      <c r="F483" s="2">
        <v>50</v>
      </c>
      <c r="G483" s="3">
        <v>25.018284999999999</v>
      </c>
      <c r="H483" s="12">
        <v>-0.20000000000000001</v>
      </c>
      <c r="I483" s="3">
        <f t="shared" si="86"/>
        <v>2438267.4878633409</v>
      </c>
      <c r="J483" s="3">
        <f t="shared" si="87"/>
        <v>1.2002897871465943</v>
      </c>
      <c r="K483" s="1">
        <f t="shared" si="88"/>
        <v>2926627.5640139505</v>
      </c>
      <c r="L483" s="3"/>
      <c r="M483" s="4">
        <f t="shared" si="89"/>
        <v>2926627.5640139505</v>
      </c>
      <c r="N483" s="4">
        <f t="shared" si="90"/>
        <v>0</v>
      </c>
    </row>
    <row r="484" spans="1:14" ht="15.65" outlineLevel="2">
      <c r="A484" s="5">
        <v>368</v>
      </c>
      <c r="B484" s="6">
        <v>1967</v>
      </c>
      <c r="C484" s="3">
        <v>4174271.2599999998</v>
      </c>
      <c r="D484" s="3">
        <v>4174271.2599999998</v>
      </c>
      <c r="F484" s="2">
        <v>50</v>
      </c>
      <c r="G484" s="3">
        <v>24.731985000000002</v>
      </c>
      <c r="H484" s="12">
        <v>-0.20000000000000001</v>
      </c>
      <c r="I484" s="3">
        <f t="shared" si="86"/>
        <v>2531413.171481973</v>
      </c>
      <c r="J484" s="3">
        <f t="shared" si="87"/>
        <v>1.2002897871465943</v>
      </c>
      <c r="K484" s="1">
        <f t="shared" si="88"/>
        <v>3038429.3767781826</v>
      </c>
      <c r="L484" s="3"/>
      <c r="M484" s="4">
        <f t="shared" si="89"/>
        <v>3038429.3767781826</v>
      </c>
      <c r="N484" s="4">
        <f t="shared" si="90"/>
        <v>0</v>
      </c>
    </row>
    <row r="485" spans="1:14" ht="15.65" outlineLevel="2">
      <c r="A485" s="5">
        <v>368</v>
      </c>
      <c r="B485" s="6">
        <v>1966</v>
      </c>
      <c r="C485" s="3">
        <v>3094897.3999999999</v>
      </c>
      <c r="D485" s="3">
        <v>3094897.3999999999</v>
      </c>
      <c r="F485" s="2">
        <v>50</v>
      </c>
      <c r="G485" s="3">
        <v>24.448844000000001</v>
      </c>
      <c r="H485" s="12">
        <v>-0.20000000000000001</v>
      </c>
      <c r="I485" s="3">
        <f t="shared" si="86"/>
        <v>1897876.9505134653</v>
      </c>
      <c r="J485" s="3">
        <f t="shared" si="87"/>
        <v>1.2002897871465943</v>
      </c>
      <c r="K485" s="1">
        <f t="shared" si="88"/>
        <v>2278002.3209622349</v>
      </c>
      <c r="L485" s="3"/>
      <c r="M485" s="4">
        <f t="shared" si="89"/>
        <v>2278002.3209622349</v>
      </c>
      <c r="N485" s="4">
        <f t="shared" si="90"/>
        <v>0</v>
      </c>
    </row>
    <row r="486" spans="1:14" ht="15.65" outlineLevel="2">
      <c r="A486" s="5">
        <v>368</v>
      </c>
      <c r="B486" s="6">
        <v>1965</v>
      </c>
      <c r="C486" s="3">
        <v>3172816.8500000001</v>
      </c>
      <c r="D486" s="3">
        <v>3172816.8500000001</v>
      </c>
      <c r="F486" s="2">
        <v>50</v>
      </c>
      <c r="G486" s="3">
        <v>24.168814000000001</v>
      </c>
      <c r="H486" s="12">
        <v>-0.20000000000000001</v>
      </c>
      <c r="I486" s="3">
        <f t="shared" si="86"/>
        <v>1966982.9327108178</v>
      </c>
      <c r="J486" s="3">
        <f t="shared" si="87"/>
        <v>1.2002897871465943</v>
      </c>
      <c r="K486" s="1">
        <f t="shared" si="88"/>
        <v>2360949.5256244512</v>
      </c>
      <c r="L486" s="3"/>
      <c r="M486" s="4">
        <f t="shared" si="89"/>
        <v>2360949.5256244512</v>
      </c>
      <c r="N486" s="4">
        <f t="shared" si="90"/>
        <v>0</v>
      </c>
    </row>
    <row r="487" spans="1:14" ht="15.65" outlineLevel="2">
      <c r="A487" s="5">
        <v>368</v>
      </c>
      <c r="B487" s="6">
        <v>1964</v>
      </c>
      <c r="C487" s="3">
        <v>2523383.6099999999</v>
      </c>
      <c r="D487" s="3">
        <v>2523383.6099999999</v>
      </c>
      <c r="F487" s="2">
        <v>50</v>
      </c>
      <c r="G487" s="3">
        <v>23.891863000000001</v>
      </c>
      <c r="H487" s="12">
        <v>-0.20000000000000001</v>
      </c>
      <c r="I487" s="3">
        <f t="shared" si="86"/>
        <v>1581140.2798424296</v>
      </c>
      <c r="J487" s="3">
        <f t="shared" si="87"/>
        <v>1.2002897871465943</v>
      </c>
      <c r="K487" s="1">
        <f t="shared" si="88"/>
        <v>1897826.5299409763</v>
      </c>
      <c r="L487" s="3"/>
      <c r="M487" s="4">
        <f t="shared" si="89"/>
        <v>1897826.5299409763</v>
      </c>
      <c r="N487" s="4">
        <f t="shared" si="90"/>
        <v>0</v>
      </c>
    </row>
    <row r="488" spans="1:14" ht="15.65" outlineLevel="2">
      <c r="A488" s="5">
        <v>368</v>
      </c>
      <c r="B488" s="6">
        <v>1963</v>
      </c>
      <c r="C488" s="3">
        <v>2233733.4199999999</v>
      </c>
      <c r="D488" s="3">
        <v>2233733.4199999999</v>
      </c>
      <c r="F488" s="2">
        <v>50</v>
      </c>
      <c r="G488" s="3">
        <v>23.617968000000001</v>
      </c>
      <c r="H488" s="12">
        <v>-0.20000000000000001</v>
      </c>
      <c r="I488" s="3">
        <f t="shared" si="86"/>
        <v>1414330.2375818265</v>
      </c>
      <c r="J488" s="3">
        <f t="shared" si="87"/>
        <v>1.2002897871465943</v>
      </c>
      <c r="K488" s="1">
        <f t="shared" si="88"/>
        <v>1697606.1398220826</v>
      </c>
      <c r="L488" s="3"/>
      <c r="M488" s="4">
        <f t="shared" si="89"/>
        <v>1697606.1398220826</v>
      </c>
      <c r="N488" s="4">
        <f t="shared" si="90"/>
        <v>0</v>
      </c>
    </row>
    <row r="489" spans="1:14" ht="15.65" outlineLevel="2">
      <c r="A489" s="5">
        <v>368</v>
      </c>
      <c r="B489" s="6">
        <v>1962</v>
      </c>
      <c r="C489" s="3">
        <v>1697433.4299999999</v>
      </c>
      <c r="D489" s="3">
        <v>1697433.4299999999</v>
      </c>
      <c r="F489" s="2">
        <v>50</v>
      </c>
      <c r="G489" s="3">
        <v>23.347096000000001</v>
      </c>
      <c r="H489" s="12">
        <v>-0.20000000000000001</v>
      </c>
      <c r="I489" s="3">
        <f t="shared" si="86"/>
        <v>1085796.7261483371</v>
      </c>
      <c r="J489" s="3">
        <f t="shared" si="87"/>
        <v>1.2002897871465943</v>
      </c>
      <c r="K489" s="1">
        <f t="shared" si="88"/>
        <v>1303270.7213130565</v>
      </c>
      <c r="L489" s="3"/>
      <c r="M489" s="4">
        <f t="shared" si="89"/>
        <v>1303270.7213130565</v>
      </c>
      <c r="N489" s="4">
        <f t="shared" si="90"/>
        <v>0</v>
      </c>
    </row>
    <row r="490" spans="1:14" ht="15.65" outlineLevel="2">
      <c r="A490" s="5">
        <v>368</v>
      </c>
      <c r="B490" s="6">
        <v>1961</v>
      </c>
      <c r="C490" s="3">
        <v>1872610.99</v>
      </c>
      <c r="D490" s="3">
        <v>1872610.99</v>
      </c>
      <c r="F490" s="2">
        <v>50</v>
      </c>
      <c r="G490" s="3">
        <v>23.079222000000001</v>
      </c>
      <c r="H490" s="12">
        <v>-0.20000000000000001</v>
      </c>
      <c r="I490" s="3">
        <f t="shared" si="86"/>
        <v>1209891.4738116053</v>
      </c>
      <c r="J490" s="3">
        <f t="shared" si="87"/>
        <v>1.2002897871465943</v>
      </c>
      <c r="K490" s="1">
        <f t="shared" si="88"/>
        <v>1452220.3795718108</v>
      </c>
      <c r="L490" s="3"/>
      <c r="M490" s="4">
        <f t="shared" si="89"/>
        <v>1452220.3795718108</v>
      </c>
      <c r="N490" s="4">
        <f t="shared" si="90"/>
        <v>0</v>
      </c>
    </row>
    <row r="491" spans="1:14" ht="15.65" outlineLevel="2">
      <c r="A491" s="5">
        <v>368</v>
      </c>
      <c r="B491" s="6">
        <v>1960</v>
      </c>
      <c r="C491" s="3">
        <v>2152682.27</v>
      </c>
      <c r="D491" s="3">
        <v>2152682.27</v>
      </c>
      <c r="F491" s="2">
        <v>50</v>
      </c>
      <c r="G491" s="3">
        <v>22.814302000000001</v>
      </c>
      <c r="H491" s="12">
        <v>-0.20000000000000001</v>
      </c>
      <c r="I491" s="3">
        <f t="shared" si="86"/>
        <v>1404532.0819721872</v>
      </c>
      <c r="J491" s="3">
        <f t="shared" si="87"/>
        <v>1.2002897871465943</v>
      </c>
      <c r="K491" s="1">
        <f t="shared" si="88"/>
        <v>1685845.5137109594</v>
      </c>
      <c r="L491" s="3"/>
      <c r="M491" s="4">
        <f t="shared" si="89"/>
        <v>1685845.5137109594</v>
      </c>
      <c r="N491" s="4">
        <f t="shared" si="90"/>
        <v>0</v>
      </c>
    </row>
    <row r="492" spans="1:14" ht="15.65" outlineLevel="2">
      <c r="A492" s="5">
        <v>368</v>
      </c>
      <c r="B492" s="6">
        <v>1959</v>
      </c>
      <c r="C492" s="3">
        <v>2355080.2999999998</v>
      </c>
      <c r="D492" s="3">
        <v>2355080.2999999998</v>
      </c>
      <c r="F492" s="2">
        <v>50</v>
      </c>
      <c r="G492" s="3">
        <v>22.552329</v>
      </c>
      <c r="H492" s="12">
        <v>-0.20000000000000001</v>
      </c>
      <c r="I492" s="3">
        <f t="shared" si="86"/>
        <v>1551395.2620715508</v>
      </c>
      <c r="J492" s="3">
        <f t="shared" si="87"/>
        <v>1.2002897871465943</v>
      </c>
      <c r="K492" s="1">
        <f t="shared" si="88"/>
        <v>1862123.8888920967</v>
      </c>
      <c r="L492" s="3"/>
      <c r="M492" s="4">
        <f t="shared" si="89"/>
        <v>1862123.8888920967</v>
      </c>
      <c r="N492" s="4">
        <f t="shared" si="90"/>
        <v>0</v>
      </c>
    </row>
    <row r="493" spans="1:14" ht="15.65" outlineLevel="2">
      <c r="A493" s="5">
        <v>368</v>
      </c>
      <c r="B493" s="6">
        <v>1958</v>
      </c>
      <c r="C493" s="3">
        <v>2077041.9399999999</v>
      </c>
      <c r="D493" s="3">
        <v>2077041.9399999999</v>
      </c>
      <c r="F493" s="2">
        <v>50</v>
      </c>
      <c r="G493" s="3">
        <v>22.293268999999999</v>
      </c>
      <c r="H493" s="12">
        <v>-0.20000000000000001</v>
      </c>
      <c r="I493" s="3">
        <f t="shared" si="86"/>
        <v>1381153.0153751553</v>
      </c>
      <c r="J493" s="3">
        <f t="shared" si="87"/>
        <v>1.2002897871465943</v>
      </c>
      <c r="K493" s="1">
        <f t="shared" si="88"/>
        <v>1657783.8588415219</v>
      </c>
      <c r="L493" s="3"/>
      <c r="M493" s="4">
        <f t="shared" si="89"/>
        <v>1657783.8588415219</v>
      </c>
      <c r="N493" s="4">
        <f t="shared" si="90"/>
        <v>0</v>
      </c>
    </row>
    <row r="494" spans="1:14" ht="15.65" outlineLevel="2">
      <c r="A494" s="5">
        <v>368</v>
      </c>
      <c r="B494" s="6">
        <v>1957</v>
      </c>
      <c r="C494" s="3">
        <v>2404158.2999999998</v>
      </c>
      <c r="D494" s="3">
        <v>2404158.2999999998</v>
      </c>
      <c r="F494" s="2">
        <v>50</v>
      </c>
      <c r="G494" s="3">
        <v>22.037091</v>
      </c>
      <c r="H494" s="12">
        <v>-0.20000000000000001</v>
      </c>
      <c r="I494" s="3">
        <f t="shared" si="91" ref="I494:I525">+C494*(1-H494)*(1-G494/F494)</f>
        <v>1613454.2343478727</v>
      </c>
      <c r="J494" s="3">
        <f t="shared" si="92" ref="J494:J525">$J$540</f>
        <v>1.2002897871465943</v>
      </c>
      <c r="K494" s="1">
        <f t="shared" si="93" ref="K494:K525">IF((C494*(1-H494)-I494*J494)&lt;0,C494*(1-H494),I494*J494)</f>
        <v>1936612.6395161795</v>
      </c>
      <c r="L494" s="3"/>
      <c r="M494" s="4">
        <f t="shared" si="94" ref="M494:M525">+K494/D494*C494</f>
        <v>1936612.6395161795</v>
      </c>
      <c r="N494" s="4">
        <f t="shared" si="95" ref="N494:N525">+E494/C494*K494</f>
        <v>0</v>
      </c>
    </row>
    <row r="495" spans="1:14" ht="15.65" outlineLevel="2">
      <c r="A495" s="5">
        <v>368</v>
      </c>
      <c r="B495" s="6">
        <v>1956</v>
      </c>
      <c r="C495" s="3">
        <v>1801390.52</v>
      </c>
      <c r="D495" s="3">
        <v>1801390.52</v>
      </c>
      <c r="F495" s="2">
        <v>50</v>
      </c>
      <c r="G495" s="3">
        <v>21.783778999999999</v>
      </c>
      <c r="H495" s="12">
        <v>-0.20000000000000001</v>
      </c>
      <c r="I495" s="3">
        <f t="shared" si="91"/>
        <v>1219882.3924709978</v>
      </c>
      <c r="J495" s="3">
        <f t="shared" si="92"/>
        <v>1.2002897871465943</v>
      </c>
      <c r="K495" s="1">
        <f t="shared" si="93"/>
        <v>1464212.3772028922</v>
      </c>
      <c r="L495" s="3"/>
      <c r="M495" s="4">
        <f t="shared" si="94"/>
        <v>1464212.3772028922</v>
      </c>
      <c r="N495" s="4">
        <f t="shared" si="95"/>
        <v>0</v>
      </c>
    </row>
    <row r="496" spans="1:14" ht="15.65" outlineLevel="2">
      <c r="A496" s="5">
        <v>368</v>
      </c>
      <c r="B496" s="6">
        <v>1955</v>
      </c>
      <c r="C496" s="3">
        <v>2223404.8999999999</v>
      </c>
      <c r="D496" s="3">
        <v>2223404.8999999999</v>
      </c>
      <c r="F496" s="2">
        <v>50</v>
      </c>
      <c r="G496" s="3">
        <v>21.533311000000001</v>
      </c>
      <c r="H496" s="12">
        <v>-0.20000000000000001</v>
      </c>
      <c r="I496" s="3">
        <f t="shared" si="91"/>
        <v>1519031.4194250263</v>
      </c>
      <c r="J496" s="3">
        <f t="shared" si="92"/>
        <v>1.2002897871465943</v>
      </c>
      <c r="K496" s="1">
        <f t="shared" si="93"/>
        <v>1823277.8990906538</v>
      </c>
      <c r="L496" s="3"/>
      <c r="M496" s="4">
        <f t="shared" si="94"/>
        <v>1823277.8990906538</v>
      </c>
      <c r="N496" s="4">
        <f t="shared" si="95"/>
        <v>0</v>
      </c>
    </row>
    <row r="497" spans="1:14" ht="15.65" outlineLevel="2">
      <c r="A497" s="5">
        <v>368</v>
      </c>
      <c r="B497" s="6">
        <v>1954</v>
      </c>
      <c r="C497" s="3">
        <v>1810454.24</v>
      </c>
      <c r="D497" s="3">
        <v>1810454.24</v>
      </c>
      <c r="F497" s="2">
        <v>50</v>
      </c>
      <c r="G497" s="3">
        <v>21.285658999999999</v>
      </c>
      <c r="H497" s="12">
        <v>-0.20000000000000001</v>
      </c>
      <c r="I497" s="3">
        <f t="shared" si="91"/>
        <v>1247664.0098941401</v>
      </c>
      <c r="J497" s="3">
        <f t="shared" si="92"/>
        <v>1.2002897871465943</v>
      </c>
      <c r="K497" s="1">
        <f t="shared" si="93"/>
        <v>1497558.3688663037</v>
      </c>
      <c r="L497" s="3"/>
      <c r="M497" s="4">
        <f t="shared" si="94"/>
        <v>1497558.3688663037</v>
      </c>
      <c r="N497" s="4">
        <f t="shared" si="95"/>
        <v>0</v>
      </c>
    </row>
    <row r="498" spans="1:14" ht="15.65" outlineLevel="2">
      <c r="A498" s="5">
        <v>368</v>
      </c>
      <c r="B498" s="6">
        <v>1953</v>
      </c>
      <c r="C498" s="3">
        <v>1169535.27</v>
      </c>
      <c r="D498" s="3">
        <v>1169535.27</v>
      </c>
      <c r="F498" s="2">
        <v>50</v>
      </c>
      <c r="G498" s="3">
        <v>21.040803</v>
      </c>
      <c r="H498" s="12">
        <v>-0.20000000000000001</v>
      </c>
      <c r="I498" s="3">
        <f t="shared" si="91"/>
        <v>812851.25477707665</v>
      </c>
      <c r="J498" s="3">
        <f t="shared" si="92"/>
        <v>1.2002897871465943</v>
      </c>
      <c r="K498" s="1">
        <f t="shared" si="93"/>
        <v>975657.05957821943</v>
      </c>
      <c r="L498" s="3"/>
      <c r="M498" s="4">
        <f t="shared" si="94"/>
        <v>975657.05957821943</v>
      </c>
      <c r="N498" s="4">
        <f t="shared" si="95"/>
        <v>0</v>
      </c>
    </row>
    <row r="499" spans="1:14" ht="15.65" outlineLevel="2">
      <c r="A499" s="5">
        <v>368</v>
      </c>
      <c r="B499" s="6">
        <v>1952</v>
      </c>
      <c r="C499" s="3">
        <v>1328320.8200000001</v>
      </c>
      <c r="D499" s="3">
        <v>1328320.8200000001</v>
      </c>
      <c r="F499" s="2">
        <v>50</v>
      </c>
      <c r="G499" s="3">
        <v>20.798734</v>
      </c>
      <c r="H499" s="12">
        <v>-0.20000000000000001</v>
      </c>
      <c r="I499" s="3">
        <f t="shared" si="91"/>
        <v>930927.59035579499</v>
      </c>
      <c r="J499" s="3">
        <f t="shared" si="92"/>
        <v>1.2002897871465943</v>
      </c>
      <c r="K499" s="1">
        <f t="shared" si="93"/>
        <v>1117382.8792770491</v>
      </c>
      <c r="L499" s="3"/>
      <c r="M499" s="4">
        <f t="shared" si="94"/>
        <v>1117382.8792770491</v>
      </c>
      <c r="N499" s="4">
        <f t="shared" si="95"/>
        <v>0</v>
      </c>
    </row>
    <row r="500" spans="1:14" ht="15.65" outlineLevel="2">
      <c r="A500" s="5">
        <v>368</v>
      </c>
      <c r="B500" s="6">
        <v>1951</v>
      </c>
      <c r="C500" s="3">
        <v>1166845.51</v>
      </c>
      <c r="D500" s="3">
        <v>1166845.51</v>
      </c>
      <c r="F500" s="2">
        <v>50</v>
      </c>
      <c r="G500" s="3">
        <v>20.559418000000001</v>
      </c>
      <c r="H500" s="12">
        <v>-0.20000000000000001</v>
      </c>
      <c r="I500" s="3">
        <f t="shared" si="91"/>
        <v>824462.66204368358</v>
      </c>
      <c r="J500" s="3">
        <f t="shared" si="92"/>
        <v>1.2002897871465943</v>
      </c>
      <c r="K500" s="1">
        <f t="shared" si="93"/>
        <v>989594.11313472746</v>
      </c>
      <c r="L500" s="3"/>
      <c r="M500" s="4">
        <f t="shared" si="94"/>
        <v>989594.11313472746</v>
      </c>
      <c r="N500" s="4">
        <f t="shared" si="95"/>
        <v>0</v>
      </c>
    </row>
    <row r="501" spans="1:14" ht="15.65" outlineLevel="2">
      <c r="A501" s="5">
        <v>368</v>
      </c>
      <c r="B501" s="6">
        <v>1950</v>
      </c>
      <c r="C501" s="3">
        <v>586918.10999999999</v>
      </c>
      <c r="D501" s="3">
        <v>586918.10999999999</v>
      </c>
      <c r="F501" s="2">
        <v>50</v>
      </c>
      <c r="G501" s="3">
        <v>20.322841</v>
      </c>
      <c r="H501" s="12">
        <v>-0.20000000000000001</v>
      </c>
      <c r="I501" s="3">
        <f t="shared" si="91"/>
        <v>418033.48969078768</v>
      </c>
      <c r="J501" s="3">
        <f t="shared" si="92"/>
        <v>1.2002897871465943</v>
      </c>
      <c r="K501" s="1">
        <f t="shared" si="93"/>
        <v>501761.32836110354</v>
      </c>
      <c r="L501" s="3"/>
      <c r="M501" s="4">
        <f t="shared" si="94"/>
        <v>501761.32836110354</v>
      </c>
      <c r="N501" s="4">
        <f t="shared" si="95"/>
        <v>0</v>
      </c>
    </row>
    <row r="502" spans="1:14" ht="15.65" outlineLevel="2">
      <c r="A502" s="5">
        <v>368</v>
      </c>
      <c r="B502" s="6">
        <v>1949</v>
      </c>
      <c r="C502" s="3">
        <v>528062.75</v>
      </c>
      <c r="D502" s="3">
        <v>528062.75</v>
      </c>
      <c r="F502" s="2">
        <v>50</v>
      </c>
      <c r="G502" s="3">
        <v>20.088996999999999</v>
      </c>
      <c r="H502" s="12">
        <v>-0.20000000000000001</v>
      </c>
      <c r="I502" s="3">
        <f t="shared" si="91"/>
        <v>379077.27598651801</v>
      </c>
      <c r="J502" s="3">
        <f t="shared" si="92"/>
        <v>1.2002897871465943</v>
      </c>
      <c r="K502" s="1">
        <f t="shared" si="93"/>
        <v>455002.58290596848</v>
      </c>
      <c r="L502" s="3"/>
      <c r="M502" s="4">
        <f t="shared" si="94"/>
        <v>455002.58290596848</v>
      </c>
      <c r="N502" s="4">
        <f t="shared" si="95"/>
        <v>0</v>
      </c>
    </row>
    <row r="503" spans="1:14" ht="15.65" outlineLevel="2">
      <c r="A503" s="5">
        <v>368</v>
      </c>
      <c r="B503" s="6">
        <v>1948</v>
      </c>
      <c r="C503" s="3">
        <v>616012.68000000005</v>
      </c>
      <c r="D503" s="3">
        <v>616012.68000000005</v>
      </c>
      <c r="F503" s="2">
        <v>50</v>
      </c>
      <c r="G503" s="3">
        <v>19.857866000000001</v>
      </c>
      <c r="H503" s="12">
        <v>-0.20000000000000001</v>
      </c>
      <c r="I503" s="3">
        <f t="shared" si="91"/>
        <v>445630.48191021883</v>
      </c>
      <c r="J503" s="3">
        <f t="shared" si="92"/>
        <v>1.2002897871465943</v>
      </c>
      <c r="K503" s="1">
        <f t="shared" si="93"/>
        <v>534885.71627805079</v>
      </c>
      <c r="L503" s="3"/>
      <c r="M503" s="4">
        <f t="shared" si="94"/>
        <v>534885.71627805079</v>
      </c>
      <c r="N503" s="4">
        <f t="shared" si="95"/>
        <v>0</v>
      </c>
    </row>
    <row r="504" spans="1:14" ht="15.65" outlineLevel="2">
      <c r="A504" s="5">
        <v>368</v>
      </c>
      <c r="B504" s="6">
        <v>1947</v>
      </c>
      <c r="C504" s="3">
        <v>281522.71000000002</v>
      </c>
      <c r="D504" s="3">
        <v>281522.71000000002</v>
      </c>
      <c r="F504" s="2">
        <v>50</v>
      </c>
      <c r="G504" s="3">
        <v>19.629427</v>
      </c>
      <c r="H504" s="12">
        <v>-0.20000000000000001</v>
      </c>
      <c r="I504" s="3">
        <f t="shared" si="91"/>
        <v>205200.14436510796</v>
      </c>
      <c r="J504" s="3">
        <f t="shared" si="92"/>
        <v>1.2002897871465943</v>
      </c>
      <c r="K504" s="1">
        <f t="shared" si="93"/>
        <v>246299.63760244584</v>
      </c>
      <c r="L504" s="3"/>
      <c r="M504" s="4">
        <f t="shared" si="94"/>
        <v>246299.63760244584</v>
      </c>
      <c r="N504" s="4">
        <f t="shared" si="95"/>
        <v>0</v>
      </c>
    </row>
    <row r="505" spans="1:14" ht="15.65" outlineLevel="2">
      <c r="A505" s="5">
        <v>368</v>
      </c>
      <c r="B505" s="6">
        <v>1946</v>
      </c>
      <c r="C505" s="3">
        <v>76846.940000000002</v>
      </c>
      <c r="D505" s="3">
        <v>76846.940000000002</v>
      </c>
      <c r="F505" s="2">
        <v>50</v>
      </c>
      <c r="G505" s="3">
        <v>19.403661</v>
      </c>
      <c r="H505" s="12">
        <v>-0.20000000000000001</v>
      </c>
      <c r="I505" s="3">
        <f t="shared" si="91"/>
        <v>56429.640656463838</v>
      </c>
      <c r="J505" s="3">
        <f t="shared" si="92"/>
        <v>1.2002897871465943</v>
      </c>
      <c r="K505" s="1">
        <f t="shared" si="93"/>
        <v>67731.921372305776</v>
      </c>
      <c r="L505" s="3"/>
      <c r="M505" s="4">
        <f t="shared" si="94"/>
        <v>67731.921372305776</v>
      </c>
      <c r="N505" s="4">
        <f t="shared" si="95"/>
        <v>0</v>
      </c>
    </row>
    <row r="506" spans="1:14" ht="15.65" outlineLevel="2">
      <c r="A506" s="5">
        <v>368</v>
      </c>
      <c r="B506" s="6">
        <v>1945</v>
      </c>
      <c r="C506" s="3">
        <v>48608.919999999998</v>
      </c>
      <c r="D506" s="3">
        <v>48608.919999999998</v>
      </c>
      <c r="F506" s="2">
        <v>50</v>
      </c>
      <c r="G506" s="3">
        <v>19.180582999999999</v>
      </c>
      <c r="H506" s="12">
        <v>-0.20000000000000001</v>
      </c>
      <c r="I506" s="3">
        <f t="shared" si="91"/>
        <v>35954.365809591363</v>
      </c>
      <c r="J506" s="3">
        <f t="shared" si="92"/>
        <v>1.2002897871465943</v>
      </c>
      <c r="K506" s="1">
        <f t="shared" si="93"/>
        <v>43155.658084585208</v>
      </c>
      <c r="L506" s="3"/>
      <c r="M506" s="4">
        <f t="shared" si="94"/>
        <v>43155.658084585208</v>
      </c>
      <c r="N506" s="4">
        <f t="shared" si="95"/>
        <v>0</v>
      </c>
    </row>
    <row r="507" spans="1:14" ht="15.65" outlineLevel="2">
      <c r="A507" s="5">
        <v>368</v>
      </c>
      <c r="B507" s="6">
        <v>1944</v>
      </c>
      <c r="C507" s="3">
        <v>20698.84</v>
      </c>
      <c r="D507" s="3">
        <v>20698.84</v>
      </c>
      <c r="F507" s="2">
        <v>50</v>
      </c>
      <c r="G507" s="3">
        <v>18.960156000000001</v>
      </c>
      <c r="H507" s="12">
        <v>-0.20000000000000001</v>
      </c>
      <c r="I507" s="3">
        <f t="shared" si="91"/>
        <v>15419.73034994304</v>
      </c>
      <c r="J507" s="3">
        <f t="shared" si="92"/>
        <v>1.2002897871465943</v>
      </c>
      <c r="K507" s="1">
        <f t="shared" si="93"/>
        <v>18508.144859591011</v>
      </c>
      <c r="L507" s="3"/>
      <c r="M507" s="4">
        <f t="shared" si="94"/>
        <v>18508.144859591011</v>
      </c>
      <c r="N507" s="4">
        <f t="shared" si="95"/>
        <v>0</v>
      </c>
    </row>
    <row r="508" spans="1:14" ht="15.65" outlineLevel="2">
      <c r="A508" s="5">
        <v>368</v>
      </c>
      <c r="B508" s="6">
        <v>1943</v>
      </c>
      <c r="C508" s="3">
        <v>10835.91</v>
      </c>
      <c r="D508" s="3">
        <v>10835.91</v>
      </c>
      <c r="F508" s="2">
        <v>50</v>
      </c>
      <c r="G508" s="3">
        <v>18.742391000000001</v>
      </c>
      <c r="H508" s="12">
        <v>-0.20000000000000001</v>
      </c>
      <c r="I508" s="3">
        <f t="shared" si="91"/>
        <v>8128.9113105405586</v>
      </c>
      <c r="J508" s="3">
        <f t="shared" si="92"/>
        <v>1.2002897871465943</v>
      </c>
      <c r="K508" s="1">
        <f t="shared" si="93"/>
        <v>9757.0492266622696</v>
      </c>
      <c r="L508" s="3"/>
      <c r="M508" s="4">
        <f t="shared" si="94"/>
        <v>9757.0492266622696</v>
      </c>
      <c r="N508" s="4">
        <f t="shared" si="95"/>
        <v>0</v>
      </c>
    </row>
    <row r="509" spans="1:14" ht="15.65" outlineLevel="2">
      <c r="A509" s="5">
        <v>368</v>
      </c>
      <c r="B509" s="6">
        <v>1942</v>
      </c>
      <c r="C509" s="3">
        <v>23198.48</v>
      </c>
      <c r="D509" s="3">
        <v>23198.48</v>
      </c>
      <c r="F509" s="2">
        <v>50</v>
      </c>
      <c r="G509" s="3">
        <v>18.527266999999998</v>
      </c>
      <c r="H509" s="12">
        <v>-0.20000000000000001</v>
      </c>
      <c r="I509" s="3">
        <f t="shared" si="91"/>
        <v>17522.869609100162</v>
      </c>
      <c r="J509" s="3">
        <f t="shared" si="92"/>
        <v>1.2002897871465943</v>
      </c>
      <c r="K509" s="1">
        <f t="shared" si="93"/>
        <v>21032.521433304359</v>
      </c>
      <c r="L509" s="3"/>
      <c r="M509" s="4">
        <f t="shared" si="94"/>
        <v>21032.521433304359</v>
      </c>
      <c r="N509" s="4">
        <f t="shared" si="95"/>
        <v>0</v>
      </c>
    </row>
    <row r="510" spans="1:14" ht="15.65" outlineLevel="2">
      <c r="A510" s="5">
        <v>368</v>
      </c>
      <c r="B510" s="6">
        <v>1941</v>
      </c>
      <c r="C510" s="3">
        <v>39848.440000000002</v>
      </c>
      <c r="D510" s="3">
        <v>39848.440000000002</v>
      </c>
      <c r="F510" s="2">
        <v>50</v>
      </c>
      <c r="G510" s="3">
        <v>18.314778</v>
      </c>
      <c r="H510" s="12">
        <v>-0.20000000000000001</v>
      </c>
      <c r="I510" s="3">
        <f t="shared" si="91"/>
        <v>30302.560026088326</v>
      </c>
      <c r="J510" s="3">
        <f t="shared" si="92"/>
        <v>1.2002897871465943</v>
      </c>
      <c r="K510" s="1">
        <f t="shared" si="93"/>
        <v>36371.853323710457</v>
      </c>
      <c r="L510" s="3"/>
      <c r="M510" s="4">
        <f t="shared" si="94"/>
        <v>36371.853323710457</v>
      </c>
      <c r="N510" s="4">
        <f t="shared" si="95"/>
        <v>0</v>
      </c>
    </row>
    <row r="511" spans="1:14" ht="15.65" outlineLevel="2">
      <c r="A511" s="5">
        <v>368</v>
      </c>
      <c r="B511" s="6">
        <v>1940</v>
      </c>
      <c r="C511" s="3">
        <v>19947.27</v>
      </c>
      <c r="D511" s="3">
        <v>19947.27</v>
      </c>
      <c r="F511" s="2">
        <v>50</v>
      </c>
      <c r="G511" s="3">
        <v>18.104921000000001</v>
      </c>
      <c r="H511" s="12">
        <v>-0.20000000000000001</v>
      </c>
      <c r="I511" s="3">
        <f t="shared" si="91"/>
        <v>15269.274059623918</v>
      </c>
      <c r="J511" s="3">
        <f t="shared" si="92"/>
        <v>1.2002897871465943</v>
      </c>
      <c r="K511" s="1">
        <f t="shared" si="93"/>
        <v>18327.553710909007</v>
      </c>
      <c r="L511" s="3"/>
      <c r="M511" s="4">
        <f t="shared" si="94"/>
        <v>18327.553710909007</v>
      </c>
      <c r="N511" s="4">
        <f t="shared" si="95"/>
        <v>0</v>
      </c>
    </row>
    <row r="512" spans="1:14" ht="15.65" outlineLevel="2">
      <c r="A512" s="5">
        <v>368</v>
      </c>
      <c r="B512" s="6">
        <v>1939</v>
      </c>
      <c r="C512" s="3">
        <v>16472.419999999998</v>
      </c>
      <c r="D512" s="3">
        <v>16472.419999999998</v>
      </c>
      <c r="F512" s="2">
        <v>50</v>
      </c>
      <c r="G512" s="3">
        <v>17.897684000000002</v>
      </c>
      <c r="H512" s="12">
        <v>-0.20000000000000001</v>
      </c>
      <c r="I512" s="3">
        <f t="shared" si="91"/>
        <v>12691.267970993278</v>
      </c>
      <c r="J512" s="3">
        <f t="shared" si="92"/>
        <v>1.2002897871465943</v>
      </c>
      <c r="K512" s="1">
        <f t="shared" si="93"/>
        <v>15233.199331523911</v>
      </c>
      <c r="L512" s="3"/>
      <c r="M512" s="4">
        <f t="shared" si="94"/>
        <v>15233.199331523911</v>
      </c>
      <c r="N512" s="4">
        <f t="shared" si="95"/>
        <v>0</v>
      </c>
    </row>
    <row r="513" spans="1:14" ht="15.65" outlineLevel="2">
      <c r="A513" s="5">
        <v>368</v>
      </c>
      <c r="B513" s="6">
        <v>1938</v>
      </c>
      <c r="C513" s="3">
        <v>19520.82</v>
      </c>
      <c r="D513" s="3">
        <v>19520.82</v>
      </c>
      <c r="F513" s="2">
        <v>50</v>
      </c>
      <c r="G513" s="3">
        <v>17.693072999999998</v>
      </c>
      <c r="H513" s="12">
        <v>-0.20000000000000001</v>
      </c>
      <c r="I513" s="3">
        <f t="shared" si="91"/>
        <v>15135.784961283362</v>
      </c>
      <c r="J513" s="3">
        <f t="shared" si="92"/>
        <v>1.2002897871465943</v>
      </c>
      <c r="K513" s="1">
        <f t="shared" si="93"/>
        <v>18167.328109475427</v>
      </c>
      <c r="L513" s="3"/>
      <c r="M513" s="4">
        <f t="shared" si="94"/>
        <v>18167.328109475427</v>
      </c>
      <c r="N513" s="4">
        <f t="shared" si="95"/>
        <v>0</v>
      </c>
    </row>
    <row r="514" spans="1:14" ht="15.65" outlineLevel="2">
      <c r="A514" s="5">
        <v>368</v>
      </c>
      <c r="B514" s="6">
        <v>1937</v>
      </c>
      <c r="C514" s="3">
        <v>22234.110000000001</v>
      </c>
      <c r="D514" s="3">
        <v>22234.110000000001</v>
      </c>
      <c r="F514" s="2">
        <v>50</v>
      </c>
      <c r="G514" s="3">
        <v>17.491088999999999</v>
      </c>
      <c r="H514" s="12">
        <v>-0.20000000000000001</v>
      </c>
      <c r="I514" s="3">
        <f t="shared" si="91"/>
        <v>17347.360875701041</v>
      </c>
      <c r="J514" s="3">
        <f t="shared" si="92"/>
        <v>1.2002897871465943</v>
      </c>
      <c r="K514" s="1">
        <f t="shared" si="93"/>
        <v>20821.86009305036</v>
      </c>
      <c r="L514" s="3"/>
      <c r="M514" s="4">
        <f t="shared" si="94"/>
        <v>20821.86009305036</v>
      </c>
      <c r="N514" s="4">
        <f t="shared" si="95"/>
        <v>0</v>
      </c>
    </row>
    <row r="515" spans="1:14" ht="15.65" outlineLevel="2">
      <c r="A515" s="5">
        <v>368</v>
      </c>
      <c r="B515" s="6">
        <v>1936</v>
      </c>
      <c r="C515" s="3">
        <v>4046.4499999999998</v>
      </c>
      <c r="D515" s="3">
        <v>4046.4499999999998</v>
      </c>
      <c r="F515" s="2">
        <v>50</v>
      </c>
      <c r="G515" s="3">
        <v>17.291722</v>
      </c>
      <c r="H515" s="12">
        <v>-0.20000000000000001</v>
      </c>
      <c r="I515" s="3">
        <f t="shared" si="91"/>
        <v>3176.4578763144</v>
      </c>
      <c r="J515" s="3">
        <f t="shared" si="92"/>
        <v>1.2002897871465943</v>
      </c>
      <c r="K515" s="1">
        <f t="shared" si="93"/>
        <v>3812.6699482415343</v>
      </c>
      <c r="L515" s="3"/>
      <c r="M515" s="4">
        <f t="shared" si="94"/>
        <v>3812.6699482415343</v>
      </c>
      <c r="N515" s="4">
        <f t="shared" si="95"/>
        <v>0</v>
      </c>
    </row>
    <row r="516" spans="1:14" ht="15.65" outlineLevel="2">
      <c r="A516" s="5">
        <v>368</v>
      </c>
      <c r="B516" s="6">
        <v>1935</v>
      </c>
      <c r="C516" s="3">
        <v>611.82000000000005</v>
      </c>
      <c r="D516" s="3">
        <v>611.82000000000005</v>
      </c>
      <c r="F516" s="2">
        <v>50</v>
      </c>
      <c r="G516" s="3">
        <v>17.094985000000001</v>
      </c>
      <c r="H516" s="12">
        <v>-0.20000000000000001</v>
      </c>
      <c r="I516" s="3">
        <f t="shared" si="91"/>
        <v>483.16671065520001</v>
      </c>
      <c r="J516" s="3">
        <f t="shared" si="92"/>
        <v>1.2002897871465943</v>
      </c>
      <c r="K516" s="1">
        <f t="shared" si="93"/>
        <v>579.94006828865008</v>
      </c>
      <c r="L516" s="3"/>
      <c r="M516" s="4">
        <f t="shared" si="94"/>
        <v>579.94006828865008</v>
      </c>
      <c r="N516" s="4">
        <f t="shared" si="95"/>
        <v>0</v>
      </c>
    </row>
    <row r="517" spans="1:14" ht="15.65" outlineLevel="2">
      <c r="A517" s="5">
        <v>368</v>
      </c>
      <c r="B517" s="6">
        <v>1934</v>
      </c>
      <c r="C517" s="3">
        <v>995.22000000000003</v>
      </c>
      <c r="D517" s="3">
        <v>995.22000000000003</v>
      </c>
      <c r="F517" s="2">
        <v>50</v>
      </c>
      <c r="G517" s="3">
        <v>16.900856000000001</v>
      </c>
      <c r="H517" s="12">
        <v>-0.20000000000000001</v>
      </c>
      <c r="I517" s="3">
        <f t="shared" si="91"/>
        <v>790.58232220031994</v>
      </c>
      <c r="J517" s="3">
        <f t="shared" si="92"/>
        <v>1.2002897871465943</v>
      </c>
      <c r="K517" s="1">
        <f t="shared" si="93"/>
        <v>948.92788723568219</v>
      </c>
      <c r="L517" s="3"/>
      <c r="M517" s="4">
        <f t="shared" si="94"/>
        <v>948.92788723568219</v>
      </c>
      <c r="N517" s="4">
        <f t="shared" si="95"/>
        <v>0</v>
      </c>
    </row>
    <row r="518" spans="1:14" ht="15.65" outlineLevel="2">
      <c r="A518" s="5">
        <v>368</v>
      </c>
      <c r="B518" s="6">
        <v>1933</v>
      </c>
      <c r="C518" s="3">
        <v>429.45999999999998</v>
      </c>
      <c r="D518" s="3">
        <v>429.45999999999998</v>
      </c>
      <c r="F518" s="2">
        <v>50</v>
      </c>
      <c r="G518" s="3">
        <v>16.70936</v>
      </c>
      <c r="H518" s="12">
        <v>-0.20000000000000001</v>
      </c>
      <c r="I518" s="3">
        <f t="shared" si="91"/>
        <v>343.12795810559999</v>
      </c>
      <c r="J518" s="3">
        <f t="shared" si="92"/>
        <v>1.2002897871465943</v>
      </c>
      <c r="K518" s="1">
        <f t="shared" si="93"/>
        <v>411.85298379861615</v>
      </c>
      <c r="L518" s="3"/>
      <c r="M518" s="4">
        <f t="shared" si="94"/>
        <v>411.85298379861615</v>
      </c>
      <c r="N518" s="4">
        <f t="shared" si="95"/>
        <v>0</v>
      </c>
    </row>
    <row r="519" spans="1:14" ht="15.65" outlineLevel="2">
      <c r="A519" s="5">
        <v>368</v>
      </c>
      <c r="B519" s="6">
        <v>1932</v>
      </c>
      <c r="C519" s="3">
        <v>1258.6099999999999</v>
      </c>
      <c r="D519" s="3">
        <v>1258.6099999999999</v>
      </c>
      <c r="F519" s="2">
        <v>50</v>
      </c>
      <c r="G519" s="3">
        <v>16.520492999999998</v>
      </c>
      <c r="H519" s="12">
        <v>-0.20000000000000001</v>
      </c>
      <c r="I519" s="3">
        <f t="shared" si="91"/>
        <v>1011.30341532648</v>
      </c>
      <c r="J519" s="3">
        <f t="shared" si="92"/>
        <v>1.2002897871465943</v>
      </c>
      <c r="K519" s="1">
        <f t="shared" si="93"/>
        <v>1213.8571611228447</v>
      </c>
      <c r="L519" s="3"/>
      <c r="M519" s="4">
        <f t="shared" si="94"/>
        <v>1213.8571611228447</v>
      </c>
      <c r="N519" s="4">
        <f t="shared" si="95"/>
        <v>0</v>
      </c>
    </row>
    <row r="520" spans="1:14" ht="15.65" outlineLevel="2">
      <c r="A520" s="5">
        <v>368</v>
      </c>
      <c r="B520" s="6">
        <v>1931</v>
      </c>
      <c r="C520" s="3">
        <v>16887.849999999999</v>
      </c>
      <c r="D520" s="3">
        <v>16887.849999999999</v>
      </c>
      <c r="F520" s="2">
        <v>50</v>
      </c>
      <c r="G520" s="3">
        <v>16.334257000000001</v>
      </c>
      <c r="H520" s="12">
        <v>-0.20000000000000001</v>
      </c>
      <c r="I520" s="3">
        <f t="shared" si="91"/>
        <v>13645.008430141197</v>
      </c>
      <c r="J520" s="3">
        <f t="shared" si="92"/>
        <v>1.2002897871465943</v>
      </c>
      <c r="K520" s="1">
        <f t="shared" si="93"/>
        <v>16377.964264227661</v>
      </c>
      <c r="L520" s="3"/>
      <c r="M520" s="4">
        <f t="shared" si="94"/>
        <v>16377.964264227661</v>
      </c>
      <c r="N520" s="4">
        <f t="shared" si="95"/>
        <v>0</v>
      </c>
    </row>
    <row r="521" spans="1:14" ht="15.65" outlineLevel="2">
      <c r="A521" s="5">
        <v>368</v>
      </c>
      <c r="B521" s="6">
        <v>1930</v>
      </c>
      <c r="C521" s="3">
        <v>73502.380000000005</v>
      </c>
      <c r="D521" s="3">
        <v>73502.380000000005</v>
      </c>
      <c r="F521" s="2">
        <v>50</v>
      </c>
      <c r="G521" s="3">
        <v>16.150668</v>
      </c>
      <c r="H521" s="12">
        <v>-0.20000000000000001</v>
      </c>
      <c r="I521" s="3">
        <f t="shared" si="91"/>
        <v>59712.15512184384</v>
      </c>
      <c r="J521" s="3">
        <f t="shared" si="92"/>
        <v>1.2002897871465943</v>
      </c>
      <c r="K521" s="1">
        <f t="shared" si="93"/>
        <v>71671.889961262365</v>
      </c>
      <c r="L521" s="3"/>
      <c r="M521" s="4">
        <f t="shared" si="94"/>
        <v>71671.889961262365</v>
      </c>
      <c r="N521" s="4">
        <f t="shared" si="95"/>
        <v>0</v>
      </c>
    </row>
    <row r="522" spans="1:14" ht="15.65" outlineLevel="2">
      <c r="A522" s="5">
        <v>368</v>
      </c>
      <c r="B522" s="6">
        <v>1929</v>
      </c>
      <c r="C522" s="3">
        <v>12639.389999999999</v>
      </c>
      <c r="D522" s="3">
        <v>12639.389999999999</v>
      </c>
      <c r="F522" s="2">
        <v>50</v>
      </c>
      <c r="G522" s="3">
        <v>15.969739000000001</v>
      </c>
      <c r="H522" s="12">
        <v>-0.20000000000000001</v>
      </c>
      <c r="I522" s="3">
        <f t="shared" si="91"/>
        <v>10322.921773938959</v>
      </c>
      <c r="J522" s="3">
        <f t="shared" si="92"/>
        <v>1.2002897871465943</v>
      </c>
      <c r="K522" s="1">
        <f t="shared" si="93"/>
        <v>12390.497578772136</v>
      </c>
      <c r="L522" s="3"/>
      <c r="M522" s="4">
        <f t="shared" si="94"/>
        <v>12390.497578772136</v>
      </c>
      <c r="N522" s="4">
        <f t="shared" si="95"/>
        <v>0</v>
      </c>
    </row>
    <row r="523" spans="1:14" ht="15.65" outlineLevel="2">
      <c r="A523" s="5">
        <v>368</v>
      </c>
      <c r="B523" s="6">
        <v>1928</v>
      </c>
      <c r="C523" s="3">
        <v>21833.580000000002</v>
      </c>
      <c r="D523" s="3">
        <v>21833.580000000002</v>
      </c>
      <c r="F523" s="2">
        <v>50</v>
      </c>
      <c r="G523" s="3">
        <v>15.791441000000001</v>
      </c>
      <c r="H523" s="12">
        <v>-0.20000000000000001</v>
      </c>
      <c r="I523" s="3">
        <f t="shared" si="91"/>
        <v>17925.48743066928</v>
      </c>
      <c r="J523" s="3">
        <f t="shared" si="92"/>
        <v>1.2002897871465943</v>
      </c>
      <c r="K523" s="1">
        <f t="shared" si="93"/>
        <v>21515.77949265698</v>
      </c>
      <c r="L523" s="3"/>
      <c r="M523" s="4">
        <f t="shared" si="94"/>
        <v>21515.77949265698</v>
      </c>
      <c r="N523" s="4">
        <f t="shared" si="95"/>
        <v>0</v>
      </c>
    </row>
    <row r="524" spans="1:14" ht="15.65" outlineLevel="2">
      <c r="A524" s="5">
        <v>368</v>
      </c>
      <c r="B524" s="6">
        <v>1927</v>
      </c>
      <c r="C524" s="3">
        <v>5274.79</v>
      </c>
      <c r="D524" s="3">
        <v>5274.79</v>
      </c>
      <c r="F524" s="2">
        <v>50</v>
      </c>
      <c r="G524" s="3">
        <v>15.615835000000001</v>
      </c>
      <c r="H524" s="12">
        <v>-0.20000000000000001</v>
      </c>
      <c r="I524" s="3">
        <f t="shared" si="91"/>
        <v>4352.8619928083999</v>
      </c>
      <c r="J524" s="3">
        <f t="shared" si="92"/>
        <v>1.2002897871465943</v>
      </c>
      <c r="K524" s="1">
        <f t="shared" si="93"/>
        <v>5224.6957948264944</v>
      </c>
      <c r="L524" s="3"/>
      <c r="M524" s="4">
        <f t="shared" si="94"/>
        <v>5224.6957948264944</v>
      </c>
      <c r="N524" s="4">
        <f t="shared" si="95"/>
        <v>0</v>
      </c>
    </row>
    <row r="525" spans="1:14" ht="15.65" outlineLevel="2">
      <c r="A525" s="5">
        <v>368</v>
      </c>
      <c r="B525" s="6">
        <v>1926</v>
      </c>
      <c r="C525" s="3">
        <v>6402.1400000000003</v>
      </c>
      <c r="D525" s="3">
        <v>6402.1400000000003</v>
      </c>
      <c r="F525" s="2">
        <v>50</v>
      </c>
      <c r="G525" s="3">
        <v>15.44291</v>
      </c>
      <c r="H525" s="12">
        <v>-0.20000000000000001</v>
      </c>
      <c r="I525" s="3">
        <f t="shared" si="91"/>
        <v>5309.7438761424</v>
      </c>
      <c r="J525" s="3">
        <f t="shared" si="92"/>
        <v>1.2002897871465943</v>
      </c>
      <c r="K525" s="1">
        <f t="shared" si="93"/>
        <v>6373.2313468978937</v>
      </c>
      <c r="L525" s="3"/>
      <c r="M525" s="4">
        <f t="shared" si="94"/>
        <v>6373.2313468978937</v>
      </c>
      <c r="N525" s="4">
        <f t="shared" si="95"/>
        <v>0</v>
      </c>
    </row>
    <row r="526" spans="1:14" ht="15.65" outlineLevel="2">
      <c r="A526" s="5">
        <v>368</v>
      </c>
      <c r="B526" s="6">
        <v>1925</v>
      </c>
      <c r="C526" s="3">
        <v>6458.3500000000004</v>
      </c>
      <c r="D526" s="3">
        <v>6458.3500000000004</v>
      </c>
      <c r="F526" s="2">
        <v>50</v>
      </c>
      <c r="G526" s="3">
        <v>15.272669000000001</v>
      </c>
      <c r="H526" s="12">
        <v>-0.20000000000000001</v>
      </c>
      <c r="I526" s="3">
        <f t="shared" si="96" ref="I526:I539">+C526*(1-H526)*(1-G526/F526)</f>
        <v>5382.7501959323999</v>
      </c>
      <c r="J526" s="3">
        <f t="shared" si="97" ref="J526:J539">$J$540</f>
        <v>1.2002897871465943</v>
      </c>
      <c r="K526" s="1">
        <f t="shared" si="98" ref="K526:K539">IF((C526*(1-H526)-I526*J526)&lt;0,C526*(1-H526),I526*J526)</f>
        <v>6460.8600869389893</v>
      </c>
      <c r="L526" s="3"/>
      <c r="M526" s="4">
        <f t="shared" si="99" ref="M526:M539">+K526/D526*C526</f>
        <v>6460.8600869389893</v>
      </c>
      <c r="N526" s="4">
        <f t="shared" si="100" ref="N526:N539">+E526/C526*K526</f>
        <v>0</v>
      </c>
    </row>
    <row r="527" spans="1:14" ht="15.65" outlineLevel="2">
      <c r="A527" s="5">
        <v>368</v>
      </c>
      <c r="B527" s="6">
        <v>1924</v>
      </c>
      <c r="C527" s="3">
        <v>5177.9099999999999</v>
      </c>
      <c r="D527" s="3">
        <v>5177.9099999999999</v>
      </c>
      <c r="F527" s="2">
        <v>50</v>
      </c>
      <c r="G527" s="3">
        <v>15.105138</v>
      </c>
      <c r="H527" s="12">
        <v>-0.20000000000000001</v>
      </c>
      <c r="I527" s="3">
        <f t="shared" si="96"/>
        <v>4336.3789175620796</v>
      </c>
      <c r="J527" s="3">
        <f t="shared" si="97"/>
        <v>1.2002897871465943</v>
      </c>
      <c r="K527" s="1">
        <f t="shared" si="98"/>
        <v>5204.9113279475678</v>
      </c>
      <c r="L527" s="3"/>
      <c r="M527" s="4">
        <f t="shared" si="99"/>
        <v>5204.9113279475678</v>
      </c>
      <c r="N527" s="4">
        <f t="shared" si="100"/>
        <v>0</v>
      </c>
    </row>
    <row r="528" spans="1:14" ht="15.65" outlineLevel="2">
      <c r="A528" s="5">
        <v>368</v>
      </c>
      <c r="B528" s="6">
        <v>1923</v>
      </c>
      <c r="C528" s="3">
        <v>634.55999999999995</v>
      </c>
      <c r="D528" s="3">
        <v>634.55999999999995</v>
      </c>
      <c r="F528" s="2">
        <v>50</v>
      </c>
      <c r="G528" s="3">
        <v>14.940300000000001</v>
      </c>
      <c r="H528" s="12">
        <v>-0.20000000000000001</v>
      </c>
      <c r="I528" s="3">
        <f t="shared" si="96"/>
        <v>533.93959756799984</v>
      </c>
      <c r="J528" s="3">
        <f t="shared" si="97"/>
        <v>1.2002897871465943</v>
      </c>
      <c r="K528" s="1">
        <f t="shared" si="98"/>
        <v>640.88224591403275</v>
      </c>
      <c r="L528" s="3"/>
      <c r="M528" s="4">
        <f t="shared" si="99"/>
        <v>640.88224591403286</v>
      </c>
      <c r="N528" s="4">
        <f t="shared" si="100"/>
        <v>0</v>
      </c>
    </row>
    <row r="529" spans="1:14" ht="15.65" outlineLevel="2">
      <c r="A529" s="5">
        <v>368</v>
      </c>
      <c r="B529" s="6">
        <v>1922</v>
      </c>
      <c r="C529" s="3">
        <v>1524.3</v>
      </c>
      <c r="D529" s="3">
        <v>1524.3</v>
      </c>
      <c r="F529" s="2">
        <v>50</v>
      </c>
      <c r="G529" s="3">
        <v>14.77821</v>
      </c>
      <c r="H529" s="12">
        <v>-0.20000000000000001</v>
      </c>
      <c r="I529" s="3">
        <f t="shared" si="96"/>
        <v>1288.5257879279998</v>
      </c>
      <c r="J529" s="3">
        <f t="shared" si="97"/>
        <v>1.2002897871465943</v>
      </c>
      <c r="K529" s="1">
        <f t="shared" si="98"/>
        <v>1546.6043437249966</v>
      </c>
      <c r="L529" s="3"/>
      <c r="M529" s="4">
        <f t="shared" si="99"/>
        <v>1546.6043437249966</v>
      </c>
      <c r="N529" s="4">
        <f t="shared" si="100"/>
        <v>0</v>
      </c>
    </row>
    <row r="530" spans="1:14" ht="15.65" outlineLevel="2">
      <c r="A530" s="5">
        <v>368</v>
      </c>
      <c r="B530" s="6">
        <v>1920</v>
      </c>
      <c r="C530" s="3">
        <v>532.12</v>
      </c>
      <c r="D530" s="3">
        <v>532.12</v>
      </c>
      <c r="F530" s="2">
        <v>50</v>
      </c>
      <c r="G530" s="3">
        <v>14.462308</v>
      </c>
      <c r="H530" s="12">
        <v>-0.20000000000000001</v>
      </c>
      <c r="I530" s="3">
        <f t="shared" si="96"/>
        <v>453.84760000895994</v>
      </c>
      <c r="J530" s="3">
        <f t="shared" si="97"/>
        <v>1.2002897871465943</v>
      </c>
      <c r="K530" s="1">
        <f t="shared" si="98"/>
        <v>544.74863921174722</v>
      </c>
      <c r="L530" s="3"/>
      <c r="M530" s="4">
        <f t="shared" si="99"/>
        <v>544.74863921174722</v>
      </c>
      <c r="N530" s="4">
        <f t="shared" si="100"/>
        <v>0</v>
      </c>
    </row>
    <row r="531" spans="1:14" ht="15.65" outlineLevel="2">
      <c r="A531" s="5">
        <v>368</v>
      </c>
      <c r="B531" s="6">
        <v>1919</v>
      </c>
      <c r="C531" s="3">
        <v>200745.73000000001</v>
      </c>
      <c r="D531" s="3">
        <v>200745.73000000001</v>
      </c>
      <c r="F531" s="2">
        <v>50</v>
      </c>
      <c r="G531" s="3">
        <v>14.308526000000001</v>
      </c>
      <c r="H531" s="12">
        <v>-0.20000000000000001</v>
      </c>
      <c r="I531" s="3">
        <f t="shared" si="96"/>
        <v>171957.86406974448</v>
      </c>
      <c r="J531" s="3">
        <f t="shared" si="97"/>
        <v>1.2002897871465943</v>
      </c>
      <c r="K531" s="1">
        <f t="shared" si="98"/>
        <v>206399.2680624566</v>
      </c>
      <c r="L531" s="3"/>
      <c r="M531" s="4">
        <f t="shared" si="99"/>
        <v>206399.2680624566</v>
      </c>
      <c r="N531" s="4">
        <f t="shared" si="100"/>
        <v>0</v>
      </c>
    </row>
    <row r="532" spans="1:14" ht="15.65" outlineLevel="2">
      <c r="A532" s="5">
        <v>368</v>
      </c>
      <c r="B532" s="6">
        <v>1918</v>
      </c>
      <c r="C532" s="3">
        <v>1846.6800000000001</v>
      </c>
      <c r="D532" s="3">
        <v>1846.6800000000001</v>
      </c>
      <c r="F532" s="2">
        <v>50</v>
      </c>
      <c r="G532" s="3">
        <v>14.157534999999999</v>
      </c>
      <c r="H532" s="12">
        <v>-0.20000000000000001</v>
      </c>
      <c r="I532" s="3">
        <f t="shared" si="96"/>
        <v>1588.5495183888002</v>
      </c>
      <c r="J532" s="3">
        <f t="shared" si="97"/>
        <v>1.2002897871465943</v>
      </c>
      <c r="K532" s="1">
        <f t="shared" si="98"/>
        <v>1906.7197632987179</v>
      </c>
      <c r="L532" s="3"/>
      <c r="M532" s="4">
        <f t="shared" si="99"/>
        <v>1906.7197632987179</v>
      </c>
      <c r="N532" s="4">
        <f t="shared" si="100"/>
        <v>0</v>
      </c>
    </row>
    <row r="533" spans="1:14" ht="15.65" outlineLevel="2">
      <c r="A533" s="5">
        <v>368</v>
      </c>
      <c r="B533" s="6">
        <v>1916</v>
      </c>
      <c r="C533" s="3">
        <v>269.12</v>
      </c>
      <c r="D533" s="3">
        <v>269.12</v>
      </c>
      <c r="F533" s="2">
        <v>50</v>
      </c>
      <c r="G533" s="3">
        <v>13.864003</v>
      </c>
      <c r="H533" s="12">
        <v>-0.20000000000000001</v>
      </c>
      <c r="I533" s="3">
        <f t="shared" si="96"/>
        <v>233.39806830335999</v>
      </c>
      <c r="J533" s="3">
        <f t="shared" si="97"/>
        <v>1.2002897871465943</v>
      </c>
      <c r="K533" s="1">
        <f t="shared" si="98"/>
        <v>280.14531772426625</v>
      </c>
      <c r="L533" s="3"/>
      <c r="M533" s="4">
        <f t="shared" si="99"/>
        <v>280.14531772426625</v>
      </c>
      <c r="N533" s="4">
        <f t="shared" si="100"/>
        <v>0</v>
      </c>
    </row>
    <row r="534" spans="1:14" ht="15.65" outlineLevel="2">
      <c r="A534" s="5">
        <v>368</v>
      </c>
      <c r="B534" s="6">
        <v>1915</v>
      </c>
      <c r="C534" s="3">
        <v>539.38</v>
      </c>
      <c r="D534" s="3">
        <v>539.38</v>
      </c>
      <c r="F534" s="2">
        <v>50</v>
      </c>
      <c r="G534" s="3">
        <v>13.721484</v>
      </c>
      <c r="H534" s="12">
        <v>-0.20000000000000001</v>
      </c>
      <c r="I534" s="3">
        <f t="shared" si="96"/>
        <v>469.62974304191999</v>
      </c>
      <c r="J534" s="3">
        <f t="shared" si="97"/>
        <v>1.2002897871465943</v>
      </c>
      <c r="K534" s="1">
        <f t="shared" si="98"/>
        <v>563.69178431349587</v>
      </c>
      <c r="L534" s="3"/>
      <c r="M534" s="4">
        <f t="shared" si="99"/>
        <v>563.69178431349587</v>
      </c>
      <c r="N534" s="4">
        <f t="shared" si="100"/>
        <v>0</v>
      </c>
    </row>
    <row r="535" spans="1:14" ht="15.65" outlineLevel="2">
      <c r="A535" s="5">
        <v>368</v>
      </c>
      <c r="B535" s="6">
        <v>1911</v>
      </c>
      <c r="C535" s="3">
        <v>156.12000000000001</v>
      </c>
      <c r="D535" s="3">
        <v>156.12000000000001</v>
      </c>
      <c r="F535" s="2">
        <v>50</v>
      </c>
      <c r="G535" s="3">
        <v>13.180198000000001</v>
      </c>
      <c r="H535" s="12">
        <v>-0.20000000000000001</v>
      </c>
      <c r="I535" s="3">
        <f t="shared" si="96"/>
        <v>137.95937971776002</v>
      </c>
      <c r="J535" s="3">
        <f t="shared" si="97"/>
        <v>1.2002897871465943</v>
      </c>
      <c r="K535" s="1">
        <f t="shared" si="98"/>
        <v>165.59123451630634</v>
      </c>
      <c r="L535" s="3"/>
      <c r="M535" s="4">
        <f t="shared" si="99"/>
        <v>165.59123451630634</v>
      </c>
      <c r="N535" s="4">
        <f t="shared" si="100"/>
        <v>0</v>
      </c>
    </row>
    <row r="536" spans="1:14" ht="15.65" outlineLevel="2">
      <c r="A536" s="5">
        <v>368</v>
      </c>
      <c r="B536" s="6">
        <v>1908</v>
      </c>
      <c r="C536" s="3">
        <v>28548.07</v>
      </c>
      <c r="D536" s="3">
        <v>28548.07</v>
      </c>
      <c r="F536" s="2">
        <v>50</v>
      </c>
      <c r="G536" s="3">
        <v>12.804805999999999</v>
      </c>
      <c r="H536" s="12">
        <v>-0.20000000000000001</v>
      </c>
      <c r="I536" s="3">
        <f t="shared" si="96"/>
        <v>25484.424047413919</v>
      </c>
      <c r="J536" s="3">
        <f t="shared" si="97"/>
        <v>1.2002897871465943</v>
      </c>
      <c r="K536" s="1">
        <f t="shared" si="98"/>
        <v>30588.693915424003</v>
      </c>
      <c r="L536" s="3"/>
      <c r="M536" s="4">
        <f t="shared" si="99"/>
        <v>30588.693915424003</v>
      </c>
      <c r="N536" s="4">
        <f t="shared" si="100"/>
        <v>0</v>
      </c>
    </row>
    <row r="537" spans="1:14" ht="15.65" outlineLevel="2">
      <c r="A537" s="5">
        <v>368</v>
      </c>
      <c r="B537" s="6">
        <v>1905</v>
      </c>
      <c r="C537" s="3">
        <v>10526.889999999999</v>
      </c>
      <c r="D537" s="3">
        <v>10526.889999999999</v>
      </c>
      <c r="F537" s="2">
        <v>50</v>
      </c>
      <c r="G537" s="3">
        <v>12.455793</v>
      </c>
      <c r="H537" s="12">
        <v>-0.20000000000000001</v>
      </c>
      <c r="I537" s="3">
        <f t="shared" si="96"/>
        <v>9485.3696934295185</v>
      </c>
      <c r="J537" s="3">
        <f t="shared" si="97"/>
        <v>1.2002897871465943</v>
      </c>
      <c r="K537" s="1">
        <f t="shared" si="98"/>
        <v>11385.192370333272</v>
      </c>
      <c r="L537" s="3"/>
      <c r="M537" s="4">
        <f t="shared" si="99"/>
        <v>11385.192370333272</v>
      </c>
      <c r="N537" s="4">
        <f t="shared" si="100"/>
        <v>0</v>
      </c>
    </row>
    <row r="538" spans="1:14" ht="15.65" outlineLevel="2">
      <c r="A538" s="5">
        <v>368</v>
      </c>
      <c r="B538" s="6">
        <v>1904</v>
      </c>
      <c r="C538" s="3">
        <v>9285.5</v>
      </c>
      <c r="D538" s="3">
        <v>9285.5</v>
      </c>
      <c r="F538" s="2">
        <v>50</v>
      </c>
      <c r="G538" s="3">
        <v>12.345321</v>
      </c>
      <c r="H538" s="12">
        <v>-0.20000000000000001</v>
      </c>
      <c r="I538" s="3">
        <f t="shared" si="96"/>
        <v>8391.4205245080011</v>
      </c>
      <c r="J538" s="3">
        <f t="shared" si="97"/>
        <v>1.2002897871465943</v>
      </c>
      <c r="K538" s="1">
        <f t="shared" si="98"/>
        <v>10072.136355219271</v>
      </c>
      <c r="L538" s="3"/>
      <c r="M538" s="4">
        <f t="shared" si="99"/>
        <v>10072.136355219271</v>
      </c>
      <c r="N538" s="4">
        <f t="shared" si="100"/>
        <v>0</v>
      </c>
    </row>
    <row r="539" spans="1:14" ht="15.65" outlineLevel="2">
      <c r="A539" s="5">
        <v>368</v>
      </c>
      <c r="B539" s="6">
        <v>1901</v>
      </c>
      <c r="C539" s="3">
        <v>67660.080000000002</v>
      </c>
      <c r="D539" s="3">
        <v>67660.080000000002</v>
      </c>
      <c r="F539" s="2">
        <v>50</v>
      </c>
      <c r="G539" s="3">
        <v>12.031338999999999</v>
      </c>
      <c r="H539" s="12">
        <v>-0.20000000000000001</v>
      </c>
      <c r="I539" s="3">
        <f t="shared" si="96"/>
        <v>61655.103378069129</v>
      </c>
      <c r="J539" s="3">
        <f t="shared" si="97"/>
        <v>1.2002897871465943</v>
      </c>
      <c r="K539" s="1">
        <f t="shared" si="98"/>
        <v>74003.990910163862</v>
      </c>
      <c r="L539" s="3"/>
      <c r="M539" s="4">
        <f t="shared" si="99"/>
        <v>74003.990910163862</v>
      </c>
      <c r="N539" s="4">
        <f t="shared" si="100"/>
        <v>0</v>
      </c>
    </row>
    <row r="540" spans="1:15" ht="15.65" outlineLevel="1">
      <c r="A540" s="7" t="s">
        <v>7</v>
      </c>
      <c r="B540" s="6"/>
      <c r="C540" s="3">
        <f>SUBTOTAL(9,C430:C539)</f>
        <v>2493077762.4000006</v>
      </c>
      <c r="I540" s="3">
        <f t="shared" si="101" ref="I540">SUBTOTAL(9,I430:I539)</f>
        <v>619589537.51397574</v>
      </c>
      <c r="J540" s="3">
        <v>1.2002897871465943</v>
      </c>
      <c r="K540" s="1">
        <f>SUBTOTAL(9,K430:K539)</f>
        <v>743686994.10090649</v>
      </c>
      <c r="L540" s="3">
        <v>743686994.1009059</v>
      </c>
      <c r="M540" s="3">
        <f t="shared" si="102" ref="M540:N540">SUBTOTAL(9,M430:M539)</f>
        <v>743686994.10090649</v>
      </c>
      <c r="N540" s="3">
        <f t="shared" si="102"/>
        <v>0</v>
      </c>
      <c r="O540" s="4">
        <f>+L540-K540</f>
        <v>0</v>
      </c>
    </row>
    <row r="541" spans="1:14" ht="15.65" outlineLevel="2">
      <c r="A541" s="5">
        <v>369</v>
      </c>
      <c r="B541" s="6">
        <v>2021</v>
      </c>
      <c r="C541" s="3">
        <v>84409506.540000007</v>
      </c>
      <c r="D541" s="3">
        <v>84409506.540000007</v>
      </c>
      <c r="F541" s="2">
        <v>37</v>
      </c>
      <c r="G541" s="3">
        <v>36.5</v>
      </c>
      <c r="H541" s="12">
        <v>-0.29999999999999999</v>
      </c>
      <c r="I541" s="3">
        <f t="shared" si="103" ref="I541:I572">+C541*(1-H541)*(1-G541/F541)</f>
        <v>1482869.7094864838</v>
      </c>
      <c r="J541" s="4">
        <f t="shared" si="104" ref="J541:J572">$J$629</f>
        <v>1.2002898360433167</v>
      </c>
      <c r="K541" s="1">
        <f t="shared" si="105" ref="K541:K572">IF((C541*(1-H541)-I541*J541)&lt;0,C541*(1-H541),I541*J541)</f>
        <v>1779873.4404731323</v>
      </c>
      <c r="L541" s="3"/>
      <c r="M541" s="4">
        <f t="shared" si="106" ref="M541:M572">+K541/D541*C541</f>
        <v>1779873.4404731323</v>
      </c>
      <c r="N541" s="4">
        <f t="shared" si="107" ref="N541:N572">+E541/C541*K541</f>
        <v>0</v>
      </c>
    </row>
    <row r="542" spans="1:14" ht="15.65" outlineLevel="2">
      <c r="A542" s="5">
        <v>369</v>
      </c>
      <c r="B542" s="6">
        <v>2020</v>
      </c>
      <c r="C542" s="3">
        <v>80272187.370000005</v>
      </c>
      <c r="D542" s="3">
        <v>80272187.370000005</v>
      </c>
      <c r="F542" s="2">
        <v>37</v>
      </c>
      <c r="G542" s="3">
        <v>35.5</v>
      </c>
      <c r="H542" s="12">
        <v>-0.29999999999999999</v>
      </c>
      <c r="I542" s="3">
        <f t="shared" si="103"/>
        <v>4230561.2262567608</v>
      </c>
      <c r="J542" s="4">
        <f t="shared" si="104"/>
        <v>1.2002898360433167</v>
      </c>
      <c r="K542" s="1">
        <f t="shared" si="105"/>
        <v>5077899.64063494</v>
      </c>
      <c r="L542" s="3"/>
      <c r="M542" s="4">
        <f t="shared" si="106"/>
        <v>5077899.64063494</v>
      </c>
      <c r="N542" s="4">
        <f t="shared" si="107"/>
        <v>0</v>
      </c>
    </row>
    <row r="543" spans="1:14" ht="15.65" outlineLevel="2">
      <c r="A543" s="5">
        <v>369</v>
      </c>
      <c r="B543" s="6">
        <v>2019</v>
      </c>
      <c r="C543" s="3">
        <v>67985427.049999997</v>
      </c>
      <c r="D543" s="3">
        <v>67985427.049999997</v>
      </c>
      <c r="F543" s="2">
        <v>37</v>
      </c>
      <c r="G543" s="3">
        <v>34.5</v>
      </c>
      <c r="H543" s="12">
        <v>-0.29999999999999999</v>
      </c>
      <c r="I543" s="3">
        <f t="shared" si="103"/>
        <v>5971692.9165540524</v>
      </c>
      <c r="J543" s="4">
        <f t="shared" si="104"/>
        <v>1.2002898360433167</v>
      </c>
      <c r="K543" s="1">
        <f t="shared" si="105"/>
        <v>7167762.3117116997</v>
      </c>
      <c r="L543" s="3"/>
      <c r="M543" s="4">
        <f t="shared" si="106"/>
        <v>7167762.3117116997</v>
      </c>
      <c r="N543" s="4">
        <f t="shared" si="107"/>
        <v>0</v>
      </c>
    </row>
    <row r="544" spans="1:14" ht="15.65" outlineLevel="2">
      <c r="A544" s="5">
        <v>369</v>
      </c>
      <c r="B544" s="6">
        <v>2018</v>
      </c>
      <c r="C544" s="3">
        <v>60751357.369999997</v>
      </c>
      <c r="D544" s="3">
        <v>60751357.369999997</v>
      </c>
      <c r="F544" s="2">
        <v>37</v>
      </c>
      <c r="G544" s="3">
        <v>33.5</v>
      </c>
      <c r="H544" s="12">
        <v>-0.29999999999999999</v>
      </c>
      <c r="I544" s="3">
        <f t="shared" si="103"/>
        <v>7470775.0279324353</v>
      </c>
      <c r="J544" s="4">
        <f t="shared" si="104"/>
        <v>1.2002898360433167</v>
      </c>
      <c r="K544" s="1">
        <f t="shared" si="105"/>
        <v>8967095.3333935272</v>
      </c>
      <c r="L544" s="3"/>
      <c r="M544" s="4">
        <f t="shared" si="106"/>
        <v>8967095.3333935272</v>
      </c>
      <c r="N544" s="4">
        <f t="shared" si="107"/>
        <v>0</v>
      </c>
    </row>
    <row r="545" spans="1:14" ht="15.65" outlineLevel="2">
      <c r="A545" s="5">
        <v>369</v>
      </c>
      <c r="B545" s="6">
        <v>2017</v>
      </c>
      <c r="C545" s="3">
        <v>54529811.020000003</v>
      </c>
      <c r="D545" s="3">
        <v>54529811.020000003</v>
      </c>
      <c r="F545" s="2">
        <v>37</v>
      </c>
      <c r="G545" s="3">
        <v>32.5</v>
      </c>
      <c r="H545" s="12">
        <v>-0.29999999999999999</v>
      </c>
      <c r="I545" s="3">
        <f t="shared" si="103"/>
        <v>8621605.2558648642</v>
      </c>
      <c r="J545" s="4">
        <f t="shared" si="104"/>
        <v>1.2002898360433167</v>
      </c>
      <c r="K545" s="1">
        <f t="shared" si="105"/>
        <v>10348425.158992237</v>
      </c>
      <c r="L545" s="3"/>
      <c r="M545" s="4">
        <f t="shared" si="106"/>
        <v>10348425.158992237</v>
      </c>
      <c r="N545" s="4">
        <f t="shared" si="107"/>
        <v>0</v>
      </c>
    </row>
    <row r="546" spans="1:14" ht="15.65" outlineLevel="2">
      <c r="A546" s="5">
        <v>369</v>
      </c>
      <c r="B546" s="6">
        <v>2016</v>
      </c>
      <c r="C546" s="3">
        <v>50376834.5</v>
      </c>
      <c r="D546" s="3">
        <v>50376834.5</v>
      </c>
      <c r="F546" s="2">
        <v>37</v>
      </c>
      <c r="G546" s="3">
        <v>31.5</v>
      </c>
      <c r="H546" s="12">
        <v>-0.29999999999999999</v>
      </c>
      <c r="I546" s="3">
        <f t="shared" si="103"/>
        <v>9734982.8831081111</v>
      </c>
      <c r="J546" s="4">
        <f t="shared" si="104"/>
        <v>1.2002898360433167</v>
      </c>
      <c r="K546" s="1">
        <f t="shared" si="105"/>
        <v>11684801.008650329</v>
      </c>
      <c r="L546" s="3"/>
      <c r="M546" s="4">
        <f t="shared" si="106"/>
        <v>11684801.008650329</v>
      </c>
      <c r="N546" s="4">
        <f t="shared" si="107"/>
        <v>0</v>
      </c>
    </row>
    <row r="547" spans="1:14" ht="15.65" outlineLevel="2">
      <c r="A547" s="5">
        <v>369</v>
      </c>
      <c r="B547" s="6">
        <v>2015</v>
      </c>
      <c r="C547" s="3">
        <v>49383572.159999996</v>
      </c>
      <c r="D547" s="3">
        <v>49383572.159999996</v>
      </c>
      <c r="F547" s="2">
        <v>37</v>
      </c>
      <c r="G547" s="3">
        <v>30.5</v>
      </c>
      <c r="H547" s="12">
        <v>-0.29999999999999999</v>
      </c>
      <c r="I547" s="3">
        <f t="shared" si="103"/>
        <v>11278140.12843243</v>
      </c>
      <c r="J547" s="4">
        <f t="shared" si="104"/>
        <v>1.2002898360433167</v>
      </c>
      <c r="K547" s="1">
        <f t="shared" si="105"/>
        <v>13537036.965629714</v>
      </c>
      <c r="L547" s="3"/>
      <c r="M547" s="4">
        <f t="shared" si="106"/>
        <v>13537036.965629716</v>
      </c>
      <c r="N547" s="4">
        <f t="shared" si="107"/>
        <v>0</v>
      </c>
    </row>
    <row r="548" spans="1:14" ht="15.65" outlineLevel="2">
      <c r="A548" s="5">
        <v>369</v>
      </c>
      <c r="B548" s="6">
        <v>2014</v>
      </c>
      <c r="C548" s="3">
        <v>47920040.659999996</v>
      </c>
      <c r="D548" s="3">
        <v>47920040.659999996</v>
      </c>
      <c r="F548" s="2">
        <v>37</v>
      </c>
      <c r="G548" s="3">
        <v>29.5</v>
      </c>
      <c r="H548" s="12">
        <v>-0.29999999999999999</v>
      </c>
      <c r="I548" s="3">
        <f t="shared" si="103"/>
        <v>12627578.282027029</v>
      </c>
      <c r="J548" s="4">
        <f t="shared" si="104"/>
        <v>1.2002898360433167</v>
      </c>
      <c r="K548" s="1">
        <f t="shared" si="105"/>
        <v>15156753.865758369</v>
      </c>
      <c r="L548" s="3"/>
      <c r="M548" s="4">
        <f t="shared" si="106"/>
        <v>15156753.865758367</v>
      </c>
      <c r="N548" s="4">
        <f t="shared" si="107"/>
        <v>0</v>
      </c>
    </row>
    <row r="549" spans="1:14" ht="15.65" outlineLevel="2">
      <c r="A549" s="5">
        <v>369</v>
      </c>
      <c r="B549" s="6">
        <v>2013</v>
      </c>
      <c r="C549" s="3">
        <v>44361250.530000001</v>
      </c>
      <c r="D549" s="3">
        <v>44361250.530000001</v>
      </c>
      <c r="F549" s="2">
        <v>37</v>
      </c>
      <c r="G549" s="3">
        <v>28.5</v>
      </c>
      <c r="H549" s="12">
        <v>-0.29999999999999999</v>
      </c>
      <c r="I549" s="3">
        <f t="shared" si="103"/>
        <v>13248427.523148648</v>
      </c>
      <c r="J549" s="4">
        <f t="shared" si="104"/>
        <v>1.2002898360433167</v>
      </c>
      <c r="K549" s="1">
        <f t="shared" si="105"/>
        <v>15901952.899591856</v>
      </c>
      <c r="L549" s="3"/>
      <c r="M549" s="4">
        <f t="shared" si="106"/>
        <v>15901952.899591856</v>
      </c>
      <c r="N549" s="4">
        <f t="shared" si="107"/>
        <v>0</v>
      </c>
    </row>
    <row r="550" spans="1:14" ht="15.65" outlineLevel="2">
      <c r="A550" s="5">
        <v>369</v>
      </c>
      <c r="B550" s="6">
        <v>2012</v>
      </c>
      <c r="C550" s="3">
        <v>36273576.920000002</v>
      </c>
      <c r="D550" s="3">
        <v>36273576.920000002</v>
      </c>
      <c r="F550" s="2">
        <v>37</v>
      </c>
      <c r="G550" s="3">
        <v>27.5</v>
      </c>
      <c r="H550" s="12">
        <v>-0.29999999999999999</v>
      </c>
      <c r="I550" s="3">
        <f t="shared" si="103"/>
        <v>12107531.755729733</v>
      </c>
      <c r="J550" s="4">
        <f t="shared" si="104"/>
        <v>1.2002898360433167</v>
      </c>
      <c r="K550" s="1">
        <f t="shared" si="105"/>
        <v>14532547.305974092</v>
      </c>
      <c r="L550" s="3"/>
      <c r="M550" s="4">
        <f t="shared" si="106"/>
        <v>14532547.305974092</v>
      </c>
      <c r="N550" s="4">
        <f t="shared" si="107"/>
        <v>0</v>
      </c>
    </row>
    <row r="551" spans="1:14" ht="15.65" outlineLevel="2">
      <c r="A551" s="5">
        <v>369</v>
      </c>
      <c r="B551" s="6">
        <v>2011</v>
      </c>
      <c r="C551" s="3">
        <v>36737391.789999999</v>
      </c>
      <c r="D551" s="3">
        <v>36737391.789999999</v>
      </c>
      <c r="F551" s="2">
        <v>37</v>
      </c>
      <c r="G551" s="3">
        <v>26.5</v>
      </c>
      <c r="H551" s="12">
        <v>-0.29999999999999999</v>
      </c>
      <c r="I551" s="3">
        <f t="shared" si="103"/>
        <v>13553118.863067567</v>
      </c>
      <c r="J551" s="4">
        <f t="shared" si="104"/>
        <v>1.2002898360433167</v>
      </c>
      <c r="K551" s="1">
        <f t="shared" si="105"/>
        <v>16267670.818026954</v>
      </c>
      <c r="L551" s="3"/>
      <c r="M551" s="4">
        <f t="shared" si="106"/>
        <v>16267670.818026954</v>
      </c>
      <c r="N551" s="4">
        <f t="shared" si="107"/>
        <v>0</v>
      </c>
    </row>
    <row r="552" spans="1:14" ht="15.65" outlineLevel="2">
      <c r="A552" s="5">
        <v>369</v>
      </c>
      <c r="B552" s="6">
        <v>2010</v>
      </c>
      <c r="C552" s="3">
        <v>33109638.07</v>
      </c>
      <c r="D552" s="3">
        <v>33109638.07</v>
      </c>
      <c r="F552" s="2">
        <v>37</v>
      </c>
      <c r="G552" s="3">
        <v>25.5</v>
      </c>
      <c r="H552" s="12">
        <v>-0.29999999999999999</v>
      </c>
      <c r="I552" s="3">
        <f t="shared" si="103"/>
        <v>13378083.490445949</v>
      </c>
      <c r="J552" s="4">
        <f t="shared" si="104"/>
        <v>1.2002898360433167</v>
      </c>
      <c r="K552" s="1">
        <f t="shared" si="105"/>
        <v>16057577.639321171</v>
      </c>
      <c r="L552" s="3"/>
      <c r="M552" s="4">
        <f t="shared" si="106"/>
        <v>16057577.639321171</v>
      </c>
      <c r="N552" s="4">
        <f t="shared" si="107"/>
        <v>0</v>
      </c>
    </row>
    <row r="553" spans="1:14" ht="15.65" outlineLevel="2">
      <c r="A553" s="5">
        <v>369</v>
      </c>
      <c r="B553" s="6">
        <v>2009</v>
      </c>
      <c r="C553" s="3">
        <v>34358861.68</v>
      </c>
      <c r="D553" s="3">
        <v>34358861.68</v>
      </c>
      <c r="F553" s="2">
        <v>37</v>
      </c>
      <c r="G553" s="3">
        <v>24.5</v>
      </c>
      <c r="H553" s="12">
        <v>-0.29999999999999999</v>
      </c>
      <c r="I553" s="3">
        <f t="shared" si="103"/>
        <v>15090040.602702703</v>
      </c>
      <c r="J553" s="4">
        <f t="shared" si="104"/>
        <v>1.2002898360433167</v>
      </c>
      <c r="K553" s="1">
        <f t="shared" si="105"/>
        <v>18112422.360905021</v>
      </c>
      <c r="L553" s="3"/>
      <c r="M553" s="4">
        <f t="shared" si="106"/>
        <v>18112422.360905021</v>
      </c>
      <c r="N553" s="4">
        <f t="shared" si="107"/>
        <v>0</v>
      </c>
    </row>
    <row r="554" spans="1:14" ht="15.65" outlineLevel="2">
      <c r="A554" s="5">
        <v>369</v>
      </c>
      <c r="B554" s="6">
        <v>2008</v>
      </c>
      <c r="C554" s="3">
        <v>39773980.030000001</v>
      </c>
      <c r="D554" s="3">
        <v>39773980.030000001</v>
      </c>
      <c r="F554" s="2">
        <v>37</v>
      </c>
      <c r="G554" s="3">
        <v>23.5</v>
      </c>
      <c r="H554" s="12">
        <v>-0.29999999999999999</v>
      </c>
      <c r="I554" s="3">
        <f t="shared" si="103"/>
        <v>18865766.203418922</v>
      </c>
      <c r="J554" s="4">
        <f t="shared" si="104"/>
        <v>1.2002898360433167</v>
      </c>
      <c r="K554" s="1">
        <f t="shared" si="105"/>
        <v>22644387.423133243</v>
      </c>
      <c r="L554" s="3"/>
      <c r="M554" s="4">
        <f t="shared" si="106"/>
        <v>22644387.423133243</v>
      </c>
      <c r="N554" s="4">
        <f t="shared" si="107"/>
        <v>0</v>
      </c>
    </row>
    <row r="555" spans="1:14" ht="15.65" outlineLevel="2">
      <c r="A555" s="5">
        <v>369</v>
      </c>
      <c r="B555" s="6">
        <v>2007</v>
      </c>
      <c r="C555" s="3">
        <v>44649308.640000001</v>
      </c>
      <c r="D555" s="3">
        <v>44649308.640000001</v>
      </c>
      <c r="F555" s="2">
        <v>37</v>
      </c>
      <c r="G555" s="3">
        <v>22.5</v>
      </c>
      <c r="H555" s="12">
        <v>-0.29999999999999999</v>
      </c>
      <c r="I555" s="3">
        <f t="shared" si="103"/>
        <v>22747012.644972973</v>
      </c>
      <c r="J555" s="4">
        <f t="shared" si="104"/>
        <v>1.2002898360433167</v>
      </c>
      <c r="K555" s="1">
        <f t="shared" si="105"/>
        <v>27303008.07810986</v>
      </c>
      <c r="L555" s="3"/>
      <c r="M555" s="4">
        <f t="shared" si="106"/>
        <v>27303008.07810986</v>
      </c>
      <c r="N555" s="4">
        <f t="shared" si="107"/>
        <v>0</v>
      </c>
    </row>
    <row r="556" spans="1:14" ht="15.65" outlineLevel="2">
      <c r="A556" s="5">
        <v>369</v>
      </c>
      <c r="B556" s="6">
        <v>2006</v>
      </c>
      <c r="C556" s="3">
        <v>50547513.060000002</v>
      </c>
      <c r="D556" s="3">
        <v>50547513.060000002</v>
      </c>
      <c r="F556" s="2">
        <v>37</v>
      </c>
      <c r="G556" s="3">
        <v>21.5</v>
      </c>
      <c r="H556" s="12">
        <v>-0.29999999999999999</v>
      </c>
      <c r="I556" s="3">
        <f t="shared" si="103"/>
        <v>27527902.382675681</v>
      </c>
      <c r="J556" s="4">
        <f t="shared" si="104"/>
        <v>1.2002898360433167</v>
      </c>
      <c r="K556" s="1">
        <f t="shared" si="105"/>
        <v>33041461.43751822</v>
      </c>
      <c r="L556" s="3"/>
      <c r="M556" s="4">
        <f t="shared" si="106"/>
        <v>33041461.43751822</v>
      </c>
      <c r="N556" s="4">
        <f t="shared" si="107"/>
        <v>0</v>
      </c>
    </row>
    <row r="557" spans="1:14" ht="15.65" outlineLevel="2">
      <c r="A557" s="5">
        <v>369</v>
      </c>
      <c r="B557" s="6">
        <v>2005</v>
      </c>
      <c r="C557" s="3">
        <v>48427268.170000002</v>
      </c>
      <c r="D557" s="3">
        <v>48427268.170000002</v>
      </c>
      <c r="F557" s="2">
        <v>37</v>
      </c>
      <c r="G557" s="3">
        <v>20.5</v>
      </c>
      <c r="H557" s="12">
        <v>-0.29999999999999999</v>
      </c>
      <c r="I557" s="3">
        <f t="shared" si="103"/>
        <v>28074727.087743245</v>
      </c>
      <c r="J557" s="4">
        <f t="shared" si="104"/>
        <v>1.2002898360433167</v>
      </c>
      <c r="K557" s="1">
        <f t="shared" si="105"/>
        <v>33697809.573108204</v>
      </c>
      <c r="L557" s="3"/>
      <c r="M557" s="4">
        <f t="shared" si="106"/>
        <v>33697809.573108204</v>
      </c>
      <c r="N557" s="4">
        <f t="shared" si="107"/>
        <v>0</v>
      </c>
    </row>
    <row r="558" spans="1:14" ht="15.65" outlineLevel="2">
      <c r="A558" s="5">
        <v>369</v>
      </c>
      <c r="B558" s="6">
        <v>2004</v>
      </c>
      <c r="C558" s="3">
        <v>64644375.170000002</v>
      </c>
      <c r="D558" s="3">
        <v>64644375.170000002</v>
      </c>
      <c r="F558" s="2">
        <v>37</v>
      </c>
      <c r="G558" s="3">
        <v>19.5</v>
      </c>
      <c r="H558" s="12">
        <v>-0.29999999999999999</v>
      </c>
      <c r="I558" s="3">
        <f t="shared" si="103"/>
        <v>39747555.003175683</v>
      </c>
      <c r="J558" s="4">
        <f t="shared" si="104"/>
        <v>1.2002898360433167</v>
      </c>
      <c r="K558" s="1">
        <f t="shared" si="105"/>
        <v>47708586.277884454</v>
      </c>
      <c r="L558" s="3"/>
      <c r="M558" s="4">
        <f t="shared" si="106"/>
        <v>47708586.277884454</v>
      </c>
      <c r="N558" s="4">
        <f t="shared" si="107"/>
        <v>0</v>
      </c>
    </row>
    <row r="559" spans="1:14" ht="15.65" outlineLevel="2">
      <c r="A559" s="5">
        <v>369</v>
      </c>
      <c r="B559" s="6">
        <v>2003</v>
      </c>
      <c r="C559" s="3">
        <v>46225946.030000001</v>
      </c>
      <c r="D559" s="3">
        <v>46225946.030000001</v>
      </c>
      <c r="F559" s="2">
        <v>37</v>
      </c>
      <c r="G559" s="3">
        <v>18.5</v>
      </c>
      <c r="H559" s="12">
        <v>-0.29999999999999999</v>
      </c>
      <c r="I559" s="3">
        <f t="shared" si="103"/>
        <v>30046864.919500001</v>
      </c>
      <c r="J559" s="4">
        <f t="shared" si="104"/>
        <v>1.2002898360433167</v>
      </c>
      <c r="K559" s="1">
        <f t="shared" si="105"/>
        <v>36064946.567842342</v>
      </c>
      <c r="L559" s="3"/>
      <c r="M559" s="4">
        <f t="shared" si="106"/>
        <v>36064946.567842342</v>
      </c>
      <c r="N559" s="4">
        <f t="shared" si="107"/>
        <v>0</v>
      </c>
    </row>
    <row r="560" spans="1:14" ht="15.65" outlineLevel="2">
      <c r="A560" s="5">
        <v>369</v>
      </c>
      <c r="B560" s="6">
        <v>2002</v>
      </c>
      <c r="C560" s="3">
        <v>46838594.229999997</v>
      </c>
      <c r="D560" s="3">
        <v>46838594.229999997</v>
      </c>
      <c r="F560" s="2">
        <v>37</v>
      </c>
      <c r="G560" s="3">
        <v>17.5</v>
      </c>
      <c r="H560" s="12">
        <v>-0.29999999999999999</v>
      </c>
      <c r="I560" s="3">
        <f t="shared" si="103"/>
        <v>32090766.587310806</v>
      </c>
      <c r="J560" s="4">
        <f t="shared" si="104"/>
        <v>1.2002898360433167</v>
      </c>
      <c r="K560" s="1">
        <f t="shared" si="105"/>
        <v>38518220.965587631</v>
      </c>
      <c r="L560" s="3"/>
      <c r="M560" s="4">
        <f t="shared" si="106"/>
        <v>38518220.965587631</v>
      </c>
      <c r="N560" s="4">
        <f t="shared" si="107"/>
        <v>0</v>
      </c>
    </row>
    <row r="561" spans="1:14" ht="15.65" outlineLevel="2">
      <c r="A561" s="5">
        <v>369</v>
      </c>
      <c r="B561" s="6">
        <v>2001</v>
      </c>
      <c r="C561" s="3">
        <v>49770406.990000002</v>
      </c>
      <c r="D561" s="3">
        <v>49770406.990000002</v>
      </c>
      <c r="F561" s="2">
        <v>37</v>
      </c>
      <c r="G561" s="3">
        <v>16.5</v>
      </c>
      <c r="H561" s="12">
        <v>-0.29999999999999999</v>
      </c>
      <c r="I561" s="3">
        <f t="shared" si="103"/>
        <v>35848144.494148649</v>
      </c>
      <c r="J561" s="4">
        <f t="shared" si="104"/>
        <v>1.2002898360433167</v>
      </c>
      <c r="K561" s="1">
        <f t="shared" si="105"/>
        <v>43028163.477338813</v>
      </c>
      <c r="L561" s="3"/>
      <c r="M561" s="4">
        <f t="shared" si="106"/>
        <v>43028163.477338813</v>
      </c>
      <c r="N561" s="4">
        <f t="shared" si="107"/>
        <v>0</v>
      </c>
    </row>
    <row r="562" spans="1:14" ht="15.65" outlineLevel="2">
      <c r="A562" s="5">
        <v>369</v>
      </c>
      <c r="B562" s="6">
        <v>2000</v>
      </c>
      <c r="C562" s="3">
        <v>50783967.25</v>
      </c>
      <c r="D562" s="3">
        <v>50783967.25</v>
      </c>
      <c r="F562" s="2">
        <v>37</v>
      </c>
      <c r="G562" s="3">
        <v>15.5</v>
      </c>
      <c r="H562" s="12">
        <v>-0.29999999999999999</v>
      </c>
      <c r="I562" s="3">
        <f t="shared" si="103"/>
        <v>38362483.368581086</v>
      </c>
      <c r="J562" s="4">
        <f t="shared" si="104"/>
        <v>1.2002898360433167</v>
      </c>
      <c r="K562" s="1">
        <f t="shared" si="105"/>
        <v>46046098.872688659</v>
      </c>
      <c r="L562" s="3"/>
      <c r="M562" s="4">
        <f t="shared" si="106"/>
        <v>46046098.872688659</v>
      </c>
      <c r="N562" s="4">
        <f t="shared" si="107"/>
        <v>0</v>
      </c>
    </row>
    <row r="563" spans="1:14" ht="15.65" outlineLevel="2">
      <c r="A563" s="5">
        <v>369</v>
      </c>
      <c r="B563" s="6">
        <v>1999</v>
      </c>
      <c r="C563" s="3">
        <v>59307742.509999998</v>
      </c>
      <c r="D563" s="3">
        <v>59307742.509999998</v>
      </c>
      <c r="F563" s="2">
        <v>37</v>
      </c>
      <c r="G563" s="3">
        <v>14.5</v>
      </c>
      <c r="H563" s="12">
        <v>-0.29999999999999999</v>
      </c>
      <c r="I563" s="3">
        <f t="shared" si="103"/>
        <v>46885174.822094589</v>
      </c>
      <c r="J563" s="4">
        <f t="shared" si="104"/>
        <v>1.2002898360433167</v>
      </c>
      <c r="K563" s="1">
        <f t="shared" si="105"/>
        <v>56275798.80007416</v>
      </c>
      <c r="L563" s="3"/>
      <c r="M563" s="4">
        <f t="shared" si="106"/>
        <v>56275798.80007416</v>
      </c>
      <c r="N563" s="4">
        <f t="shared" si="107"/>
        <v>0</v>
      </c>
    </row>
    <row r="564" spans="1:14" ht="15.65" outlineLevel="2">
      <c r="A564" s="5">
        <v>369</v>
      </c>
      <c r="B564" s="6">
        <v>1998</v>
      </c>
      <c r="C564" s="3">
        <v>50631852.740000002</v>
      </c>
      <c r="D564" s="3">
        <v>50631852.740000002</v>
      </c>
      <c r="F564" s="2">
        <v>37</v>
      </c>
      <c r="G564" s="3">
        <v>13.500002</v>
      </c>
      <c r="H564" s="12">
        <v>-0.29999999999999999</v>
      </c>
      <c r="I564" s="3">
        <f t="shared" si="103"/>
        <v>41805485.663896836</v>
      </c>
      <c r="J564" s="4">
        <f t="shared" si="104"/>
        <v>1.2002898360433167</v>
      </c>
      <c r="K564" s="1">
        <f t="shared" si="105"/>
        <v>50178699.533229962</v>
      </c>
      <c r="L564" s="3"/>
      <c r="M564" s="4">
        <f t="shared" si="106"/>
        <v>50178699.533229962</v>
      </c>
      <c r="N564" s="4">
        <f t="shared" si="107"/>
        <v>0</v>
      </c>
    </row>
    <row r="565" spans="1:14" ht="15.65" outlineLevel="2">
      <c r="A565" s="5">
        <v>369</v>
      </c>
      <c r="B565" s="6">
        <v>1997</v>
      </c>
      <c r="C565" s="3">
        <v>44199310.310000002</v>
      </c>
      <c r="D565" s="3">
        <v>44199310.310000002</v>
      </c>
      <c r="F565" s="2">
        <v>37</v>
      </c>
      <c r="G565" s="3">
        <v>12.500014999999999</v>
      </c>
      <c r="H565" s="12">
        <v>-0.29999999999999999</v>
      </c>
      <c r="I565" s="3">
        <f t="shared" si="103"/>
        <v>38047220.850998625</v>
      </c>
      <c r="J565" s="4">
        <f t="shared" si="104"/>
        <v>1.2002898360433167</v>
      </c>
      <c r="K565" s="1">
        <f t="shared" si="105"/>
        <v>45667692.477149002</v>
      </c>
      <c r="L565" s="3"/>
      <c r="M565" s="4">
        <f t="shared" si="106"/>
        <v>45667692.477149002</v>
      </c>
      <c r="N565" s="4">
        <f t="shared" si="107"/>
        <v>0</v>
      </c>
    </row>
    <row r="566" spans="1:14" ht="15.65" outlineLevel="2">
      <c r="A566" s="5">
        <v>369</v>
      </c>
      <c r="B566" s="6">
        <v>1996</v>
      </c>
      <c r="C566" s="3">
        <v>38331640.420000002</v>
      </c>
      <c r="D566" s="3">
        <v>38331640.420000002</v>
      </c>
      <c r="F566" s="2">
        <v>37</v>
      </c>
      <c r="G566" s="3">
        <v>11.500097</v>
      </c>
      <c r="H566" s="12">
        <v>-0.29999999999999999</v>
      </c>
      <c r="I566" s="3">
        <f t="shared" si="103"/>
        <v>34342947.197382249</v>
      </c>
      <c r="J566" s="4">
        <f t="shared" si="104"/>
        <v>1.2002898360433167</v>
      </c>
      <c r="K566" s="1">
        <f t="shared" si="105"/>
        <v>41221490.460790224</v>
      </c>
      <c r="L566" s="3"/>
      <c r="M566" s="4">
        <f t="shared" si="106"/>
        <v>41221490.460790224</v>
      </c>
      <c r="N566" s="4">
        <f t="shared" si="107"/>
        <v>0</v>
      </c>
    </row>
    <row r="567" spans="1:14" ht="15.65" outlineLevel="2">
      <c r="A567" s="5">
        <v>369</v>
      </c>
      <c r="B567" s="6">
        <v>1995</v>
      </c>
      <c r="C567" s="3">
        <v>40676615.210000001</v>
      </c>
      <c r="D567" s="3">
        <v>40676615.210000001</v>
      </c>
      <c r="F567" s="2">
        <v>37</v>
      </c>
      <c r="G567" s="3">
        <v>10.500549</v>
      </c>
      <c r="H567" s="12">
        <v>-0.29999999999999999</v>
      </c>
      <c r="I567" s="3">
        <f t="shared" si="103"/>
        <v>37872442.245519586</v>
      </c>
      <c r="J567" s="4">
        <f t="shared" si="104"/>
        <v>1.2002898360433167</v>
      </c>
      <c r="K567" s="1">
        <f t="shared" si="105"/>
        <v>45457907.493434682</v>
      </c>
      <c r="L567" s="3"/>
      <c r="M567" s="4">
        <f t="shared" si="106"/>
        <v>45457907.493434675</v>
      </c>
      <c r="N567" s="4">
        <f t="shared" si="107"/>
        <v>0</v>
      </c>
    </row>
    <row r="568" spans="1:14" ht="15.65" outlineLevel="2">
      <c r="A568" s="5">
        <v>369</v>
      </c>
      <c r="B568" s="6">
        <v>1994</v>
      </c>
      <c r="C568" s="3">
        <v>34768203.140000001</v>
      </c>
      <c r="D568" s="3">
        <v>34768203.140000001</v>
      </c>
      <c r="F568" s="2">
        <v>37</v>
      </c>
      <c r="G568" s="3">
        <v>9.5024329999999999</v>
      </c>
      <c r="H568" s="12">
        <v>-0.29999999999999999</v>
      </c>
      <c r="I568" s="3">
        <f t="shared" si="103"/>
        <v>33590629.565007798</v>
      </c>
      <c r="J568" s="4">
        <f t="shared" si="104"/>
        <v>1.2002898360433167</v>
      </c>
      <c r="K568" s="1">
        <f t="shared" si="105"/>
        <v>40318491.253174998</v>
      </c>
      <c r="L568" s="3"/>
      <c r="M568" s="4">
        <f t="shared" si="106"/>
        <v>40318491.253174998</v>
      </c>
      <c r="N568" s="4">
        <f t="shared" si="107"/>
        <v>0</v>
      </c>
    </row>
    <row r="569" spans="1:14" ht="15.65" outlineLevel="2">
      <c r="A569" s="5">
        <v>369</v>
      </c>
      <c r="B569" s="6">
        <v>1993</v>
      </c>
      <c r="C569" s="3">
        <v>21701834.379999999</v>
      </c>
      <c r="D569" s="3">
        <v>21701834.379999999</v>
      </c>
      <c r="F569" s="2">
        <v>37</v>
      </c>
      <c r="G569" s="3">
        <v>8.5087259999999993</v>
      </c>
      <c r="H569" s="12">
        <v>-0.29999999999999999</v>
      </c>
      <c r="I569" s="3">
        <f t="shared" si="103"/>
        <v>21724507.635409731</v>
      </c>
      <c r="J569" s="4">
        <f t="shared" si="104"/>
        <v>1.2002898360433167</v>
      </c>
      <c r="K569" s="1">
        <f t="shared" si="105"/>
        <v>26075705.707827728</v>
      </c>
      <c r="L569" s="3"/>
      <c r="M569" s="4">
        <f t="shared" si="106"/>
        <v>26075705.707827732</v>
      </c>
      <c r="N569" s="4">
        <f t="shared" si="107"/>
        <v>0</v>
      </c>
    </row>
    <row r="570" spans="1:14" ht="15.65" outlineLevel="2">
      <c r="A570" s="5">
        <v>369</v>
      </c>
      <c r="B570" s="6">
        <v>1992</v>
      </c>
      <c r="C570" s="3">
        <v>48013805.649999999</v>
      </c>
      <c r="D570" s="3">
        <v>48013805.649999999</v>
      </c>
      <c r="F570" s="2">
        <v>37</v>
      </c>
      <c r="G570" s="3">
        <v>7.5272730000000001</v>
      </c>
      <c r="H570" s="12">
        <v>-0.29999999999999999</v>
      </c>
      <c r="I570" s="3">
        <f t="shared" si="103"/>
        <v>49719651.945934042</v>
      </c>
      <c r="J570" s="4">
        <f t="shared" si="104"/>
        <v>1.2002898360433167</v>
      </c>
      <c r="K570" s="1">
        <f t="shared" si="105"/>
        <v>59677992.882315949</v>
      </c>
      <c r="L570" s="3"/>
      <c r="M570" s="4">
        <f t="shared" si="106"/>
        <v>59677992.882315949</v>
      </c>
      <c r="N570" s="4">
        <f t="shared" si="107"/>
        <v>0</v>
      </c>
    </row>
    <row r="571" spans="1:14" ht="15.65" outlineLevel="2">
      <c r="A571" s="5">
        <v>369</v>
      </c>
      <c r="B571" s="6">
        <v>1991</v>
      </c>
      <c r="C571" s="3">
        <v>25310368.84</v>
      </c>
      <c r="D571" s="3">
        <v>25310368.84</v>
      </c>
      <c r="F571" s="2">
        <v>37</v>
      </c>
      <c r="G571" s="3">
        <v>6.5717980000000003</v>
      </c>
      <c r="H571" s="12">
        <v>-0.29999999999999999</v>
      </c>
      <c r="I571" s="3">
        <f t="shared" si="103"/>
        <v>27059289.742849555</v>
      </c>
      <c r="J571" s="4">
        <f t="shared" si="104"/>
        <v>1.2002898360433167</v>
      </c>
      <c r="K571" s="1">
        <f t="shared" si="105"/>
        <v>32478990.448893495</v>
      </c>
      <c r="L571" s="3"/>
      <c r="M571" s="4">
        <f t="shared" si="106"/>
        <v>32478990.448893495</v>
      </c>
      <c r="N571" s="4">
        <f t="shared" si="107"/>
        <v>0</v>
      </c>
    </row>
    <row r="572" spans="1:14" ht="15.65" outlineLevel="2">
      <c r="A572" s="5">
        <v>369</v>
      </c>
      <c r="B572" s="6">
        <v>1990</v>
      </c>
      <c r="C572" s="3">
        <v>30264905.120000001</v>
      </c>
      <c r="D572" s="3">
        <v>30264905.120000001</v>
      </c>
      <c r="F572" s="2">
        <v>37</v>
      </c>
      <c r="G572" s="3">
        <v>5.6619830000000002</v>
      </c>
      <c r="H572" s="12">
        <v>-0.29999999999999999</v>
      </c>
      <c r="I572" s="3">
        <f t="shared" si="103"/>
        <v>33323641.74324679</v>
      </c>
      <c r="J572" s="4">
        <f t="shared" si="104"/>
        <v>1.2002898360433167</v>
      </c>
      <c r="K572" s="1">
        <f t="shared" si="105"/>
        <v>39344376.656000003</v>
      </c>
      <c r="L572" s="3"/>
      <c r="M572" s="4">
        <f t="shared" si="106"/>
        <v>39344376.656000003</v>
      </c>
      <c r="N572" s="4">
        <f t="shared" si="107"/>
        <v>0</v>
      </c>
    </row>
    <row r="573" spans="1:14" ht="15.65" outlineLevel="2">
      <c r="A573" s="5">
        <v>369</v>
      </c>
      <c r="B573" s="6">
        <v>1989</v>
      </c>
      <c r="C573" s="3">
        <v>23130252.670000002</v>
      </c>
      <c r="D573" s="3">
        <v>23130252.670000002</v>
      </c>
      <c r="F573" s="2">
        <v>37</v>
      </c>
      <c r="G573" s="3">
        <v>4.8231200000000003</v>
      </c>
      <c r="H573" s="12">
        <v>-0.29999999999999999</v>
      </c>
      <c r="I573" s="3">
        <f t="shared" si="108" ref="I573:I604">+C573*(1-H573)*(1-G573/F573)</f>
        <v>26149653.348431095</v>
      </c>
      <c r="J573" s="4">
        <f t="shared" si="109" ref="J573:J604">$J$629</f>
        <v>1.2002898360433167</v>
      </c>
      <c r="K573" s="1">
        <f t="shared" si="110" ref="K573:K604">IF((C573*(1-H573)-I573*J573)&lt;0,C573*(1-H573),I573*J573)</f>
        <v>30069328.471000005</v>
      </c>
      <c r="L573" s="3"/>
      <c r="M573" s="4">
        <f t="shared" si="111" ref="M573:M604">+K573/D573*C573</f>
        <v>30069328.471000005</v>
      </c>
      <c r="N573" s="4">
        <f t="shared" si="112" ref="N573:N604">+E573/C573*K573</f>
        <v>0</v>
      </c>
    </row>
    <row r="574" spans="1:14" ht="15.65" outlineLevel="2">
      <c r="A574" s="5">
        <v>369</v>
      </c>
      <c r="B574" s="6">
        <v>1988</v>
      </c>
      <c r="C574" s="3">
        <v>15937352.039999999</v>
      </c>
      <c r="D574" s="3">
        <v>15937352.039999999</v>
      </c>
      <c r="F574" s="2">
        <v>37</v>
      </c>
      <c r="G574" s="3">
        <v>4.0766489999999997</v>
      </c>
      <c r="H574" s="12">
        <v>-0.29999999999999999</v>
      </c>
      <c r="I574" s="3">
        <f t="shared" si="108"/>
        <v>18435793.129473832</v>
      </c>
      <c r="J574" s="4">
        <f t="shared" si="109"/>
        <v>1.2002898360433167</v>
      </c>
      <c r="K574" s="1">
        <f t="shared" si="110"/>
        <v>20718557.651999999</v>
      </c>
      <c r="L574" s="3"/>
      <c r="M574" s="4">
        <f t="shared" si="111"/>
        <v>20718557.651999999</v>
      </c>
      <c r="N574" s="4">
        <f t="shared" si="112"/>
        <v>0</v>
      </c>
    </row>
    <row r="575" spans="1:14" ht="15.65" outlineLevel="2">
      <c r="A575" s="5">
        <v>369</v>
      </c>
      <c r="B575" s="6">
        <v>1987</v>
      </c>
      <c r="C575" s="3">
        <v>6936355.9500000002</v>
      </c>
      <c r="D575" s="3">
        <v>6936355.9500000002</v>
      </c>
      <c r="F575" s="2">
        <v>37</v>
      </c>
      <c r="G575" s="3">
        <v>3.431711</v>
      </c>
      <c r="H575" s="12">
        <v>-0.29999999999999999</v>
      </c>
      <c r="I575" s="3">
        <f t="shared" si="108"/>
        <v>8180921.1210110933</v>
      </c>
      <c r="J575" s="4">
        <f t="shared" si="109"/>
        <v>1.2002898360433167</v>
      </c>
      <c r="K575" s="1">
        <f t="shared" si="110"/>
        <v>9017262.7350000013</v>
      </c>
      <c r="L575" s="3"/>
      <c r="M575" s="4">
        <f t="shared" si="111"/>
        <v>9017262.7350000013</v>
      </c>
      <c r="N575" s="4">
        <f t="shared" si="112"/>
        <v>0</v>
      </c>
    </row>
    <row r="576" spans="1:14" ht="15.65" outlineLevel="2">
      <c r="A576" s="5">
        <v>369</v>
      </c>
      <c r="B576" s="6">
        <v>1986</v>
      </c>
      <c r="C576" s="3">
        <v>5265478.3799999999</v>
      </c>
      <c r="D576" s="3">
        <v>5265478.3799999999</v>
      </c>
      <c r="F576" s="2">
        <v>37</v>
      </c>
      <c r="G576" s="3">
        <v>2.890317</v>
      </c>
      <c r="H576" s="12">
        <v>-0.29999999999999999</v>
      </c>
      <c r="I576" s="3">
        <f t="shared" si="108"/>
        <v>6310403.7270459356</v>
      </c>
      <c r="J576" s="4">
        <f t="shared" si="109"/>
        <v>1.2002898360433167</v>
      </c>
      <c r="K576" s="1">
        <f t="shared" si="110"/>
        <v>6845121.8940000003</v>
      </c>
      <c r="L576" s="3"/>
      <c r="M576" s="4">
        <f t="shared" si="111"/>
        <v>6845121.8940000003</v>
      </c>
      <c r="N576" s="4">
        <f t="shared" si="112"/>
        <v>0</v>
      </c>
    </row>
    <row r="577" spans="1:14" ht="15.65" outlineLevel="2">
      <c r="A577" s="5">
        <v>369</v>
      </c>
      <c r="B577" s="6">
        <v>1985</v>
      </c>
      <c r="C577" s="3">
        <v>3724321.5299999998</v>
      </c>
      <c r="D577" s="3">
        <v>3724321.5299999998</v>
      </c>
      <c r="F577" s="2">
        <v>37</v>
      </c>
      <c r="G577" s="3">
        <v>2.446844</v>
      </c>
      <c r="H577" s="12">
        <v>-0.29999999999999999</v>
      </c>
      <c r="I577" s="3">
        <f t="shared" si="108"/>
        <v>4521437.3423330616</v>
      </c>
      <c r="J577" s="4">
        <f t="shared" si="109"/>
        <v>1.2002898360433167</v>
      </c>
      <c r="K577" s="1">
        <f t="shared" si="110"/>
        <v>4841617.9890000001</v>
      </c>
      <c r="L577" s="3"/>
      <c r="M577" s="4">
        <f t="shared" si="111"/>
        <v>4841617.9890000001</v>
      </c>
      <c r="N577" s="4">
        <f t="shared" si="112"/>
        <v>0</v>
      </c>
    </row>
    <row r="578" spans="1:14" ht="15.65" outlineLevel="2">
      <c r="A578" s="5">
        <v>369</v>
      </c>
      <c r="B578" s="6">
        <v>1984</v>
      </c>
      <c r="C578" s="3">
        <v>7214139.6799999997</v>
      </c>
      <c r="D578" s="3">
        <v>7214139.6799999997</v>
      </c>
      <c r="F578" s="2">
        <v>37</v>
      </c>
      <c r="G578" s="3">
        <v>2.0854279999999998</v>
      </c>
      <c r="H578" s="12">
        <v>-0.29999999999999999</v>
      </c>
      <c r="I578" s="3">
        <f t="shared" si="108"/>
        <v>8849788.6231903266</v>
      </c>
      <c r="J578" s="4">
        <f t="shared" si="109"/>
        <v>1.2002898360433167</v>
      </c>
      <c r="K578" s="1">
        <f t="shared" si="110"/>
        <v>9378381.5840000007</v>
      </c>
      <c r="L578" s="3"/>
      <c r="M578" s="4">
        <f t="shared" si="111"/>
        <v>9378381.5840000007</v>
      </c>
      <c r="N578" s="4">
        <f t="shared" si="112"/>
        <v>0</v>
      </c>
    </row>
    <row r="579" spans="1:14" ht="15.65" outlineLevel="2">
      <c r="A579" s="5">
        <v>369</v>
      </c>
      <c r="B579" s="6">
        <v>1983</v>
      </c>
      <c r="C579" s="3">
        <v>7553119.9000000004</v>
      </c>
      <c r="D579" s="3">
        <v>7553119.9000000004</v>
      </c>
      <c r="F579" s="2">
        <v>37</v>
      </c>
      <c r="G579" s="3">
        <v>1.795045</v>
      </c>
      <c r="H579" s="12">
        <v>-0.29999999999999999</v>
      </c>
      <c r="I579" s="3">
        <f t="shared" si="108"/>
        <v>9342687.0282658357</v>
      </c>
      <c r="J579" s="4">
        <f t="shared" si="109"/>
        <v>1.2002898360433167</v>
      </c>
      <c r="K579" s="1">
        <f t="shared" si="110"/>
        <v>9819055.870000001</v>
      </c>
      <c r="L579" s="3"/>
      <c r="M579" s="4">
        <f t="shared" si="111"/>
        <v>9819055.870000001</v>
      </c>
      <c r="N579" s="4">
        <f t="shared" si="112"/>
        <v>0</v>
      </c>
    </row>
    <row r="580" spans="1:14" ht="15.65" outlineLevel="2">
      <c r="A580" s="5">
        <v>369</v>
      </c>
      <c r="B580" s="6">
        <v>1982</v>
      </c>
      <c r="C580" s="3">
        <v>5316689.4500000002</v>
      </c>
      <c r="D580" s="3">
        <v>5316689.4500000002</v>
      </c>
      <c r="F580" s="2">
        <v>37</v>
      </c>
      <c r="G580" s="3">
        <v>1.5580339999999999</v>
      </c>
      <c r="H580" s="12">
        <v>-0.29999999999999999</v>
      </c>
      <c r="I580" s="3">
        <f t="shared" si="108"/>
        <v>6620651.4793323325</v>
      </c>
      <c r="J580" s="4">
        <f t="shared" si="109"/>
        <v>1.2002898360433167</v>
      </c>
      <c r="K580" s="1">
        <f t="shared" si="110"/>
        <v>6911696.2850000001</v>
      </c>
      <c r="L580" s="3"/>
      <c r="M580" s="4">
        <f t="shared" si="111"/>
        <v>6911696.2850000001</v>
      </c>
      <c r="N580" s="4">
        <f t="shared" si="112"/>
        <v>0</v>
      </c>
    </row>
    <row r="581" spans="1:14" ht="15.65" outlineLevel="2">
      <c r="A581" s="5">
        <v>369</v>
      </c>
      <c r="B581" s="6">
        <v>1981</v>
      </c>
      <c r="C581" s="3">
        <v>5739171.9900000002</v>
      </c>
      <c r="D581" s="3">
        <v>5739171.9900000002</v>
      </c>
      <c r="F581" s="2">
        <v>37</v>
      </c>
      <c r="G581" s="3">
        <v>1.3639730000000001</v>
      </c>
      <c r="H581" s="12">
        <v>-0.29999999999999999</v>
      </c>
      <c r="I581" s="3">
        <f t="shared" si="108"/>
        <v>7185883.0916559156</v>
      </c>
      <c r="J581" s="4">
        <f t="shared" si="109"/>
        <v>1.2002898360433167</v>
      </c>
      <c r="K581" s="1">
        <f t="shared" si="110"/>
        <v>7460923.5870000003</v>
      </c>
      <c r="L581" s="3"/>
      <c r="M581" s="4">
        <f t="shared" si="111"/>
        <v>7460923.5870000003</v>
      </c>
      <c r="N581" s="4">
        <f t="shared" si="112"/>
        <v>0</v>
      </c>
    </row>
    <row r="582" spans="1:14" ht="15.65" outlineLevel="2">
      <c r="A582" s="5">
        <v>369</v>
      </c>
      <c r="B582" s="6">
        <v>1980</v>
      </c>
      <c r="C582" s="3">
        <v>3791317.7599999998</v>
      </c>
      <c r="D582" s="3">
        <v>3791317.7599999998</v>
      </c>
      <c r="F582" s="2">
        <v>37</v>
      </c>
      <c r="G582" s="3">
        <v>1.209695</v>
      </c>
      <c r="H582" s="12">
        <v>-0.29999999999999999</v>
      </c>
      <c r="I582" s="3">
        <f t="shared" si="108"/>
        <v>4767571.4777570758</v>
      </c>
      <c r="J582" s="4">
        <f t="shared" si="109"/>
        <v>1.2002898360433167</v>
      </c>
      <c r="K582" s="1">
        <f t="shared" si="110"/>
        <v>4928713.0879999995</v>
      </c>
      <c r="L582" s="3"/>
      <c r="M582" s="4">
        <f t="shared" si="111"/>
        <v>4928713.0879999995</v>
      </c>
      <c r="N582" s="4">
        <f t="shared" si="112"/>
        <v>0</v>
      </c>
    </row>
    <row r="583" spans="1:14" ht="15.65" outlineLevel="2">
      <c r="A583" s="5">
        <v>369</v>
      </c>
      <c r="B583" s="6">
        <v>1979</v>
      </c>
      <c r="C583" s="3">
        <v>3120133.2000000002</v>
      </c>
      <c r="D583" s="3">
        <v>3120133.2000000002</v>
      </c>
      <c r="F583" s="2">
        <v>37</v>
      </c>
      <c r="G583" s="3">
        <v>1.082751</v>
      </c>
      <c r="H583" s="12">
        <v>-0.29999999999999999</v>
      </c>
      <c r="I583" s="3">
        <f t="shared" si="108"/>
        <v>3937475.1722928877</v>
      </c>
      <c r="J583" s="4">
        <f t="shared" si="109"/>
        <v>1.2002898360433167</v>
      </c>
      <c r="K583" s="1">
        <f t="shared" si="110"/>
        <v>4056173.1600000001</v>
      </c>
      <c r="L583" s="3"/>
      <c r="M583" s="4">
        <f t="shared" si="111"/>
        <v>4056173.1600000001</v>
      </c>
      <c r="N583" s="4">
        <f t="shared" si="112"/>
        <v>0</v>
      </c>
    </row>
    <row r="584" spans="1:14" ht="15.65" outlineLevel="2">
      <c r="A584" s="5">
        <v>369</v>
      </c>
      <c r="B584" s="6">
        <v>1978</v>
      </c>
      <c r="C584" s="3">
        <v>3855146.21</v>
      </c>
      <c r="D584" s="3">
        <v>3855146.21</v>
      </c>
      <c r="F584" s="2">
        <v>37</v>
      </c>
      <c r="G584" s="3">
        <v>0.97013700000000003</v>
      </c>
      <c r="H584" s="12">
        <v>-0.29999999999999999</v>
      </c>
      <c r="I584" s="3">
        <f t="shared" si="108"/>
        <v>4880283.9656391889</v>
      </c>
      <c r="J584" s="4">
        <f t="shared" si="109"/>
        <v>1.2002898360433167</v>
      </c>
      <c r="K584" s="1">
        <f t="shared" si="110"/>
        <v>5011690.0729999999</v>
      </c>
      <c r="L584" s="3"/>
      <c r="M584" s="4">
        <f t="shared" si="111"/>
        <v>5011690.0729999999</v>
      </c>
      <c r="N584" s="4">
        <f t="shared" si="112"/>
        <v>0</v>
      </c>
    </row>
    <row r="585" spans="1:14" ht="15.65" outlineLevel="2">
      <c r="A585" s="5">
        <v>369</v>
      </c>
      <c r="B585" s="6">
        <v>1977</v>
      </c>
      <c r="C585" s="3">
        <v>2972573.1000000001</v>
      </c>
      <c r="D585" s="3">
        <v>2972573.1000000001</v>
      </c>
      <c r="F585" s="2">
        <v>37</v>
      </c>
      <c r="G585" s="3">
        <v>0.87960099999999997</v>
      </c>
      <c r="H585" s="12">
        <v>-0.29999999999999999</v>
      </c>
      <c r="I585" s="3">
        <f t="shared" si="108"/>
        <v>3772477.95560181</v>
      </c>
      <c r="J585" s="4">
        <f t="shared" si="109"/>
        <v>1.2002898360433167</v>
      </c>
      <c r="K585" s="1">
        <f t="shared" si="110"/>
        <v>3864345.0300000003</v>
      </c>
      <c r="L585" s="3"/>
      <c r="M585" s="4">
        <f t="shared" si="111"/>
        <v>3864345.0300000003</v>
      </c>
      <c r="N585" s="4">
        <f t="shared" si="112"/>
        <v>0</v>
      </c>
    </row>
    <row r="586" spans="1:14" ht="15.65" outlineLevel="2">
      <c r="A586" s="5">
        <v>369</v>
      </c>
      <c r="B586" s="6">
        <v>1976</v>
      </c>
      <c r="C586" s="3">
        <v>3154306.6499999999</v>
      </c>
      <c r="D586" s="3">
        <v>3154306.6499999999</v>
      </c>
      <c r="F586" s="2">
        <v>37</v>
      </c>
      <c r="G586" s="3">
        <v>0.81591999999999998</v>
      </c>
      <c r="H586" s="12">
        <v>-0.29999999999999999</v>
      </c>
      <c r="I586" s="3">
        <f t="shared" si="108"/>
        <v>4010172.6869884212</v>
      </c>
      <c r="J586" s="4">
        <f t="shared" si="109"/>
        <v>1.2002898360433167</v>
      </c>
      <c r="K586" s="1">
        <f t="shared" si="110"/>
        <v>4100598.645</v>
      </c>
      <c r="L586" s="3"/>
      <c r="M586" s="4">
        <f t="shared" si="111"/>
        <v>4100598.645</v>
      </c>
      <c r="N586" s="4">
        <f t="shared" si="112"/>
        <v>0</v>
      </c>
    </row>
    <row r="587" spans="1:14" ht="15.65" outlineLevel="2">
      <c r="A587" s="5">
        <v>369</v>
      </c>
      <c r="B587" s="6">
        <v>1975</v>
      </c>
      <c r="C587" s="3">
        <v>2390312.5499999998</v>
      </c>
      <c r="D587" s="3">
        <v>2390312.5499999998</v>
      </c>
      <c r="F587" s="2">
        <v>37</v>
      </c>
      <c r="G587" s="3">
        <v>0.74514400000000003</v>
      </c>
      <c r="H587" s="12">
        <v>-0.29999999999999999</v>
      </c>
      <c r="I587" s="3">
        <f t="shared" si="108"/>
        <v>3044826.1752382605</v>
      </c>
      <c r="J587" s="4">
        <f t="shared" si="109"/>
        <v>1.2002898360433167</v>
      </c>
      <c r="K587" s="1">
        <f t="shared" si="110"/>
        <v>3107406.3149999999</v>
      </c>
      <c r="L587" s="3"/>
      <c r="M587" s="4">
        <f t="shared" si="111"/>
        <v>3107406.3149999999</v>
      </c>
      <c r="N587" s="4">
        <f t="shared" si="112"/>
        <v>0</v>
      </c>
    </row>
    <row r="588" spans="1:14" ht="15.65" outlineLevel="2">
      <c r="A588" s="5">
        <v>369</v>
      </c>
      <c r="B588" s="6">
        <v>1974</v>
      </c>
      <c r="C588" s="3">
        <v>2399046.1400000001</v>
      </c>
      <c r="D588" s="3">
        <v>2399046.1400000001</v>
      </c>
      <c r="F588" s="2">
        <v>37</v>
      </c>
      <c r="G588" s="3">
        <v>0.68741399999999997</v>
      </c>
      <c r="H588" s="12">
        <v>-0.29999999999999999</v>
      </c>
      <c r="I588" s="3">
        <f t="shared" si="108"/>
        <v>3060817.2989117149</v>
      </c>
      <c r="J588" s="4">
        <f t="shared" si="109"/>
        <v>1.2002898360433167</v>
      </c>
      <c r="K588" s="1">
        <f t="shared" si="110"/>
        <v>3118759.9820000003</v>
      </c>
      <c r="L588" s="3"/>
      <c r="M588" s="4">
        <f t="shared" si="111"/>
        <v>3118759.9820000003</v>
      </c>
      <c r="N588" s="4">
        <f t="shared" si="112"/>
        <v>0</v>
      </c>
    </row>
    <row r="589" spans="1:14" ht="15.65" outlineLevel="2">
      <c r="A589" s="5">
        <v>369</v>
      </c>
      <c r="B589" s="6">
        <v>1973</v>
      </c>
      <c r="C589" s="3">
        <v>2707654.3100000001</v>
      </c>
      <c r="D589" s="3">
        <v>2707654.3100000001</v>
      </c>
      <c r="F589" s="2">
        <v>37</v>
      </c>
      <c r="G589" s="3">
        <v>0.65559800000000001</v>
      </c>
      <c r="H589" s="12">
        <v>-0.29999999999999999</v>
      </c>
      <c r="I589" s="3">
        <f t="shared" si="108"/>
        <v>3457581.0739344438</v>
      </c>
      <c r="J589" s="4">
        <f t="shared" si="109"/>
        <v>1.2002898360433167</v>
      </c>
      <c r="K589" s="1">
        <f t="shared" si="110"/>
        <v>3519950.6030000001</v>
      </c>
      <c r="L589" s="3"/>
      <c r="M589" s="4">
        <f t="shared" si="111"/>
        <v>3519950.6030000001</v>
      </c>
      <c r="N589" s="4">
        <f t="shared" si="112"/>
        <v>0</v>
      </c>
    </row>
    <row r="590" spans="1:14" ht="15.65" outlineLevel="2">
      <c r="A590" s="5">
        <v>369</v>
      </c>
      <c r="B590" s="6">
        <v>1972</v>
      </c>
      <c r="C590" s="3">
        <v>3042283.8199999998</v>
      </c>
      <c r="D590" s="3">
        <v>3042283.8199999998</v>
      </c>
      <c r="F590" s="2">
        <v>37</v>
      </c>
      <c r="G590" s="3">
        <v>0.60446500000000003</v>
      </c>
      <c r="H590" s="12">
        <v>-0.29999999999999999</v>
      </c>
      <c r="I590" s="3">
        <f t="shared" si="108"/>
        <v>3890357.0655666706</v>
      </c>
      <c r="J590" s="4">
        <f t="shared" si="109"/>
        <v>1.2002898360433167</v>
      </c>
      <c r="K590" s="1">
        <f t="shared" si="110"/>
        <v>3954968.966</v>
      </c>
      <c r="L590" s="3"/>
      <c r="M590" s="4">
        <f t="shared" si="111"/>
        <v>3954968.966</v>
      </c>
      <c r="N590" s="4">
        <f t="shared" si="112"/>
        <v>0</v>
      </c>
    </row>
    <row r="591" spans="1:14" ht="15.65" outlineLevel="2">
      <c r="A591" s="5">
        <v>369</v>
      </c>
      <c r="B591" s="6">
        <v>1971</v>
      </c>
      <c r="C591" s="3">
        <v>2174831.3799999999</v>
      </c>
      <c r="D591" s="3">
        <v>2174831.3799999999</v>
      </c>
      <c r="F591" s="2">
        <v>37</v>
      </c>
      <c r="G591" s="3">
        <v>0.28000000000000003</v>
      </c>
      <c r="H591" s="12">
        <v>-0.29999999999999999</v>
      </c>
      <c r="I591" s="3">
        <f t="shared" si="108"/>
        <v>2805885.1555589186</v>
      </c>
      <c r="J591" s="4">
        <f t="shared" si="109"/>
        <v>1.2002898360433167</v>
      </c>
      <c r="K591" s="1">
        <f t="shared" si="110"/>
        <v>2827280.7939999998</v>
      </c>
      <c r="L591" s="3"/>
      <c r="M591" s="4">
        <f t="shared" si="111"/>
        <v>2827280.7939999998</v>
      </c>
      <c r="N591" s="4">
        <f t="shared" si="112"/>
        <v>0</v>
      </c>
    </row>
    <row r="592" spans="1:14" ht="15.65" outlineLevel="2">
      <c r="A592" s="5">
        <v>369</v>
      </c>
      <c r="B592" s="6">
        <v>1970</v>
      </c>
      <c r="C592" s="3">
        <v>3178399.3700000001</v>
      </c>
      <c r="D592" s="3">
        <v>3178399.3700000001</v>
      </c>
      <c r="F592" s="2">
        <v>37</v>
      </c>
      <c r="G592" s="3">
        <v>0</v>
      </c>
      <c r="H592" s="12">
        <v>-0.29999999999999999</v>
      </c>
      <c r="I592" s="3">
        <f t="shared" si="108"/>
        <v>4131919.1810000003</v>
      </c>
      <c r="J592" s="4">
        <f t="shared" si="109"/>
        <v>1.2002898360433167</v>
      </c>
      <c r="K592" s="1">
        <f t="shared" si="110"/>
        <v>4131919.1810000003</v>
      </c>
      <c r="L592" s="3"/>
      <c r="M592" s="4">
        <f t="shared" si="111"/>
        <v>4131919.1810000003</v>
      </c>
      <c r="N592" s="4">
        <f t="shared" si="112"/>
        <v>0</v>
      </c>
    </row>
    <row r="593" spans="1:14" ht="15.65" outlineLevel="2">
      <c r="A593" s="5">
        <v>369</v>
      </c>
      <c r="B593" s="6">
        <v>1969</v>
      </c>
      <c r="C593" s="3">
        <v>2971240.71</v>
      </c>
      <c r="D593" s="3">
        <v>2971240.71</v>
      </c>
      <c r="F593" s="2">
        <v>37</v>
      </c>
      <c r="G593" s="3">
        <v>0</v>
      </c>
      <c r="H593" s="12">
        <v>-0.29999999999999999</v>
      </c>
      <c r="I593" s="3">
        <f t="shared" si="108"/>
        <v>3862612.923</v>
      </c>
      <c r="J593" s="4">
        <f t="shared" si="109"/>
        <v>1.2002898360433167</v>
      </c>
      <c r="K593" s="1">
        <f t="shared" si="110"/>
        <v>3862612.923</v>
      </c>
      <c r="L593" s="3"/>
      <c r="M593" s="4">
        <f t="shared" si="111"/>
        <v>3862612.923</v>
      </c>
      <c r="N593" s="4">
        <f t="shared" si="112"/>
        <v>0</v>
      </c>
    </row>
    <row r="594" spans="1:14" ht="15.65" outlineLevel="2">
      <c r="A594" s="5">
        <v>369</v>
      </c>
      <c r="B594" s="6">
        <v>1968</v>
      </c>
      <c r="C594" s="3">
        <v>5897830.1900000004</v>
      </c>
      <c r="D594" s="3">
        <v>5897830.1900000004</v>
      </c>
      <c r="F594" s="2">
        <v>37</v>
      </c>
      <c r="G594" s="3">
        <v>0</v>
      </c>
      <c r="H594" s="12">
        <v>-0.29999999999999999</v>
      </c>
      <c r="I594" s="3">
        <f t="shared" si="108"/>
        <v>7667179.2470000004</v>
      </c>
      <c r="J594" s="4">
        <f t="shared" si="109"/>
        <v>1.2002898360433167</v>
      </c>
      <c r="K594" s="1">
        <f t="shared" si="110"/>
        <v>7667179.2470000004</v>
      </c>
      <c r="L594" s="3"/>
      <c r="M594" s="4">
        <f t="shared" si="111"/>
        <v>7667179.2470000004</v>
      </c>
      <c r="N594" s="4">
        <f t="shared" si="112"/>
        <v>0</v>
      </c>
    </row>
    <row r="595" spans="1:14" ht="15.65" outlineLevel="2">
      <c r="A595" s="5">
        <v>369</v>
      </c>
      <c r="B595" s="6">
        <v>1967</v>
      </c>
      <c r="C595" s="3">
        <v>3391965.25</v>
      </c>
      <c r="D595" s="3">
        <v>3391965.25</v>
      </c>
      <c r="F595" s="2">
        <v>37</v>
      </c>
      <c r="G595" s="3">
        <v>0</v>
      </c>
      <c r="H595" s="12">
        <v>-0.29999999999999999</v>
      </c>
      <c r="I595" s="3">
        <f t="shared" si="108"/>
        <v>4409554.8250000002</v>
      </c>
      <c r="J595" s="4">
        <f t="shared" si="109"/>
        <v>1.2002898360433167</v>
      </c>
      <c r="K595" s="1">
        <f t="shared" si="110"/>
        <v>4409554.8250000002</v>
      </c>
      <c r="L595" s="3"/>
      <c r="M595" s="4">
        <f t="shared" si="111"/>
        <v>4409554.8250000002</v>
      </c>
      <c r="N595" s="4">
        <f t="shared" si="112"/>
        <v>0</v>
      </c>
    </row>
    <row r="596" spans="1:14" ht="15.65" outlineLevel="2">
      <c r="A596" s="5">
        <v>369</v>
      </c>
      <c r="B596" s="6">
        <v>1966</v>
      </c>
      <c r="C596" s="3">
        <v>4894279.8600000003</v>
      </c>
      <c r="D596" s="3">
        <v>4894279.8600000003</v>
      </c>
      <c r="F596" s="2">
        <v>37</v>
      </c>
      <c r="G596" s="3">
        <v>0</v>
      </c>
      <c r="H596" s="12">
        <v>-0.29999999999999999</v>
      </c>
      <c r="I596" s="3">
        <f t="shared" si="108"/>
        <v>6362563.8180000009</v>
      </c>
      <c r="J596" s="4">
        <f t="shared" si="109"/>
        <v>1.2002898360433167</v>
      </c>
      <c r="K596" s="1">
        <f t="shared" si="110"/>
        <v>6362563.8180000009</v>
      </c>
      <c r="L596" s="3"/>
      <c r="M596" s="4">
        <f t="shared" si="111"/>
        <v>6362563.8180000009</v>
      </c>
      <c r="N596" s="4">
        <f t="shared" si="112"/>
        <v>0</v>
      </c>
    </row>
    <row r="597" spans="1:14" ht="15.65" outlineLevel="2">
      <c r="A597" s="5">
        <v>369</v>
      </c>
      <c r="B597" s="6">
        <v>1965</v>
      </c>
      <c r="C597" s="3">
        <v>5965364.3799999999</v>
      </c>
      <c r="D597" s="3">
        <v>5965364.3799999999</v>
      </c>
      <c r="F597" s="2">
        <v>37</v>
      </c>
      <c r="G597" s="3">
        <v>0</v>
      </c>
      <c r="H597" s="12">
        <v>-0.29999999999999999</v>
      </c>
      <c r="I597" s="3">
        <f t="shared" si="108"/>
        <v>7754973.6940000001</v>
      </c>
      <c r="J597" s="4">
        <f t="shared" si="109"/>
        <v>1.2002898360433167</v>
      </c>
      <c r="K597" s="1">
        <f t="shared" si="110"/>
        <v>7754973.6940000001</v>
      </c>
      <c r="L597" s="3"/>
      <c r="M597" s="4">
        <f t="shared" si="111"/>
        <v>7754973.6940000001</v>
      </c>
      <c r="N597" s="4">
        <f t="shared" si="112"/>
        <v>0</v>
      </c>
    </row>
    <row r="598" spans="1:14" ht="15.65" outlineLevel="2">
      <c r="A598" s="5">
        <v>369</v>
      </c>
      <c r="B598" s="6">
        <v>1964</v>
      </c>
      <c r="C598" s="3">
        <v>18905.75</v>
      </c>
      <c r="D598" s="3">
        <v>18905.75</v>
      </c>
      <c r="F598" s="2">
        <v>37</v>
      </c>
      <c r="G598" s="3">
        <v>0</v>
      </c>
      <c r="H598" s="12">
        <v>-0.29999999999999999</v>
      </c>
      <c r="I598" s="3">
        <f t="shared" si="108"/>
        <v>24577.475000000002</v>
      </c>
      <c r="J598" s="4">
        <f t="shared" si="109"/>
        <v>1.2002898360433167</v>
      </c>
      <c r="K598" s="1">
        <f t="shared" si="110"/>
        <v>24577.475000000002</v>
      </c>
      <c r="L598" s="3"/>
      <c r="M598" s="4">
        <f t="shared" si="111"/>
        <v>24577.475000000002</v>
      </c>
      <c r="N598" s="4">
        <f t="shared" si="112"/>
        <v>0</v>
      </c>
    </row>
    <row r="599" spans="1:14" ht="15.65" outlineLevel="2">
      <c r="A599" s="5">
        <v>369</v>
      </c>
      <c r="B599" s="6">
        <v>1963</v>
      </c>
      <c r="C599" s="3">
        <v>13832.120000000001</v>
      </c>
      <c r="D599" s="3">
        <v>13832.120000000001</v>
      </c>
      <c r="F599" s="2">
        <v>37</v>
      </c>
      <c r="G599" s="3">
        <v>0</v>
      </c>
      <c r="H599" s="12">
        <v>-0.29999999999999999</v>
      </c>
      <c r="I599" s="3">
        <f t="shared" si="108"/>
        <v>17981.756000000001</v>
      </c>
      <c r="J599" s="4">
        <f t="shared" si="109"/>
        <v>1.2002898360433167</v>
      </c>
      <c r="K599" s="1">
        <f t="shared" si="110"/>
        <v>17981.756000000001</v>
      </c>
      <c r="L599" s="3"/>
      <c r="M599" s="4">
        <f t="shared" si="111"/>
        <v>17981.756000000001</v>
      </c>
      <c r="N599" s="4">
        <f t="shared" si="112"/>
        <v>0</v>
      </c>
    </row>
    <row r="600" spans="1:14" ht="15.65" outlineLevel="2">
      <c r="A600" s="5">
        <v>369</v>
      </c>
      <c r="B600" s="6">
        <v>1962</v>
      </c>
      <c r="C600" s="3">
        <v>24391.09</v>
      </c>
      <c r="D600" s="3">
        <v>24391.09</v>
      </c>
      <c r="F600" s="2">
        <v>37</v>
      </c>
      <c r="G600" s="3">
        <v>0</v>
      </c>
      <c r="H600" s="12">
        <v>-0.29999999999999999</v>
      </c>
      <c r="I600" s="3">
        <f t="shared" si="108"/>
        <v>31708.417000000001</v>
      </c>
      <c r="J600" s="4">
        <f t="shared" si="109"/>
        <v>1.2002898360433167</v>
      </c>
      <c r="K600" s="1">
        <f t="shared" si="110"/>
        <v>31708.417000000001</v>
      </c>
      <c r="L600" s="3"/>
      <c r="M600" s="4">
        <f t="shared" si="111"/>
        <v>31708.417000000001</v>
      </c>
      <c r="N600" s="4">
        <f t="shared" si="112"/>
        <v>0</v>
      </c>
    </row>
    <row r="601" spans="1:14" ht="15.65" outlineLevel="2">
      <c r="A601" s="5">
        <v>369</v>
      </c>
      <c r="B601" s="6">
        <v>1961</v>
      </c>
      <c r="C601" s="3">
        <v>15973.870000000001</v>
      </c>
      <c r="D601" s="3">
        <v>15973.870000000001</v>
      </c>
      <c r="F601" s="2">
        <v>37</v>
      </c>
      <c r="G601" s="3">
        <v>0</v>
      </c>
      <c r="H601" s="12">
        <v>-0.29999999999999999</v>
      </c>
      <c r="I601" s="3">
        <f t="shared" si="108"/>
        <v>20766.031000000003</v>
      </c>
      <c r="J601" s="4">
        <f t="shared" si="109"/>
        <v>1.2002898360433167</v>
      </c>
      <c r="K601" s="1">
        <f t="shared" si="110"/>
        <v>20766.031000000003</v>
      </c>
      <c r="L601" s="3"/>
      <c r="M601" s="4">
        <f t="shared" si="111"/>
        <v>20766.031000000003</v>
      </c>
      <c r="N601" s="4">
        <f t="shared" si="112"/>
        <v>0</v>
      </c>
    </row>
    <row r="602" spans="1:14" ht="15.65" outlineLevel="2">
      <c r="A602" s="5">
        <v>369</v>
      </c>
      <c r="B602" s="6">
        <v>1960</v>
      </c>
      <c r="C602" s="3">
        <v>11588.370000000001</v>
      </c>
      <c r="D602" s="3">
        <v>11588.370000000001</v>
      </c>
      <c r="F602" s="2">
        <v>37</v>
      </c>
      <c r="G602" s="3">
        <v>0</v>
      </c>
      <c r="H602" s="12">
        <v>-0.29999999999999999</v>
      </c>
      <c r="I602" s="3">
        <f t="shared" si="108"/>
        <v>15064.881000000001</v>
      </c>
      <c r="J602" s="4">
        <f t="shared" si="109"/>
        <v>1.2002898360433167</v>
      </c>
      <c r="K602" s="1">
        <f t="shared" si="110"/>
        <v>15064.881000000001</v>
      </c>
      <c r="L602" s="3"/>
      <c r="M602" s="4">
        <f t="shared" si="111"/>
        <v>15064.881000000001</v>
      </c>
      <c r="N602" s="4">
        <f t="shared" si="112"/>
        <v>0</v>
      </c>
    </row>
    <row r="603" spans="1:14" ht="15.65" outlineLevel="2">
      <c r="A603" s="5">
        <v>369</v>
      </c>
      <c r="B603" s="6">
        <v>1959</v>
      </c>
      <c r="C603" s="3">
        <v>11026.450000000001</v>
      </c>
      <c r="D603" s="3">
        <v>11026.450000000001</v>
      </c>
      <c r="F603" s="2">
        <v>37</v>
      </c>
      <c r="G603" s="3">
        <v>0</v>
      </c>
      <c r="H603" s="12">
        <v>-0.29999999999999999</v>
      </c>
      <c r="I603" s="3">
        <f t="shared" si="108"/>
        <v>14334.385000000002</v>
      </c>
      <c r="J603" s="4">
        <f t="shared" si="109"/>
        <v>1.2002898360433167</v>
      </c>
      <c r="K603" s="1">
        <f t="shared" si="110"/>
        <v>14334.385000000002</v>
      </c>
      <c r="L603" s="3"/>
      <c r="M603" s="4">
        <f t="shared" si="111"/>
        <v>14334.385000000002</v>
      </c>
      <c r="N603" s="4">
        <f t="shared" si="112"/>
        <v>0</v>
      </c>
    </row>
    <row r="604" spans="1:14" ht="15.65" outlineLevel="2">
      <c r="A604" s="5">
        <v>369</v>
      </c>
      <c r="B604" s="6">
        <v>1958</v>
      </c>
      <c r="C604" s="3">
        <v>13276.139999999999</v>
      </c>
      <c r="D604" s="3">
        <v>13276.139999999999</v>
      </c>
      <c r="F604" s="2">
        <v>37</v>
      </c>
      <c r="G604" s="3">
        <v>0</v>
      </c>
      <c r="H604" s="12">
        <v>-0.29999999999999999</v>
      </c>
      <c r="I604" s="3">
        <f t="shared" si="108"/>
        <v>17258.982</v>
      </c>
      <c r="J604" s="4">
        <f t="shared" si="109"/>
        <v>1.2002898360433167</v>
      </c>
      <c r="K604" s="1">
        <f t="shared" si="110"/>
        <v>17258.982</v>
      </c>
      <c r="L604" s="3"/>
      <c r="M604" s="4">
        <f t="shared" si="111"/>
        <v>17258.982</v>
      </c>
      <c r="N604" s="4">
        <f t="shared" si="112"/>
        <v>0</v>
      </c>
    </row>
    <row r="605" spans="1:14" ht="15.65" outlineLevel="2">
      <c r="A605" s="5">
        <v>369</v>
      </c>
      <c r="B605" s="6">
        <v>1957</v>
      </c>
      <c r="C605" s="3">
        <v>5721.7299999999996</v>
      </c>
      <c r="D605" s="3">
        <v>5721.7299999999996</v>
      </c>
      <c r="F605" s="2">
        <v>37</v>
      </c>
      <c r="G605" s="3">
        <v>0</v>
      </c>
      <c r="H605" s="12">
        <v>-0.29999999999999999</v>
      </c>
      <c r="I605" s="3">
        <f t="shared" si="113" ref="I605:I628">+C605*(1-H605)*(1-G605/F605)</f>
        <v>7438.2489999999998</v>
      </c>
      <c r="J605" s="4">
        <f t="shared" si="114" ref="J605:J628">$J$629</f>
        <v>1.2002898360433167</v>
      </c>
      <c r="K605" s="1">
        <f t="shared" si="115" ref="K605:K628">IF((C605*(1-H605)-I605*J605)&lt;0,C605*(1-H605),I605*J605)</f>
        <v>7438.2489999999998</v>
      </c>
      <c r="L605" s="3"/>
      <c r="M605" s="4">
        <f t="shared" si="116" ref="M605:M628">+K605/D605*C605</f>
        <v>7438.2489999999998</v>
      </c>
      <c r="N605" s="4">
        <f t="shared" si="117" ref="N605:N628">+E605/C605*K605</f>
        <v>0</v>
      </c>
    </row>
    <row r="606" spans="1:14" ht="15.65" outlineLevel="2">
      <c r="A606" s="5">
        <v>369</v>
      </c>
      <c r="B606" s="6">
        <v>1956</v>
      </c>
      <c r="C606" s="3">
        <v>6418.8999999999996</v>
      </c>
      <c r="D606" s="3">
        <v>6418.8999999999996</v>
      </c>
      <c r="F606" s="2">
        <v>37</v>
      </c>
      <c r="G606" s="3">
        <v>0</v>
      </c>
      <c r="H606" s="12">
        <v>-0.29999999999999999</v>
      </c>
      <c r="I606" s="3">
        <f t="shared" si="113"/>
        <v>8344.5699999999997</v>
      </c>
      <c r="J606" s="4">
        <f t="shared" si="114"/>
        <v>1.2002898360433167</v>
      </c>
      <c r="K606" s="1">
        <f t="shared" si="115"/>
        <v>8344.5699999999997</v>
      </c>
      <c r="L606" s="3"/>
      <c r="M606" s="4">
        <f t="shared" si="116"/>
        <v>8344.5699999999997</v>
      </c>
      <c r="N606" s="4">
        <f t="shared" si="117"/>
        <v>0</v>
      </c>
    </row>
    <row r="607" spans="1:14" ht="15.65" outlineLevel="2">
      <c r="A607" s="5">
        <v>369</v>
      </c>
      <c r="B607" s="6">
        <v>1955</v>
      </c>
      <c r="C607" s="3">
        <v>4859.46</v>
      </c>
      <c r="D607" s="3">
        <v>4859.46</v>
      </c>
      <c r="F607" s="2">
        <v>37</v>
      </c>
      <c r="G607" s="3">
        <v>0</v>
      </c>
      <c r="H607" s="12">
        <v>-0.29999999999999999</v>
      </c>
      <c r="I607" s="3">
        <f t="shared" si="113"/>
        <v>6317.2980000000007</v>
      </c>
      <c r="J607" s="4">
        <f t="shared" si="114"/>
        <v>1.2002898360433167</v>
      </c>
      <c r="K607" s="1">
        <f t="shared" si="115"/>
        <v>6317.2980000000007</v>
      </c>
      <c r="L607" s="3"/>
      <c r="M607" s="4">
        <f t="shared" si="116"/>
        <v>6317.2980000000007</v>
      </c>
      <c r="N607" s="4">
        <f t="shared" si="117"/>
        <v>0</v>
      </c>
    </row>
    <row r="608" spans="1:14" ht="15.65" outlineLevel="2">
      <c r="A608" s="5">
        <v>369</v>
      </c>
      <c r="B608" s="6">
        <v>1954</v>
      </c>
      <c r="C608" s="3">
        <v>4195.3999999999996</v>
      </c>
      <c r="D608" s="3">
        <v>4195.3999999999996</v>
      </c>
      <c r="F608" s="2">
        <v>37</v>
      </c>
      <c r="G608" s="3">
        <v>0</v>
      </c>
      <c r="H608" s="12">
        <v>-0.29999999999999999</v>
      </c>
      <c r="I608" s="3">
        <f t="shared" si="113"/>
        <v>5454.0199999999995</v>
      </c>
      <c r="J608" s="4">
        <f t="shared" si="114"/>
        <v>1.2002898360433167</v>
      </c>
      <c r="K608" s="1">
        <f t="shared" si="115"/>
        <v>5454.0199999999995</v>
      </c>
      <c r="L608" s="3"/>
      <c r="M608" s="4">
        <f t="shared" si="116"/>
        <v>5454.0199999999995</v>
      </c>
      <c r="N608" s="4">
        <f t="shared" si="117"/>
        <v>0</v>
      </c>
    </row>
    <row r="609" spans="1:14" ht="15.65" outlineLevel="2">
      <c r="A609" s="5">
        <v>369</v>
      </c>
      <c r="B609" s="6">
        <v>1953</v>
      </c>
      <c r="C609" s="3">
        <v>5178.6400000000003</v>
      </c>
      <c r="D609" s="3">
        <v>5178.6400000000003</v>
      </c>
      <c r="F609" s="2">
        <v>37</v>
      </c>
      <c r="G609" s="3">
        <v>0</v>
      </c>
      <c r="H609" s="12">
        <v>-0.29999999999999999</v>
      </c>
      <c r="I609" s="3">
        <f t="shared" si="113"/>
        <v>6732.2320000000009</v>
      </c>
      <c r="J609" s="4">
        <f t="shared" si="114"/>
        <v>1.2002898360433167</v>
      </c>
      <c r="K609" s="1">
        <f t="shared" si="115"/>
        <v>6732.2320000000009</v>
      </c>
      <c r="L609" s="3"/>
      <c r="M609" s="4">
        <f t="shared" si="116"/>
        <v>6732.2320000000009</v>
      </c>
      <c r="N609" s="4">
        <f t="shared" si="117"/>
        <v>0</v>
      </c>
    </row>
    <row r="610" spans="1:14" ht="15.65" outlineLevel="2">
      <c r="A610" s="5">
        <v>369</v>
      </c>
      <c r="B610" s="6">
        <v>1952</v>
      </c>
      <c r="C610" s="3">
        <v>3458.0700000000002</v>
      </c>
      <c r="D610" s="3">
        <v>3458.0700000000002</v>
      </c>
      <c r="F610" s="2">
        <v>37</v>
      </c>
      <c r="G610" s="3">
        <v>0</v>
      </c>
      <c r="H610" s="12">
        <v>-0.29999999999999999</v>
      </c>
      <c r="I610" s="3">
        <f t="shared" si="113"/>
        <v>4495.491</v>
      </c>
      <c r="J610" s="4">
        <f t="shared" si="114"/>
        <v>1.2002898360433167</v>
      </c>
      <c r="K610" s="1">
        <f t="shared" si="115"/>
        <v>4495.491</v>
      </c>
      <c r="L610" s="3"/>
      <c r="M610" s="4">
        <f t="shared" si="116"/>
        <v>4495.491</v>
      </c>
      <c r="N610" s="4">
        <f t="shared" si="117"/>
        <v>0</v>
      </c>
    </row>
    <row r="611" spans="1:14" ht="15.65" outlineLevel="2">
      <c r="A611" s="5">
        <v>369</v>
      </c>
      <c r="B611" s="6">
        <v>1951</v>
      </c>
      <c r="C611" s="3">
        <v>2531.0799999999999</v>
      </c>
      <c r="D611" s="3">
        <v>2531.0799999999999</v>
      </c>
      <c r="F611" s="2">
        <v>37</v>
      </c>
      <c r="G611" s="3">
        <v>0</v>
      </c>
      <c r="H611" s="12">
        <v>-0.29999999999999999</v>
      </c>
      <c r="I611" s="3">
        <f t="shared" si="113"/>
        <v>3290.404</v>
      </c>
      <c r="J611" s="4">
        <f t="shared" si="114"/>
        <v>1.2002898360433167</v>
      </c>
      <c r="K611" s="1">
        <f t="shared" si="115"/>
        <v>3290.404</v>
      </c>
      <c r="L611" s="3"/>
      <c r="M611" s="4">
        <f t="shared" si="116"/>
        <v>3290.404</v>
      </c>
      <c r="N611" s="4">
        <f t="shared" si="117"/>
        <v>0</v>
      </c>
    </row>
    <row r="612" spans="1:14" ht="15.65" outlineLevel="2">
      <c r="A612" s="5">
        <v>369</v>
      </c>
      <c r="B612" s="6">
        <v>1950</v>
      </c>
      <c r="C612" s="3">
        <v>3416.71</v>
      </c>
      <c r="D612" s="3">
        <v>3416.71</v>
      </c>
      <c r="F612" s="2">
        <v>37</v>
      </c>
      <c r="G612" s="3">
        <v>0</v>
      </c>
      <c r="H612" s="12">
        <v>-0.29999999999999999</v>
      </c>
      <c r="I612" s="3">
        <f t="shared" si="113"/>
        <v>4441.723</v>
      </c>
      <c r="J612" s="4">
        <f t="shared" si="114"/>
        <v>1.2002898360433167</v>
      </c>
      <c r="K612" s="1">
        <f t="shared" si="115"/>
        <v>4441.723</v>
      </c>
      <c r="L612" s="3"/>
      <c r="M612" s="4">
        <f t="shared" si="116"/>
        <v>4441.723</v>
      </c>
      <c r="N612" s="4">
        <f t="shared" si="117"/>
        <v>0</v>
      </c>
    </row>
    <row r="613" spans="1:14" ht="15.65" outlineLevel="2">
      <c r="A613" s="5">
        <v>369</v>
      </c>
      <c r="B613" s="6">
        <v>1949</v>
      </c>
      <c r="C613" s="3">
        <v>4513.9300000000003</v>
      </c>
      <c r="D613" s="3">
        <v>4513.9300000000003</v>
      </c>
      <c r="F613" s="2">
        <v>37</v>
      </c>
      <c r="G613" s="3">
        <v>0</v>
      </c>
      <c r="H613" s="12">
        <v>-0.29999999999999999</v>
      </c>
      <c r="I613" s="3">
        <f t="shared" si="113"/>
        <v>5868.1090000000004</v>
      </c>
      <c r="J613" s="4">
        <f t="shared" si="114"/>
        <v>1.2002898360433167</v>
      </c>
      <c r="K613" s="1">
        <f t="shared" si="115"/>
        <v>5868.1090000000004</v>
      </c>
      <c r="L613" s="3"/>
      <c r="M613" s="4">
        <f t="shared" si="116"/>
        <v>5868.1090000000004</v>
      </c>
      <c r="N613" s="4">
        <f t="shared" si="117"/>
        <v>0</v>
      </c>
    </row>
    <row r="614" spans="1:14" ht="15.65" outlineLevel="2">
      <c r="A614" s="5">
        <v>369</v>
      </c>
      <c r="B614" s="6">
        <v>1948</v>
      </c>
      <c r="C614" s="3">
        <v>3624.1100000000001</v>
      </c>
      <c r="D614" s="3">
        <v>3624.1100000000001</v>
      </c>
      <c r="F614" s="2">
        <v>37</v>
      </c>
      <c r="G614" s="3">
        <v>0</v>
      </c>
      <c r="H614" s="12">
        <v>-0.29999999999999999</v>
      </c>
      <c r="I614" s="3">
        <f t="shared" si="113"/>
        <v>4711.3430000000008</v>
      </c>
      <c r="J614" s="4">
        <f t="shared" si="114"/>
        <v>1.2002898360433167</v>
      </c>
      <c r="K614" s="1">
        <f t="shared" si="115"/>
        <v>4711.3430000000008</v>
      </c>
      <c r="L614" s="3"/>
      <c r="M614" s="4">
        <f t="shared" si="116"/>
        <v>4711.3430000000008</v>
      </c>
      <c r="N614" s="4">
        <f t="shared" si="117"/>
        <v>0</v>
      </c>
    </row>
    <row r="615" spans="1:14" ht="15.65" outlineLevel="2">
      <c r="A615" s="5">
        <v>369</v>
      </c>
      <c r="B615" s="6">
        <v>1947</v>
      </c>
      <c r="C615" s="3">
        <v>3344.6799999999998</v>
      </c>
      <c r="D615" s="3">
        <v>3344.6799999999998</v>
      </c>
      <c r="F615" s="2">
        <v>37</v>
      </c>
      <c r="G615" s="3">
        <v>0</v>
      </c>
      <c r="H615" s="12">
        <v>-0.29999999999999999</v>
      </c>
      <c r="I615" s="3">
        <f t="shared" si="113"/>
        <v>4348.0839999999998</v>
      </c>
      <c r="J615" s="4">
        <f t="shared" si="114"/>
        <v>1.2002898360433167</v>
      </c>
      <c r="K615" s="1">
        <f t="shared" si="115"/>
        <v>4348.0839999999998</v>
      </c>
      <c r="L615" s="3"/>
      <c r="M615" s="4">
        <f t="shared" si="116"/>
        <v>4348.0839999999998</v>
      </c>
      <c r="N615" s="4">
        <f t="shared" si="117"/>
        <v>0</v>
      </c>
    </row>
    <row r="616" spans="1:14" ht="15.65" outlineLevel="2">
      <c r="A616" s="5">
        <v>369</v>
      </c>
      <c r="B616" s="6">
        <v>1946</v>
      </c>
      <c r="C616" s="3">
        <v>5119.6099999999997</v>
      </c>
      <c r="D616" s="3">
        <v>5119.6099999999997</v>
      </c>
      <c r="F616" s="2">
        <v>37</v>
      </c>
      <c r="G616" s="3">
        <v>0</v>
      </c>
      <c r="H616" s="12">
        <v>-0.29999999999999999</v>
      </c>
      <c r="I616" s="3">
        <f t="shared" si="113"/>
        <v>6655.4929999999995</v>
      </c>
      <c r="J616" s="4">
        <f t="shared" si="114"/>
        <v>1.2002898360433167</v>
      </c>
      <c r="K616" s="1">
        <f t="shared" si="115"/>
        <v>6655.4929999999995</v>
      </c>
      <c r="L616" s="3"/>
      <c r="M616" s="4">
        <f t="shared" si="116"/>
        <v>6655.4929999999995</v>
      </c>
      <c r="N616" s="4">
        <f t="shared" si="117"/>
        <v>0</v>
      </c>
    </row>
    <row r="617" spans="1:14" ht="15.65" outlineLevel="2">
      <c r="A617" s="5">
        <v>369</v>
      </c>
      <c r="B617" s="6">
        <v>1945</v>
      </c>
      <c r="C617" s="3">
        <v>2221.2600000000002</v>
      </c>
      <c r="D617" s="3">
        <v>2221.2600000000002</v>
      </c>
      <c r="F617" s="2">
        <v>37</v>
      </c>
      <c r="G617" s="3">
        <v>0</v>
      </c>
      <c r="H617" s="12">
        <v>-0.29999999999999999</v>
      </c>
      <c r="I617" s="3">
        <f t="shared" si="113"/>
        <v>2887.6380000000004</v>
      </c>
      <c r="J617" s="4">
        <f t="shared" si="114"/>
        <v>1.2002898360433167</v>
      </c>
      <c r="K617" s="1">
        <f t="shared" si="115"/>
        <v>2887.6380000000004</v>
      </c>
      <c r="L617" s="3"/>
      <c r="M617" s="4">
        <f t="shared" si="116"/>
        <v>2887.6380000000004</v>
      </c>
      <c r="N617" s="4">
        <f t="shared" si="117"/>
        <v>0</v>
      </c>
    </row>
    <row r="618" spans="1:14" ht="15.65" outlineLevel="2">
      <c r="A618" s="5">
        <v>369</v>
      </c>
      <c r="B618" s="6">
        <v>1944</v>
      </c>
      <c r="C618" s="3">
        <v>1022.34</v>
      </c>
      <c r="D618" s="3">
        <v>1022.34</v>
      </c>
      <c r="F618" s="2">
        <v>37</v>
      </c>
      <c r="G618" s="3">
        <v>0</v>
      </c>
      <c r="H618" s="12">
        <v>-0.29999999999999999</v>
      </c>
      <c r="I618" s="3">
        <f t="shared" si="113"/>
        <v>1329.0420000000001</v>
      </c>
      <c r="J618" s="4">
        <f t="shared" si="114"/>
        <v>1.2002898360433167</v>
      </c>
      <c r="K618" s="1">
        <f t="shared" si="115"/>
        <v>1329.0420000000001</v>
      </c>
      <c r="L618" s="3"/>
      <c r="M618" s="4">
        <f t="shared" si="116"/>
        <v>1329.0420000000001</v>
      </c>
      <c r="N618" s="4">
        <f t="shared" si="117"/>
        <v>0</v>
      </c>
    </row>
    <row r="619" spans="1:14" ht="15.65" outlineLevel="2">
      <c r="A619" s="5">
        <v>369</v>
      </c>
      <c r="B619" s="6">
        <v>1943</v>
      </c>
      <c r="C619" s="3">
        <v>265.22000000000003</v>
      </c>
      <c r="D619" s="3">
        <v>265.22000000000003</v>
      </c>
      <c r="F619" s="2">
        <v>37</v>
      </c>
      <c r="G619" s="3">
        <v>0</v>
      </c>
      <c r="H619" s="12">
        <v>-0.29999999999999999</v>
      </c>
      <c r="I619" s="3">
        <f t="shared" si="113"/>
        <v>344.78600000000006</v>
      </c>
      <c r="J619" s="4">
        <f t="shared" si="114"/>
        <v>1.2002898360433167</v>
      </c>
      <c r="K619" s="1">
        <f t="shared" si="115"/>
        <v>344.78600000000006</v>
      </c>
      <c r="L619" s="3"/>
      <c r="M619" s="4">
        <f t="shared" si="116"/>
        <v>344.78600000000006</v>
      </c>
      <c r="N619" s="4">
        <f t="shared" si="117"/>
        <v>0</v>
      </c>
    </row>
    <row r="620" spans="1:14" ht="15.65" outlineLevel="2">
      <c r="A620" s="5">
        <v>369</v>
      </c>
      <c r="B620" s="6">
        <v>1942</v>
      </c>
      <c r="C620" s="3">
        <v>26.52</v>
      </c>
      <c r="D620" s="3">
        <v>26.52</v>
      </c>
      <c r="F620" s="2">
        <v>37</v>
      </c>
      <c r="G620" s="3">
        <v>0</v>
      </c>
      <c r="H620" s="12">
        <v>-0.29999999999999999</v>
      </c>
      <c r="I620" s="3">
        <f t="shared" si="113"/>
        <v>34.475999999999999</v>
      </c>
      <c r="J620" s="4">
        <f t="shared" si="114"/>
        <v>1.2002898360433167</v>
      </c>
      <c r="K620" s="1">
        <f t="shared" si="115"/>
        <v>34.475999999999999</v>
      </c>
      <c r="L620" s="3"/>
      <c r="M620" s="4">
        <f t="shared" si="116"/>
        <v>34.475999999999999</v>
      </c>
      <c r="N620" s="4">
        <f t="shared" si="117"/>
        <v>0</v>
      </c>
    </row>
    <row r="621" spans="1:14" ht="15.65" outlineLevel="2">
      <c r="A621" s="5">
        <v>369</v>
      </c>
      <c r="B621" s="6">
        <v>1941</v>
      </c>
      <c r="C621" s="3">
        <v>53.039999999999999</v>
      </c>
      <c r="D621" s="3">
        <v>53.039999999999999</v>
      </c>
      <c r="F621" s="2">
        <v>37</v>
      </c>
      <c r="G621" s="3">
        <v>0</v>
      </c>
      <c r="H621" s="12">
        <v>-0.29999999999999999</v>
      </c>
      <c r="I621" s="3">
        <f t="shared" si="113"/>
        <v>68.951999999999998</v>
      </c>
      <c r="J621" s="4">
        <f t="shared" si="114"/>
        <v>1.2002898360433167</v>
      </c>
      <c r="K621" s="1">
        <f t="shared" si="115"/>
        <v>68.951999999999998</v>
      </c>
      <c r="L621" s="3"/>
      <c r="M621" s="4">
        <f t="shared" si="116"/>
        <v>68.951999999999998</v>
      </c>
      <c r="N621" s="4">
        <f t="shared" si="117"/>
        <v>0</v>
      </c>
    </row>
    <row r="622" spans="1:14" ht="15.65" outlineLevel="2">
      <c r="A622" s="5">
        <v>369</v>
      </c>
      <c r="B622" s="6">
        <v>1940</v>
      </c>
      <c r="C622" s="3">
        <v>53.039999999999999</v>
      </c>
      <c r="D622" s="3">
        <v>53.039999999999999</v>
      </c>
      <c r="F622" s="2">
        <v>37</v>
      </c>
      <c r="G622" s="3">
        <v>0</v>
      </c>
      <c r="H622" s="12">
        <v>-0.29999999999999999</v>
      </c>
      <c r="I622" s="3">
        <f t="shared" si="113"/>
        <v>68.951999999999998</v>
      </c>
      <c r="J622" s="4">
        <f t="shared" si="114"/>
        <v>1.2002898360433167</v>
      </c>
      <c r="K622" s="1">
        <f t="shared" si="115"/>
        <v>68.951999999999998</v>
      </c>
      <c r="L622" s="3"/>
      <c r="M622" s="4">
        <f t="shared" si="116"/>
        <v>68.951999999999998</v>
      </c>
      <c r="N622" s="4">
        <f t="shared" si="117"/>
        <v>0</v>
      </c>
    </row>
    <row r="623" spans="1:14" ht="15.65" outlineLevel="2">
      <c r="A623" s="5">
        <v>369</v>
      </c>
      <c r="B623" s="6">
        <v>1939</v>
      </c>
      <c r="C623" s="3">
        <v>26.52</v>
      </c>
      <c r="D623" s="3">
        <v>26.52</v>
      </c>
      <c r="F623" s="2">
        <v>37</v>
      </c>
      <c r="G623" s="3">
        <v>0</v>
      </c>
      <c r="H623" s="12">
        <v>-0.29999999999999999</v>
      </c>
      <c r="I623" s="3">
        <f t="shared" si="113"/>
        <v>34.475999999999999</v>
      </c>
      <c r="J623" s="4">
        <f t="shared" si="114"/>
        <v>1.2002898360433167</v>
      </c>
      <c r="K623" s="1">
        <f t="shared" si="115"/>
        <v>34.475999999999999</v>
      </c>
      <c r="L623" s="3"/>
      <c r="M623" s="4">
        <f t="shared" si="116"/>
        <v>34.475999999999999</v>
      </c>
      <c r="N623" s="4">
        <f t="shared" si="117"/>
        <v>0</v>
      </c>
    </row>
    <row r="624" spans="1:14" ht="15.65" outlineLevel="2">
      <c r="A624" s="5">
        <v>369</v>
      </c>
      <c r="B624" s="6">
        <v>1938</v>
      </c>
      <c r="C624" s="3">
        <v>106.09</v>
      </c>
      <c r="D624" s="3">
        <v>106.09</v>
      </c>
      <c r="F624" s="2">
        <v>37</v>
      </c>
      <c r="G624" s="3">
        <v>0</v>
      </c>
      <c r="H624" s="12">
        <v>-0.29999999999999999</v>
      </c>
      <c r="I624" s="3">
        <f t="shared" si="113"/>
        <v>137.917</v>
      </c>
      <c r="J624" s="4">
        <f t="shared" si="114"/>
        <v>1.2002898360433167</v>
      </c>
      <c r="K624" s="1">
        <f t="shared" si="115"/>
        <v>137.917</v>
      </c>
      <c r="L624" s="3"/>
      <c r="M624" s="4">
        <f t="shared" si="116"/>
        <v>137.917</v>
      </c>
      <c r="N624" s="4">
        <f t="shared" si="117"/>
        <v>0</v>
      </c>
    </row>
    <row r="625" spans="1:14" ht="15.65" outlineLevel="2">
      <c r="A625" s="5">
        <v>369</v>
      </c>
      <c r="B625" s="6">
        <v>1937</v>
      </c>
      <c r="C625" s="3">
        <v>127.3</v>
      </c>
      <c r="D625" s="3">
        <v>127.3</v>
      </c>
      <c r="F625" s="2">
        <v>37</v>
      </c>
      <c r="G625" s="3">
        <v>0</v>
      </c>
      <c r="H625" s="12">
        <v>-0.29999999999999999</v>
      </c>
      <c r="I625" s="3">
        <f t="shared" si="113"/>
        <v>165.49000000000001</v>
      </c>
      <c r="J625" s="4">
        <f t="shared" si="114"/>
        <v>1.2002898360433167</v>
      </c>
      <c r="K625" s="1">
        <f t="shared" si="115"/>
        <v>165.49000000000001</v>
      </c>
      <c r="L625" s="3"/>
      <c r="M625" s="4">
        <f t="shared" si="116"/>
        <v>165.49000000000001</v>
      </c>
      <c r="N625" s="4">
        <f t="shared" si="117"/>
        <v>0</v>
      </c>
    </row>
    <row r="626" spans="1:14" ht="15.65" outlineLevel="2">
      <c r="A626" s="5">
        <v>369</v>
      </c>
      <c r="B626" s="6">
        <v>1930</v>
      </c>
      <c r="C626" s="3">
        <v>9121.1900000000005</v>
      </c>
      <c r="D626" s="3">
        <v>9121.1900000000005</v>
      </c>
      <c r="F626" s="2">
        <v>37</v>
      </c>
      <c r="G626" s="3">
        <v>0</v>
      </c>
      <c r="H626" s="12">
        <v>-0.29999999999999999</v>
      </c>
      <c r="I626" s="3">
        <f t="shared" si="113"/>
        <v>11857.547000000001</v>
      </c>
      <c r="J626" s="4">
        <f t="shared" si="114"/>
        <v>1.2002898360433167</v>
      </c>
      <c r="K626" s="1">
        <f t="shared" si="115"/>
        <v>11857.547000000001</v>
      </c>
      <c r="L626" s="3"/>
      <c r="M626" s="4">
        <f t="shared" si="116"/>
        <v>11857.547000000001</v>
      </c>
      <c r="N626" s="4">
        <f t="shared" si="117"/>
        <v>0</v>
      </c>
    </row>
    <row r="627" spans="1:14" ht="15.65" outlineLevel="2">
      <c r="A627" s="5">
        <v>369</v>
      </c>
      <c r="B627" s="6">
        <v>1921</v>
      </c>
      <c r="C627" s="3">
        <v>31.039999999999999</v>
      </c>
      <c r="D627" s="3">
        <v>31.039999999999999</v>
      </c>
      <c r="F627" s="2">
        <v>37</v>
      </c>
      <c r="G627" s="3">
        <v>0</v>
      </c>
      <c r="H627" s="12">
        <v>-0.29999999999999999</v>
      </c>
      <c r="I627" s="3">
        <f t="shared" si="113"/>
        <v>40.351999999999997</v>
      </c>
      <c r="J627" s="4">
        <f t="shared" si="114"/>
        <v>1.2002898360433167</v>
      </c>
      <c r="K627" s="1">
        <f t="shared" si="115"/>
        <v>40.351999999999997</v>
      </c>
      <c r="L627" s="3"/>
      <c r="M627" s="4">
        <f t="shared" si="116"/>
        <v>40.351999999999997</v>
      </c>
      <c r="N627" s="4">
        <f t="shared" si="117"/>
        <v>0</v>
      </c>
    </row>
    <row r="628" spans="1:14" ht="15.65" outlineLevel="2">
      <c r="A628" s="5">
        <v>369</v>
      </c>
      <c r="B628" s="6">
        <v>1908</v>
      </c>
      <c r="C628" s="3">
        <v>3900.6700000000001</v>
      </c>
      <c r="D628" s="3">
        <v>3900.6700000000001</v>
      </c>
      <c r="F628" s="2">
        <v>37</v>
      </c>
      <c r="G628" s="3">
        <v>0</v>
      </c>
      <c r="H628" s="12">
        <v>-0.29999999999999999</v>
      </c>
      <c r="I628" s="3">
        <f t="shared" si="113"/>
        <v>5070.8710000000001</v>
      </c>
      <c r="J628" s="4">
        <f t="shared" si="114"/>
        <v>1.2002898360433167</v>
      </c>
      <c r="K628" s="1">
        <f t="shared" si="115"/>
        <v>5070.8710000000001</v>
      </c>
      <c r="L628" s="3"/>
      <c r="M628" s="4">
        <f t="shared" si="116"/>
        <v>5070.8710000000001</v>
      </c>
      <c r="N628" s="4">
        <f t="shared" si="117"/>
        <v>0</v>
      </c>
    </row>
    <row r="629" spans="1:15" ht="15.65" outlineLevel="1">
      <c r="A629" s="7" t="s">
        <v>8</v>
      </c>
      <c r="B629" s="6"/>
      <c r="C629" s="3">
        <f>SUBTOTAL(9,C541:C628)</f>
        <v>1652238990.3600001</v>
      </c>
      <c r="I629" s="3">
        <f t="shared" si="118" ref="I629:K629">SUBTOTAL(9,I541:I628)</f>
        <v>934122921.81685305</v>
      </c>
      <c r="J629" s="3">
        <v>1.2002898360433167</v>
      </c>
      <c r="K629" s="1">
        <f t="shared" si="118"/>
        <v>1097314112.9881651</v>
      </c>
      <c r="L629" s="3">
        <v>1097314112.9881649</v>
      </c>
      <c r="M629" s="3">
        <f t="shared" si="119" ref="M629">SUBTOTAL(9,M541:M628)</f>
        <v>1097314112.9881651</v>
      </c>
      <c r="N629" s="3">
        <f t="shared" si="120" ref="N629">SUBTOTAL(9,N541:N628)</f>
        <v>0</v>
      </c>
      <c r="O629" s="4">
        <f>+L629-K629</f>
        <v>0</v>
      </c>
    </row>
    <row r="630" spans="1:14" ht="15.65" outlineLevel="2">
      <c r="A630" s="5">
        <v>371</v>
      </c>
      <c r="B630" s="6">
        <v>2021</v>
      </c>
      <c r="C630" s="3">
        <v>855252.22999999998</v>
      </c>
      <c r="D630" s="3">
        <v>855252.22999999998</v>
      </c>
      <c r="F630" s="2">
        <v>25</v>
      </c>
      <c r="G630" s="3">
        <v>24.5</v>
      </c>
      <c r="H630" s="12">
        <v>-0.59999999999999998</v>
      </c>
      <c r="I630" s="3">
        <f t="shared" si="121" ref="I630:I661">+C630*(1-H630)*(1-G630/F630)</f>
        <v>27368.071360000024</v>
      </c>
      <c r="J630" s="4">
        <f t="shared" si="122" ref="J630:J661">$J$712</f>
        <v>1.2002898360433174</v>
      </c>
      <c r="K630" s="1">
        <f t="shared" si="123" ref="K630:K661">IF((C630*(1-H630)-I630*J630)&lt;0,C630*(1-H630),I630*J630)</f>
        <v>32849.617885516236</v>
      </c>
      <c r="L630" s="3"/>
      <c r="M630" s="4">
        <f t="shared" si="124" ref="M630:M661">+K630/D630*C630</f>
        <v>32849.617885516236</v>
      </c>
      <c r="N630" s="4">
        <f t="shared" si="125" ref="N630:N661">+E630/C630*K630</f>
        <v>0</v>
      </c>
    </row>
    <row r="631" spans="1:14" ht="15.65" outlineLevel="2">
      <c r="A631" s="5">
        <v>371</v>
      </c>
      <c r="B631" s="6">
        <v>2020</v>
      </c>
      <c r="C631" s="3">
        <v>1078061.3000000001</v>
      </c>
      <c r="D631" s="3">
        <v>1078061.3000000001</v>
      </c>
      <c r="F631" s="2">
        <v>25</v>
      </c>
      <c r="G631" s="3">
        <v>23.5</v>
      </c>
      <c r="H631" s="12">
        <v>-0.59999999999999998</v>
      </c>
      <c r="I631" s="3">
        <f t="shared" si="121"/>
        <v>103493.8848000001</v>
      </c>
      <c r="J631" s="4">
        <f t="shared" si="122"/>
        <v>1.2002898360433174</v>
      </c>
      <c r="K631" s="1">
        <f t="shared" si="123"/>
        <v>124222.6580180781</v>
      </c>
      <c r="L631" s="3"/>
      <c r="M631" s="4">
        <f t="shared" si="124"/>
        <v>124222.6580180781</v>
      </c>
      <c r="N631" s="4">
        <f t="shared" si="125"/>
        <v>0</v>
      </c>
    </row>
    <row r="632" spans="1:14" ht="15.65" outlineLevel="2">
      <c r="A632" s="5">
        <v>371</v>
      </c>
      <c r="B632" s="6">
        <v>2019</v>
      </c>
      <c r="C632" s="3">
        <v>824607.39000000001</v>
      </c>
      <c r="D632" s="3">
        <v>824607.39000000001</v>
      </c>
      <c r="F632" s="2">
        <v>25</v>
      </c>
      <c r="G632" s="3">
        <v>22.5</v>
      </c>
      <c r="H632" s="12">
        <v>-0.59999999999999998</v>
      </c>
      <c r="I632" s="3">
        <f t="shared" si="121"/>
        <v>131937.18239999996</v>
      </c>
      <c r="J632" s="4">
        <f t="shared" si="122"/>
        <v>1.2002898360433174</v>
      </c>
      <c r="K632" s="1">
        <f t="shared" si="123"/>
        <v>158362.85903091321</v>
      </c>
      <c r="L632" s="3"/>
      <c r="M632" s="4">
        <f t="shared" si="124"/>
        <v>158362.85903091321</v>
      </c>
      <c r="N632" s="4">
        <f t="shared" si="125"/>
        <v>0</v>
      </c>
    </row>
    <row r="633" spans="1:14" ht="15.65" outlineLevel="2">
      <c r="A633" s="5">
        <v>371</v>
      </c>
      <c r="B633" s="6">
        <v>2018</v>
      </c>
      <c r="C633" s="3">
        <v>802244.81000000006</v>
      </c>
      <c r="D633" s="3">
        <v>802244.81000000006</v>
      </c>
      <c r="F633" s="2">
        <v>25</v>
      </c>
      <c r="G633" s="3">
        <v>21.5</v>
      </c>
      <c r="H633" s="12">
        <v>-0.59999999999999998</v>
      </c>
      <c r="I633" s="3">
        <f t="shared" si="121"/>
        <v>179702.83744000006</v>
      </c>
      <c r="J633" s="4">
        <f t="shared" si="122"/>
        <v>1.2002898360433174</v>
      </c>
      <c r="K633" s="1">
        <f t="shared" si="123"/>
        <v>215695.48928737661</v>
      </c>
      <c r="L633" s="3"/>
      <c r="M633" s="4">
        <f t="shared" si="124"/>
        <v>215695.48928737661</v>
      </c>
      <c r="N633" s="4">
        <f t="shared" si="125"/>
        <v>0</v>
      </c>
    </row>
    <row r="634" spans="1:14" ht="15.65" outlineLevel="2">
      <c r="A634" s="5">
        <v>371</v>
      </c>
      <c r="B634" s="6">
        <v>2017</v>
      </c>
      <c r="C634" s="3">
        <v>606530.56999999995</v>
      </c>
      <c r="D634" s="3">
        <v>606530.56999999995</v>
      </c>
      <c r="F634" s="2">
        <v>25</v>
      </c>
      <c r="G634" s="3">
        <v>20.5</v>
      </c>
      <c r="H634" s="12">
        <v>-0.59999999999999998</v>
      </c>
      <c r="I634" s="3">
        <f t="shared" si="121"/>
        <v>174680.80416000006</v>
      </c>
      <c r="J634" s="4">
        <f t="shared" si="122"/>
        <v>1.2002898360433174</v>
      </c>
      <c r="K634" s="1">
        <f t="shared" si="123"/>
        <v>209667.59378512131</v>
      </c>
      <c r="L634" s="3"/>
      <c r="M634" s="4">
        <f t="shared" si="124"/>
        <v>209667.59378512131</v>
      </c>
      <c r="N634" s="4">
        <f t="shared" si="125"/>
        <v>0</v>
      </c>
    </row>
    <row r="635" spans="1:14" ht="15.65" outlineLevel="2">
      <c r="A635" s="5">
        <v>371</v>
      </c>
      <c r="B635" s="6">
        <v>2016</v>
      </c>
      <c r="C635" s="3">
        <v>844071.72999999998</v>
      </c>
      <c r="D635" s="3">
        <v>844071.72999999998</v>
      </c>
      <c r="F635" s="2">
        <v>25</v>
      </c>
      <c r="G635" s="3">
        <v>19.5</v>
      </c>
      <c r="H635" s="12">
        <v>-0.59999999999999998</v>
      </c>
      <c r="I635" s="3">
        <f t="shared" si="121"/>
        <v>297113.24896</v>
      </c>
      <c r="J635" s="4">
        <f t="shared" si="122"/>
        <v>1.2002898360433174</v>
      </c>
      <c r="K635" s="1">
        <f t="shared" si="123"/>
        <v>356622.01288049575</v>
      </c>
      <c r="L635" s="3"/>
      <c r="M635" s="4">
        <f t="shared" si="124"/>
        <v>356622.01288049575</v>
      </c>
      <c r="N635" s="4">
        <f t="shared" si="125"/>
        <v>0</v>
      </c>
    </row>
    <row r="636" spans="1:14" ht="15.65" outlineLevel="2">
      <c r="A636" s="5">
        <v>371</v>
      </c>
      <c r="B636" s="6">
        <v>2015</v>
      </c>
      <c r="C636" s="3">
        <v>733735.90000000002</v>
      </c>
      <c r="D636" s="3">
        <v>733735.90000000002</v>
      </c>
      <c r="F636" s="2">
        <v>25</v>
      </c>
      <c r="G636" s="3">
        <v>18.5</v>
      </c>
      <c r="H636" s="12">
        <v>-0.59999999999999998</v>
      </c>
      <c r="I636" s="3">
        <f t="shared" si="121"/>
        <v>305234.13440000004</v>
      </c>
      <c r="J636" s="4">
        <f t="shared" si="122"/>
        <v>1.2002898360433174</v>
      </c>
      <c r="K636" s="1">
        <f t="shared" si="123"/>
        <v>366369.42913379997</v>
      </c>
      <c r="L636" s="3"/>
      <c r="M636" s="4">
        <f t="shared" si="124"/>
        <v>366369.42913379997</v>
      </c>
      <c r="N636" s="4">
        <f t="shared" si="125"/>
        <v>0</v>
      </c>
    </row>
    <row r="637" spans="1:14" ht="15.65" outlineLevel="2">
      <c r="A637" s="5">
        <v>371</v>
      </c>
      <c r="B637" s="6">
        <v>2014</v>
      </c>
      <c r="C637" s="3">
        <v>612548.33999999997</v>
      </c>
      <c r="D637" s="3">
        <v>612548.33999999997</v>
      </c>
      <c r="F637" s="2">
        <v>25</v>
      </c>
      <c r="G637" s="3">
        <v>17.5</v>
      </c>
      <c r="H637" s="12">
        <v>-0.59999999999999998</v>
      </c>
      <c r="I637" s="3">
        <f t="shared" si="121"/>
        <v>294023.20320000005</v>
      </c>
      <c r="J637" s="4">
        <f t="shared" si="122"/>
        <v>1.2002898360433174</v>
      </c>
      <c r="K637" s="1">
        <f t="shared" si="123"/>
        <v>352913.06236185908</v>
      </c>
      <c r="L637" s="3"/>
      <c r="M637" s="4">
        <f t="shared" si="124"/>
        <v>352913.06236185908</v>
      </c>
      <c r="N637" s="4">
        <f t="shared" si="125"/>
        <v>0</v>
      </c>
    </row>
    <row r="638" spans="1:14" ht="15.65" outlineLevel="2">
      <c r="A638" s="5">
        <v>371</v>
      </c>
      <c r="B638" s="6">
        <v>2013</v>
      </c>
      <c r="C638" s="3">
        <v>642263.64000000001</v>
      </c>
      <c r="D638" s="3">
        <v>642263.64000000001</v>
      </c>
      <c r="F638" s="2">
        <v>25</v>
      </c>
      <c r="G638" s="3">
        <v>16.5</v>
      </c>
      <c r="H638" s="12">
        <v>-0.59999999999999998</v>
      </c>
      <c r="I638" s="3">
        <f t="shared" si="121"/>
        <v>349391.42015999998</v>
      </c>
      <c r="J638" s="4">
        <f t="shared" si="122"/>
        <v>1.2002898360433174</v>
      </c>
      <c r="K638" s="1">
        <f t="shared" si="123"/>
        <v>419370.9704187882</v>
      </c>
      <c r="L638" s="3"/>
      <c r="M638" s="4">
        <f t="shared" si="124"/>
        <v>419370.9704187882</v>
      </c>
      <c r="N638" s="4">
        <f t="shared" si="125"/>
        <v>0</v>
      </c>
    </row>
    <row r="639" spans="1:14" ht="15.65" outlineLevel="2">
      <c r="A639" s="5">
        <v>371</v>
      </c>
      <c r="B639" s="6">
        <v>2012</v>
      </c>
      <c r="C639" s="3">
        <v>621827.94999999995</v>
      </c>
      <c r="D639" s="3">
        <v>621827.94999999995</v>
      </c>
      <c r="F639" s="2">
        <v>25</v>
      </c>
      <c r="G639" s="3">
        <v>15.5</v>
      </c>
      <c r="H639" s="12">
        <v>-0.59999999999999998</v>
      </c>
      <c r="I639" s="3">
        <f t="shared" si="121"/>
        <v>378071.39360000001</v>
      </c>
      <c r="J639" s="4">
        <f t="shared" si="122"/>
        <v>1.2002898360433174</v>
      </c>
      <c r="K639" s="1">
        <f t="shared" si="123"/>
        <v>453795.25103681255</v>
      </c>
      <c r="L639" s="3"/>
      <c r="M639" s="4">
        <f t="shared" si="124"/>
        <v>453795.25103681255</v>
      </c>
      <c r="N639" s="4">
        <f t="shared" si="125"/>
        <v>0</v>
      </c>
    </row>
    <row r="640" spans="1:14" ht="15.65" outlineLevel="2">
      <c r="A640" s="5">
        <v>371</v>
      </c>
      <c r="B640" s="6">
        <v>2011</v>
      </c>
      <c r="C640" s="3">
        <v>504678.45000000001</v>
      </c>
      <c r="D640" s="3">
        <v>504678.45000000001</v>
      </c>
      <c r="F640" s="2">
        <v>25</v>
      </c>
      <c r="G640" s="3">
        <v>14.5</v>
      </c>
      <c r="H640" s="12">
        <v>-0.59999999999999998</v>
      </c>
      <c r="I640" s="3">
        <f t="shared" si="121"/>
        <v>339143.91840000002</v>
      </c>
      <c r="J640" s="4">
        <f t="shared" si="122"/>
        <v>1.2002898360433174</v>
      </c>
      <c r="K640" s="1">
        <f t="shared" si="123"/>
        <v>407070.99821142427</v>
      </c>
      <c r="L640" s="3"/>
      <c r="M640" s="4">
        <f t="shared" si="124"/>
        <v>407070.99821142427</v>
      </c>
      <c r="N640" s="4">
        <f t="shared" si="125"/>
        <v>0</v>
      </c>
    </row>
    <row r="641" spans="1:14" ht="15.65" outlineLevel="2">
      <c r="A641" s="5">
        <v>371</v>
      </c>
      <c r="B641" s="6">
        <v>2010</v>
      </c>
      <c r="C641" s="3">
        <v>552052.63</v>
      </c>
      <c r="D641" s="3">
        <v>552052.63</v>
      </c>
      <c r="F641" s="2">
        <v>25</v>
      </c>
      <c r="G641" s="3">
        <v>13.5</v>
      </c>
      <c r="H641" s="12">
        <v>-0.59999999999999998</v>
      </c>
      <c r="I641" s="3">
        <f t="shared" si="121"/>
        <v>406310.73568000004</v>
      </c>
      <c r="J641" s="4">
        <f t="shared" si="122"/>
        <v>1.2002898360433174</v>
      </c>
      <c r="K641" s="1">
        <f t="shared" si="123"/>
        <v>487690.6463119869</v>
      </c>
      <c r="L641" s="3"/>
      <c r="M641" s="4">
        <f t="shared" si="124"/>
        <v>487690.6463119869</v>
      </c>
      <c r="N641" s="4">
        <f t="shared" si="125"/>
        <v>0</v>
      </c>
    </row>
    <row r="642" spans="1:14" ht="15.65" outlineLevel="2">
      <c r="A642" s="5">
        <v>371</v>
      </c>
      <c r="B642" s="6">
        <v>2009</v>
      </c>
      <c r="C642" s="3">
        <v>667160.31999999995</v>
      </c>
      <c r="D642" s="3">
        <v>667160.31999999995</v>
      </c>
      <c r="F642" s="2">
        <v>25</v>
      </c>
      <c r="G642" s="3">
        <v>12.5</v>
      </c>
      <c r="H642" s="12">
        <v>-0.59999999999999998</v>
      </c>
      <c r="I642" s="3">
        <f t="shared" si="121"/>
        <v>533728.25599999994</v>
      </c>
      <c r="J642" s="4">
        <f t="shared" si="122"/>
        <v>1.2002898360433174</v>
      </c>
      <c r="K642" s="1">
        <f t="shared" si="123"/>
        <v>640628.6008859257</v>
      </c>
      <c r="L642" s="3"/>
      <c r="M642" s="4">
        <f t="shared" si="124"/>
        <v>640628.6008859257</v>
      </c>
      <c r="N642" s="4">
        <f t="shared" si="125"/>
        <v>0</v>
      </c>
    </row>
    <row r="643" spans="1:14" ht="15.65" outlineLevel="2">
      <c r="A643" s="5">
        <v>371</v>
      </c>
      <c r="B643" s="6">
        <v>2008</v>
      </c>
      <c r="C643" s="3">
        <v>664886.43999999994</v>
      </c>
      <c r="D643" s="3">
        <v>664886.43999999994</v>
      </c>
      <c r="F643" s="2">
        <v>25</v>
      </c>
      <c r="G643" s="3">
        <v>11.5</v>
      </c>
      <c r="H643" s="12">
        <v>-0.59999999999999998</v>
      </c>
      <c r="I643" s="3">
        <f t="shared" si="121"/>
        <v>574461.88416000002</v>
      </c>
      <c r="J643" s="4">
        <f t="shared" si="122"/>
        <v>1.2002898360433174</v>
      </c>
      <c r="K643" s="1">
        <f t="shared" si="123"/>
        <v>689520.76075154159</v>
      </c>
      <c r="L643" s="3"/>
      <c r="M643" s="4">
        <f t="shared" si="124"/>
        <v>689520.7607515417</v>
      </c>
      <c r="N643" s="4">
        <f t="shared" si="125"/>
        <v>0</v>
      </c>
    </row>
    <row r="644" spans="1:14" ht="15.65" outlineLevel="2">
      <c r="A644" s="5">
        <v>371</v>
      </c>
      <c r="B644" s="6">
        <v>2007</v>
      </c>
      <c r="C644" s="3">
        <v>708284.66000000003</v>
      </c>
      <c r="D644" s="3">
        <v>708284.66000000003</v>
      </c>
      <c r="F644" s="2">
        <v>25</v>
      </c>
      <c r="G644" s="3">
        <v>10.5</v>
      </c>
      <c r="H644" s="12">
        <v>-0.59999999999999998</v>
      </c>
      <c r="I644" s="3">
        <f t="shared" si="121"/>
        <v>657288.16448000004</v>
      </c>
      <c r="J644" s="4">
        <f t="shared" si="122"/>
        <v>1.2002898360433174</v>
      </c>
      <c r="K644" s="1">
        <f t="shared" si="123"/>
        <v>788936.30317691225</v>
      </c>
      <c r="L644" s="3"/>
      <c r="M644" s="4">
        <f t="shared" si="124"/>
        <v>788936.30317691225</v>
      </c>
      <c r="N644" s="4">
        <f t="shared" si="125"/>
        <v>0</v>
      </c>
    </row>
    <row r="645" spans="1:14" ht="15.65" outlineLevel="2">
      <c r="A645" s="5">
        <v>371</v>
      </c>
      <c r="B645" s="6">
        <v>2006</v>
      </c>
      <c r="C645" s="3">
        <v>618162.84999999998</v>
      </c>
      <c r="D645" s="3">
        <v>618162.84999999998</v>
      </c>
      <c r="F645" s="2">
        <v>25</v>
      </c>
      <c r="G645" s="3">
        <v>9.5</v>
      </c>
      <c r="H645" s="12">
        <v>-0.59999999999999998</v>
      </c>
      <c r="I645" s="3">
        <f t="shared" si="121"/>
        <v>613217.54720000003</v>
      </c>
      <c r="J645" s="4">
        <f t="shared" si="122"/>
        <v>1.2002898360433174</v>
      </c>
      <c r="K645" s="1">
        <f t="shared" si="123"/>
        <v>736038.78918757325</v>
      </c>
      <c r="L645" s="3"/>
      <c r="M645" s="4">
        <f t="shared" si="124"/>
        <v>736038.78918757325</v>
      </c>
      <c r="N645" s="4">
        <f t="shared" si="125"/>
        <v>0</v>
      </c>
    </row>
    <row r="646" spans="1:14" ht="15.65" outlineLevel="2">
      <c r="A646" s="5">
        <v>371</v>
      </c>
      <c r="B646" s="6">
        <v>2005</v>
      </c>
      <c r="C646" s="3">
        <v>676639.51000000001</v>
      </c>
      <c r="D646" s="3">
        <v>676639.51000000001</v>
      </c>
      <c r="F646" s="2">
        <v>25</v>
      </c>
      <c r="G646" s="3">
        <v>8.5000079999999993</v>
      </c>
      <c r="H646" s="12">
        <v>-0.59999999999999998</v>
      </c>
      <c r="I646" s="3">
        <f t="shared" si="121"/>
        <v>714530.97612057102</v>
      </c>
      <c r="J646" s="4">
        <f t="shared" si="122"/>
        <v>1.2002898360433174</v>
      </c>
      <c r="K646" s="1">
        <f t="shared" si="123"/>
        <v>857644.26817563176</v>
      </c>
      <c r="L646" s="3"/>
      <c r="M646" s="4">
        <f t="shared" si="124"/>
        <v>857644.26817563176</v>
      </c>
      <c r="N646" s="4">
        <f t="shared" si="125"/>
        <v>0</v>
      </c>
    </row>
    <row r="647" spans="1:14" ht="15.65" outlineLevel="2">
      <c r="A647" s="5">
        <v>371</v>
      </c>
      <c r="B647" s="6">
        <v>2004</v>
      </c>
      <c r="C647" s="3">
        <v>1127342.71</v>
      </c>
      <c r="D647" s="3">
        <v>1127342.71</v>
      </c>
      <c r="F647" s="2">
        <v>25</v>
      </c>
      <c r="G647" s="3">
        <v>7.5001329999999999</v>
      </c>
      <c r="H647" s="12">
        <v>-0.59999999999999998</v>
      </c>
      <c r="I647" s="3">
        <f t="shared" si="121"/>
        <v>1262614.2392588526</v>
      </c>
      <c r="J647" s="4">
        <f t="shared" si="122"/>
        <v>1.2002898360433174</v>
      </c>
      <c r="K647" s="1">
        <f t="shared" si="123"/>
        <v>1515503.038225966</v>
      </c>
      <c r="L647" s="3"/>
      <c r="M647" s="4">
        <f t="shared" si="124"/>
        <v>1515503.038225966</v>
      </c>
      <c r="N647" s="4">
        <f t="shared" si="125"/>
        <v>0</v>
      </c>
    </row>
    <row r="648" spans="1:14" ht="15.65" outlineLevel="2">
      <c r="A648" s="5">
        <v>371</v>
      </c>
      <c r="B648" s="6">
        <v>2003</v>
      </c>
      <c r="C648" s="3">
        <v>534047.88</v>
      </c>
      <c r="D648" s="3">
        <v>534047.88</v>
      </c>
      <c r="F648" s="2">
        <v>25</v>
      </c>
      <c r="G648" s="3">
        <v>6.5013620000000003</v>
      </c>
      <c r="H648" s="12">
        <v>-0.59999999999999998</v>
      </c>
      <c r="I648" s="3">
        <f t="shared" si="121"/>
        <v>632266.13803439622</v>
      </c>
      <c r="J648" s="4">
        <f t="shared" si="122"/>
        <v>1.2002898360433174</v>
      </c>
      <c r="K648" s="1">
        <f t="shared" si="123"/>
        <v>758902.61915704689</v>
      </c>
      <c r="L648" s="3"/>
      <c r="M648" s="4">
        <f t="shared" si="124"/>
        <v>758902.61915704689</v>
      </c>
      <c r="N648" s="4">
        <f t="shared" si="125"/>
        <v>0</v>
      </c>
    </row>
    <row r="649" spans="1:14" ht="15.65" outlineLevel="2">
      <c r="A649" s="5">
        <v>371</v>
      </c>
      <c r="B649" s="6">
        <v>2002</v>
      </c>
      <c r="C649" s="3">
        <v>148267.75</v>
      </c>
      <c r="D649" s="3">
        <v>148267.75</v>
      </c>
      <c r="F649" s="2">
        <v>25</v>
      </c>
      <c r="G649" s="3">
        <v>5.5091070000000002</v>
      </c>
      <c r="H649" s="12">
        <v>-0.59999999999999998</v>
      </c>
      <c r="I649" s="3">
        <f t="shared" si="121"/>
        <v>184951.73443844804</v>
      </c>
      <c r="J649" s="4">
        <f t="shared" si="122"/>
        <v>1.2002898360433174</v>
      </c>
      <c r="K649" s="1">
        <f t="shared" si="123"/>
        <v>221995.68700505197</v>
      </c>
      <c r="L649" s="3"/>
      <c r="M649" s="4">
        <f t="shared" si="124"/>
        <v>221995.68700505194</v>
      </c>
      <c r="N649" s="4">
        <f t="shared" si="125"/>
        <v>0</v>
      </c>
    </row>
    <row r="650" spans="1:14" ht="15.65" outlineLevel="2">
      <c r="A650" s="5">
        <v>371</v>
      </c>
      <c r="B650" s="6">
        <v>2001</v>
      </c>
      <c r="C650" s="3">
        <v>641215.05000000005</v>
      </c>
      <c r="D650" s="3">
        <v>641215.05000000005</v>
      </c>
      <c r="F650" s="2">
        <v>25</v>
      </c>
      <c r="G650" s="3">
        <v>4.5418989999999999</v>
      </c>
      <c r="H650" s="12">
        <v>-0.59999999999999998</v>
      </c>
      <c r="I650" s="3">
        <f t="shared" si="121"/>
        <v>839554.70435968332</v>
      </c>
      <c r="J650" s="4">
        <f t="shared" si="122"/>
        <v>1.2002898360433174</v>
      </c>
      <c r="K650" s="1">
        <f t="shared" si="123"/>
        <v>1007708.9784452801</v>
      </c>
      <c r="L650" s="3"/>
      <c r="M650" s="4">
        <f t="shared" si="124"/>
        <v>1007708.9784452801</v>
      </c>
      <c r="N650" s="4">
        <f t="shared" si="125"/>
        <v>0</v>
      </c>
    </row>
    <row r="651" spans="1:14" ht="15.65" outlineLevel="2">
      <c r="A651" s="5">
        <v>371</v>
      </c>
      <c r="B651" s="6">
        <v>2000</v>
      </c>
      <c r="C651" s="3">
        <v>2902436</v>
      </c>
      <c r="D651" s="3">
        <v>2902436</v>
      </c>
      <c r="F651" s="2">
        <v>25</v>
      </c>
      <c r="G651" s="3">
        <v>3.6393330000000002</v>
      </c>
      <c r="H651" s="12">
        <v>-0.59999999999999998</v>
      </c>
      <c r="I651" s="3">
        <f t="shared" si="121"/>
        <v>3967870.0086279684</v>
      </c>
      <c r="J651" s="4">
        <f t="shared" si="122"/>
        <v>1.2002898360433174</v>
      </c>
      <c r="K651" s="1">
        <f t="shared" si="123"/>
        <v>4643897.6000000006</v>
      </c>
      <c r="L651" s="3"/>
      <c r="M651" s="4">
        <f t="shared" si="124"/>
        <v>4643897.6000000006</v>
      </c>
      <c r="N651" s="4">
        <f t="shared" si="125"/>
        <v>0</v>
      </c>
    </row>
    <row r="652" spans="1:14" ht="15.65" outlineLevel="2">
      <c r="A652" s="5">
        <v>371</v>
      </c>
      <c r="B652" s="6">
        <v>1999</v>
      </c>
      <c r="C652" s="3">
        <v>6872961.5499999998</v>
      </c>
      <c r="D652" s="3">
        <v>6872961.5499999998</v>
      </c>
      <c r="F652" s="2">
        <v>25</v>
      </c>
      <c r="G652" s="3">
        <v>2.852465</v>
      </c>
      <c r="H652" s="12">
        <v>-0.59999999999999998</v>
      </c>
      <c r="I652" s="3">
        <f t="shared" si="121"/>
        <v>9742026.0148658734</v>
      </c>
      <c r="J652" s="4">
        <f t="shared" si="122"/>
        <v>1.2002898360433174</v>
      </c>
      <c r="K652" s="1">
        <f t="shared" si="123"/>
        <v>10996738.48</v>
      </c>
      <c r="L652" s="3"/>
      <c r="M652" s="4">
        <f t="shared" si="124"/>
        <v>10996738.48</v>
      </c>
      <c r="N652" s="4">
        <f t="shared" si="125"/>
        <v>0</v>
      </c>
    </row>
    <row r="653" spans="1:14" ht="15.65" outlineLevel="2">
      <c r="A653" s="5">
        <v>371</v>
      </c>
      <c r="B653" s="6">
        <v>1998</v>
      </c>
      <c r="C653" s="3">
        <v>5350398.0499999998</v>
      </c>
      <c r="D653" s="3">
        <v>5350398.0499999998</v>
      </c>
      <c r="F653" s="2">
        <v>25</v>
      </c>
      <c r="G653" s="3">
        <v>2.216316</v>
      </c>
      <c r="H653" s="12">
        <v>-0.59999999999999998</v>
      </c>
      <c r="I653" s="3">
        <f t="shared" si="121"/>
        <v>7801713.820506637</v>
      </c>
      <c r="J653" s="4">
        <f t="shared" si="122"/>
        <v>1.2002898360433174</v>
      </c>
      <c r="K653" s="1">
        <f t="shared" si="123"/>
        <v>8560636.8800000008</v>
      </c>
      <c r="L653" s="3"/>
      <c r="M653" s="4">
        <f t="shared" si="124"/>
        <v>8560636.8800000008</v>
      </c>
      <c r="N653" s="4">
        <f t="shared" si="125"/>
        <v>0</v>
      </c>
    </row>
    <row r="654" spans="1:14" ht="15.65" outlineLevel="2">
      <c r="A654" s="5">
        <v>371</v>
      </c>
      <c r="B654" s="6">
        <v>1997</v>
      </c>
      <c r="C654" s="3">
        <v>4245607.3300000001</v>
      </c>
      <c r="D654" s="3">
        <v>4245607.3300000001</v>
      </c>
      <c r="F654" s="2">
        <v>25</v>
      </c>
      <c r="G654" s="3">
        <v>1.732899</v>
      </c>
      <c r="H654" s="12">
        <v>-0.59999999999999998</v>
      </c>
      <c r="I654" s="3">
        <f t="shared" si="121"/>
        <v>6322110.3714208212</v>
      </c>
      <c r="J654" s="4">
        <f t="shared" si="122"/>
        <v>1.2002898360433174</v>
      </c>
      <c r="K654" s="1">
        <f t="shared" si="123"/>
        <v>6792971.7280000001</v>
      </c>
      <c r="L654" s="3"/>
      <c r="M654" s="4">
        <f t="shared" si="124"/>
        <v>6792971.7280000001</v>
      </c>
      <c r="N654" s="4">
        <f t="shared" si="125"/>
        <v>0</v>
      </c>
    </row>
    <row r="655" spans="1:14" ht="15.65" outlineLevel="2">
      <c r="A655" s="5">
        <v>371</v>
      </c>
      <c r="B655" s="6">
        <v>1996</v>
      </c>
      <c r="C655" s="3">
        <v>2922003.8799999999</v>
      </c>
      <c r="D655" s="3">
        <v>2922003.8799999999</v>
      </c>
      <c r="F655" s="2">
        <v>25</v>
      </c>
      <c r="G655" s="3">
        <v>1.3792260000000001</v>
      </c>
      <c r="H655" s="12">
        <v>-0.59999999999999998</v>
      </c>
      <c r="I655" s="3">
        <f t="shared" si="121"/>
        <v>4417279.5697025992</v>
      </c>
      <c r="J655" s="4">
        <f t="shared" si="122"/>
        <v>1.2002898360433174</v>
      </c>
      <c r="K655" s="1">
        <f t="shared" si="123"/>
        <v>4675206.2079999996</v>
      </c>
      <c r="L655" s="3"/>
      <c r="M655" s="4">
        <f t="shared" si="124"/>
        <v>4675206.2079999996</v>
      </c>
      <c r="N655" s="4">
        <f t="shared" si="125"/>
        <v>0</v>
      </c>
    </row>
    <row r="656" spans="1:14" ht="15.65" outlineLevel="2">
      <c r="A656" s="5">
        <v>371</v>
      </c>
      <c r="B656" s="6">
        <v>1995</v>
      </c>
      <c r="C656" s="3">
        <v>2153627.0600000001</v>
      </c>
      <c r="D656" s="3">
        <v>2153627.0600000001</v>
      </c>
      <c r="F656" s="2">
        <v>25</v>
      </c>
      <c r="G656" s="3">
        <v>1.1244920000000001</v>
      </c>
      <c r="H656" s="12">
        <v>-0.59999999999999998</v>
      </c>
      <c r="I656" s="3">
        <f t="shared" si="121"/>
        <v>3290812.1664029751</v>
      </c>
      <c r="J656" s="4">
        <f t="shared" si="122"/>
        <v>1.2002898360433174</v>
      </c>
      <c r="K656" s="1">
        <f t="shared" si="123"/>
        <v>3445803.2960000001</v>
      </c>
      <c r="L656" s="3"/>
      <c r="M656" s="4">
        <f t="shared" si="124"/>
        <v>3445803.2960000001</v>
      </c>
      <c r="N656" s="4">
        <f t="shared" si="125"/>
        <v>0</v>
      </c>
    </row>
    <row r="657" spans="1:14" ht="15.65" outlineLevel="2">
      <c r="A657" s="5">
        <v>371</v>
      </c>
      <c r="B657" s="6">
        <v>1994</v>
      </c>
      <c r="C657" s="3">
        <v>1915555.3500000001</v>
      </c>
      <c r="D657" s="3">
        <v>1915555.3500000001</v>
      </c>
      <c r="F657" s="2">
        <v>25</v>
      </c>
      <c r="G657" s="3">
        <v>0.94119399999999998</v>
      </c>
      <c r="H657" s="12">
        <v>-0.59999999999999998</v>
      </c>
      <c r="I657" s="3">
        <f t="shared" si="121"/>
        <v>2949502.3710663747</v>
      </c>
      <c r="J657" s="4">
        <f t="shared" si="122"/>
        <v>1.2002898360433174</v>
      </c>
      <c r="K657" s="1">
        <f t="shared" si="123"/>
        <v>3064888.5600000005</v>
      </c>
      <c r="L657" s="3"/>
      <c r="M657" s="4">
        <f t="shared" si="124"/>
        <v>3064888.5600000005</v>
      </c>
      <c r="N657" s="4">
        <f t="shared" si="125"/>
        <v>0</v>
      </c>
    </row>
    <row r="658" spans="1:14" ht="15.65" outlineLevel="2">
      <c r="A658" s="5">
        <v>371</v>
      </c>
      <c r="B658" s="6">
        <v>1993</v>
      </c>
      <c r="C658" s="3">
        <v>1351659.3999999999</v>
      </c>
      <c r="D658" s="3">
        <v>1351659.3999999999</v>
      </c>
      <c r="F658" s="2">
        <v>25</v>
      </c>
      <c r="G658" s="3">
        <v>0.808531</v>
      </c>
      <c r="H658" s="12">
        <v>-0.59999999999999998</v>
      </c>
      <c r="I658" s="3">
        <f t="shared" si="121"/>
        <v>2092712.0943141503</v>
      </c>
      <c r="J658" s="4">
        <f t="shared" si="122"/>
        <v>1.2002898360433174</v>
      </c>
      <c r="K658" s="1">
        <f t="shared" si="123"/>
        <v>2162655.04</v>
      </c>
      <c r="L658" s="3"/>
      <c r="M658" s="4">
        <f t="shared" si="124"/>
        <v>2162655.04</v>
      </c>
      <c r="N658" s="4">
        <f t="shared" si="125"/>
        <v>0</v>
      </c>
    </row>
    <row r="659" spans="1:14" ht="15.65" outlineLevel="2">
      <c r="A659" s="5">
        <v>371</v>
      </c>
      <c r="B659" s="6">
        <v>1992</v>
      </c>
      <c r="C659" s="3">
        <v>1004049.32</v>
      </c>
      <c r="D659" s="3">
        <v>1004049.32</v>
      </c>
      <c r="F659" s="2">
        <v>25</v>
      </c>
      <c r="G659" s="3">
        <v>0.71192699999999998</v>
      </c>
      <c r="H659" s="12">
        <v>-0.59999999999999998</v>
      </c>
      <c r="I659" s="3">
        <f t="shared" si="121"/>
        <v>1560731.0835046631</v>
      </c>
      <c r="J659" s="4">
        <f t="shared" si="122"/>
        <v>1.2002898360433174</v>
      </c>
      <c r="K659" s="1">
        <f t="shared" si="123"/>
        <v>1606478.912</v>
      </c>
      <c r="L659" s="3"/>
      <c r="M659" s="4">
        <f t="shared" si="124"/>
        <v>1606478.912</v>
      </c>
      <c r="N659" s="4">
        <f t="shared" si="125"/>
        <v>0</v>
      </c>
    </row>
    <row r="660" spans="1:14" ht="15.65" outlineLevel="2">
      <c r="A660" s="5">
        <v>371</v>
      </c>
      <c r="B660" s="6">
        <v>1991</v>
      </c>
      <c r="C660" s="3">
        <v>721990.97999999998</v>
      </c>
      <c r="D660" s="3">
        <v>721990.97999999998</v>
      </c>
      <c r="F660" s="2">
        <v>25</v>
      </c>
      <c r="G660" s="3">
        <v>0.64149699999999998</v>
      </c>
      <c r="H660" s="12">
        <v>-0.59999999999999998</v>
      </c>
      <c r="I660" s="3">
        <f t="shared" si="121"/>
        <v>1125543.6449473882</v>
      </c>
      <c r="J660" s="4">
        <f t="shared" si="122"/>
        <v>1.2002898360433174</v>
      </c>
      <c r="K660" s="1">
        <f t="shared" si="123"/>
        <v>1155185.568</v>
      </c>
      <c r="L660" s="3"/>
      <c r="M660" s="4">
        <f t="shared" si="124"/>
        <v>1155185.568</v>
      </c>
      <c r="N660" s="4">
        <f t="shared" si="125"/>
        <v>0</v>
      </c>
    </row>
    <row r="661" spans="1:14" ht="15.65" outlineLevel="2">
      <c r="A661" s="5">
        <v>371</v>
      </c>
      <c r="B661" s="6">
        <v>1990</v>
      </c>
      <c r="C661" s="3">
        <v>1152900.22</v>
      </c>
      <c r="D661" s="3">
        <v>1152900.22</v>
      </c>
      <c r="F661" s="2">
        <v>25</v>
      </c>
      <c r="G661" s="3">
        <v>0.59057800000000005</v>
      </c>
      <c r="H661" s="12">
        <v>-0.59999999999999998</v>
      </c>
      <c r="I661" s="3">
        <f t="shared" si="121"/>
        <v>1801064.1916078618</v>
      </c>
      <c r="J661" s="4">
        <f t="shared" si="122"/>
        <v>1.2002898360433174</v>
      </c>
      <c r="K661" s="1">
        <f t="shared" si="123"/>
        <v>1844640.352</v>
      </c>
      <c r="L661" s="3"/>
      <c r="M661" s="4">
        <f t="shared" si="124"/>
        <v>1844640.352</v>
      </c>
      <c r="N661" s="4">
        <f t="shared" si="125"/>
        <v>0</v>
      </c>
    </row>
    <row r="662" spans="1:14" ht="15.65" outlineLevel="2">
      <c r="A662" s="5">
        <v>371</v>
      </c>
      <c r="B662" s="6">
        <v>1989</v>
      </c>
      <c r="C662" s="3">
        <v>587615.76000000001</v>
      </c>
      <c r="D662" s="3">
        <v>587615.76000000001</v>
      </c>
      <c r="F662" s="2">
        <v>25</v>
      </c>
      <c r="G662" s="3">
        <v>0.55454499999999995</v>
      </c>
      <c r="H662" s="12">
        <v>-0.59999999999999998</v>
      </c>
      <c r="I662" s="3">
        <f t="shared" si="126" ref="I662:I693">+C662*(1-H662)*(1-G662/F662)</f>
        <v>919330.21557573124</v>
      </c>
      <c r="J662" s="4">
        <f t="shared" si="127" ref="J662:J693">$J$712</f>
        <v>1.2002898360433174</v>
      </c>
      <c r="K662" s="1">
        <f t="shared" si="128" ref="K662:K693">IF((C662*(1-H662)-I662*J662)&lt;0,C662*(1-H662),I662*J662)</f>
        <v>940185.21600000001</v>
      </c>
      <c r="L662" s="3"/>
      <c r="M662" s="4">
        <f t="shared" si="129" ref="M662:M693">+K662/D662*C662</f>
        <v>940185.21600000001</v>
      </c>
      <c r="N662" s="4">
        <f t="shared" si="130" ref="N662:N693">+E662/C662*K662</f>
        <v>0</v>
      </c>
    </row>
    <row r="663" spans="1:14" ht="15.65" outlineLevel="2">
      <c r="A663" s="5">
        <v>371</v>
      </c>
      <c r="B663" s="6">
        <v>1988</v>
      </c>
      <c r="C663" s="3">
        <v>334869.69</v>
      </c>
      <c r="D663" s="3">
        <v>334869.69</v>
      </c>
      <c r="F663" s="2">
        <v>25</v>
      </c>
      <c r="G663" s="3">
        <v>0.5</v>
      </c>
      <c r="H663" s="12">
        <v>-0.59999999999999998</v>
      </c>
      <c r="I663" s="3">
        <f t="shared" si="126"/>
        <v>525075.67392000009</v>
      </c>
      <c r="J663" s="4">
        <f t="shared" si="127"/>
        <v>1.2002898360433174</v>
      </c>
      <c r="K663" s="1">
        <f t="shared" si="128"/>
        <v>535791.50400000007</v>
      </c>
      <c r="L663" s="3"/>
      <c r="M663" s="4">
        <f t="shared" si="129"/>
        <v>535791.50400000007</v>
      </c>
      <c r="N663" s="4">
        <f t="shared" si="130"/>
        <v>0</v>
      </c>
    </row>
    <row r="664" spans="1:14" ht="15.65" outlineLevel="2">
      <c r="A664" s="5">
        <v>371</v>
      </c>
      <c r="B664" s="6">
        <v>1987</v>
      </c>
      <c r="C664" s="3">
        <v>1669578.6699999999</v>
      </c>
      <c r="D664" s="3">
        <v>1669578.6699999999</v>
      </c>
      <c r="F664" s="2">
        <v>25</v>
      </c>
      <c r="G664" s="3">
        <v>0</v>
      </c>
      <c r="H664" s="12">
        <v>-0.59999999999999998</v>
      </c>
      <c r="I664" s="3">
        <f t="shared" si="126"/>
        <v>2671325.872</v>
      </c>
      <c r="J664" s="4">
        <f t="shared" si="127"/>
        <v>1.2002898360433174</v>
      </c>
      <c r="K664" s="1">
        <f t="shared" si="128"/>
        <v>2671325.872</v>
      </c>
      <c r="L664" s="3"/>
      <c r="M664" s="4">
        <f t="shared" si="129"/>
        <v>2671325.872</v>
      </c>
      <c r="N664" s="4">
        <f t="shared" si="130"/>
        <v>0</v>
      </c>
    </row>
    <row r="665" spans="1:14" ht="15.65" outlineLevel="2">
      <c r="A665" s="5">
        <v>371</v>
      </c>
      <c r="B665" s="6">
        <v>1986</v>
      </c>
      <c r="C665" s="3">
        <v>690030.06999999995</v>
      </c>
      <c r="D665" s="3">
        <v>690030.06999999995</v>
      </c>
      <c r="F665" s="2">
        <v>25</v>
      </c>
      <c r="G665" s="3">
        <v>0</v>
      </c>
      <c r="H665" s="12">
        <v>-0.59999999999999998</v>
      </c>
      <c r="I665" s="3">
        <f t="shared" si="126"/>
        <v>1104048.112</v>
      </c>
      <c r="J665" s="4">
        <f t="shared" si="127"/>
        <v>1.2002898360433174</v>
      </c>
      <c r="K665" s="1">
        <f t="shared" si="128"/>
        <v>1104048.112</v>
      </c>
      <c r="L665" s="3"/>
      <c r="M665" s="4">
        <f t="shared" si="129"/>
        <v>1104048.112</v>
      </c>
      <c r="N665" s="4">
        <f t="shared" si="130"/>
        <v>0</v>
      </c>
    </row>
    <row r="666" spans="1:14" ht="15.65" outlineLevel="2">
      <c r="A666" s="5">
        <v>371</v>
      </c>
      <c r="B666" s="6">
        <v>1985</v>
      </c>
      <c r="C666" s="3">
        <v>748547.13</v>
      </c>
      <c r="D666" s="3">
        <v>748547.13</v>
      </c>
      <c r="F666" s="2">
        <v>25</v>
      </c>
      <c r="G666" s="3">
        <v>0</v>
      </c>
      <c r="H666" s="12">
        <v>-0.59999999999999998</v>
      </c>
      <c r="I666" s="3">
        <f t="shared" si="126"/>
        <v>1197675.4080000001</v>
      </c>
      <c r="J666" s="4">
        <f t="shared" si="127"/>
        <v>1.2002898360433174</v>
      </c>
      <c r="K666" s="1">
        <f t="shared" si="128"/>
        <v>1197675.4080000001</v>
      </c>
      <c r="L666" s="3"/>
      <c r="M666" s="4">
        <f t="shared" si="129"/>
        <v>1197675.4080000001</v>
      </c>
      <c r="N666" s="4">
        <f t="shared" si="130"/>
        <v>0</v>
      </c>
    </row>
    <row r="667" spans="1:14" ht="15.65" outlineLevel="2">
      <c r="A667" s="5">
        <v>371</v>
      </c>
      <c r="B667" s="6">
        <v>1984</v>
      </c>
      <c r="C667" s="3">
        <v>488576.59000000003</v>
      </c>
      <c r="D667" s="3">
        <v>488576.59000000003</v>
      </c>
      <c r="F667" s="2">
        <v>25</v>
      </c>
      <c r="G667" s="3">
        <v>0</v>
      </c>
      <c r="H667" s="12">
        <v>-0.59999999999999998</v>
      </c>
      <c r="I667" s="3">
        <f t="shared" si="126"/>
        <v>781722.54400000011</v>
      </c>
      <c r="J667" s="4">
        <f t="shared" si="127"/>
        <v>1.2002898360433174</v>
      </c>
      <c r="K667" s="1">
        <f t="shared" si="128"/>
        <v>781722.54400000011</v>
      </c>
      <c r="L667" s="3"/>
      <c r="M667" s="4">
        <f t="shared" si="129"/>
        <v>781722.54400000011</v>
      </c>
      <c r="N667" s="4">
        <f t="shared" si="130"/>
        <v>0</v>
      </c>
    </row>
    <row r="668" spans="1:14" ht="15.65" outlineLevel="2">
      <c r="A668" s="5">
        <v>371</v>
      </c>
      <c r="B668" s="6">
        <v>1983</v>
      </c>
      <c r="C668" s="3">
        <v>463848.56</v>
      </c>
      <c r="D668" s="3">
        <v>463848.56</v>
      </c>
      <c r="F668" s="2">
        <v>25</v>
      </c>
      <c r="G668" s="3">
        <v>0</v>
      </c>
      <c r="H668" s="12">
        <v>-0.59999999999999998</v>
      </c>
      <c r="I668" s="3">
        <f t="shared" si="126"/>
        <v>742157.696</v>
      </c>
      <c r="J668" s="4">
        <f t="shared" si="127"/>
        <v>1.2002898360433174</v>
      </c>
      <c r="K668" s="1">
        <f t="shared" si="128"/>
        <v>742157.696</v>
      </c>
      <c r="L668" s="3"/>
      <c r="M668" s="4">
        <f t="shared" si="129"/>
        <v>742157.696</v>
      </c>
      <c r="N668" s="4">
        <f t="shared" si="130"/>
        <v>0</v>
      </c>
    </row>
    <row r="669" spans="1:14" ht="15.65" outlineLevel="2">
      <c r="A669" s="5">
        <v>371</v>
      </c>
      <c r="B669" s="6">
        <v>1982</v>
      </c>
      <c r="C669" s="3">
        <v>475321.26000000001</v>
      </c>
      <c r="D669" s="3">
        <v>475321.26000000001</v>
      </c>
      <c r="F669" s="2">
        <v>25</v>
      </c>
      <c r="G669" s="3">
        <v>0</v>
      </c>
      <c r="H669" s="12">
        <v>-0.59999999999999998</v>
      </c>
      <c r="I669" s="3">
        <f t="shared" si="126"/>
        <v>760514.01600000006</v>
      </c>
      <c r="J669" s="4">
        <f t="shared" si="127"/>
        <v>1.2002898360433174</v>
      </c>
      <c r="K669" s="1">
        <f t="shared" si="128"/>
        <v>760514.01600000006</v>
      </c>
      <c r="L669" s="3"/>
      <c r="M669" s="4">
        <f t="shared" si="129"/>
        <v>760514.01600000006</v>
      </c>
      <c r="N669" s="4">
        <f t="shared" si="130"/>
        <v>0</v>
      </c>
    </row>
    <row r="670" spans="1:14" ht="15.65" outlineLevel="2">
      <c r="A670" s="5">
        <v>371</v>
      </c>
      <c r="B670" s="6">
        <v>1981</v>
      </c>
      <c r="C670" s="3">
        <v>387875.21999999997</v>
      </c>
      <c r="D670" s="3">
        <v>387875.21999999997</v>
      </c>
      <c r="F670" s="2">
        <v>25</v>
      </c>
      <c r="G670" s="3">
        <v>0</v>
      </c>
      <c r="H670" s="12">
        <v>-0.59999999999999998</v>
      </c>
      <c r="I670" s="3">
        <f t="shared" si="126"/>
        <v>620600.35199999996</v>
      </c>
      <c r="J670" s="4">
        <f t="shared" si="127"/>
        <v>1.2002898360433174</v>
      </c>
      <c r="K670" s="1">
        <f t="shared" si="128"/>
        <v>620600.35199999996</v>
      </c>
      <c r="L670" s="3"/>
      <c r="M670" s="4">
        <f t="shared" si="129"/>
        <v>620600.35199999996</v>
      </c>
      <c r="N670" s="4">
        <f t="shared" si="130"/>
        <v>0</v>
      </c>
    </row>
    <row r="671" spans="1:14" ht="15.65" outlineLevel="2">
      <c r="A671" s="5">
        <v>371</v>
      </c>
      <c r="B671" s="6">
        <v>1980</v>
      </c>
      <c r="C671" s="3">
        <v>292144.17999999999</v>
      </c>
      <c r="D671" s="3">
        <v>292144.17999999999</v>
      </c>
      <c r="F671" s="2">
        <v>25</v>
      </c>
      <c r="G671" s="3">
        <v>0</v>
      </c>
      <c r="H671" s="12">
        <v>-0.59999999999999998</v>
      </c>
      <c r="I671" s="3">
        <f t="shared" si="126"/>
        <v>467430.68800000002</v>
      </c>
      <c r="J671" s="4">
        <f t="shared" si="127"/>
        <v>1.2002898360433174</v>
      </c>
      <c r="K671" s="1">
        <f t="shared" si="128"/>
        <v>467430.68800000002</v>
      </c>
      <c r="L671" s="3"/>
      <c r="M671" s="4">
        <f t="shared" si="129"/>
        <v>467430.68800000002</v>
      </c>
      <c r="N671" s="4">
        <f t="shared" si="130"/>
        <v>0</v>
      </c>
    </row>
    <row r="672" spans="1:14" ht="15.65" outlineLevel="2">
      <c r="A672" s="5">
        <v>371</v>
      </c>
      <c r="B672" s="6">
        <v>1979</v>
      </c>
      <c r="C672" s="3">
        <v>232298.20000000001</v>
      </c>
      <c r="D672" s="3">
        <v>232298.20000000001</v>
      </c>
      <c r="F672" s="2">
        <v>25</v>
      </c>
      <c r="G672" s="3">
        <v>0</v>
      </c>
      <c r="H672" s="12">
        <v>-0.59999999999999998</v>
      </c>
      <c r="I672" s="3">
        <f t="shared" si="126"/>
        <v>371677.12000000005</v>
      </c>
      <c r="J672" s="4">
        <f t="shared" si="127"/>
        <v>1.2002898360433174</v>
      </c>
      <c r="K672" s="1">
        <f t="shared" si="128"/>
        <v>371677.12000000005</v>
      </c>
      <c r="L672" s="3"/>
      <c r="M672" s="4">
        <f t="shared" si="129"/>
        <v>371677.12000000005</v>
      </c>
      <c r="N672" s="4">
        <f t="shared" si="130"/>
        <v>0</v>
      </c>
    </row>
    <row r="673" spans="1:14" ht="15.65" outlineLevel="2">
      <c r="A673" s="5">
        <v>371</v>
      </c>
      <c r="B673" s="6">
        <v>1978</v>
      </c>
      <c r="C673" s="3">
        <v>213087.42999999999</v>
      </c>
      <c r="D673" s="3">
        <v>213087.42999999999</v>
      </c>
      <c r="F673" s="2">
        <v>25</v>
      </c>
      <c r="G673" s="3">
        <v>0</v>
      </c>
      <c r="H673" s="12">
        <v>-0.59999999999999998</v>
      </c>
      <c r="I673" s="3">
        <f t="shared" si="126"/>
        <v>340939.88800000004</v>
      </c>
      <c r="J673" s="4">
        <f t="shared" si="127"/>
        <v>1.2002898360433174</v>
      </c>
      <c r="K673" s="1">
        <f t="shared" si="128"/>
        <v>340939.88800000004</v>
      </c>
      <c r="L673" s="3"/>
      <c r="M673" s="4">
        <f t="shared" si="129"/>
        <v>340939.88800000004</v>
      </c>
      <c r="N673" s="4">
        <f t="shared" si="130"/>
        <v>0</v>
      </c>
    </row>
    <row r="674" spans="1:14" ht="15.65" outlineLevel="2">
      <c r="A674" s="5">
        <v>371</v>
      </c>
      <c r="B674" s="6">
        <v>1977</v>
      </c>
      <c r="C674" s="3">
        <v>196042.12</v>
      </c>
      <c r="D674" s="3">
        <v>196042.12</v>
      </c>
      <c r="F674" s="2">
        <v>25</v>
      </c>
      <c r="G674" s="3">
        <v>0</v>
      </c>
      <c r="H674" s="12">
        <v>-0.59999999999999998</v>
      </c>
      <c r="I674" s="3">
        <f t="shared" si="126"/>
        <v>313667.39199999999</v>
      </c>
      <c r="J674" s="4">
        <f t="shared" si="127"/>
        <v>1.2002898360433174</v>
      </c>
      <c r="K674" s="1">
        <f t="shared" si="128"/>
        <v>313667.39199999999</v>
      </c>
      <c r="L674" s="3"/>
      <c r="M674" s="4">
        <f t="shared" si="129"/>
        <v>313667.39199999999</v>
      </c>
      <c r="N674" s="4">
        <f t="shared" si="130"/>
        <v>0</v>
      </c>
    </row>
    <row r="675" spans="1:14" ht="15.65" outlineLevel="2">
      <c r="A675" s="5">
        <v>371</v>
      </c>
      <c r="B675" s="6">
        <v>1976</v>
      </c>
      <c r="C675" s="3">
        <v>209644.25</v>
      </c>
      <c r="D675" s="3">
        <v>209644.25</v>
      </c>
      <c r="F675" s="2">
        <v>25</v>
      </c>
      <c r="G675" s="3">
        <v>0</v>
      </c>
      <c r="H675" s="12">
        <v>-0.59999999999999998</v>
      </c>
      <c r="I675" s="3">
        <f t="shared" si="126"/>
        <v>335430.80000000005</v>
      </c>
      <c r="J675" s="4">
        <f t="shared" si="127"/>
        <v>1.2002898360433174</v>
      </c>
      <c r="K675" s="1">
        <f t="shared" si="128"/>
        <v>335430.80000000005</v>
      </c>
      <c r="L675" s="3"/>
      <c r="M675" s="4">
        <f t="shared" si="129"/>
        <v>335430.80000000005</v>
      </c>
      <c r="N675" s="4">
        <f t="shared" si="130"/>
        <v>0</v>
      </c>
    </row>
    <row r="676" spans="1:14" ht="15.65" outlineLevel="2">
      <c r="A676" s="5">
        <v>371</v>
      </c>
      <c r="B676" s="6">
        <v>1975</v>
      </c>
      <c r="C676" s="3">
        <v>103790.69</v>
      </c>
      <c r="D676" s="3">
        <v>103790.69</v>
      </c>
      <c r="F676" s="2">
        <v>25</v>
      </c>
      <c r="G676" s="3">
        <v>0</v>
      </c>
      <c r="H676" s="12">
        <v>-0.59999999999999998</v>
      </c>
      <c r="I676" s="3">
        <f t="shared" si="126"/>
        <v>166065.10400000002</v>
      </c>
      <c r="J676" s="4">
        <f t="shared" si="127"/>
        <v>1.2002898360433174</v>
      </c>
      <c r="K676" s="1">
        <f t="shared" si="128"/>
        <v>166065.10400000002</v>
      </c>
      <c r="L676" s="3"/>
      <c r="M676" s="4">
        <f t="shared" si="129"/>
        <v>166065.10400000002</v>
      </c>
      <c r="N676" s="4">
        <f t="shared" si="130"/>
        <v>0</v>
      </c>
    </row>
    <row r="677" spans="1:14" ht="15.65" outlineLevel="2">
      <c r="A677" s="5">
        <v>371</v>
      </c>
      <c r="B677" s="6">
        <v>1974</v>
      </c>
      <c r="C677" s="3">
        <v>81080.960000000006</v>
      </c>
      <c r="D677" s="3">
        <v>81080.960000000006</v>
      </c>
      <c r="F677" s="2">
        <v>25</v>
      </c>
      <c r="G677" s="3">
        <v>0</v>
      </c>
      <c r="H677" s="12">
        <v>-0.59999999999999998</v>
      </c>
      <c r="I677" s="3">
        <f t="shared" si="126"/>
        <v>129729.53600000002</v>
      </c>
      <c r="J677" s="4">
        <f t="shared" si="127"/>
        <v>1.2002898360433174</v>
      </c>
      <c r="K677" s="1">
        <f t="shared" si="128"/>
        <v>129729.53600000002</v>
      </c>
      <c r="L677" s="3"/>
      <c r="M677" s="4">
        <f t="shared" si="129"/>
        <v>129729.53600000002</v>
      </c>
      <c r="N677" s="4">
        <f t="shared" si="130"/>
        <v>0</v>
      </c>
    </row>
    <row r="678" spans="1:14" ht="15.65" outlineLevel="2">
      <c r="A678" s="5">
        <v>371</v>
      </c>
      <c r="B678" s="6">
        <v>1973</v>
      </c>
      <c r="C678" s="3">
        <v>120821.98</v>
      </c>
      <c r="D678" s="3">
        <v>120821.98</v>
      </c>
      <c r="F678" s="2">
        <v>25</v>
      </c>
      <c r="G678" s="3">
        <v>0</v>
      </c>
      <c r="H678" s="12">
        <v>-0.59999999999999998</v>
      </c>
      <c r="I678" s="3">
        <f t="shared" si="126"/>
        <v>193315.16800000001</v>
      </c>
      <c r="J678" s="4">
        <f t="shared" si="127"/>
        <v>1.2002898360433174</v>
      </c>
      <c r="K678" s="1">
        <f t="shared" si="128"/>
        <v>193315.16800000001</v>
      </c>
      <c r="L678" s="3"/>
      <c r="M678" s="4">
        <f t="shared" si="129"/>
        <v>193315.16800000001</v>
      </c>
      <c r="N678" s="4">
        <f t="shared" si="130"/>
        <v>0</v>
      </c>
    </row>
    <row r="679" spans="1:14" ht="15.65" outlineLevel="2">
      <c r="A679" s="5">
        <v>371</v>
      </c>
      <c r="B679" s="6">
        <v>1972</v>
      </c>
      <c r="C679" s="3">
        <v>158377.17000000001</v>
      </c>
      <c r="D679" s="3">
        <v>158377.17000000001</v>
      </c>
      <c r="F679" s="2">
        <v>25</v>
      </c>
      <c r="G679" s="3">
        <v>0</v>
      </c>
      <c r="H679" s="12">
        <v>-0.59999999999999998</v>
      </c>
      <c r="I679" s="3">
        <f t="shared" si="126"/>
        <v>253403.47200000004</v>
      </c>
      <c r="J679" s="4">
        <f t="shared" si="127"/>
        <v>1.2002898360433174</v>
      </c>
      <c r="K679" s="1">
        <f t="shared" si="128"/>
        <v>253403.47200000004</v>
      </c>
      <c r="L679" s="3"/>
      <c r="M679" s="4">
        <f t="shared" si="129"/>
        <v>253403.47200000004</v>
      </c>
      <c r="N679" s="4">
        <f t="shared" si="130"/>
        <v>0</v>
      </c>
    </row>
    <row r="680" spans="1:14" ht="15.65" outlineLevel="2">
      <c r="A680" s="5">
        <v>371</v>
      </c>
      <c r="B680" s="6">
        <v>1971</v>
      </c>
      <c r="C680" s="3">
        <v>184502.66</v>
      </c>
      <c r="D680" s="3">
        <v>184502.66</v>
      </c>
      <c r="F680" s="2">
        <v>25</v>
      </c>
      <c r="G680" s="3">
        <v>0</v>
      </c>
      <c r="H680" s="12">
        <v>-0.59999999999999998</v>
      </c>
      <c r="I680" s="3">
        <f t="shared" si="126"/>
        <v>295204.25599999999</v>
      </c>
      <c r="J680" s="4">
        <f t="shared" si="127"/>
        <v>1.2002898360433174</v>
      </c>
      <c r="K680" s="1">
        <f t="shared" si="128"/>
        <v>295204.25599999999</v>
      </c>
      <c r="L680" s="3"/>
      <c r="M680" s="4">
        <f t="shared" si="129"/>
        <v>295204.25599999999</v>
      </c>
      <c r="N680" s="4">
        <f t="shared" si="130"/>
        <v>0</v>
      </c>
    </row>
    <row r="681" spans="1:14" ht="15.65" outlineLevel="2">
      <c r="A681" s="5">
        <v>371</v>
      </c>
      <c r="B681" s="6">
        <v>1970</v>
      </c>
      <c r="C681" s="3">
        <v>216733.35000000001</v>
      </c>
      <c r="D681" s="3">
        <v>216733.35000000001</v>
      </c>
      <c r="F681" s="2">
        <v>25</v>
      </c>
      <c r="G681" s="3">
        <v>0</v>
      </c>
      <c r="H681" s="12">
        <v>-0.59999999999999998</v>
      </c>
      <c r="I681" s="3">
        <f t="shared" si="126"/>
        <v>346773.36000000004</v>
      </c>
      <c r="J681" s="4">
        <f t="shared" si="127"/>
        <v>1.2002898360433174</v>
      </c>
      <c r="K681" s="1">
        <f t="shared" si="128"/>
        <v>346773.36000000004</v>
      </c>
      <c r="L681" s="3"/>
      <c r="M681" s="4">
        <f t="shared" si="129"/>
        <v>346773.36000000004</v>
      </c>
      <c r="N681" s="4">
        <f t="shared" si="130"/>
        <v>0</v>
      </c>
    </row>
    <row r="682" spans="1:14" ht="15.65" outlineLevel="2">
      <c r="A682" s="5">
        <v>371</v>
      </c>
      <c r="B682" s="6">
        <v>1969</v>
      </c>
      <c r="C682" s="3">
        <v>297183.17999999999</v>
      </c>
      <c r="D682" s="3">
        <v>297183.17999999999</v>
      </c>
      <c r="F682" s="2">
        <v>25</v>
      </c>
      <c r="G682" s="3">
        <v>0</v>
      </c>
      <c r="H682" s="12">
        <v>-0.59999999999999998</v>
      </c>
      <c r="I682" s="3">
        <f t="shared" si="126"/>
        <v>475493.08799999999</v>
      </c>
      <c r="J682" s="4">
        <f t="shared" si="127"/>
        <v>1.2002898360433174</v>
      </c>
      <c r="K682" s="1">
        <f t="shared" si="128"/>
        <v>475493.08799999999</v>
      </c>
      <c r="L682" s="3"/>
      <c r="M682" s="4">
        <f t="shared" si="129"/>
        <v>475493.08799999999</v>
      </c>
      <c r="N682" s="4">
        <f t="shared" si="130"/>
        <v>0</v>
      </c>
    </row>
    <row r="683" spans="1:14" ht="15.65" outlineLevel="2">
      <c r="A683" s="5">
        <v>371</v>
      </c>
      <c r="B683" s="6">
        <v>1968</v>
      </c>
      <c r="C683" s="3">
        <v>912915.81000000006</v>
      </c>
      <c r="D683" s="3">
        <v>912915.81000000006</v>
      </c>
      <c r="F683" s="2">
        <v>25</v>
      </c>
      <c r="G683" s="3">
        <v>0</v>
      </c>
      <c r="H683" s="12">
        <v>-0.59999999999999998</v>
      </c>
      <c r="I683" s="3">
        <f t="shared" si="126"/>
        <v>1460665.2960000001</v>
      </c>
      <c r="J683" s="4">
        <f t="shared" si="127"/>
        <v>1.2002898360433174</v>
      </c>
      <c r="K683" s="1">
        <f t="shared" si="128"/>
        <v>1460665.2960000001</v>
      </c>
      <c r="L683" s="3"/>
      <c r="M683" s="4">
        <f t="shared" si="129"/>
        <v>1460665.2960000001</v>
      </c>
      <c r="N683" s="4">
        <f t="shared" si="130"/>
        <v>0</v>
      </c>
    </row>
    <row r="684" spans="1:14" ht="15.65" outlineLevel="2">
      <c r="A684" s="5">
        <v>371</v>
      </c>
      <c r="B684" s="6">
        <v>1967</v>
      </c>
      <c r="C684" s="3">
        <v>190637.92000000001</v>
      </c>
      <c r="D684" s="3">
        <v>190637.92000000001</v>
      </c>
      <c r="F684" s="2">
        <v>25</v>
      </c>
      <c r="G684" s="3">
        <v>0</v>
      </c>
      <c r="H684" s="12">
        <v>-0.59999999999999998</v>
      </c>
      <c r="I684" s="3">
        <f t="shared" si="126"/>
        <v>305020.67200000002</v>
      </c>
      <c r="J684" s="4">
        <f t="shared" si="127"/>
        <v>1.2002898360433174</v>
      </c>
      <c r="K684" s="1">
        <f t="shared" si="128"/>
        <v>305020.67200000002</v>
      </c>
      <c r="L684" s="3"/>
      <c r="M684" s="4">
        <f t="shared" si="129"/>
        <v>305020.67200000002</v>
      </c>
      <c r="N684" s="4">
        <f t="shared" si="130"/>
        <v>0</v>
      </c>
    </row>
    <row r="685" spans="1:14" ht="15.65" outlineLevel="2">
      <c r="A685" s="5">
        <v>371</v>
      </c>
      <c r="B685" s="6">
        <v>1966</v>
      </c>
      <c r="C685" s="3">
        <v>77189.630000000005</v>
      </c>
      <c r="D685" s="3">
        <v>77189.630000000005</v>
      </c>
      <c r="F685" s="2">
        <v>25</v>
      </c>
      <c r="G685" s="3">
        <v>0</v>
      </c>
      <c r="H685" s="12">
        <v>-0.59999999999999998</v>
      </c>
      <c r="I685" s="3">
        <f t="shared" si="126"/>
        <v>123503.40800000001</v>
      </c>
      <c r="J685" s="4">
        <f t="shared" si="127"/>
        <v>1.2002898360433174</v>
      </c>
      <c r="K685" s="1">
        <f t="shared" si="128"/>
        <v>123503.40800000001</v>
      </c>
      <c r="L685" s="3"/>
      <c r="M685" s="4">
        <f t="shared" si="129"/>
        <v>123503.40800000001</v>
      </c>
      <c r="N685" s="4">
        <f t="shared" si="130"/>
        <v>0</v>
      </c>
    </row>
    <row r="686" spans="1:14" ht="15.65" outlineLevel="2">
      <c r="A686" s="5">
        <v>371</v>
      </c>
      <c r="B686" s="6">
        <v>1965</v>
      </c>
      <c r="C686" s="3">
        <v>95476.850000000006</v>
      </c>
      <c r="D686" s="3">
        <v>95476.850000000006</v>
      </c>
      <c r="F686" s="2">
        <v>25</v>
      </c>
      <c r="G686" s="3">
        <v>0</v>
      </c>
      <c r="H686" s="12">
        <v>-0.59999999999999998</v>
      </c>
      <c r="I686" s="3">
        <f t="shared" si="126"/>
        <v>152762.96000000002</v>
      </c>
      <c r="J686" s="4">
        <f t="shared" si="127"/>
        <v>1.2002898360433174</v>
      </c>
      <c r="K686" s="1">
        <f t="shared" si="128"/>
        <v>152762.96000000002</v>
      </c>
      <c r="L686" s="3"/>
      <c r="M686" s="4">
        <f t="shared" si="129"/>
        <v>152762.96000000002</v>
      </c>
      <c r="N686" s="4">
        <f t="shared" si="130"/>
        <v>0</v>
      </c>
    </row>
    <row r="687" spans="1:14" ht="15.65" outlineLevel="2">
      <c r="A687" s="5">
        <v>371</v>
      </c>
      <c r="B687" s="6">
        <v>1964</v>
      </c>
      <c r="C687" s="3">
        <v>52610.309999999998</v>
      </c>
      <c r="D687" s="3">
        <v>52610.309999999998</v>
      </c>
      <c r="F687" s="2">
        <v>25</v>
      </c>
      <c r="G687" s="3">
        <v>0</v>
      </c>
      <c r="H687" s="12">
        <v>-0.59999999999999998</v>
      </c>
      <c r="I687" s="3">
        <f t="shared" si="126"/>
        <v>84176.495999999999</v>
      </c>
      <c r="J687" s="4">
        <f t="shared" si="127"/>
        <v>1.2002898360433174</v>
      </c>
      <c r="K687" s="1">
        <f t="shared" si="128"/>
        <v>84176.495999999999</v>
      </c>
      <c r="L687" s="3"/>
      <c r="M687" s="4">
        <f t="shared" si="129"/>
        <v>84176.495999999999</v>
      </c>
      <c r="N687" s="4">
        <f t="shared" si="130"/>
        <v>0</v>
      </c>
    </row>
    <row r="688" spans="1:14" ht="15.65" outlineLevel="2">
      <c r="A688" s="5">
        <v>371</v>
      </c>
      <c r="B688" s="6">
        <v>1963</v>
      </c>
      <c r="C688" s="3">
        <v>31935.779999999999</v>
      </c>
      <c r="D688" s="3">
        <v>31935.779999999999</v>
      </c>
      <c r="F688" s="2">
        <v>25</v>
      </c>
      <c r="G688" s="3">
        <v>0</v>
      </c>
      <c r="H688" s="12">
        <v>-0.59999999999999998</v>
      </c>
      <c r="I688" s="3">
        <f t="shared" si="126"/>
        <v>51097.248</v>
      </c>
      <c r="J688" s="4">
        <f t="shared" si="127"/>
        <v>1.2002898360433174</v>
      </c>
      <c r="K688" s="1">
        <f t="shared" si="128"/>
        <v>51097.248</v>
      </c>
      <c r="L688" s="3"/>
      <c r="M688" s="4">
        <f t="shared" si="129"/>
        <v>51097.248</v>
      </c>
      <c r="N688" s="4">
        <f t="shared" si="130"/>
        <v>0</v>
      </c>
    </row>
    <row r="689" spans="1:14" ht="15.65" outlineLevel="2">
      <c r="A689" s="5">
        <v>371</v>
      </c>
      <c r="B689" s="6">
        <v>1962</v>
      </c>
      <c r="C689" s="3">
        <v>54719.080000000002</v>
      </c>
      <c r="D689" s="3">
        <v>54719.080000000002</v>
      </c>
      <c r="F689" s="2">
        <v>25</v>
      </c>
      <c r="G689" s="3">
        <v>0</v>
      </c>
      <c r="H689" s="12">
        <v>-0.59999999999999998</v>
      </c>
      <c r="I689" s="3">
        <f t="shared" si="126"/>
        <v>87550.528000000006</v>
      </c>
      <c r="J689" s="4">
        <f t="shared" si="127"/>
        <v>1.2002898360433174</v>
      </c>
      <c r="K689" s="1">
        <f t="shared" si="128"/>
        <v>87550.528000000006</v>
      </c>
      <c r="L689" s="3"/>
      <c r="M689" s="4">
        <f t="shared" si="129"/>
        <v>87550.528000000006</v>
      </c>
      <c r="N689" s="4">
        <f t="shared" si="130"/>
        <v>0</v>
      </c>
    </row>
    <row r="690" spans="1:14" ht="15.65" outlineLevel="2">
      <c r="A690" s="5">
        <v>371</v>
      </c>
      <c r="B690" s="6">
        <v>1961</v>
      </c>
      <c r="C690" s="3">
        <v>3992.02</v>
      </c>
      <c r="D690" s="3">
        <v>3992.02</v>
      </c>
      <c r="F690" s="2">
        <v>25</v>
      </c>
      <c r="G690" s="3">
        <v>0</v>
      </c>
      <c r="H690" s="12">
        <v>-0.59999999999999998</v>
      </c>
      <c r="I690" s="3">
        <f t="shared" si="126"/>
        <v>6387.232</v>
      </c>
      <c r="J690" s="4">
        <f t="shared" si="127"/>
        <v>1.2002898360433174</v>
      </c>
      <c r="K690" s="1">
        <f t="shared" si="128"/>
        <v>6387.232</v>
      </c>
      <c r="L690" s="3"/>
      <c r="M690" s="4">
        <f t="shared" si="129"/>
        <v>6387.232</v>
      </c>
      <c r="N690" s="4">
        <f t="shared" si="130"/>
        <v>0</v>
      </c>
    </row>
    <row r="691" spans="1:14" ht="15.65" outlineLevel="2">
      <c r="A691" s="5">
        <v>371</v>
      </c>
      <c r="B691" s="6">
        <v>1960</v>
      </c>
      <c r="C691" s="3">
        <v>3.25</v>
      </c>
      <c r="D691" s="3">
        <v>3.25</v>
      </c>
      <c r="F691" s="2">
        <v>25</v>
      </c>
      <c r="G691" s="3">
        <v>0</v>
      </c>
      <c r="H691" s="12">
        <v>-0.59999999999999998</v>
      </c>
      <c r="I691" s="3">
        <f t="shared" si="126"/>
        <v>5.2000000000000002</v>
      </c>
      <c r="J691" s="4">
        <f t="shared" si="127"/>
        <v>1.2002898360433174</v>
      </c>
      <c r="K691" s="1">
        <f t="shared" si="128"/>
        <v>5.2000000000000002</v>
      </c>
      <c r="L691" s="3"/>
      <c r="M691" s="4">
        <f t="shared" si="129"/>
        <v>5.2000000000000002</v>
      </c>
      <c r="N691" s="4">
        <f t="shared" si="130"/>
        <v>0</v>
      </c>
    </row>
    <row r="692" spans="1:14" ht="15.65" outlineLevel="2">
      <c r="A692" s="5">
        <v>371</v>
      </c>
      <c r="B692" s="6">
        <v>1959</v>
      </c>
      <c r="C692" s="3">
        <v>4.7300000000000004</v>
      </c>
      <c r="D692" s="3">
        <v>4.7300000000000004</v>
      </c>
      <c r="F692" s="2">
        <v>25</v>
      </c>
      <c r="G692" s="3">
        <v>0</v>
      </c>
      <c r="H692" s="12">
        <v>-0.59999999999999998</v>
      </c>
      <c r="I692" s="3">
        <f t="shared" si="126"/>
        <v>7.5680000000000014</v>
      </c>
      <c r="J692" s="4">
        <f t="shared" si="127"/>
        <v>1.2002898360433174</v>
      </c>
      <c r="K692" s="1">
        <f t="shared" si="128"/>
        <v>7.5680000000000014</v>
      </c>
      <c r="L692" s="3"/>
      <c r="M692" s="4">
        <f t="shared" si="129"/>
        <v>7.5680000000000014</v>
      </c>
      <c r="N692" s="4">
        <f t="shared" si="130"/>
        <v>0</v>
      </c>
    </row>
    <row r="693" spans="1:14" ht="15.65" outlineLevel="2">
      <c r="A693" s="5">
        <v>371</v>
      </c>
      <c r="B693" s="6">
        <v>1958</v>
      </c>
      <c r="C693" s="3">
        <v>2187.3699999999999</v>
      </c>
      <c r="D693" s="3">
        <v>2187.3699999999999</v>
      </c>
      <c r="F693" s="2">
        <v>25</v>
      </c>
      <c r="G693" s="3">
        <v>0</v>
      </c>
      <c r="H693" s="12">
        <v>-0.59999999999999998</v>
      </c>
      <c r="I693" s="3">
        <f t="shared" si="126"/>
        <v>3499.7919999999999</v>
      </c>
      <c r="J693" s="4">
        <f t="shared" si="127"/>
        <v>1.2002898360433174</v>
      </c>
      <c r="K693" s="1">
        <f t="shared" si="128"/>
        <v>3499.7919999999999</v>
      </c>
      <c r="L693" s="3"/>
      <c r="M693" s="4">
        <f t="shared" si="129"/>
        <v>3499.7919999999999</v>
      </c>
      <c r="N693" s="4">
        <f t="shared" si="130"/>
        <v>0</v>
      </c>
    </row>
    <row r="694" spans="1:14" ht="15.65" outlineLevel="2">
      <c r="A694" s="5">
        <v>371</v>
      </c>
      <c r="B694" s="6">
        <v>1957</v>
      </c>
      <c r="C694" s="3">
        <v>2.54</v>
      </c>
      <c r="D694" s="3">
        <v>2.54</v>
      </c>
      <c r="F694" s="2">
        <v>25</v>
      </c>
      <c r="G694" s="3">
        <v>0</v>
      </c>
      <c r="H694" s="12">
        <v>-0.59999999999999998</v>
      </c>
      <c r="I694" s="3">
        <f t="shared" si="131" ref="I694:I711">+C694*(1-H694)*(1-G694/F694)</f>
        <v>4.0640000000000001</v>
      </c>
      <c r="J694" s="4">
        <f t="shared" si="132" ref="J694:J711">$J$712</f>
        <v>1.2002898360433174</v>
      </c>
      <c r="K694" s="1">
        <f t="shared" si="133" ref="K694:K711">IF((C694*(1-H694)-I694*J694)&lt;0,C694*(1-H694),I694*J694)</f>
        <v>4.0640000000000001</v>
      </c>
      <c r="L694" s="3"/>
      <c r="M694" s="4">
        <f t="shared" si="134" ref="M694:M711">+K694/D694*C694</f>
        <v>4.0640000000000001</v>
      </c>
      <c r="N694" s="4">
        <f t="shared" si="135" ref="N694:N711">+E694/C694*K694</f>
        <v>0</v>
      </c>
    </row>
    <row r="695" spans="1:14" ht="15.65" outlineLevel="2">
      <c r="A695" s="5">
        <v>371</v>
      </c>
      <c r="B695" s="6">
        <v>1956</v>
      </c>
      <c r="C695" s="3">
        <v>2.2999999999999998</v>
      </c>
      <c r="D695" s="3">
        <v>2.2999999999999998</v>
      </c>
      <c r="F695" s="2">
        <v>25</v>
      </c>
      <c r="G695" s="3">
        <v>0</v>
      </c>
      <c r="H695" s="12">
        <v>-0.59999999999999998</v>
      </c>
      <c r="I695" s="3">
        <f t="shared" si="131"/>
        <v>3.6799999999999997</v>
      </c>
      <c r="J695" s="4">
        <f t="shared" si="132"/>
        <v>1.2002898360433174</v>
      </c>
      <c r="K695" s="1">
        <f t="shared" si="133"/>
        <v>3.6799999999999997</v>
      </c>
      <c r="L695" s="3"/>
      <c r="M695" s="4">
        <f t="shared" si="134"/>
        <v>3.6799999999999997</v>
      </c>
      <c r="N695" s="4">
        <f t="shared" si="135"/>
        <v>0</v>
      </c>
    </row>
    <row r="696" spans="1:14" ht="15.65" outlineLevel="2">
      <c r="A696" s="5">
        <v>371</v>
      </c>
      <c r="B696" s="6">
        <v>1955</v>
      </c>
      <c r="C696" s="3">
        <v>2.5699999999999998</v>
      </c>
      <c r="D696" s="3">
        <v>2.5699999999999998</v>
      </c>
      <c r="F696" s="2">
        <v>25</v>
      </c>
      <c r="G696" s="3">
        <v>0</v>
      </c>
      <c r="H696" s="12">
        <v>-0.59999999999999998</v>
      </c>
      <c r="I696" s="3">
        <f t="shared" si="131"/>
        <v>4.1120000000000001</v>
      </c>
      <c r="J696" s="4">
        <f t="shared" si="132"/>
        <v>1.2002898360433174</v>
      </c>
      <c r="K696" s="1">
        <f t="shared" si="133"/>
        <v>4.1120000000000001</v>
      </c>
      <c r="L696" s="3"/>
      <c r="M696" s="4">
        <f t="shared" si="134"/>
        <v>4.1120000000000001</v>
      </c>
      <c r="N696" s="4">
        <f t="shared" si="135"/>
        <v>0</v>
      </c>
    </row>
    <row r="697" spans="1:14" ht="15.65" outlineLevel="2">
      <c r="A697" s="5">
        <v>371</v>
      </c>
      <c r="B697" s="6">
        <v>1954</v>
      </c>
      <c r="C697" s="3">
        <v>85.439999999999998</v>
      </c>
      <c r="D697" s="3">
        <v>85.439999999999998</v>
      </c>
      <c r="F697" s="2">
        <v>25</v>
      </c>
      <c r="G697" s="3">
        <v>0</v>
      </c>
      <c r="H697" s="12">
        <v>-0.59999999999999998</v>
      </c>
      <c r="I697" s="3">
        <f t="shared" si="131"/>
        <v>136.70400000000001</v>
      </c>
      <c r="J697" s="4">
        <f t="shared" si="132"/>
        <v>1.2002898360433174</v>
      </c>
      <c r="K697" s="1">
        <f t="shared" si="133"/>
        <v>136.70400000000001</v>
      </c>
      <c r="L697" s="3"/>
      <c r="M697" s="4">
        <f t="shared" si="134"/>
        <v>136.70400000000001</v>
      </c>
      <c r="N697" s="4">
        <f t="shared" si="135"/>
        <v>0</v>
      </c>
    </row>
    <row r="698" spans="1:14" ht="15.65" outlineLevel="2">
      <c r="A698" s="5">
        <v>371</v>
      </c>
      <c r="B698" s="6">
        <v>1953</v>
      </c>
      <c r="C698" s="3">
        <v>0.56000000000000005</v>
      </c>
      <c r="D698" s="3">
        <v>0.56000000000000005</v>
      </c>
      <c r="F698" s="2">
        <v>25</v>
      </c>
      <c r="G698" s="3">
        <v>0</v>
      </c>
      <c r="H698" s="12">
        <v>-0.59999999999999998</v>
      </c>
      <c r="I698" s="3">
        <f t="shared" si="131"/>
        <v>0.89600000000000013</v>
      </c>
      <c r="J698" s="4">
        <f t="shared" si="132"/>
        <v>1.2002898360433174</v>
      </c>
      <c r="K698" s="1">
        <f t="shared" si="133"/>
        <v>0.89600000000000013</v>
      </c>
      <c r="L698" s="3"/>
      <c r="M698" s="4">
        <f t="shared" si="134"/>
        <v>0.89600000000000013</v>
      </c>
      <c r="N698" s="4">
        <f t="shared" si="135"/>
        <v>0</v>
      </c>
    </row>
    <row r="699" spans="1:14" ht="15.65" outlineLevel="2">
      <c r="A699" s="5">
        <v>371</v>
      </c>
      <c r="B699" s="6">
        <v>1952</v>
      </c>
      <c r="C699" s="3">
        <v>1.02</v>
      </c>
      <c r="D699" s="3">
        <v>1.02</v>
      </c>
      <c r="F699" s="2">
        <v>25</v>
      </c>
      <c r="G699" s="3">
        <v>0</v>
      </c>
      <c r="H699" s="12">
        <v>-0.59999999999999998</v>
      </c>
      <c r="I699" s="3">
        <f t="shared" si="131"/>
        <v>1.6320000000000001</v>
      </c>
      <c r="J699" s="4">
        <f t="shared" si="132"/>
        <v>1.2002898360433174</v>
      </c>
      <c r="K699" s="1">
        <f t="shared" si="133"/>
        <v>1.6320000000000001</v>
      </c>
      <c r="L699" s="3"/>
      <c r="M699" s="4">
        <f t="shared" si="134"/>
        <v>1.6320000000000001</v>
      </c>
      <c r="N699" s="4">
        <f t="shared" si="135"/>
        <v>0</v>
      </c>
    </row>
    <row r="700" spans="1:14" ht="15.65" outlineLevel="2">
      <c r="A700" s="5">
        <v>371</v>
      </c>
      <c r="B700" s="6">
        <v>1951</v>
      </c>
      <c r="C700" s="3">
        <v>71.280000000000001</v>
      </c>
      <c r="D700" s="3">
        <v>71.280000000000001</v>
      </c>
      <c r="F700" s="2">
        <v>25</v>
      </c>
      <c r="G700" s="3">
        <v>0</v>
      </c>
      <c r="H700" s="12">
        <v>-0.59999999999999998</v>
      </c>
      <c r="I700" s="3">
        <f t="shared" si="131"/>
        <v>114.048</v>
      </c>
      <c r="J700" s="4">
        <f t="shared" si="132"/>
        <v>1.2002898360433174</v>
      </c>
      <c r="K700" s="1">
        <f t="shared" si="133"/>
        <v>114.048</v>
      </c>
      <c r="L700" s="3"/>
      <c r="M700" s="4">
        <f t="shared" si="134"/>
        <v>114.048</v>
      </c>
      <c r="N700" s="4">
        <f t="shared" si="135"/>
        <v>0</v>
      </c>
    </row>
    <row r="701" spans="1:14" ht="15.65" outlineLevel="2">
      <c r="A701" s="5">
        <v>371</v>
      </c>
      <c r="B701" s="6">
        <v>1950</v>
      </c>
      <c r="C701" s="3">
        <v>0.17000000000000001</v>
      </c>
      <c r="D701" s="3">
        <v>0.17000000000000001</v>
      </c>
      <c r="F701" s="2">
        <v>25</v>
      </c>
      <c r="G701" s="3">
        <v>0</v>
      </c>
      <c r="H701" s="12">
        <v>-0.59999999999999998</v>
      </c>
      <c r="I701" s="3">
        <f t="shared" si="131"/>
        <v>0.27200000000000002</v>
      </c>
      <c r="J701" s="4">
        <f t="shared" si="132"/>
        <v>1.2002898360433174</v>
      </c>
      <c r="K701" s="1">
        <f t="shared" si="133"/>
        <v>0.27200000000000002</v>
      </c>
      <c r="L701" s="3"/>
      <c r="M701" s="4">
        <f t="shared" si="134"/>
        <v>0.27200000000000002</v>
      </c>
      <c r="N701" s="4">
        <f t="shared" si="135"/>
        <v>0</v>
      </c>
    </row>
    <row r="702" spans="1:14" ht="15.65" outlineLevel="2">
      <c r="A702" s="5">
        <v>371</v>
      </c>
      <c r="B702" s="6">
        <v>1949</v>
      </c>
      <c r="C702" s="3">
        <v>0.20999999999999999</v>
      </c>
      <c r="D702" s="3">
        <v>0.20999999999999999</v>
      </c>
      <c r="F702" s="2">
        <v>25</v>
      </c>
      <c r="G702" s="3">
        <v>0</v>
      </c>
      <c r="H702" s="12">
        <v>-0.59999999999999998</v>
      </c>
      <c r="I702" s="3">
        <f t="shared" si="131"/>
        <v>0.33600000000000002</v>
      </c>
      <c r="J702" s="4">
        <f t="shared" si="132"/>
        <v>1.2002898360433174</v>
      </c>
      <c r="K702" s="1">
        <f t="shared" si="133"/>
        <v>0.33600000000000002</v>
      </c>
      <c r="L702" s="3"/>
      <c r="M702" s="4">
        <f t="shared" si="134"/>
        <v>0.33600000000000002</v>
      </c>
      <c r="N702" s="4">
        <f t="shared" si="135"/>
        <v>0</v>
      </c>
    </row>
    <row r="703" spans="1:14" ht="15.65" outlineLevel="2">
      <c r="A703" s="5">
        <v>371</v>
      </c>
      <c r="B703" s="6">
        <v>1948</v>
      </c>
      <c r="C703" s="3">
        <v>0.20999999999999999</v>
      </c>
      <c r="D703" s="3">
        <v>0.20999999999999999</v>
      </c>
      <c r="F703" s="2">
        <v>25</v>
      </c>
      <c r="G703" s="3">
        <v>0</v>
      </c>
      <c r="H703" s="12">
        <v>-0.59999999999999998</v>
      </c>
      <c r="I703" s="3">
        <f t="shared" si="131"/>
        <v>0.33600000000000002</v>
      </c>
      <c r="J703" s="4">
        <f t="shared" si="132"/>
        <v>1.2002898360433174</v>
      </c>
      <c r="K703" s="1">
        <f t="shared" si="133"/>
        <v>0.33600000000000002</v>
      </c>
      <c r="L703" s="3"/>
      <c r="M703" s="4">
        <f t="shared" si="134"/>
        <v>0.33600000000000002</v>
      </c>
      <c r="N703" s="4">
        <f t="shared" si="135"/>
        <v>0</v>
      </c>
    </row>
    <row r="704" spans="1:14" ht="15.65" outlineLevel="2">
      <c r="A704" s="5">
        <v>371</v>
      </c>
      <c r="B704" s="6">
        <v>1947</v>
      </c>
      <c r="C704" s="3">
        <v>0.41999999999999998</v>
      </c>
      <c r="D704" s="3">
        <v>0.41999999999999998</v>
      </c>
      <c r="F704" s="2">
        <v>25</v>
      </c>
      <c r="G704" s="3">
        <v>0</v>
      </c>
      <c r="H704" s="12">
        <v>-0.59999999999999998</v>
      </c>
      <c r="I704" s="3">
        <f t="shared" si="131"/>
        <v>0.67200000000000004</v>
      </c>
      <c r="J704" s="4">
        <f t="shared" si="132"/>
        <v>1.2002898360433174</v>
      </c>
      <c r="K704" s="1">
        <f t="shared" si="133"/>
        <v>0.67200000000000004</v>
      </c>
      <c r="L704" s="3"/>
      <c r="M704" s="4">
        <f t="shared" si="134"/>
        <v>0.67200000000000004</v>
      </c>
      <c r="N704" s="4">
        <f t="shared" si="135"/>
        <v>0</v>
      </c>
    </row>
    <row r="705" spans="1:14" ht="15.65" outlineLevel="2">
      <c r="A705" s="5">
        <v>371</v>
      </c>
      <c r="B705" s="6">
        <v>1946</v>
      </c>
      <c r="C705" s="3">
        <v>0.16</v>
      </c>
      <c r="D705" s="3">
        <v>0.16</v>
      </c>
      <c r="F705" s="2">
        <v>25</v>
      </c>
      <c r="G705" s="3">
        <v>0</v>
      </c>
      <c r="H705" s="12">
        <v>-0.59999999999999998</v>
      </c>
      <c r="I705" s="3">
        <f t="shared" si="131"/>
        <v>0.25600000000000001</v>
      </c>
      <c r="J705" s="4">
        <f t="shared" si="132"/>
        <v>1.2002898360433174</v>
      </c>
      <c r="K705" s="1">
        <f t="shared" si="133"/>
        <v>0.25600000000000001</v>
      </c>
      <c r="L705" s="3"/>
      <c r="M705" s="4">
        <f t="shared" si="134"/>
        <v>0.25600000000000001</v>
      </c>
      <c r="N705" s="4">
        <f t="shared" si="135"/>
        <v>0</v>
      </c>
    </row>
    <row r="706" spans="1:14" ht="15.65" outlineLevel="2">
      <c r="A706" s="5">
        <v>371</v>
      </c>
      <c r="B706" s="6">
        <v>1944</v>
      </c>
      <c r="C706" s="3">
        <v>0.050000000000000003</v>
      </c>
      <c r="D706" s="3">
        <v>0.050000000000000003</v>
      </c>
      <c r="F706" s="2">
        <v>25</v>
      </c>
      <c r="G706" s="3">
        <v>0</v>
      </c>
      <c r="H706" s="12">
        <v>-0.59999999999999998</v>
      </c>
      <c r="I706" s="3">
        <f t="shared" si="131"/>
        <v>0.080000000000000016</v>
      </c>
      <c r="J706" s="4">
        <f t="shared" si="132"/>
        <v>1.2002898360433174</v>
      </c>
      <c r="K706" s="1">
        <f t="shared" si="133"/>
        <v>0.080000000000000016</v>
      </c>
      <c r="L706" s="3"/>
      <c r="M706" s="4">
        <f t="shared" si="134"/>
        <v>0.080000000000000016</v>
      </c>
      <c r="N706" s="4">
        <f t="shared" si="135"/>
        <v>0</v>
      </c>
    </row>
    <row r="707" spans="1:14" ht="15.65" outlineLevel="2">
      <c r="A707" s="5">
        <v>371</v>
      </c>
      <c r="B707" s="6">
        <v>1943</v>
      </c>
      <c r="C707" s="3">
        <v>0.050000000000000003</v>
      </c>
      <c r="D707" s="3">
        <v>0.050000000000000003</v>
      </c>
      <c r="F707" s="2">
        <v>25</v>
      </c>
      <c r="G707" s="3">
        <v>0</v>
      </c>
      <c r="H707" s="12">
        <v>-0.59999999999999998</v>
      </c>
      <c r="I707" s="3">
        <f t="shared" si="131"/>
        <v>0.080000000000000016</v>
      </c>
      <c r="J707" s="4">
        <f t="shared" si="132"/>
        <v>1.2002898360433174</v>
      </c>
      <c r="K707" s="1">
        <f t="shared" si="133"/>
        <v>0.080000000000000016</v>
      </c>
      <c r="L707" s="3"/>
      <c r="M707" s="4">
        <f t="shared" si="134"/>
        <v>0.080000000000000016</v>
      </c>
      <c r="N707" s="4">
        <f t="shared" si="135"/>
        <v>0</v>
      </c>
    </row>
    <row r="708" spans="1:14" ht="15.65" outlineLevel="2">
      <c r="A708" s="5">
        <v>371</v>
      </c>
      <c r="B708" s="6">
        <v>1939</v>
      </c>
      <c r="C708" s="3">
        <v>0.050000000000000003</v>
      </c>
      <c r="D708" s="3">
        <v>0.050000000000000003</v>
      </c>
      <c r="F708" s="2">
        <v>25</v>
      </c>
      <c r="G708" s="3">
        <v>0</v>
      </c>
      <c r="H708" s="12">
        <v>-0.59999999999999998</v>
      </c>
      <c r="I708" s="3">
        <f t="shared" si="131"/>
        <v>0.080000000000000016</v>
      </c>
      <c r="J708" s="4">
        <f t="shared" si="132"/>
        <v>1.2002898360433174</v>
      </c>
      <c r="K708" s="1">
        <f t="shared" si="133"/>
        <v>0.080000000000000016</v>
      </c>
      <c r="L708" s="3"/>
      <c r="M708" s="4">
        <f t="shared" si="134"/>
        <v>0.080000000000000016</v>
      </c>
      <c r="N708" s="4">
        <f t="shared" si="135"/>
        <v>0</v>
      </c>
    </row>
    <row r="709" spans="1:14" ht="15.65" outlineLevel="2">
      <c r="A709" s="5">
        <v>371</v>
      </c>
      <c r="B709" s="6">
        <v>1937</v>
      </c>
      <c r="C709" s="3">
        <v>0.16</v>
      </c>
      <c r="D709" s="3">
        <v>0.16</v>
      </c>
      <c r="F709" s="2">
        <v>25</v>
      </c>
      <c r="G709" s="3">
        <v>0</v>
      </c>
      <c r="H709" s="12">
        <v>-0.59999999999999998</v>
      </c>
      <c r="I709" s="3">
        <f t="shared" si="131"/>
        <v>0.25600000000000001</v>
      </c>
      <c r="J709" s="4">
        <f t="shared" si="132"/>
        <v>1.2002898360433174</v>
      </c>
      <c r="K709" s="1">
        <f t="shared" si="133"/>
        <v>0.25600000000000001</v>
      </c>
      <c r="L709" s="3"/>
      <c r="M709" s="4">
        <f t="shared" si="134"/>
        <v>0.25600000000000001</v>
      </c>
      <c r="N709" s="4">
        <f t="shared" si="135"/>
        <v>0</v>
      </c>
    </row>
    <row r="710" spans="1:14" ht="15.65" outlineLevel="2">
      <c r="A710" s="5">
        <v>371</v>
      </c>
      <c r="B710" s="6">
        <v>1935</v>
      </c>
      <c r="C710" s="3">
        <v>0.11</v>
      </c>
      <c r="D710" s="3">
        <v>0.11</v>
      </c>
      <c r="F710" s="2">
        <v>25</v>
      </c>
      <c r="G710" s="3">
        <v>0</v>
      </c>
      <c r="H710" s="12">
        <v>-0.59999999999999998</v>
      </c>
      <c r="I710" s="3">
        <f t="shared" si="131"/>
        <v>0.17600000000000002</v>
      </c>
      <c r="J710" s="4">
        <f t="shared" si="132"/>
        <v>1.2002898360433174</v>
      </c>
      <c r="K710" s="1">
        <f t="shared" si="133"/>
        <v>0.17600000000000002</v>
      </c>
      <c r="L710" s="3"/>
      <c r="M710" s="4">
        <f t="shared" si="134"/>
        <v>0.17600000000000002</v>
      </c>
      <c r="N710" s="4">
        <f t="shared" si="135"/>
        <v>0</v>
      </c>
    </row>
    <row r="711" spans="1:14" ht="15.65" outlineLevel="2">
      <c r="A711" s="5">
        <v>371</v>
      </c>
      <c r="B711" s="6">
        <v>1908</v>
      </c>
      <c r="C711" s="3">
        <v>216.50999999999999</v>
      </c>
      <c r="D711" s="3">
        <v>216.50999999999999</v>
      </c>
      <c r="F711" s="2">
        <v>25</v>
      </c>
      <c r="G711" s="3">
        <v>0</v>
      </c>
      <c r="H711" s="12">
        <v>-0.59999999999999998</v>
      </c>
      <c r="I711" s="3">
        <f t="shared" si="131"/>
        <v>346.416</v>
      </c>
      <c r="J711" s="4">
        <f t="shared" si="132"/>
        <v>1.2002898360433174</v>
      </c>
      <c r="K711" s="1">
        <f t="shared" si="133"/>
        <v>346.416</v>
      </c>
      <c r="L711" s="3"/>
      <c r="M711" s="4">
        <f t="shared" si="134"/>
        <v>346.416</v>
      </c>
      <c r="N711" s="4">
        <f t="shared" si="135"/>
        <v>0</v>
      </c>
    </row>
    <row r="712" spans="1:15" ht="15.65" outlineLevel="1">
      <c r="A712" s="7" t="s">
        <v>9</v>
      </c>
      <c r="B712" s="6"/>
      <c r="C712" s="3">
        <f>SUBTOTAL(9,C630:C711)</f>
        <v>54631096.929999992</v>
      </c>
      <c r="I712" s="3">
        <f t="shared" si="136" ref="I712:K712">SUBTOTAL(9,I630:I711)</f>
        <v>69357320.073074952</v>
      </c>
      <c r="J712" s="3">
        <v>1.2002898360433174</v>
      </c>
      <c r="K712" s="1">
        <f t="shared" si="136"/>
        <v>75069053.345373064</v>
      </c>
      <c r="L712" s="3">
        <v>75069053.345373064</v>
      </c>
      <c r="M712" s="3">
        <f t="shared" si="137" ref="M712">SUBTOTAL(9,M630:M711)</f>
        <v>75069053.345373064</v>
      </c>
      <c r="N712" s="3">
        <f t="shared" si="138" ref="N712">SUBTOTAL(9,N630:N711)</f>
        <v>0</v>
      </c>
      <c r="O712" s="4">
        <f>+L712-K712</f>
        <v>0</v>
      </c>
    </row>
    <row r="713" spans="1:14" ht="15.65" outlineLevel="2">
      <c r="A713" s="5">
        <v>373</v>
      </c>
      <c r="B713" s="6">
        <v>2021</v>
      </c>
      <c r="C713" s="3">
        <v>27803418.210000001</v>
      </c>
      <c r="D713" s="3">
        <v>27803418.210000001</v>
      </c>
      <c r="F713" s="2">
        <v>25</v>
      </c>
      <c r="G713" s="3">
        <v>24.5</v>
      </c>
      <c r="H713" s="12">
        <v>-0.40000000000000002</v>
      </c>
      <c r="I713" s="3">
        <f t="shared" si="139" ref="I713:I744">+C713*(1-H713)*(1-G713/F713)</f>
        <v>778495.70988000056</v>
      </c>
      <c r="J713" s="4">
        <f t="shared" si="140" ref="J713:J744">$J$787</f>
        <v>1.2002890245545383</v>
      </c>
      <c r="K713" s="1">
        <f t="shared" si="141" ref="K713:K744">IF((C713*(1-H713)-I713*J713)&lt;0,C713*(1-H713),I713*J713)</f>
        <v>934419.85623175872</v>
      </c>
      <c r="L713" s="3"/>
      <c r="M713" s="4">
        <f t="shared" si="142" ref="M713:M744">+K713/D713*C713</f>
        <v>934419.85623175872</v>
      </c>
      <c r="N713" s="4">
        <f t="shared" si="143" ref="N713:N744">+E713/C713*K713</f>
        <v>0</v>
      </c>
    </row>
    <row r="714" spans="1:14" ht="15.65" outlineLevel="2">
      <c r="A714" s="5">
        <v>373</v>
      </c>
      <c r="B714" s="6">
        <v>2020</v>
      </c>
      <c r="C714" s="3">
        <v>26318197.870000001</v>
      </c>
      <c r="D714" s="3">
        <v>26318197.870000001</v>
      </c>
      <c r="F714" s="2">
        <v>25</v>
      </c>
      <c r="G714" s="3">
        <v>23.5</v>
      </c>
      <c r="H714" s="12">
        <v>-0.40000000000000002</v>
      </c>
      <c r="I714" s="3">
        <f t="shared" si="139"/>
        <v>2210728.6210800018</v>
      </c>
      <c r="J714" s="4">
        <f t="shared" si="140"/>
        <v>1.2002890245545383</v>
      </c>
      <c r="K714" s="1">
        <f t="shared" si="141"/>
        <v>2653513.300150915</v>
      </c>
      <c r="L714" s="3"/>
      <c r="M714" s="4">
        <f t="shared" si="142"/>
        <v>2653513.300150915</v>
      </c>
      <c r="N714" s="4">
        <f t="shared" si="143"/>
        <v>0</v>
      </c>
    </row>
    <row r="715" spans="1:14" ht="15.65" outlineLevel="2">
      <c r="A715" s="5">
        <v>373</v>
      </c>
      <c r="B715" s="6">
        <v>2019</v>
      </c>
      <c r="C715" s="3">
        <v>27830905.43</v>
      </c>
      <c r="D715" s="3">
        <v>27830905.43</v>
      </c>
      <c r="F715" s="2">
        <v>25</v>
      </c>
      <c r="G715" s="3">
        <v>22.5</v>
      </c>
      <c r="H715" s="12">
        <v>-0.40000000000000002</v>
      </c>
      <c r="I715" s="3">
        <f t="shared" si="139"/>
        <v>3896326.760199999</v>
      </c>
      <c r="J715" s="4">
        <f t="shared" si="140"/>
        <v>1.2002890245545383</v>
      </c>
      <c r="K715" s="1">
        <f t="shared" si="141"/>
        <v>4676718.2463462017</v>
      </c>
      <c r="L715" s="3"/>
      <c r="M715" s="4">
        <f t="shared" si="142"/>
        <v>4676718.2463462017</v>
      </c>
      <c r="N715" s="4">
        <f t="shared" si="143"/>
        <v>0</v>
      </c>
    </row>
    <row r="716" spans="1:14" ht="15.65" outlineLevel="2">
      <c r="A716" s="5">
        <v>373</v>
      </c>
      <c r="B716" s="6">
        <v>2018</v>
      </c>
      <c r="C716" s="3">
        <v>22980743.690000001</v>
      </c>
      <c r="D716" s="3">
        <v>22980743.690000001</v>
      </c>
      <c r="F716" s="2">
        <v>25</v>
      </c>
      <c r="G716" s="3">
        <v>21.5</v>
      </c>
      <c r="H716" s="12">
        <v>-0.40000000000000002</v>
      </c>
      <c r="I716" s="3">
        <f t="shared" si="139"/>
        <v>4504225.7632400002</v>
      </c>
      <c r="J716" s="4">
        <f t="shared" si="140"/>
        <v>1.2002890245545383</v>
      </c>
      <c r="K716" s="1">
        <f t="shared" si="141"/>
        <v>5406372.7477327604</v>
      </c>
      <c r="L716" s="3"/>
      <c r="M716" s="4">
        <f t="shared" si="142"/>
        <v>5406372.7477327604</v>
      </c>
      <c r="N716" s="4">
        <f t="shared" si="143"/>
        <v>0</v>
      </c>
    </row>
    <row r="717" spans="1:14" ht="15.65" outlineLevel="2">
      <c r="A717" s="5">
        <v>373</v>
      </c>
      <c r="B717" s="6">
        <v>2017</v>
      </c>
      <c r="C717" s="3">
        <v>16377873.699999999</v>
      </c>
      <c r="D717" s="3">
        <v>16377873.699999999</v>
      </c>
      <c r="F717" s="2">
        <v>25</v>
      </c>
      <c r="G717" s="3">
        <v>20.5</v>
      </c>
      <c r="H717" s="12">
        <v>-0.40000000000000002</v>
      </c>
      <c r="I717" s="3">
        <f t="shared" si="139"/>
        <v>4127224.1724000005</v>
      </c>
      <c r="J717" s="4">
        <f t="shared" si="140"/>
        <v>1.2002890245545383</v>
      </c>
      <c r="K717" s="1">
        <f t="shared" si="141"/>
        <v>4953861.876007908</v>
      </c>
      <c r="L717" s="3"/>
      <c r="M717" s="4">
        <f t="shared" si="142"/>
        <v>4953861.876007908</v>
      </c>
      <c r="N717" s="4">
        <f t="shared" si="143"/>
        <v>0</v>
      </c>
    </row>
    <row r="718" spans="1:14" ht="15.65" outlineLevel="2">
      <c r="A718" s="5">
        <v>373</v>
      </c>
      <c r="B718" s="6">
        <v>2016</v>
      </c>
      <c r="C718" s="3">
        <v>14470689.1</v>
      </c>
      <c r="D718" s="3">
        <v>14470689.1</v>
      </c>
      <c r="F718" s="2">
        <v>25</v>
      </c>
      <c r="G718" s="3">
        <v>19.5</v>
      </c>
      <c r="H718" s="12">
        <v>-0.40000000000000002</v>
      </c>
      <c r="I718" s="3">
        <f t="shared" si="139"/>
        <v>4456972.2427999992</v>
      </c>
      <c r="J718" s="4">
        <f t="shared" si="140"/>
        <v>1.2002890245545383</v>
      </c>
      <c r="K718" s="1">
        <f t="shared" si="141"/>
        <v>5349654.8657770641</v>
      </c>
      <c r="L718" s="3"/>
      <c r="M718" s="4">
        <f t="shared" si="142"/>
        <v>5349654.8657770641</v>
      </c>
      <c r="N718" s="4">
        <f t="shared" si="143"/>
        <v>0</v>
      </c>
    </row>
    <row r="719" spans="1:14" ht="15.65" outlineLevel="2">
      <c r="A719" s="5">
        <v>373</v>
      </c>
      <c r="B719" s="6">
        <v>2015</v>
      </c>
      <c r="C719" s="3">
        <v>14746573.92</v>
      </c>
      <c r="D719" s="3">
        <v>14746573.92</v>
      </c>
      <c r="F719" s="2">
        <v>25</v>
      </c>
      <c r="G719" s="3">
        <v>18.5</v>
      </c>
      <c r="H719" s="12">
        <v>-0.40000000000000002</v>
      </c>
      <c r="I719" s="3">
        <f t="shared" si="139"/>
        <v>5367752.9068799997</v>
      </c>
      <c r="J719" s="4">
        <f t="shared" si="140"/>
        <v>1.2002890245545383</v>
      </c>
      <c r="K719" s="1">
        <f t="shared" si="141"/>
        <v>6442854.900648782</v>
      </c>
      <c r="L719" s="3"/>
      <c r="M719" s="4">
        <f t="shared" si="142"/>
        <v>6442854.900648782</v>
      </c>
      <c r="N719" s="4">
        <f t="shared" si="143"/>
        <v>0</v>
      </c>
    </row>
    <row r="720" spans="1:14" ht="15.65" outlineLevel="2">
      <c r="A720" s="5">
        <v>373</v>
      </c>
      <c r="B720" s="6">
        <v>2014</v>
      </c>
      <c r="C720" s="3">
        <v>10849010.810000001</v>
      </c>
      <c r="D720" s="3">
        <v>10849010.810000001</v>
      </c>
      <c r="F720" s="2">
        <v>25</v>
      </c>
      <c r="G720" s="3">
        <v>17.5</v>
      </c>
      <c r="H720" s="12">
        <v>-0.40000000000000002</v>
      </c>
      <c r="I720" s="3">
        <f t="shared" si="139"/>
        <v>4556584.5402000006</v>
      </c>
      <c r="J720" s="4">
        <f t="shared" si="140"/>
        <v>1.2002890245545383</v>
      </c>
      <c r="K720" s="1">
        <f t="shared" si="141"/>
        <v>5469218.4130569482</v>
      </c>
      <c r="L720" s="3"/>
      <c r="M720" s="4">
        <f t="shared" si="142"/>
        <v>5469218.4130569482</v>
      </c>
      <c r="N720" s="4">
        <f t="shared" si="143"/>
        <v>0</v>
      </c>
    </row>
    <row r="721" spans="1:14" ht="15.65" outlineLevel="2">
      <c r="A721" s="5">
        <v>373</v>
      </c>
      <c r="B721" s="6">
        <v>2013</v>
      </c>
      <c r="C721" s="3">
        <v>11171535.33</v>
      </c>
      <c r="D721" s="3">
        <v>11171535.33</v>
      </c>
      <c r="F721" s="2">
        <v>25</v>
      </c>
      <c r="G721" s="3">
        <v>16.5</v>
      </c>
      <c r="H721" s="12">
        <v>-0.40000000000000002</v>
      </c>
      <c r="I721" s="3">
        <f t="shared" si="139"/>
        <v>5317650.8170799995</v>
      </c>
      <c r="J721" s="4">
        <f t="shared" si="140"/>
        <v>1.2002890245545383</v>
      </c>
      <c r="K721" s="1">
        <f t="shared" si="141"/>
        <v>6382717.9121545963</v>
      </c>
      <c r="L721" s="3"/>
      <c r="M721" s="4">
        <f t="shared" si="142"/>
        <v>6382717.9121545963</v>
      </c>
      <c r="N721" s="4">
        <f t="shared" si="143"/>
        <v>0</v>
      </c>
    </row>
    <row r="722" spans="1:14" ht="15.65" outlineLevel="2">
      <c r="A722" s="5">
        <v>373</v>
      </c>
      <c r="B722" s="6">
        <v>2012</v>
      </c>
      <c r="C722" s="3">
        <v>9294238.7300000004</v>
      </c>
      <c r="D722" s="3">
        <v>9294238.7300000004</v>
      </c>
      <c r="F722" s="2">
        <v>25</v>
      </c>
      <c r="G722" s="3">
        <v>15.5</v>
      </c>
      <c r="H722" s="12">
        <v>-0.40000000000000002</v>
      </c>
      <c r="I722" s="3">
        <f t="shared" si="139"/>
        <v>4944535.0043599997</v>
      </c>
      <c r="J722" s="4">
        <f t="shared" si="140"/>
        <v>1.2002890245545383</v>
      </c>
      <c r="K722" s="1">
        <f t="shared" si="141"/>
        <v>5934871.0972590344</v>
      </c>
      <c r="L722" s="3"/>
      <c r="M722" s="4">
        <f t="shared" si="142"/>
        <v>5934871.0972590335</v>
      </c>
      <c r="N722" s="4">
        <f t="shared" si="143"/>
        <v>0</v>
      </c>
    </row>
    <row r="723" spans="1:14" ht="15.65" outlineLevel="2">
      <c r="A723" s="5">
        <v>373</v>
      </c>
      <c r="B723" s="6">
        <v>2011</v>
      </c>
      <c r="C723" s="3">
        <v>7833537.0499999998</v>
      </c>
      <c r="D723" s="3">
        <v>7833537.0499999998</v>
      </c>
      <c r="F723" s="2">
        <v>25</v>
      </c>
      <c r="G723" s="3">
        <v>14.5</v>
      </c>
      <c r="H723" s="12">
        <v>-0.40000000000000002</v>
      </c>
      <c r="I723" s="3">
        <f t="shared" si="139"/>
        <v>4606119.7854000004</v>
      </c>
      <c r="J723" s="4">
        <f t="shared" si="140"/>
        <v>1.2002890245545383</v>
      </c>
      <c r="K723" s="1">
        <f t="shared" si="141"/>
        <v>5528675.0241991263</v>
      </c>
      <c r="L723" s="3"/>
      <c r="M723" s="4">
        <f t="shared" si="142"/>
        <v>5528675.0241991263</v>
      </c>
      <c r="N723" s="4">
        <f t="shared" si="143"/>
        <v>0</v>
      </c>
    </row>
    <row r="724" spans="1:14" ht="15.65" outlineLevel="2">
      <c r="A724" s="5">
        <v>373</v>
      </c>
      <c r="B724" s="6">
        <v>2010</v>
      </c>
      <c r="C724" s="3">
        <v>7879236.1699999999</v>
      </c>
      <c r="D724" s="3">
        <v>7879236.1699999999</v>
      </c>
      <c r="F724" s="2">
        <v>25</v>
      </c>
      <c r="G724" s="3">
        <v>13.5</v>
      </c>
      <c r="H724" s="12">
        <v>-0.40000000000000002</v>
      </c>
      <c r="I724" s="3">
        <f t="shared" si="139"/>
        <v>5074228.0934799984</v>
      </c>
      <c r="J724" s="4">
        <f t="shared" si="140"/>
        <v>1.2002890245545383</v>
      </c>
      <c r="K724" s="1">
        <f t="shared" si="141"/>
        <v>6090540.2886903416</v>
      </c>
      <c r="L724" s="3"/>
      <c r="M724" s="4">
        <f t="shared" si="142"/>
        <v>6090540.2886903416</v>
      </c>
      <c r="N724" s="4">
        <f t="shared" si="143"/>
        <v>0</v>
      </c>
    </row>
    <row r="725" spans="1:14" ht="15.65" outlineLevel="2">
      <c r="A725" s="5">
        <v>373</v>
      </c>
      <c r="B725" s="6">
        <v>2009</v>
      </c>
      <c r="C725" s="3">
        <v>7805570</v>
      </c>
      <c r="D725" s="3">
        <v>7805570</v>
      </c>
      <c r="F725" s="2">
        <v>25</v>
      </c>
      <c r="G725" s="3">
        <v>12.5</v>
      </c>
      <c r="H725" s="12">
        <v>-0.40000000000000002</v>
      </c>
      <c r="I725" s="3">
        <f t="shared" si="139"/>
        <v>5463899</v>
      </c>
      <c r="J725" s="4">
        <f t="shared" si="140"/>
        <v>1.2002890245545383</v>
      </c>
      <c r="K725" s="1">
        <f t="shared" si="141"/>
        <v>6558258.0009745173</v>
      </c>
      <c r="L725" s="3"/>
      <c r="M725" s="4">
        <f t="shared" si="142"/>
        <v>6558258.0009745173</v>
      </c>
      <c r="N725" s="4">
        <f t="shared" si="143"/>
        <v>0</v>
      </c>
    </row>
    <row r="726" spans="1:14" ht="15.65" outlineLevel="2">
      <c r="A726" s="5">
        <v>373</v>
      </c>
      <c r="B726" s="6">
        <v>2008</v>
      </c>
      <c r="C726" s="3">
        <v>9138185.3599999994</v>
      </c>
      <c r="D726" s="3">
        <v>9138185.3599999994</v>
      </c>
      <c r="F726" s="2">
        <v>25</v>
      </c>
      <c r="G726" s="3">
        <v>11.5</v>
      </c>
      <c r="H726" s="12">
        <v>-0.40000000000000002</v>
      </c>
      <c r="I726" s="3">
        <f t="shared" si="139"/>
        <v>6908468.1321599996</v>
      </c>
      <c r="J726" s="4">
        <f t="shared" si="140"/>
        <v>1.2002890245545383</v>
      </c>
      <c r="K726" s="1">
        <f t="shared" si="141"/>
        <v>8292158.4755164394</v>
      </c>
      <c r="L726" s="3"/>
      <c r="M726" s="4">
        <f t="shared" si="142"/>
        <v>8292158.4755164394</v>
      </c>
      <c r="N726" s="4">
        <f t="shared" si="143"/>
        <v>0</v>
      </c>
    </row>
    <row r="727" spans="1:14" ht="15.65" outlineLevel="2">
      <c r="A727" s="5">
        <v>373</v>
      </c>
      <c r="B727" s="6">
        <v>2007</v>
      </c>
      <c r="C727" s="3">
        <v>8417118.9299999997</v>
      </c>
      <c r="D727" s="3">
        <v>8417118.9299999997</v>
      </c>
      <c r="F727" s="2">
        <v>25</v>
      </c>
      <c r="G727" s="3">
        <v>10.5</v>
      </c>
      <c r="H727" s="12">
        <v>-0.40000000000000002</v>
      </c>
      <c r="I727" s="3">
        <f t="shared" si="139"/>
        <v>6834700.5711599998</v>
      </c>
      <c r="J727" s="4">
        <f t="shared" si="140"/>
        <v>1.2002890245545383</v>
      </c>
      <c r="K727" s="1">
        <f t="shared" si="141"/>
        <v>8203616.0816799821</v>
      </c>
      <c r="L727" s="3"/>
      <c r="M727" s="4">
        <f t="shared" si="142"/>
        <v>8203616.0816799821</v>
      </c>
      <c r="N727" s="4">
        <f t="shared" si="143"/>
        <v>0</v>
      </c>
    </row>
    <row r="728" spans="1:14" ht="15.65" outlineLevel="2">
      <c r="A728" s="5">
        <v>373</v>
      </c>
      <c r="B728" s="6">
        <v>2006</v>
      </c>
      <c r="C728" s="3">
        <v>8982008.4600000009</v>
      </c>
      <c r="D728" s="3">
        <v>8982008.4600000009</v>
      </c>
      <c r="F728" s="2">
        <v>25</v>
      </c>
      <c r="G728" s="3">
        <v>9.5</v>
      </c>
      <c r="H728" s="12">
        <v>-0.40000000000000002</v>
      </c>
      <c r="I728" s="3">
        <f t="shared" si="139"/>
        <v>7796383.3432800006</v>
      </c>
      <c r="J728" s="4">
        <f t="shared" si="140"/>
        <v>1.2002890245545383</v>
      </c>
      <c r="K728" s="1">
        <f t="shared" si="141"/>
        <v>9357913.3581588026</v>
      </c>
      <c r="L728" s="3"/>
      <c r="M728" s="4">
        <f t="shared" si="142"/>
        <v>9357913.3581588026</v>
      </c>
      <c r="N728" s="4">
        <f t="shared" si="143"/>
        <v>0</v>
      </c>
    </row>
    <row r="729" spans="1:14" ht="15.65" outlineLevel="2">
      <c r="A729" s="5">
        <v>373</v>
      </c>
      <c r="B729" s="6">
        <v>2005</v>
      </c>
      <c r="C729" s="3">
        <v>10325103.699999999</v>
      </c>
      <c r="D729" s="3">
        <v>10325103.699999999</v>
      </c>
      <c r="F729" s="2">
        <v>25</v>
      </c>
      <c r="G729" s="3">
        <v>8.5000079999999993</v>
      </c>
      <c r="H729" s="12">
        <v>-0.40000000000000002</v>
      </c>
      <c r="I729" s="3">
        <f t="shared" si="139"/>
        <v>9540391.1931535415</v>
      </c>
      <c r="J729" s="4">
        <f t="shared" si="140"/>
        <v>1.2002890245545383</v>
      </c>
      <c r="K729" s="1">
        <f t="shared" si="141"/>
        <v>11451226.839098973</v>
      </c>
      <c r="L729" s="3"/>
      <c r="M729" s="4">
        <f t="shared" si="142"/>
        <v>11451226.839098975</v>
      </c>
      <c r="N729" s="4">
        <f t="shared" si="143"/>
        <v>0</v>
      </c>
    </row>
    <row r="730" spans="1:14" ht="15.65" outlineLevel="2">
      <c r="A730" s="5">
        <v>373</v>
      </c>
      <c r="B730" s="6">
        <v>2004</v>
      </c>
      <c r="C730" s="3">
        <v>8433450.3900000006</v>
      </c>
      <c r="D730" s="3">
        <v>8433450.3900000006</v>
      </c>
      <c r="F730" s="2">
        <v>25</v>
      </c>
      <c r="G730" s="3">
        <v>7.5001329999999999</v>
      </c>
      <c r="H730" s="12">
        <v>-0.40000000000000002</v>
      </c>
      <c r="I730" s="3">
        <f t="shared" si="139"/>
        <v>8264718.5698614949</v>
      </c>
      <c r="J730" s="4">
        <f t="shared" si="140"/>
        <v>1.2002890245545383</v>
      </c>
      <c r="K730" s="1">
        <f t="shared" si="141"/>
        <v>9920050.9904368334</v>
      </c>
      <c r="L730" s="3"/>
      <c r="M730" s="4">
        <f t="shared" si="142"/>
        <v>9920050.9904368334</v>
      </c>
      <c r="N730" s="4">
        <f t="shared" si="143"/>
        <v>0</v>
      </c>
    </row>
    <row r="731" spans="1:14" ht="15.65" outlineLevel="2">
      <c r="A731" s="5">
        <v>373</v>
      </c>
      <c r="B731" s="6">
        <v>2003</v>
      </c>
      <c r="C731" s="3">
        <v>10195148.279999999</v>
      </c>
      <c r="D731" s="3">
        <v>10195148.279999999</v>
      </c>
      <c r="F731" s="2">
        <v>25</v>
      </c>
      <c r="G731" s="3">
        <v>6.5013620000000003</v>
      </c>
      <c r="H731" s="12">
        <v>-0.40000000000000002</v>
      </c>
      <c r="I731" s="3">
        <f t="shared" si="139"/>
        <v>10561396.013730386</v>
      </c>
      <c r="J731" s="4">
        <f t="shared" si="140"/>
        <v>1.2002890245545383</v>
      </c>
      <c r="K731" s="1">
        <f t="shared" si="141"/>
        <v>12676727.719254635</v>
      </c>
      <c r="L731" s="3"/>
      <c r="M731" s="4">
        <f t="shared" si="142"/>
        <v>12676727.719254635</v>
      </c>
      <c r="N731" s="4">
        <f t="shared" si="143"/>
        <v>0</v>
      </c>
    </row>
    <row r="732" spans="1:14" ht="15.65" outlineLevel="2">
      <c r="A732" s="5">
        <v>373</v>
      </c>
      <c r="B732" s="6">
        <v>2002</v>
      </c>
      <c r="C732" s="3">
        <v>12548065.94</v>
      </c>
      <c r="D732" s="3">
        <v>12548065.94</v>
      </c>
      <c r="F732" s="2">
        <v>25</v>
      </c>
      <c r="G732" s="3">
        <v>5.5091070000000002</v>
      </c>
      <c r="H732" s="12">
        <v>-0.40000000000000002</v>
      </c>
      <c r="I732" s="3">
        <f t="shared" si="139"/>
        <v>13696088.593235128</v>
      </c>
      <c r="J732" s="4">
        <f t="shared" si="140"/>
        <v>1.2002890245545383</v>
      </c>
      <c r="K732" s="1">
        <f t="shared" si="141"/>
        <v>16439264.817786731</v>
      </c>
      <c r="L732" s="3"/>
      <c r="M732" s="4">
        <f t="shared" si="142"/>
        <v>16439264.817786731</v>
      </c>
      <c r="N732" s="4">
        <f t="shared" si="143"/>
        <v>0</v>
      </c>
    </row>
    <row r="733" spans="1:14" ht="15.65" outlineLevel="2">
      <c r="A733" s="5">
        <v>373</v>
      </c>
      <c r="B733" s="6">
        <v>2001</v>
      </c>
      <c r="C733" s="3">
        <v>11833827.16</v>
      </c>
      <c r="D733" s="3">
        <v>11833827.16</v>
      </c>
      <c r="F733" s="2">
        <v>25</v>
      </c>
      <c r="G733" s="3">
        <v>4.5418989999999999</v>
      </c>
      <c r="H733" s="12">
        <v>-0.40000000000000002</v>
      </c>
      <c r="I733" s="3">
        <f t="shared" si="139"/>
        <v>13557467.350326097</v>
      </c>
      <c r="J733" s="4">
        <f t="shared" si="140"/>
        <v>1.2002890245545383</v>
      </c>
      <c r="K733" s="1">
        <f t="shared" si="141"/>
        <v>16272879.261352912</v>
      </c>
      <c r="L733" s="3"/>
      <c r="M733" s="4">
        <f t="shared" si="142"/>
        <v>16272879.261352914</v>
      </c>
      <c r="N733" s="4">
        <f t="shared" si="143"/>
        <v>0</v>
      </c>
    </row>
    <row r="734" spans="1:14" ht="15.65" outlineLevel="2">
      <c r="A734" s="5">
        <v>373</v>
      </c>
      <c r="B734" s="6">
        <v>2000</v>
      </c>
      <c r="C734" s="3">
        <v>17179535.850000001</v>
      </c>
      <c r="D734" s="3">
        <v>17179535.850000001</v>
      </c>
      <c r="F734" s="2">
        <v>25</v>
      </c>
      <c r="G734" s="3">
        <v>3.6393330000000002</v>
      </c>
      <c r="H734" s="12">
        <v>-0.40000000000000002</v>
      </c>
      <c r="I734" s="3">
        <f t="shared" si="139"/>
        <v>20550115.292359069</v>
      </c>
      <c r="J734" s="4">
        <f t="shared" si="140"/>
        <v>1.2002890245545383</v>
      </c>
      <c r="K734" s="1">
        <f t="shared" si="141"/>
        <v>24051350.190000001</v>
      </c>
      <c r="L734" s="3"/>
      <c r="M734" s="4">
        <f t="shared" si="142"/>
        <v>24051350.190000001</v>
      </c>
      <c r="N734" s="4">
        <f t="shared" si="143"/>
        <v>0</v>
      </c>
    </row>
    <row r="735" spans="1:14" ht="15.65" outlineLevel="2">
      <c r="A735" s="5">
        <v>373</v>
      </c>
      <c r="B735" s="6">
        <v>1999</v>
      </c>
      <c r="C735" s="3">
        <v>24127946.25</v>
      </c>
      <c r="D735" s="3">
        <v>24127946.25</v>
      </c>
      <c r="F735" s="2">
        <v>25</v>
      </c>
      <c r="G735" s="3">
        <v>2.852465</v>
      </c>
      <c r="H735" s="12">
        <v>-0.40000000000000002</v>
      </c>
      <c r="I735" s="3">
        <f t="shared" si="139"/>
        <v>29924973.906799652</v>
      </c>
      <c r="J735" s="4">
        <f t="shared" si="140"/>
        <v>1.2002890245545383</v>
      </c>
      <c r="K735" s="1">
        <f t="shared" si="141"/>
        <v>33779124.75</v>
      </c>
      <c r="L735" s="3"/>
      <c r="M735" s="4">
        <f t="shared" si="142"/>
        <v>33779124.75</v>
      </c>
      <c r="N735" s="4">
        <f t="shared" si="143"/>
        <v>0</v>
      </c>
    </row>
    <row r="736" spans="1:14" ht="15.65" outlineLevel="2">
      <c r="A736" s="5">
        <v>373</v>
      </c>
      <c r="B736" s="6">
        <v>1998</v>
      </c>
      <c r="C736" s="3">
        <v>21177755.27</v>
      </c>
      <c r="D736" s="3">
        <v>21177755.27</v>
      </c>
      <c r="F736" s="2">
        <v>25</v>
      </c>
      <c r="G736" s="3">
        <v>2.216316</v>
      </c>
      <c r="H736" s="12">
        <v>-0.40000000000000002</v>
      </c>
      <c r="I736" s="3">
        <f t="shared" si="139"/>
        <v>27020407.898456819</v>
      </c>
      <c r="J736" s="4">
        <f t="shared" si="140"/>
        <v>1.2002890245545383</v>
      </c>
      <c r="K736" s="1">
        <f t="shared" si="141"/>
        <v>29648857.377999999</v>
      </c>
      <c r="L736" s="3"/>
      <c r="M736" s="4">
        <f t="shared" si="142"/>
        <v>29648857.377999999</v>
      </c>
      <c r="N736" s="4">
        <f t="shared" si="143"/>
        <v>0</v>
      </c>
    </row>
    <row r="737" spans="1:14" ht="15.65" outlineLevel="2">
      <c r="A737" s="5">
        <v>373</v>
      </c>
      <c r="B737" s="6">
        <v>1997</v>
      </c>
      <c r="C737" s="3">
        <v>12311653.970000001</v>
      </c>
      <c r="D737" s="3">
        <v>12311653.970000001</v>
      </c>
      <c r="F737" s="2">
        <v>25</v>
      </c>
      <c r="G737" s="3">
        <v>1.732899</v>
      </c>
      <c r="H737" s="12">
        <v>-0.40000000000000002</v>
      </c>
      <c r="I737" s="3">
        <f t="shared" si="139"/>
        <v>16041563.798234293</v>
      </c>
      <c r="J737" s="4">
        <f t="shared" si="140"/>
        <v>1.2002890245545383</v>
      </c>
      <c r="K737" s="1">
        <f t="shared" si="141"/>
        <v>17236315.557999998</v>
      </c>
      <c r="L737" s="3"/>
      <c r="M737" s="4">
        <f t="shared" si="142"/>
        <v>17236315.557999998</v>
      </c>
      <c r="N737" s="4">
        <f t="shared" si="143"/>
        <v>0</v>
      </c>
    </row>
    <row r="738" spans="1:14" ht="15.65" outlineLevel="2">
      <c r="A738" s="5">
        <v>373</v>
      </c>
      <c r="B738" s="6">
        <v>1996</v>
      </c>
      <c r="C738" s="3">
        <v>7551460.8899999997</v>
      </c>
      <c r="D738" s="3">
        <v>7551460.8899999997</v>
      </c>
      <c r="F738" s="2">
        <v>25</v>
      </c>
      <c r="G738" s="3">
        <v>1.3792260000000001</v>
      </c>
      <c r="H738" s="12">
        <v>-0.40000000000000002</v>
      </c>
      <c r="I738" s="3">
        <f t="shared" si="139"/>
        <v>9988795.6589416154</v>
      </c>
      <c r="J738" s="4">
        <f t="shared" si="140"/>
        <v>1.2002890245545383</v>
      </c>
      <c r="K738" s="1">
        <f t="shared" si="141"/>
        <v>10572045.245999999</v>
      </c>
      <c r="L738" s="3"/>
      <c r="M738" s="4">
        <f t="shared" si="142"/>
        <v>10572045.245999999</v>
      </c>
      <c r="N738" s="4">
        <f t="shared" si="143"/>
        <v>0</v>
      </c>
    </row>
    <row r="739" spans="1:14" ht="15.65" outlineLevel="2">
      <c r="A739" s="5">
        <v>373</v>
      </c>
      <c r="B739" s="6">
        <v>1995</v>
      </c>
      <c r="C739" s="3">
        <v>6620006.8200000003</v>
      </c>
      <c r="D739" s="3">
        <v>6620006.8200000003</v>
      </c>
      <c r="F739" s="2">
        <v>25</v>
      </c>
      <c r="G739" s="3">
        <v>1.1244920000000001</v>
      </c>
      <c r="H739" s="12">
        <v>-0.40000000000000002</v>
      </c>
      <c r="I739" s="3">
        <f t="shared" si="139"/>
        <v>8851137.4442940168</v>
      </c>
      <c r="J739" s="4">
        <f t="shared" si="140"/>
        <v>1.2002890245545383</v>
      </c>
      <c r="K739" s="1">
        <f t="shared" si="141"/>
        <v>9268009.5480000004</v>
      </c>
      <c r="L739" s="3"/>
      <c r="M739" s="4">
        <f t="shared" si="142"/>
        <v>9268009.5480000004</v>
      </c>
      <c r="N739" s="4">
        <f t="shared" si="143"/>
        <v>0</v>
      </c>
    </row>
    <row r="740" spans="1:14" ht="15.65" outlineLevel="2">
      <c r="A740" s="5">
        <v>373</v>
      </c>
      <c r="B740" s="6">
        <v>1994</v>
      </c>
      <c r="C740" s="3">
        <v>6537946.3700000001</v>
      </c>
      <c r="D740" s="3">
        <v>6537946.3700000001</v>
      </c>
      <c r="F740" s="2">
        <v>25</v>
      </c>
      <c r="G740" s="3">
        <v>0.94119399999999998</v>
      </c>
      <c r="H740" s="12">
        <v>-0.40000000000000002</v>
      </c>
      <c r="I740" s="3">
        <f t="shared" si="139"/>
        <v>8808530.2678371165</v>
      </c>
      <c r="J740" s="4">
        <f t="shared" si="140"/>
        <v>1.2002890245545383</v>
      </c>
      <c r="K740" s="1">
        <f t="shared" si="141"/>
        <v>9153124.9179999996</v>
      </c>
      <c r="L740" s="3"/>
      <c r="M740" s="4">
        <f t="shared" si="142"/>
        <v>9153124.9179999996</v>
      </c>
      <c r="N740" s="4">
        <f t="shared" si="143"/>
        <v>0</v>
      </c>
    </row>
    <row r="741" spans="1:14" ht="15.65" outlineLevel="2">
      <c r="A741" s="5">
        <v>373</v>
      </c>
      <c r="B741" s="6">
        <v>1993</v>
      </c>
      <c r="C741" s="3">
        <v>3327729.4399999999</v>
      </c>
      <c r="D741" s="3">
        <v>3327729.4399999999</v>
      </c>
      <c r="F741" s="2">
        <v>25</v>
      </c>
      <c r="G741" s="3">
        <v>0.808531</v>
      </c>
      <c r="H741" s="12">
        <v>-0.40000000000000002</v>
      </c>
      <c r="I741" s="3">
        <f t="shared" si="139"/>
        <v>4508149.1609362522</v>
      </c>
      <c r="J741" s="4">
        <f t="shared" si="140"/>
        <v>1.2002890245545383</v>
      </c>
      <c r="K741" s="1">
        <f t="shared" si="141"/>
        <v>4658821.216</v>
      </c>
      <c r="L741" s="3"/>
      <c r="M741" s="4">
        <f t="shared" si="142"/>
        <v>4658821.216</v>
      </c>
      <c r="N741" s="4">
        <f t="shared" si="143"/>
        <v>0</v>
      </c>
    </row>
    <row r="742" spans="1:14" ht="15.65" outlineLevel="2">
      <c r="A742" s="5">
        <v>373</v>
      </c>
      <c r="B742" s="6">
        <v>1992</v>
      </c>
      <c r="C742" s="3">
        <v>4937193.6500000004</v>
      </c>
      <c r="D742" s="3">
        <v>4937193.6500000004</v>
      </c>
      <c r="F742" s="2">
        <v>25</v>
      </c>
      <c r="G742" s="3">
        <v>0.71192699999999998</v>
      </c>
      <c r="H742" s="12">
        <v>-0.40000000000000002</v>
      </c>
      <c r="I742" s="3">
        <f t="shared" si="139"/>
        <v>6715235.5080348412</v>
      </c>
      <c r="J742" s="4">
        <f t="shared" si="140"/>
        <v>1.2002890245545383</v>
      </c>
      <c r="K742" s="1">
        <f t="shared" si="141"/>
        <v>6912071.1100000003</v>
      </c>
      <c r="L742" s="3"/>
      <c r="M742" s="4">
        <f t="shared" si="142"/>
        <v>6912071.1100000003</v>
      </c>
      <c r="N742" s="4">
        <f t="shared" si="143"/>
        <v>0</v>
      </c>
    </row>
    <row r="743" spans="1:14" ht="15.65" outlineLevel="2">
      <c r="A743" s="5">
        <v>373</v>
      </c>
      <c r="B743" s="6">
        <v>1991</v>
      </c>
      <c r="C743" s="3">
        <v>2141857.1400000001</v>
      </c>
      <c r="D743" s="3">
        <v>2141857.1400000001</v>
      </c>
      <c r="F743" s="2">
        <v>25</v>
      </c>
      <c r="G743" s="3">
        <v>0.64149699999999998</v>
      </c>
      <c r="H743" s="12">
        <v>-0.40000000000000002</v>
      </c>
      <c r="I743" s="3">
        <f t="shared" si="139"/>
        <v>2921656.2799346396</v>
      </c>
      <c r="J743" s="4">
        <f t="shared" si="140"/>
        <v>1.2002890245545383</v>
      </c>
      <c r="K743" s="1">
        <f t="shared" si="141"/>
        <v>2998599.9959999998</v>
      </c>
      <c r="L743" s="3"/>
      <c r="M743" s="4">
        <f t="shared" si="142"/>
        <v>2998599.9959999998</v>
      </c>
      <c r="N743" s="4">
        <f t="shared" si="143"/>
        <v>0</v>
      </c>
    </row>
    <row r="744" spans="1:14" ht="15.65" outlineLevel="2">
      <c r="A744" s="5">
        <v>373</v>
      </c>
      <c r="B744" s="6">
        <v>1990</v>
      </c>
      <c r="C744" s="3">
        <v>4698653.9100000001</v>
      </c>
      <c r="D744" s="3">
        <v>4698653.9100000001</v>
      </c>
      <c r="F744" s="2">
        <v>25</v>
      </c>
      <c r="G744" s="3">
        <v>0.59057800000000005</v>
      </c>
      <c r="H744" s="12">
        <v>-0.40000000000000002</v>
      </c>
      <c r="I744" s="3">
        <f t="shared" si="139"/>
        <v>6422719.8627838409</v>
      </c>
      <c r="J744" s="4">
        <f t="shared" si="140"/>
        <v>1.2002890245545383</v>
      </c>
      <c r="K744" s="1">
        <f t="shared" si="141"/>
        <v>6578115.4739999995</v>
      </c>
      <c r="L744" s="3"/>
      <c r="M744" s="4">
        <f t="shared" si="142"/>
        <v>6578115.4739999995</v>
      </c>
      <c r="N744" s="4">
        <f t="shared" si="143"/>
        <v>0</v>
      </c>
    </row>
    <row r="745" spans="1:14" ht="15.65" outlineLevel="2">
      <c r="A745" s="5">
        <v>373</v>
      </c>
      <c r="B745" s="6">
        <v>1989</v>
      </c>
      <c r="C745" s="3">
        <v>4033496.4100000001</v>
      </c>
      <c r="D745" s="3">
        <v>4033496.4100000001</v>
      </c>
      <c r="F745" s="2">
        <v>25</v>
      </c>
      <c r="G745" s="3">
        <v>0.55454499999999995</v>
      </c>
      <c r="H745" s="12">
        <v>-0.40000000000000002</v>
      </c>
      <c r="I745" s="3">
        <f t="shared" si="144" ref="I745:I776">+C745*(1-H745)*(1-G745/F745)</f>
        <v>5521636.6790657258</v>
      </c>
      <c r="J745" s="4">
        <f t="shared" si="145" ref="J745:J776">$J$787</f>
        <v>1.2002890245545383</v>
      </c>
      <c r="K745" s="1">
        <f t="shared" si="146" ref="K745:K776">IF((C745*(1-H745)-I745*J745)&lt;0,C745*(1-H745),I745*J745)</f>
        <v>5646894.9739999995</v>
      </c>
      <c r="L745" s="3"/>
      <c r="M745" s="4">
        <f t="shared" si="147" ref="M745:M776">+K745/D745*C745</f>
        <v>5646894.9739999995</v>
      </c>
      <c r="N745" s="4">
        <f t="shared" si="148" ref="N745:N776">+E745/C745*K745</f>
        <v>0</v>
      </c>
    </row>
    <row r="746" spans="1:14" ht="15.65" outlineLevel="2">
      <c r="A746" s="5">
        <v>373</v>
      </c>
      <c r="B746" s="6">
        <v>1988</v>
      </c>
      <c r="C746" s="3">
        <v>1874577.8600000001</v>
      </c>
      <c r="D746" s="3">
        <v>1874577.8600000001</v>
      </c>
      <c r="F746" s="2">
        <v>25</v>
      </c>
      <c r="G746" s="3">
        <v>0.5</v>
      </c>
      <c r="H746" s="12">
        <v>-0.40000000000000002</v>
      </c>
      <c r="I746" s="3">
        <f t="shared" si="144"/>
        <v>2571920.8239200003</v>
      </c>
      <c r="J746" s="4">
        <f t="shared" si="145"/>
        <v>1.2002890245545383</v>
      </c>
      <c r="K746" s="1">
        <f t="shared" si="146"/>
        <v>2624409.0040000002</v>
      </c>
      <c r="L746" s="3"/>
      <c r="M746" s="4">
        <f t="shared" si="147"/>
        <v>2624409.0040000002</v>
      </c>
      <c r="N746" s="4">
        <f t="shared" si="148"/>
        <v>0</v>
      </c>
    </row>
    <row r="747" spans="1:14" ht="15.65" outlineLevel="2">
      <c r="A747" s="5">
        <v>373</v>
      </c>
      <c r="B747" s="6">
        <v>1987</v>
      </c>
      <c r="C747" s="3">
        <v>2205464.9700000002</v>
      </c>
      <c r="D747" s="3">
        <v>2205464.9700000002</v>
      </c>
      <c r="F747" s="2">
        <v>25</v>
      </c>
      <c r="G747" s="3">
        <v>0</v>
      </c>
      <c r="H747" s="12">
        <v>-0.40000000000000002</v>
      </c>
      <c r="I747" s="3">
        <f t="shared" si="144"/>
        <v>3087650.9580000001</v>
      </c>
      <c r="J747" s="4">
        <f t="shared" si="145"/>
        <v>1.2002890245545383</v>
      </c>
      <c r="K747" s="1">
        <f t="shared" si="146"/>
        <v>3087650.9580000001</v>
      </c>
      <c r="L747" s="3"/>
      <c r="M747" s="4">
        <f t="shared" si="147"/>
        <v>3087650.9580000001</v>
      </c>
      <c r="N747" s="4">
        <f t="shared" si="148"/>
        <v>0</v>
      </c>
    </row>
    <row r="748" spans="1:14" ht="15.65" outlineLevel="2">
      <c r="A748" s="5">
        <v>373</v>
      </c>
      <c r="B748" s="6">
        <v>1986</v>
      </c>
      <c r="C748" s="3">
        <v>3405554.79</v>
      </c>
      <c r="D748" s="3">
        <v>3405554.79</v>
      </c>
      <c r="F748" s="2">
        <v>25</v>
      </c>
      <c r="G748" s="3">
        <v>0</v>
      </c>
      <c r="H748" s="12">
        <v>-0.40000000000000002</v>
      </c>
      <c r="I748" s="3">
        <f t="shared" si="144"/>
        <v>4767776.7059999993</v>
      </c>
      <c r="J748" s="4">
        <f t="shared" si="145"/>
        <v>1.2002890245545383</v>
      </c>
      <c r="K748" s="1">
        <f t="shared" si="146"/>
        <v>4767776.7059999993</v>
      </c>
      <c r="L748" s="3"/>
      <c r="M748" s="4">
        <f t="shared" si="147"/>
        <v>4767776.7059999993</v>
      </c>
      <c r="N748" s="4">
        <f t="shared" si="148"/>
        <v>0</v>
      </c>
    </row>
    <row r="749" spans="1:14" ht="15.65" outlineLevel="2">
      <c r="A749" s="5">
        <v>373</v>
      </c>
      <c r="B749" s="6">
        <v>1985</v>
      </c>
      <c r="C749" s="3">
        <v>3292662.3599999999</v>
      </c>
      <c r="D749" s="3">
        <v>3292662.3599999999</v>
      </c>
      <c r="F749" s="2">
        <v>25</v>
      </c>
      <c r="G749" s="3">
        <v>0</v>
      </c>
      <c r="H749" s="12">
        <v>-0.40000000000000002</v>
      </c>
      <c r="I749" s="3">
        <f t="shared" si="144"/>
        <v>4609727.3039999995</v>
      </c>
      <c r="J749" s="4">
        <f t="shared" si="145"/>
        <v>1.2002890245545383</v>
      </c>
      <c r="K749" s="1">
        <f t="shared" si="146"/>
        <v>4609727.3039999995</v>
      </c>
      <c r="L749" s="3"/>
      <c r="M749" s="4">
        <f t="shared" si="147"/>
        <v>4609727.3039999995</v>
      </c>
      <c r="N749" s="4">
        <f t="shared" si="148"/>
        <v>0</v>
      </c>
    </row>
    <row r="750" spans="1:14" ht="15.65" outlineLevel="2">
      <c r="A750" s="5">
        <v>373</v>
      </c>
      <c r="B750" s="6">
        <v>1984</v>
      </c>
      <c r="C750" s="3">
        <v>3305085.8999999999</v>
      </c>
      <c r="D750" s="3">
        <v>3305085.8999999999</v>
      </c>
      <c r="F750" s="2">
        <v>25</v>
      </c>
      <c r="G750" s="3">
        <v>0</v>
      </c>
      <c r="H750" s="12">
        <v>-0.40000000000000002</v>
      </c>
      <c r="I750" s="3">
        <f t="shared" si="144"/>
        <v>4627120.2599999998</v>
      </c>
      <c r="J750" s="4">
        <f t="shared" si="145"/>
        <v>1.2002890245545383</v>
      </c>
      <c r="K750" s="1">
        <f t="shared" si="146"/>
        <v>4627120.2599999998</v>
      </c>
      <c r="L750" s="3"/>
      <c r="M750" s="4">
        <f t="shared" si="147"/>
        <v>4627120.2599999998</v>
      </c>
      <c r="N750" s="4">
        <f t="shared" si="148"/>
        <v>0</v>
      </c>
    </row>
    <row r="751" spans="1:14" ht="15.65" outlineLevel="2">
      <c r="A751" s="5">
        <v>373</v>
      </c>
      <c r="B751" s="6">
        <v>1983</v>
      </c>
      <c r="C751" s="3">
        <v>1499015.4199999999</v>
      </c>
      <c r="D751" s="3">
        <v>1499015.4199999999</v>
      </c>
      <c r="F751" s="2">
        <v>25</v>
      </c>
      <c r="G751" s="3">
        <v>0</v>
      </c>
      <c r="H751" s="12">
        <v>-0.40000000000000002</v>
      </c>
      <c r="I751" s="3">
        <f t="shared" si="144"/>
        <v>2098621.588</v>
      </c>
      <c r="J751" s="4">
        <f t="shared" si="145"/>
        <v>1.2002890245545383</v>
      </c>
      <c r="K751" s="1">
        <f t="shared" si="146"/>
        <v>2098621.588</v>
      </c>
      <c r="L751" s="3"/>
      <c r="M751" s="4">
        <f t="shared" si="147"/>
        <v>2098621.588</v>
      </c>
      <c r="N751" s="4">
        <f t="shared" si="148"/>
        <v>0</v>
      </c>
    </row>
    <row r="752" spans="1:14" ht="15.65" outlineLevel="2">
      <c r="A752" s="5">
        <v>373</v>
      </c>
      <c r="B752" s="6">
        <v>1982</v>
      </c>
      <c r="C752" s="3">
        <v>1780086.3600000001</v>
      </c>
      <c r="D752" s="3">
        <v>1780086.3600000001</v>
      </c>
      <c r="F752" s="2">
        <v>25</v>
      </c>
      <c r="G752" s="3">
        <v>0</v>
      </c>
      <c r="H752" s="12">
        <v>-0.40000000000000002</v>
      </c>
      <c r="I752" s="3">
        <f t="shared" si="144"/>
        <v>2492120.9040000001</v>
      </c>
      <c r="J752" s="4">
        <f t="shared" si="145"/>
        <v>1.2002890245545383</v>
      </c>
      <c r="K752" s="1">
        <f t="shared" si="146"/>
        <v>2492120.9040000001</v>
      </c>
      <c r="L752" s="3"/>
      <c r="M752" s="4">
        <f t="shared" si="147"/>
        <v>2492120.9040000001</v>
      </c>
      <c r="N752" s="4">
        <f t="shared" si="148"/>
        <v>0</v>
      </c>
    </row>
    <row r="753" spans="1:14" ht="15.65" outlineLevel="2">
      <c r="A753" s="5">
        <v>373</v>
      </c>
      <c r="B753" s="6">
        <v>1981</v>
      </c>
      <c r="C753" s="3">
        <v>2619654.2400000002</v>
      </c>
      <c r="D753" s="3">
        <v>2619654.2400000002</v>
      </c>
      <c r="F753" s="2">
        <v>25</v>
      </c>
      <c r="G753" s="3">
        <v>0</v>
      </c>
      <c r="H753" s="12">
        <v>-0.40000000000000002</v>
      </c>
      <c r="I753" s="3">
        <f t="shared" si="144"/>
        <v>3667515.9360000002</v>
      </c>
      <c r="J753" s="4">
        <f t="shared" si="145"/>
        <v>1.2002890245545383</v>
      </c>
      <c r="K753" s="1">
        <f t="shared" si="146"/>
        <v>3667515.9360000002</v>
      </c>
      <c r="L753" s="3"/>
      <c r="M753" s="4">
        <f t="shared" si="147"/>
        <v>3667515.9360000002</v>
      </c>
      <c r="N753" s="4">
        <f t="shared" si="148"/>
        <v>0</v>
      </c>
    </row>
    <row r="754" spans="1:14" ht="15.65" outlineLevel="2">
      <c r="A754" s="5">
        <v>373</v>
      </c>
      <c r="B754" s="6">
        <v>1980</v>
      </c>
      <c r="C754" s="3">
        <v>1493424.22</v>
      </c>
      <c r="D754" s="3">
        <v>1493424.22</v>
      </c>
      <c r="F754" s="2">
        <v>25</v>
      </c>
      <c r="G754" s="3">
        <v>0</v>
      </c>
      <c r="H754" s="12">
        <v>-0.40000000000000002</v>
      </c>
      <c r="I754" s="3">
        <f t="shared" si="144"/>
        <v>2090793.9079999998</v>
      </c>
      <c r="J754" s="4">
        <f t="shared" si="145"/>
        <v>1.2002890245545383</v>
      </c>
      <c r="K754" s="1">
        <f t="shared" si="146"/>
        <v>2090793.9079999998</v>
      </c>
      <c r="L754" s="3"/>
      <c r="M754" s="4">
        <f t="shared" si="147"/>
        <v>2090793.9079999998</v>
      </c>
      <c r="N754" s="4">
        <f t="shared" si="148"/>
        <v>0</v>
      </c>
    </row>
    <row r="755" spans="1:14" ht="15.65" outlineLevel="2">
      <c r="A755" s="5">
        <v>373</v>
      </c>
      <c r="B755" s="6">
        <v>1979</v>
      </c>
      <c r="C755" s="3">
        <v>1185748.0700000001</v>
      </c>
      <c r="D755" s="3">
        <v>1185748.0700000001</v>
      </c>
      <c r="F755" s="2">
        <v>25</v>
      </c>
      <c r="G755" s="3">
        <v>0</v>
      </c>
      <c r="H755" s="12">
        <v>-0.40000000000000002</v>
      </c>
      <c r="I755" s="3">
        <f t="shared" si="144"/>
        <v>1660047.298</v>
      </c>
      <c r="J755" s="4">
        <f t="shared" si="145"/>
        <v>1.2002890245545383</v>
      </c>
      <c r="K755" s="1">
        <f t="shared" si="146"/>
        <v>1660047.298</v>
      </c>
      <c r="L755" s="3"/>
      <c r="M755" s="4">
        <f t="shared" si="147"/>
        <v>1660047.298</v>
      </c>
      <c r="N755" s="4">
        <f t="shared" si="148"/>
        <v>0</v>
      </c>
    </row>
    <row r="756" spans="1:14" ht="15.65" outlineLevel="2">
      <c r="A756" s="5">
        <v>373</v>
      </c>
      <c r="B756" s="6">
        <v>1978</v>
      </c>
      <c r="C756" s="3">
        <v>1471150.01</v>
      </c>
      <c r="D756" s="3">
        <v>1471150.01</v>
      </c>
      <c r="F756" s="2">
        <v>25</v>
      </c>
      <c r="G756" s="3">
        <v>0</v>
      </c>
      <c r="H756" s="12">
        <v>-0.40000000000000002</v>
      </c>
      <c r="I756" s="3">
        <f t="shared" si="144"/>
        <v>2059610.014</v>
      </c>
      <c r="J756" s="4">
        <f t="shared" si="145"/>
        <v>1.2002890245545383</v>
      </c>
      <c r="K756" s="1">
        <f t="shared" si="146"/>
        <v>2059610.014</v>
      </c>
      <c r="L756" s="3"/>
      <c r="M756" s="4">
        <f t="shared" si="147"/>
        <v>2059610.014</v>
      </c>
      <c r="N756" s="4">
        <f t="shared" si="148"/>
        <v>0</v>
      </c>
    </row>
    <row r="757" spans="1:14" ht="15.65" outlineLevel="2">
      <c r="A757" s="5">
        <v>373</v>
      </c>
      <c r="B757" s="6">
        <v>1977</v>
      </c>
      <c r="C757" s="3">
        <v>919043.43999999994</v>
      </c>
      <c r="D757" s="3">
        <v>919043.43999999994</v>
      </c>
      <c r="F757" s="2">
        <v>25</v>
      </c>
      <c r="G757" s="3">
        <v>0</v>
      </c>
      <c r="H757" s="12">
        <v>-0.40000000000000002</v>
      </c>
      <c r="I757" s="3">
        <f t="shared" si="144"/>
        <v>1286660.8159999999</v>
      </c>
      <c r="J757" s="4">
        <f t="shared" si="145"/>
        <v>1.2002890245545383</v>
      </c>
      <c r="K757" s="1">
        <f t="shared" si="146"/>
        <v>1286660.8159999999</v>
      </c>
      <c r="L757" s="3"/>
      <c r="M757" s="4">
        <f t="shared" si="147"/>
        <v>1286660.8159999999</v>
      </c>
      <c r="N757" s="4">
        <f t="shared" si="148"/>
        <v>0</v>
      </c>
    </row>
    <row r="758" spans="1:14" ht="15.65" outlineLevel="2">
      <c r="A758" s="5">
        <v>373</v>
      </c>
      <c r="B758" s="6">
        <v>1976</v>
      </c>
      <c r="C758" s="3">
        <v>1485604.6200000001</v>
      </c>
      <c r="D758" s="3">
        <v>1485604.6200000001</v>
      </c>
      <c r="F758" s="2">
        <v>25</v>
      </c>
      <c r="G758" s="3">
        <v>0</v>
      </c>
      <c r="H758" s="12">
        <v>-0.40000000000000002</v>
      </c>
      <c r="I758" s="3">
        <f t="shared" si="144"/>
        <v>2079846.4680000001</v>
      </c>
      <c r="J758" s="4">
        <f t="shared" si="145"/>
        <v>1.2002890245545383</v>
      </c>
      <c r="K758" s="1">
        <f t="shared" si="146"/>
        <v>2079846.4680000001</v>
      </c>
      <c r="L758" s="3"/>
      <c r="M758" s="4">
        <f t="shared" si="147"/>
        <v>2079846.4680000001</v>
      </c>
      <c r="N758" s="4">
        <f t="shared" si="148"/>
        <v>0</v>
      </c>
    </row>
    <row r="759" spans="1:14" ht="15.65" outlineLevel="2">
      <c r="A759" s="5">
        <v>373</v>
      </c>
      <c r="B759" s="6">
        <v>1975</v>
      </c>
      <c r="C759" s="3">
        <v>1321416.8999999999</v>
      </c>
      <c r="D759" s="3">
        <v>1321416.8999999999</v>
      </c>
      <c r="F759" s="2">
        <v>25</v>
      </c>
      <c r="G759" s="3">
        <v>0</v>
      </c>
      <c r="H759" s="12">
        <v>-0.40000000000000002</v>
      </c>
      <c r="I759" s="3">
        <f t="shared" si="144"/>
        <v>1849983.6599999997</v>
      </c>
      <c r="J759" s="4">
        <f t="shared" si="145"/>
        <v>1.2002890245545383</v>
      </c>
      <c r="K759" s="1">
        <f t="shared" si="146"/>
        <v>1849983.6599999997</v>
      </c>
      <c r="L759" s="3"/>
      <c r="M759" s="4">
        <f t="shared" si="147"/>
        <v>1849983.6599999997</v>
      </c>
      <c r="N759" s="4">
        <f t="shared" si="148"/>
        <v>0</v>
      </c>
    </row>
    <row r="760" spans="1:14" ht="15.65" outlineLevel="2">
      <c r="A760" s="5">
        <v>373</v>
      </c>
      <c r="B760" s="6">
        <v>1974</v>
      </c>
      <c r="C760" s="3">
        <v>1250081.6399999999</v>
      </c>
      <c r="D760" s="3">
        <v>1250081.6399999999</v>
      </c>
      <c r="F760" s="2">
        <v>25</v>
      </c>
      <c r="G760" s="3">
        <v>0</v>
      </c>
      <c r="H760" s="12">
        <v>-0.40000000000000002</v>
      </c>
      <c r="I760" s="3">
        <f t="shared" si="144"/>
        <v>1750114.2959999999</v>
      </c>
      <c r="J760" s="4">
        <f t="shared" si="145"/>
        <v>1.2002890245545383</v>
      </c>
      <c r="K760" s="1">
        <f t="shared" si="146"/>
        <v>1750114.2959999999</v>
      </c>
      <c r="L760" s="3"/>
      <c r="M760" s="4">
        <f t="shared" si="147"/>
        <v>1750114.2959999999</v>
      </c>
      <c r="N760" s="4">
        <f t="shared" si="148"/>
        <v>0</v>
      </c>
    </row>
    <row r="761" spans="1:14" ht="15.65" outlineLevel="2">
      <c r="A761" s="5">
        <v>373</v>
      </c>
      <c r="B761" s="6">
        <v>1973</v>
      </c>
      <c r="C761" s="3">
        <v>1027599.5500000001</v>
      </c>
      <c r="D761" s="3">
        <v>1027599.5500000001</v>
      </c>
      <c r="F761" s="2">
        <v>25</v>
      </c>
      <c r="G761" s="3">
        <v>0</v>
      </c>
      <c r="H761" s="12">
        <v>-0.40000000000000002</v>
      </c>
      <c r="I761" s="3">
        <f t="shared" si="144"/>
        <v>1438639.3699999999</v>
      </c>
      <c r="J761" s="4">
        <f t="shared" si="145"/>
        <v>1.2002890245545383</v>
      </c>
      <c r="K761" s="1">
        <f t="shared" si="146"/>
        <v>1438639.3699999999</v>
      </c>
      <c r="L761" s="3"/>
      <c r="M761" s="4">
        <f t="shared" si="147"/>
        <v>1438639.3699999999</v>
      </c>
      <c r="N761" s="4">
        <f t="shared" si="148"/>
        <v>0</v>
      </c>
    </row>
    <row r="762" spans="1:14" ht="15.65" outlineLevel="2">
      <c r="A762" s="5">
        <v>373</v>
      </c>
      <c r="B762" s="6">
        <v>1972</v>
      </c>
      <c r="C762" s="3">
        <v>1006796.32</v>
      </c>
      <c r="D762" s="3">
        <v>1006796.32</v>
      </c>
      <c r="F762" s="2">
        <v>25</v>
      </c>
      <c r="G762" s="3">
        <v>0</v>
      </c>
      <c r="H762" s="12">
        <v>-0.40000000000000002</v>
      </c>
      <c r="I762" s="3">
        <f t="shared" si="144"/>
        <v>1409514.8479999998</v>
      </c>
      <c r="J762" s="4">
        <f t="shared" si="145"/>
        <v>1.2002890245545383</v>
      </c>
      <c r="K762" s="1">
        <f t="shared" si="146"/>
        <v>1409514.8479999998</v>
      </c>
      <c r="L762" s="3"/>
      <c r="M762" s="4">
        <f t="shared" si="147"/>
        <v>1409514.8479999998</v>
      </c>
      <c r="N762" s="4">
        <f t="shared" si="148"/>
        <v>0</v>
      </c>
    </row>
    <row r="763" spans="1:14" ht="15.65" outlineLevel="2">
      <c r="A763" s="5">
        <v>373</v>
      </c>
      <c r="B763" s="6">
        <v>1971</v>
      </c>
      <c r="C763" s="3">
        <v>509981.20000000001</v>
      </c>
      <c r="D763" s="3">
        <v>509981.20000000001</v>
      </c>
      <c r="F763" s="2">
        <v>25</v>
      </c>
      <c r="G763" s="3">
        <v>0</v>
      </c>
      <c r="H763" s="12">
        <v>-0.40000000000000002</v>
      </c>
      <c r="I763" s="3">
        <f t="shared" si="144"/>
        <v>713973.67999999993</v>
      </c>
      <c r="J763" s="4">
        <f t="shared" si="145"/>
        <v>1.2002890245545383</v>
      </c>
      <c r="K763" s="1">
        <f t="shared" si="146"/>
        <v>713973.67999999993</v>
      </c>
      <c r="L763" s="3"/>
      <c r="M763" s="4">
        <f t="shared" si="147"/>
        <v>713973.67999999993</v>
      </c>
      <c r="N763" s="4">
        <f t="shared" si="148"/>
        <v>0</v>
      </c>
    </row>
    <row r="764" spans="1:14" ht="15.65" outlineLevel="2">
      <c r="A764" s="5">
        <v>373</v>
      </c>
      <c r="B764" s="6">
        <v>1970</v>
      </c>
      <c r="C764" s="3">
        <v>861495.16000000003</v>
      </c>
      <c r="D764" s="3">
        <v>861495.16000000003</v>
      </c>
      <c r="F764" s="2">
        <v>25</v>
      </c>
      <c r="G764" s="3">
        <v>0</v>
      </c>
      <c r="H764" s="12">
        <v>-0.40000000000000002</v>
      </c>
      <c r="I764" s="3">
        <f t="shared" si="144"/>
        <v>1206093.2239999999</v>
      </c>
      <c r="J764" s="4">
        <f t="shared" si="145"/>
        <v>1.2002890245545383</v>
      </c>
      <c r="K764" s="1">
        <f t="shared" si="146"/>
        <v>1206093.2239999999</v>
      </c>
      <c r="L764" s="3"/>
      <c r="M764" s="4">
        <f t="shared" si="147"/>
        <v>1206093.2239999999</v>
      </c>
      <c r="N764" s="4">
        <f t="shared" si="148"/>
        <v>0</v>
      </c>
    </row>
    <row r="765" spans="1:14" ht="15.65" outlineLevel="2">
      <c r="A765" s="5">
        <v>373</v>
      </c>
      <c r="B765" s="6">
        <v>1969</v>
      </c>
      <c r="C765" s="3">
        <v>1309210.8100000001</v>
      </c>
      <c r="D765" s="3">
        <v>1309210.8100000001</v>
      </c>
      <c r="F765" s="2">
        <v>25</v>
      </c>
      <c r="G765" s="3">
        <v>0</v>
      </c>
      <c r="H765" s="12">
        <v>-0.40000000000000002</v>
      </c>
      <c r="I765" s="3">
        <f t="shared" si="144"/>
        <v>1832895.1340000001</v>
      </c>
      <c r="J765" s="4">
        <f t="shared" si="145"/>
        <v>1.2002890245545383</v>
      </c>
      <c r="K765" s="1">
        <f t="shared" si="146"/>
        <v>1832895.1340000001</v>
      </c>
      <c r="L765" s="3"/>
      <c r="M765" s="4">
        <f t="shared" si="147"/>
        <v>1832895.1340000001</v>
      </c>
      <c r="N765" s="4">
        <f t="shared" si="148"/>
        <v>0</v>
      </c>
    </row>
    <row r="766" spans="1:14" ht="15.65" outlineLevel="2">
      <c r="A766" s="5">
        <v>373</v>
      </c>
      <c r="B766" s="6">
        <v>1968</v>
      </c>
      <c r="C766" s="3">
        <v>1135612.1699999999</v>
      </c>
      <c r="D766" s="3">
        <v>1135612.1699999999</v>
      </c>
      <c r="F766" s="2">
        <v>25</v>
      </c>
      <c r="G766" s="3">
        <v>0</v>
      </c>
      <c r="H766" s="12">
        <v>-0.40000000000000002</v>
      </c>
      <c r="I766" s="3">
        <f t="shared" si="144"/>
        <v>1589857.0379999997</v>
      </c>
      <c r="J766" s="4">
        <f t="shared" si="145"/>
        <v>1.2002890245545383</v>
      </c>
      <c r="K766" s="1">
        <f t="shared" si="146"/>
        <v>1589857.0379999997</v>
      </c>
      <c r="L766" s="3"/>
      <c r="M766" s="4">
        <f t="shared" si="147"/>
        <v>1589857.0379999997</v>
      </c>
      <c r="N766" s="4">
        <f t="shared" si="148"/>
        <v>0</v>
      </c>
    </row>
    <row r="767" spans="1:14" ht="15.65" outlineLevel="2">
      <c r="A767" s="5">
        <v>373</v>
      </c>
      <c r="B767" s="6">
        <v>1967</v>
      </c>
      <c r="C767" s="3">
        <v>522196.96000000002</v>
      </c>
      <c r="D767" s="3">
        <v>522196.96000000002</v>
      </c>
      <c r="F767" s="2">
        <v>25</v>
      </c>
      <c r="G767" s="3">
        <v>0</v>
      </c>
      <c r="H767" s="12">
        <v>-0.40000000000000002</v>
      </c>
      <c r="I767" s="3">
        <f t="shared" si="144"/>
        <v>731075.74399999995</v>
      </c>
      <c r="J767" s="4">
        <f t="shared" si="145"/>
        <v>1.2002890245545383</v>
      </c>
      <c r="K767" s="1">
        <f t="shared" si="146"/>
        <v>731075.74399999995</v>
      </c>
      <c r="L767" s="3"/>
      <c r="M767" s="4">
        <f t="shared" si="147"/>
        <v>731075.74399999995</v>
      </c>
      <c r="N767" s="4">
        <f t="shared" si="148"/>
        <v>0</v>
      </c>
    </row>
    <row r="768" spans="1:14" ht="15.65" outlineLevel="2">
      <c r="A768" s="5">
        <v>373</v>
      </c>
      <c r="B768" s="6">
        <v>1966</v>
      </c>
      <c r="C768" s="3">
        <v>179427.98999999999</v>
      </c>
      <c r="D768" s="3">
        <v>179427.98999999999</v>
      </c>
      <c r="F768" s="2">
        <v>25</v>
      </c>
      <c r="G768" s="3">
        <v>0</v>
      </c>
      <c r="H768" s="12">
        <v>-0.40000000000000002</v>
      </c>
      <c r="I768" s="3">
        <f t="shared" si="144"/>
        <v>251199.18599999996</v>
      </c>
      <c r="J768" s="4">
        <f t="shared" si="145"/>
        <v>1.2002890245545383</v>
      </c>
      <c r="K768" s="1">
        <f t="shared" si="146"/>
        <v>251199.18599999996</v>
      </c>
      <c r="L768" s="3"/>
      <c r="M768" s="4">
        <f t="shared" si="147"/>
        <v>251199.18599999996</v>
      </c>
      <c r="N768" s="4">
        <f t="shared" si="148"/>
        <v>0</v>
      </c>
    </row>
    <row r="769" spans="1:14" ht="15.65" outlineLevel="2">
      <c r="A769" s="5">
        <v>373</v>
      </c>
      <c r="B769" s="6">
        <v>1965</v>
      </c>
      <c r="C769" s="3">
        <v>1802037.6200000001</v>
      </c>
      <c r="D769" s="3">
        <v>1802037.6200000001</v>
      </c>
      <c r="F769" s="2">
        <v>25</v>
      </c>
      <c r="G769" s="3">
        <v>0</v>
      </c>
      <c r="H769" s="12">
        <v>-0.40000000000000002</v>
      </c>
      <c r="I769" s="3">
        <f t="shared" si="144"/>
        <v>2522852.6680000001</v>
      </c>
      <c r="J769" s="4">
        <f t="shared" si="145"/>
        <v>1.2002890245545383</v>
      </c>
      <c r="K769" s="1">
        <f t="shared" si="146"/>
        <v>2522852.6680000001</v>
      </c>
      <c r="L769" s="3"/>
      <c r="M769" s="4">
        <f t="shared" si="147"/>
        <v>2522852.6680000001</v>
      </c>
      <c r="N769" s="4">
        <f t="shared" si="148"/>
        <v>0</v>
      </c>
    </row>
    <row r="770" spans="1:14" ht="15.65" outlineLevel="2">
      <c r="A770" s="5">
        <v>373</v>
      </c>
      <c r="B770" s="6">
        <v>1964</v>
      </c>
      <c r="C770" s="3">
        <v>14122.360000000001</v>
      </c>
      <c r="D770" s="3">
        <v>14122.360000000001</v>
      </c>
      <c r="F770" s="2">
        <v>25</v>
      </c>
      <c r="G770" s="3">
        <v>0</v>
      </c>
      <c r="H770" s="12">
        <v>-0.40000000000000002</v>
      </c>
      <c r="I770" s="3">
        <f t="shared" si="144"/>
        <v>19771.304</v>
      </c>
      <c r="J770" s="4">
        <f t="shared" si="145"/>
        <v>1.2002890245545383</v>
      </c>
      <c r="K770" s="1">
        <f t="shared" si="146"/>
        <v>19771.304</v>
      </c>
      <c r="L770" s="3"/>
      <c r="M770" s="4">
        <f t="shared" si="147"/>
        <v>19771.304</v>
      </c>
      <c r="N770" s="4">
        <f t="shared" si="148"/>
        <v>0</v>
      </c>
    </row>
    <row r="771" spans="1:14" ht="15.65" outlineLevel="2">
      <c r="A771" s="5">
        <v>373</v>
      </c>
      <c r="B771" s="6">
        <v>1963</v>
      </c>
      <c r="C771" s="3">
        <v>2911.1599999999999</v>
      </c>
      <c r="D771" s="3">
        <v>2911.1599999999999</v>
      </c>
      <c r="F771" s="2">
        <v>25</v>
      </c>
      <c r="G771" s="3">
        <v>0</v>
      </c>
      <c r="H771" s="12">
        <v>-0.40000000000000002</v>
      </c>
      <c r="I771" s="3">
        <f t="shared" si="144"/>
        <v>4075.6239999999993</v>
      </c>
      <c r="J771" s="4">
        <f t="shared" si="145"/>
        <v>1.2002890245545383</v>
      </c>
      <c r="K771" s="1">
        <f t="shared" si="146"/>
        <v>4075.6239999999993</v>
      </c>
      <c r="L771" s="3"/>
      <c r="M771" s="4">
        <f t="shared" si="147"/>
        <v>4075.6239999999993</v>
      </c>
      <c r="N771" s="4">
        <f t="shared" si="148"/>
        <v>0</v>
      </c>
    </row>
    <row r="772" spans="1:14" ht="15.65" outlineLevel="2">
      <c r="A772" s="5">
        <v>373</v>
      </c>
      <c r="B772" s="6">
        <v>1962</v>
      </c>
      <c r="C772" s="3">
        <v>865.28999999999996</v>
      </c>
      <c r="D772" s="3">
        <v>865.28999999999996</v>
      </c>
      <c r="F772" s="2">
        <v>25</v>
      </c>
      <c r="G772" s="3">
        <v>0</v>
      </c>
      <c r="H772" s="12">
        <v>-0.40000000000000002</v>
      </c>
      <c r="I772" s="3">
        <f t="shared" si="144"/>
        <v>1211.406</v>
      </c>
      <c r="J772" s="4">
        <f t="shared" si="145"/>
        <v>1.2002890245545383</v>
      </c>
      <c r="K772" s="1">
        <f t="shared" si="146"/>
        <v>1211.406</v>
      </c>
      <c r="L772" s="3"/>
      <c r="M772" s="4">
        <f t="shared" si="147"/>
        <v>1211.406</v>
      </c>
      <c r="N772" s="4">
        <f t="shared" si="148"/>
        <v>0</v>
      </c>
    </row>
    <row r="773" spans="1:14" ht="15.65" outlineLevel="2">
      <c r="A773" s="5">
        <v>373</v>
      </c>
      <c r="B773" s="6">
        <v>1961</v>
      </c>
      <c r="C773" s="3">
        <v>242.63</v>
      </c>
      <c r="D773" s="3">
        <v>242.63</v>
      </c>
      <c r="F773" s="2">
        <v>25</v>
      </c>
      <c r="G773" s="3">
        <v>0</v>
      </c>
      <c r="H773" s="12">
        <v>-0.40000000000000002</v>
      </c>
      <c r="I773" s="3">
        <f t="shared" si="144"/>
        <v>339.68199999999996</v>
      </c>
      <c r="J773" s="4">
        <f t="shared" si="145"/>
        <v>1.2002890245545383</v>
      </c>
      <c r="K773" s="1">
        <f t="shared" si="146"/>
        <v>339.68199999999996</v>
      </c>
      <c r="L773" s="3"/>
      <c r="M773" s="4">
        <f t="shared" si="147"/>
        <v>339.68199999999996</v>
      </c>
      <c r="N773" s="4">
        <f t="shared" si="148"/>
        <v>0</v>
      </c>
    </row>
    <row r="774" spans="1:14" ht="15.65" outlineLevel="2">
      <c r="A774" s="5">
        <v>373</v>
      </c>
      <c r="B774" s="6">
        <v>1960</v>
      </c>
      <c r="C774" s="3">
        <v>12.75</v>
      </c>
      <c r="D774" s="3">
        <v>12.75</v>
      </c>
      <c r="F774" s="2">
        <v>25</v>
      </c>
      <c r="G774" s="3">
        <v>0</v>
      </c>
      <c r="H774" s="12">
        <v>-0.40000000000000002</v>
      </c>
      <c r="I774" s="3">
        <f t="shared" si="144"/>
        <v>17.849999999999998</v>
      </c>
      <c r="J774" s="4">
        <f t="shared" si="145"/>
        <v>1.2002890245545383</v>
      </c>
      <c r="K774" s="1">
        <f t="shared" si="146"/>
        <v>17.849999999999998</v>
      </c>
      <c r="L774" s="3"/>
      <c r="M774" s="4">
        <f t="shared" si="147"/>
        <v>17.849999999999998</v>
      </c>
      <c r="N774" s="4">
        <f t="shared" si="148"/>
        <v>0</v>
      </c>
    </row>
    <row r="775" spans="1:14" ht="15.65" outlineLevel="2">
      <c r="A775" s="5">
        <v>373</v>
      </c>
      <c r="B775" s="6">
        <v>1959</v>
      </c>
      <c r="C775" s="3">
        <v>0.46999999999999997</v>
      </c>
      <c r="D775" s="3">
        <v>0.46999999999999997</v>
      </c>
      <c r="F775" s="2">
        <v>25</v>
      </c>
      <c r="G775" s="3">
        <v>0</v>
      </c>
      <c r="H775" s="12">
        <v>-0.40000000000000002</v>
      </c>
      <c r="I775" s="3">
        <f t="shared" si="144"/>
        <v>0.65799999999999992</v>
      </c>
      <c r="J775" s="4">
        <f t="shared" si="145"/>
        <v>1.2002890245545383</v>
      </c>
      <c r="K775" s="1">
        <f t="shared" si="146"/>
        <v>0.65799999999999992</v>
      </c>
      <c r="L775" s="3"/>
      <c r="M775" s="4">
        <f t="shared" si="147"/>
        <v>0.65799999999999992</v>
      </c>
      <c r="N775" s="4">
        <f t="shared" si="148"/>
        <v>0</v>
      </c>
    </row>
    <row r="776" spans="1:14" ht="15.65" outlineLevel="2">
      <c r="A776" s="5">
        <v>373</v>
      </c>
      <c r="B776" s="6">
        <v>1958</v>
      </c>
      <c r="C776" s="3">
        <v>2565.0300000000002</v>
      </c>
      <c r="D776" s="3">
        <v>2565.0300000000002</v>
      </c>
      <c r="F776" s="2">
        <v>25</v>
      </c>
      <c r="G776" s="3">
        <v>0</v>
      </c>
      <c r="H776" s="12">
        <v>-0.40000000000000002</v>
      </c>
      <c r="I776" s="3">
        <f t="shared" si="144"/>
        <v>3591.0419999999999</v>
      </c>
      <c r="J776" s="4">
        <f t="shared" si="145"/>
        <v>1.2002890245545383</v>
      </c>
      <c r="K776" s="1">
        <f t="shared" si="146"/>
        <v>3591.0419999999999</v>
      </c>
      <c r="L776" s="3"/>
      <c r="M776" s="4">
        <f t="shared" si="147"/>
        <v>3591.0419999999999</v>
      </c>
      <c r="N776" s="4">
        <f t="shared" si="148"/>
        <v>0</v>
      </c>
    </row>
    <row r="777" spans="1:14" ht="15.65" outlineLevel="2">
      <c r="A777" s="5">
        <v>373</v>
      </c>
      <c r="B777" s="6">
        <v>1957</v>
      </c>
      <c r="C777" s="3">
        <v>375.99000000000001</v>
      </c>
      <c r="D777" s="3">
        <v>375.99000000000001</v>
      </c>
      <c r="F777" s="2">
        <v>25</v>
      </c>
      <c r="G777" s="3">
        <v>0</v>
      </c>
      <c r="H777" s="12">
        <v>-0.40000000000000002</v>
      </c>
      <c r="I777" s="3">
        <f t="shared" si="149" ref="I777:I786">+C777*(1-H777)*(1-G777/F777)</f>
        <v>526.38599999999997</v>
      </c>
      <c r="J777" s="4">
        <f t="shared" si="150" ref="J777:J786">$J$787</f>
        <v>1.2002890245545383</v>
      </c>
      <c r="K777" s="1">
        <f t="shared" si="151" ref="K777:K786">IF((C777*(1-H777)-I777*J777)&lt;0,C777*(1-H777),I777*J777)</f>
        <v>526.38599999999997</v>
      </c>
      <c r="L777" s="3"/>
      <c r="M777" s="4">
        <f t="shared" si="152" ref="M777:M786">+K777/D777*C777</f>
        <v>526.38599999999997</v>
      </c>
      <c r="N777" s="4">
        <f t="shared" si="153" ref="N777:N786">+E777/C777*K777</f>
        <v>0</v>
      </c>
    </row>
    <row r="778" spans="1:14" ht="15.65" outlineLevel="2">
      <c r="A778" s="5">
        <v>373</v>
      </c>
      <c r="B778" s="6">
        <v>1956</v>
      </c>
      <c r="C778" s="3">
        <v>364.22000000000003</v>
      </c>
      <c r="D778" s="3">
        <v>364.22000000000003</v>
      </c>
      <c r="F778" s="2">
        <v>25</v>
      </c>
      <c r="G778" s="3">
        <v>0</v>
      </c>
      <c r="H778" s="12">
        <v>-0.40000000000000002</v>
      </c>
      <c r="I778" s="3">
        <f t="shared" si="149"/>
        <v>509.90800000000002</v>
      </c>
      <c r="J778" s="4">
        <f t="shared" si="150"/>
        <v>1.2002890245545383</v>
      </c>
      <c r="K778" s="1">
        <f t="shared" si="151"/>
        <v>509.90800000000002</v>
      </c>
      <c r="L778" s="3"/>
      <c r="M778" s="4">
        <f t="shared" si="152"/>
        <v>509.90800000000002</v>
      </c>
      <c r="N778" s="4">
        <f t="shared" si="153"/>
        <v>0</v>
      </c>
    </row>
    <row r="779" spans="1:14" ht="15.65" outlineLevel="2">
      <c r="A779" s="5">
        <v>373</v>
      </c>
      <c r="B779" s="6">
        <v>1955</v>
      </c>
      <c r="C779" s="3">
        <v>27.300000000000001</v>
      </c>
      <c r="D779" s="3">
        <v>27.300000000000001</v>
      </c>
      <c r="F779" s="2">
        <v>25</v>
      </c>
      <c r="G779" s="3">
        <v>0</v>
      </c>
      <c r="H779" s="12">
        <v>-0.40000000000000002</v>
      </c>
      <c r="I779" s="3">
        <f t="shared" si="149"/>
        <v>38.219999999999999</v>
      </c>
      <c r="J779" s="4">
        <f t="shared" si="150"/>
        <v>1.2002890245545383</v>
      </c>
      <c r="K779" s="1">
        <f t="shared" si="151"/>
        <v>38.219999999999999</v>
      </c>
      <c r="L779" s="3"/>
      <c r="M779" s="4">
        <f t="shared" si="152"/>
        <v>38.219999999999999</v>
      </c>
      <c r="N779" s="4">
        <f t="shared" si="153"/>
        <v>0</v>
      </c>
    </row>
    <row r="780" spans="1:14" ht="15.65" outlineLevel="2">
      <c r="A780" s="5">
        <v>373</v>
      </c>
      <c r="B780" s="6">
        <v>1954</v>
      </c>
      <c r="C780" s="3">
        <v>136.56</v>
      </c>
      <c r="D780" s="3">
        <v>136.56</v>
      </c>
      <c r="F780" s="2">
        <v>25</v>
      </c>
      <c r="G780" s="3">
        <v>0</v>
      </c>
      <c r="H780" s="12">
        <v>-0.40000000000000002</v>
      </c>
      <c r="I780" s="3">
        <f t="shared" si="149"/>
        <v>191.184</v>
      </c>
      <c r="J780" s="4">
        <f t="shared" si="150"/>
        <v>1.2002890245545383</v>
      </c>
      <c r="K780" s="1">
        <f t="shared" si="151"/>
        <v>191.184</v>
      </c>
      <c r="L780" s="3"/>
      <c r="M780" s="4">
        <f t="shared" si="152"/>
        <v>191.184</v>
      </c>
      <c r="N780" s="4">
        <f t="shared" si="153"/>
        <v>0</v>
      </c>
    </row>
    <row r="781" spans="1:14" ht="15.65" outlineLevel="2">
      <c r="A781" s="5">
        <v>373</v>
      </c>
      <c r="B781" s="6">
        <v>1953</v>
      </c>
      <c r="C781" s="3">
        <v>38849.709999999999</v>
      </c>
      <c r="D781" s="3">
        <v>38849.709999999999</v>
      </c>
      <c r="F781" s="2">
        <v>25</v>
      </c>
      <c r="G781" s="3">
        <v>0</v>
      </c>
      <c r="H781" s="12">
        <v>-0.40000000000000002</v>
      </c>
      <c r="I781" s="3">
        <f t="shared" si="149"/>
        <v>54389.593999999997</v>
      </c>
      <c r="J781" s="4">
        <f t="shared" si="150"/>
        <v>1.2002890245545383</v>
      </c>
      <c r="K781" s="1">
        <f t="shared" si="151"/>
        <v>54389.593999999997</v>
      </c>
      <c r="L781" s="3"/>
      <c r="M781" s="4">
        <f t="shared" si="152"/>
        <v>54389.593999999997</v>
      </c>
      <c r="N781" s="4">
        <f t="shared" si="153"/>
        <v>0</v>
      </c>
    </row>
    <row r="782" spans="1:14" ht="15.65" outlineLevel="2">
      <c r="A782" s="5">
        <v>373</v>
      </c>
      <c r="B782" s="6">
        <v>1952</v>
      </c>
      <c r="C782" s="3">
        <v>352.20999999999998</v>
      </c>
      <c r="D782" s="3">
        <v>352.20999999999998</v>
      </c>
      <c r="F782" s="2">
        <v>25</v>
      </c>
      <c r="G782" s="3">
        <v>0</v>
      </c>
      <c r="H782" s="12">
        <v>-0.40000000000000002</v>
      </c>
      <c r="I782" s="3">
        <f t="shared" si="149"/>
        <v>493.09399999999994</v>
      </c>
      <c r="J782" s="4">
        <f t="shared" si="150"/>
        <v>1.2002890245545383</v>
      </c>
      <c r="K782" s="1">
        <f t="shared" si="151"/>
        <v>493.09399999999994</v>
      </c>
      <c r="L782" s="3"/>
      <c r="M782" s="4">
        <f t="shared" si="152"/>
        <v>493.09399999999994</v>
      </c>
      <c r="N782" s="4">
        <f t="shared" si="153"/>
        <v>0</v>
      </c>
    </row>
    <row r="783" spans="1:14" ht="15.65" outlineLevel="2">
      <c r="A783" s="5">
        <v>373</v>
      </c>
      <c r="B783" s="6">
        <v>1951</v>
      </c>
      <c r="C783" s="3">
        <v>77.980000000000004</v>
      </c>
      <c r="D783" s="3">
        <v>77.980000000000004</v>
      </c>
      <c r="F783" s="2">
        <v>25</v>
      </c>
      <c r="G783" s="3">
        <v>0</v>
      </c>
      <c r="H783" s="12">
        <v>-0.40000000000000002</v>
      </c>
      <c r="I783" s="3">
        <f t="shared" si="149"/>
        <v>109.172</v>
      </c>
      <c r="J783" s="4">
        <f t="shared" si="150"/>
        <v>1.2002890245545383</v>
      </c>
      <c r="K783" s="1">
        <f t="shared" si="151"/>
        <v>109.172</v>
      </c>
      <c r="L783" s="3"/>
      <c r="M783" s="4">
        <f t="shared" si="152"/>
        <v>109.172</v>
      </c>
      <c r="N783" s="4">
        <f t="shared" si="153"/>
        <v>0</v>
      </c>
    </row>
    <row r="784" spans="1:14" ht="15.65" outlineLevel="2">
      <c r="A784" s="5">
        <v>373</v>
      </c>
      <c r="B784" s="6">
        <v>1950</v>
      </c>
      <c r="C784" s="3">
        <v>118.94</v>
      </c>
      <c r="D784" s="3">
        <v>118.94</v>
      </c>
      <c r="F784" s="2">
        <v>25</v>
      </c>
      <c r="G784" s="3">
        <v>0</v>
      </c>
      <c r="H784" s="12">
        <v>-0.40000000000000002</v>
      </c>
      <c r="I784" s="3">
        <f t="shared" si="149"/>
        <v>166.51599999999999</v>
      </c>
      <c r="J784" s="4">
        <f t="shared" si="150"/>
        <v>1.2002890245545383</v>
      </c>
      <c r="K784" s="1">
        <f t="shared" si="151"/>
        <v>166.51599999999999</v>
      </c>
      <c r="L784" s="3"/>
      <c r="M784" s="4">
        <f t="shared" si="152"/>
        <v>166.51599999999999</v>
      </c>
      <c r="N784" s="4">
        <f t="shared" si="153"/>
        <v>0</v>
      </c>
    </row>
    <row r="785" spans="1:14" ht="15.65" outlineLevel="2">
      <c r="A785" s="5">
        <v>373</v>
      </c>
      <c r="B785" s="6">
        <v>1940</v>
      </c>
      <c r="C785" s="3">
        <v>15.289999999999999</v>
      </c>
      <c r="D785" s="3">
        <v>15.289999999999999</v>
      </c>
      <c r="F785" s="2">
        <v>25</v>
      </c>
      <c r="G785" s="3">
        <v>0</v>
      </c>
      <c r="H785" s="12">
        <v>-0.40000000000000002</v>
      </c>
      <c r="I785" s="3">
        <f t="shared" si="149"/>
        <v>21.405999999999999</v>
      </c>
      <c r="J785" s="4">
        <f t="shared" si="150"/>
        <v>1.2002890245545383</v>
      </c>
      <c r="K785" s="1">
        <f t="shared" si="151"/>
        <v>21.405999999999999</v>
      </c>
      <c r="L785" s="3"/>
      <c r="M785" s="4">
        <f t="shared" si="152"/>
        <v>21.405999999999999</v>
      </c>
      <c r="N785" s="4">
        <f t="shared" si="153"/>
        <v>0</v>
      </c>
    </row>
    <row r="786" spans="1:14" ht="15.65" outlineLevel="2">
      <c r="A786" s="5">
        <v>373</v>
      </c>
      <c r="B786" s="6">
        <v>1908</v>
      </c>
      <c r="C786" s="3">
        <v>185.22</v>
      </c>
      <c r="D786" s="3">
        <v>185.22</v>
      </c>
      <c r="F786" s="2">
        <v>25</v>
      </c>
      <c r="G786" s="3">
        <v>0</v>
      </c>
      <c r="H786" s="12">
        <v>-0.40000000000000002</v>
      </c>
      <c r="I786" s="3">
        <f t="shared" si="149"/>
        <v>259.30799999999999</v>
      </c>
      <c r="J786" s="4">
        <f t="shared" si="150"/>
        <v>1.2002890245545383</v>
      </c>
      <c r="K786" s="1">
        <f t="shared" si="151"/>
        <v>259.30799999999999</v>
      </c>
      <c r="L786" s="3"/>
      <c r="M786" s="4">
        <f t="shared" si="152"/>
        <v>259.30799999999999</v>
      </c>
      <c r="N786" s="4">
        <f t="shared" si="153"/>
        <v>0</v>
      </c>
    </row>
    <row r="787" spans="1:15" ht="15.65" outlineLevel="1">
      <c r="A787" s="7" t="s">
        <v>10</v>
      </c>
      <c r="B787" s="6"/>
      <c r="C787" s="3">
        <f>SUBTOTAL(9,C713:C786)</f>
        <v>437403825.89000034</v>
      </c>
      <c r="I787" s="3">
        <f t="shared" si="154" ref="I787:K787">SUBTOTAL(9,I713:I786)</f>
        <v>332220603.12750447</v>
      </c>
      <c r="J787" s="3">
        <v>1.2002890245545383</v>
      </c>
      <c r="K787" s="1">
        <f t="shared" si="154"/>
        <v>372032656.79651511</v>
      </c>
      <c r="L787" s="3">
        <v>372032656.79651517</v>
      </c>
      <c r="M787" s="3">
        <f t="shared" si="155" ref="M787">SUBTOTAL(9,M713:M786)</f>
        <v>372032656.79651517</v>
      </c>
      <c r="N787" s="3">
        <f t="shared" si="156" ref="N787">SUBTOTAL(9,N713:N786)</f>
        <v>0</v>
      </c>
      <c r="O787" s="4">
        <f>+L787-K787</f>
        <v>0</v>
      </c>
    </row>
    <row r="788" spans="1:14" ht="15.65" outlineLevel="2">
      <c r="A788" s="8" t="s">
        <v>11</v>
      </c>
      <c r="B788" s="6">
        <v>2021</v>
      </c>
      <c r="C788" s="3">
        <v>28864747.920000002</v>
      </c>
      <c r="E788" s="3">
        <v>28864747.920000002</v>
      </c>
      <c r="F788" s="2">
        <v>20</v>
      </c>
      <c r="G788" s="3">
        <v>19.689674</v>
      </c>
      <c r="H788" s="12">
        <v>-0.070000000000000007</v>
      </c>
      <c r="I788" s="3">
        <f t="shared" si="157" ref="I788:I799">+C788*(1-H788)*(1-G788/F788)</f>
        <v>479225.27432167396</v>
      </c>
      <c r="J788" s="4">
        <f t="shared" si="158" ref="J788:J799">$J$800</f>
        <v>1.2002898360433165</v>
      </c>
      <c r="K788" s="1">
        <f t="shared" si="159" ref="K788:K799">IF((C788*(1-H788)-I788*J788)&lt;0,C788*(1-H788),I788*J788)</f>
        <v>575209.22594337538</v>
      </c>
      <c r="L788" s="3"/>
      <c r="M788" s="4">
        <v>0</v>
      </c>
      <c r="N788" s="4">
        <f t="shared" si="160" ref="N788:N799">+E788/C788*K788</f>
        <v>575209.22594337538</v>
      </c>
    </row>
    <row r="789" spans="1:14" ht="15.65" outlineLevel="2">
      <c r="A789" s="8" t="s">
        <v>11</v>
      </c>
      <c r="B789" s="6">
        <v>2020</v>
      </c>
      <c r="C789" s="3">
        <v>37012524.649999999</v>
      </c>
      <c r="E789" s="3">
        <v>37012524.649999999</v>
      </c>
      <c r="F789" s="2">
        <v>20</v>
      </c>
      <c r="G789" s="3">
        <v>19.072261999999998</v>
      </c>
      <c r="H789" s="12">
        <v>-0.070000000000000007</v>
      </c>
      <c r="I789" s="3">
        <f t="shared" si="157"/>
        <v>1837079.0192651858</v>
      </c>
      <c r="J789" s="4">
        <f t="shared" si="158"/>
        <v>1.2002898360433165</v>
      </c>
      <c r="K789" s="1">
        <f t="shared" si="159"/>
        <v>2205027.2748324266</v>
      </c>
      <c r="L789" s="3"/>
      <c r="M789" s="4">
        <v>0</v>
      </c>
      <c r="N789" s="4">
        <f t="shared" si="160"/>
        <v>2205027.2748324266</v>
      </c>
    </row>
    <row r="790" spans="1:14" ht="15.65" outlineLevel="2">
      <c r="A790" s="8" t="s">
        <v>11</v>
      </c>
      <c r="B790" s="6">
        <v>2019</v>
      </c>
      <c r="C790" s="3">
        <v>35819498.579999998</v>
      </c>
      <c r="E790" s="3">
        <v>35819498.579999998</v>
      </c>
      <c r="F790" s="2">
        <v>20</v>
      </c>
      <c r="G790" s="3">
        <v>18.459108000000001</v>
      </c>
      <c r="H790" s="12">
        <v>-0.070000000000000007</v>
      </c>
      <c r="I790" s="3">
        <f t="shared" si="157"/>
        <v>2952877.8661174355</v>
      </c>
      <c r="J790" s="4">
        <f t="shared" si="158"/>
        <v>1.2002898360433165</v>
      </c>
      <c r="K790" s="1">
        <f t="shared" si="159"/>
        <v>3544309.2897780351</v>
      </c>
      <c r="L790" s="3"/>
      <c r="M790" s="4">
        <v>0</v>
      </c>
      <c r="N790" s="4">
        <f t="shared" si="160"/>
        <v>3544309.2897780351</v>
      </c>
    </row>
    <row r="791" spans="1:14" ht="15.65" outlineLevel="2">
      <c r="A791" s="8" t="s">
        <v>11</v>
      </c>
      <c r="B791" s="6">
        <v>2018</v>
      </c>
      <c r="C791" s="3">
        <v>38797801.509999998</v>
      </c>
      <c r="E791" s="3">
        <v>38797801.509999998</v>
      </c>
      <c r="F791" s="2">
        <v>20</v>
      </c>
      <c r="G791" s="3">
        <v>17.850002</v>
      </c>
      <c r="H791" s="12">
        <v>-0.070000000000000007</v>
      </c>
      <c r="I791" s="3">
        <f t="shared" si="157"/>
        <v>4462712.9673229875</v>
      </c>
      <c r="J791" s="4">
        <f t="shared" si="158"/>
        <v>1.2002898360433165</v>
      </c>
      <c r="K791" s="1">
        <f t="shared" si="159"/>
        <v>5356549.0158564914</v>
      </c>
      <c r="L791" s="3"/>
      <c r="M791" s="4">
        <v>0</v>
      </c>
      <c r="N791" s="4">
        <f t="shared" si="160"/>
        <v>5356549.0158564914</v>
      </c>
    </row>
    <row r="792" spans="1:14" ht="15.65" outlineLevel="2">
      <c r="A792" s="8" t="s">
        <v>11</v>
      </c>
      <c r="B792" s="6">
        <v>2017</v>
      </c>
      <c r="C792" s="3">
        <v>20127078.449999999</v>
      </c>
      <c r="E792" s="3">
        <v>20127078.449999999</v>
      </c>
      <c r="F792" s="2">
        <v>20</v>
      </c>
      <c r="G792" s="3">
        <v>17.244688</v>
      </c>
      <c r="H792" s="12">
        <v>-0.070000000000000007</v>
      </c>
      <c r="I792" s="3">
        <f t="shared" si="157"/>
        <v>2966916.3716351134</v>
      </c>
      <c r="J792" s="4">
        <f t="shared" si="158"/>
        <v>1.2002898360433165</v>
      </c>
      <c r="K792" s="1">
        <f t="shared" si="159"/>
        <v>3561159.5652641417</v>
      </c>
      <c r="L792" s="3"/>
      <c r="M792" s="4">
        <v>0</v>
      </c>
      <c r="N792" s="4">
        <f t="shared" si="160"/>
        <v>3561159.5652641417</v>
      </c>
    </row>
    <row r="793" spans="1:14" ht="15.65" outlineLevel="2">
      <c r="A793" s="8" t="s">
        <v>11</v>
      </c>
      <c r="B793" s="6">
        <v>2016</v>
      </c>
      <c r="C793" s="3">
        <v>19429947.079999998</v>
      </c>
      <c r="E793" s="3">
        <v>19429947.079999998</v>
      </c>
      <c r="F793" s="2">
        <v>20</v>
      </c>
      <c r="G793" s="3">
        <v>16.642863999999999</v>
      </c>
      <c r="H793" s="12">
        <v>-0.070000000000000007</v>
      </c>
      <c r="I793" s="3">
        <f t="shared" si="157"/>
        <v>3489750.1528894147</v>
      </c>
      <c r="J793" s="4">
        <f t="shared" si="158"/>
        <v>1.2002898360433165</v>
      </c>
      <c r="K793" s="1">
        <f t="shared" si="159"/>
        <v>4188711.6388437743</v>
      </c>
      <c r="L793" s="3"/>
      <c r="M793" s="4">
        <v>0</v>
      </c>
      <c r="N793" s="4">
        <f t="shared" si="160"/>
        <v>4188711.6388437743</v>
      </c>
    </row>
    <row r="794" spans="1:14" ht="15.65" outlineLevel="2">
      <c r="A794" s="8" t="s">
        <v>11</v>
      </c>
      <c r="B794" s="6">
        <v>2015</v>
      </c>
      <c r="C794" s="3">
        <v>9201966.3800000008</v>
      </c>
      <c r="E794" s="3">
        <v>9201966.3800000008</v>
      </c>
      <c r="F794" s="2">
        <v>20</v>
      </c>
      <c r="G794" s="3">
        <v>16.044233999999999</v>
      </c>
      <c r="H794" s="12">
        <v>-0.070000000000000007</v>
      </c>
      <c r="I794" s="3">
        <f t="shared" si="157"/>
        <v>1947444.1770443693</v>
      </c>
      <c r="J794" s="4">
        <f t="shared" si="158"/>
        <v>1.2002898360433165</v>
      </c>
      <c r="K794" s="1">
        <f t="shared" si="159"/>
        <v>2337497.4519680976</v>
      </c>
      <c r="L794" s="3"/>
      <c r="M794" s="4">
        <v>0</v>
      </c>
      <c r="N794" s="4">
        <f t="shared" si="160"/>
        <v>2337497.4519680976</v>
      </c>
    </row>
    <row r="795" spans="1:14" ht="15.65" outlineLevel="2">
      <c r="A795" s="8" t="s">
        <v>11</v>
      </c>
      <c r="B795" s="6">
        <v>2014</v>
      </c>
      <c r="C795" s="3">
        <v>6671003</v>
      </c>
      <c r="E795" s="3">
        <v>6671003</v>
      </c>
      <c r="F795" s="2">
        <v>20</v>
      </c>
      <c r="G795" s="3">
        <v>15.448909</v>
      </c>
      <c r="H795" s="12">
        <v>-0.070000000000000007</v>
      </c>
      <c r="I795" s="3">
        <f t="shared" si="157"/>
        <v>1624278.2817136056</v>
      </c>
      <c r="J795" s="4">
        <f t="shared" si="158"/>
        <v>1.2002898360433165</v>
      </c>
      <c r="K795" s="1">
        <f t="shared" si="159"/>
        <v>1949604.7124467436</v>
      </c>
      <c r="L795" s="3"/>
      <c r="M795" s="4">
        <v>0</v>
      </c>
      <c r="N795" s="4">
        <f t="shared" si="160"/>
        <v>1949604.7124467436</v>
      </c>
    </row>
    <row r="796" spans="1:14" ht="15.65" outlineLevel="2">
      <c r="A796" s="8" t="s">
        <v>11</v>
      </c>
      <c r="B796" s="6">
        <v>2013</v>
      </c>
      <c r="C796" s="3">
        <v>4025629.8500000001</v>
      </c>
      <c r="E796" s="3">
        <v>4025629.8500000001</v>
      </c>
      <c r="F796" s="2">
        <v>20</v>
      </c>
      <c r="G796" s="3">
        <v>14.857538</v>
      </c>
      <c r="H796" s="12">
        <v>-0.070000000000000007</v>
      </c>
      <c r="I796" s="3">
        <f t="shared" si="157"/>
        <v>1107538.1963384526</v>
      </c>
      <c r="J796" s="4">
        <f t="shared" si="158"/>
        <v>1.2002898360433165</v>
      </c>
      <c r="K796" s="1">
        <f t="shared" si="159"/>
        <v>1329366.8400947917</v>
      </c>
      <c r="L796" s="3"/>
      <c r="M796" s="4">
        <v>0</v>
      </c>
      <c r="N796" s="4">
        <f t="shared" si="160"/>
        <v>1329366.8400947917</v>
      </c>
    </row>
    <row r="797" spans="1:14" ht="15.65" outlineLevel="2">
      <c r="A797" s="8" t="s">
        <v>11</v>
      </c>
      <c r="B797" s="6">
        <v>2012</v>
      </c>
      <c r="C797" s="3">
        <v>1625.3399999999999</v>
      </c>
      <c r="E797" s="3">
        <v>1625.3399999999999</v>
      </c>
      <c r="F797" s="2">
        <v>20</v>
      </c>
      <c r="G797" s="3">
        <v>14.271051999999999</v>
      </c>
      <c r="H797" s="12">
        <v>-0.070000000000000007</v>
      </c>
      <c r="I797" s="3">
        <f t="shared" si="157"/>
        <v>498.16462631412003</v>
      </c>
      <c r="J797" s="4">
        <f t="shared" si="158"/>
        <v>1.2002898360433165</v>
      </c>
      <c r="K797" s="1">
        <f t="shared" si="159"/>
        <v>597.94193764115516</v>
      </c>
      <c r="L797" s="3"/>
      <c r="M797" s="4">
        <v>0</v>
      </c>
      <c r="N797" s="4">
        <f t="shared" si="160"/>
        <v>597.94193764115516</v>
      </c>
    </row>
    <row r="798" spans="1:14" ht="15.65" outlineLevel="2">
      <c r="A798" s="8" t="s">
        <v>11</v>
      </c>
      <c r="B798" s="6">
        <v>2011</v>
      </c>
      <c r="C798" s="3">
        <v>1625.3399999999999</v>
      </c>
      <c r="E798" s="3">
        <v>1625.3399999999999</v>
      </c>
      <c r="F798" s="2">
        <v>20</v>
      </c>
      <c r="G798" s="3">
        <v>13.690493999999999</v>
      </c>
      <c r="H798" s="12">
        <v>-0.070000000000000007</v>
      </c>
      <c r="I798" s="3">
        <f t="shared" si="157"/>
        <v>548.64744778914007</v>
      </c>
      <c r="J798" s="4">
        <f t="shared" si="158"/>
        <v>1.2002898360433165</v>
      </c>
      <c r="K798" s="1">
        <f t="shared" si="159"/>
        <v>658.53595515241102</v>
      </c>
      <c r="L798" s="3"/>
      <c r="M798" s="4">
        <v>0</v>
      </c>
      <c r="N798" s="4">
        <f t="shared" si="160"/>
        <v>658.53595515241102</v>
      </c>
    </row>
    <row r="799" spans="1:14" ht="15.65" outlineLevel="2">
      <c r="A799" s="8" t="s">
        <v>11</v>
      </c>
      <c r="B799" s="6">
        <v>2010</v>
      </c>
      <c r="C799" s="3">
        <v>1625.3399999999999</v>
      </c>
      <c r="E799" s="3">
        <v>1625.3399999999999</v>
      </c>
      <c r="F799" s="2">
        <v>20</v>
      </c>
      <c r="G799" s="3">
        <v>13.116935</v>
      </c>
      <c r="H799" s="12">
        <v>-0.070000000000000007</v>
      </c>
      <c r="I799" s="3">
        <f t="shared" si="157"/>
        <v>598.52166638985</v>
      </c>
      <c r="J799" s="4">
        <f t="shared" si="158"/>
        <v>1.2002898360433165</v>
      </c>
      <c r="K799" s="1">
        <f t="shared" si="159"/>
        <v>718.39947281944569</v>
      </c>
      <c r="L799" s="3"/>
      <c r="M799" s="4">
        <v>0</v>
      </c>
      <c r="N799" s="4">
        <f t="shared" si="160"/>
        <v>718.39947281944569</v>
      </c>
    </row>
    <row r="800" spans="1:15" ht="15.65" outlineLevel="1">
      <c r="A800" s="9" t="s">
        <v>21</v>
      </c>
      <c r="B800" s="6"/>
      <c r="C800" s="3">
        <f>SUBTOTAL(9,C788:C799)</f>
        <v>199955073.44</v>
      </c>
      <c r="I800" s="3">
        <f>SUBTOTAL(9,I788:I799)</f>
        <v>20869467.640388735</v>
      </c>
      <c r="J800" s="3">
        <v>1.2002898360433165</v>
      </c>
      <c r="K800" s="1">
        <f>SUBTOTAL(9,K788:K799)</f>
        <v>25049409.892393485</v>
      </c>
      <c r="L800" s="3">
        <v>25049409.892393485</v>
      </c>
      <c r="M800" s="3">
        <f t="shared" si="161" ref="M800:N800">SUBTOTAL(9,M788:M799)</f>
        <v>0</v>
      </c>
      <c r="N800" s="3">
        <f t="shared" si="161"/>
        <v>25049409.892393485</v>
      </c>
      <c r="O800" s="4">
        <f>+L800-K800</f>
        <v>0</v>
      </c>
    </row>
    <row r="801" spans="1:14" ht="15.65">
      <c r="A801" s="9" t="s">
        <v>2</v>
      </c>
      <c r="B801" s="6"/>
      <c r="C801" s="3">
        <f>SUBTOTAL(9,C3:C799)</f>
        <v>12845630095.229992</v>
      </c>
      <c r="I801" s="3">
        <f>SUBTOTAL(9,I3:I799)</f>
        <v>4293708500.7583327</v>
      </c>
      <c r="K801" s="1">
        <f>SUBTOTAL(9,K3:K799)</f>
        <v>5095201977.1292706</v>
      </c>
      <c r="L801" s="3"/>
      <c r="M801" s="3">
        <f t="shared" si="162" ref="M801:N801">SUBTOTAL(9,M3:M799)</f>
        <v>5070152567.2368765</v>
      </c>
      <c r="N801" s="3">
        <f t="shared" si="162"/>
        <v>25049409.892393485</v>
      </c>
    </row>
    <row r="802" spans="1:14" ht="15.65">
      <c r="A802" s="9" t="s">
        <v>25</v>
      </c>
      <c r="B802" s="10"/>
      <c r="K802" s="1">
        <v>5444724.1900000004</v>
      </c>
      <c r="L802" s="3"/>
      <c r="M802" s="3"/>
      <c r="N802" s="3">
        <v>5444724.1900000004</v>
      </c>
    </row>
    <row r="803" spans="1:14" ht="15.65">
      <c r="A803" s="9" t="s">
        <v>26</v>
      </c>
      <c r="K803" s="1">
        <v>215946315.56999999</v>
      </c>
      <c r="L803" s="3"/>
      <c r="M803" s="3"/>
      <c r="N803" s="3">
        <v>215946315.56999999</v>
      </c>
    </row>
    <row r="804" spans="1:14" ht="15.65">
      <c r="A804" s="9" t="s">
        <v>23</v>
      </c>
      <c r="C804" s="3">
        <v>162996844.13999999</v>
      </c>
      <c r="E804" s="3">
        <v>162996844.13999999</v>
      </c>
      <c r="K804" s="3">
        <v>89799407.719999984</v>
      </c>
      <c r="L804" s="3"/>
      <c r="M804" s="3"/>
      <c r="N804" s="3">
        <v>89799407.719999984</v>
      </c>
    </row>
    <row r="805" spans="11:14" ht="15.65">
      <c r="K805" s="3"/>
      <c r="L805" s="3"/>
      <c r="M805" s="3"/>
      <c r="N805" s="3"/>
    </row>
    <row r="806" spans="11:14" ht="15.65">
      <c r="K806" s="3"/>
      <c r="L806" s="3"/>
      <c r="M806" s="3"/>
      <c r="N806" s="3"/>
    </row>
    <row r="807" spans="11:14" ht="15.65">
      <c r="K807" s="3">
        <f>SUM(K801:K804)</f>
        <v>5406392424.6092701</v>
      </c>
      <c r="L807" s="3">
        <f t="shared" si="163" ref="L807:N807">SUM(L801:L804)</f>
        <v>0</v>
      </c>
      <c r="M807" s="3">
        <f t="shared" si="163"/>
        <v>5070152567.2368765</v>
      </c>
      <c r="N807" s="3">
        <f t="shared" si="163"/>
        <v>336239857.37239349</v>
      </c>
    </row>
    <row r="808" spans="11:14" ht="15.65">
      <c r="K808" s="3"/>
      <c r="L808" s="3"/>
      <c r="M808" s="3"/>
      <c r="N808" s="3"/>
    </row>
    <row r="809" spans="11:14" ht="15.65">
      <c r="K809" s="3"/>
      <c r="L809" s="3"/>
      <c r="M809" s="3"/>
      <c r="N809" s="3"/>
    </row>
    <row r="810" spans="11:14" ht="15.65">
      <c r="K810" s="3"/>
      <c r="L810" s="3"/>
      <c r="M810" s="3"/>
      <c r="N810" s="3"/>
    </row>
    <row r="811" spans="10:14" ht="15.65">
      <c r="J811" s="9" t="s">
        <v>27</v>
      </c>
      <c r="K811" s="9" t="s">
        <v>17</v>
      </c>
      <c r="L811" s="9" t="s">
        <v>28</v>
      </c>
      <c r="M811" s="9" t="s">
        <v>22</v>
      </c>
      <c r="N811" s="3"/>
    </row>
    <row r="812" spans="10:14" ht="15.65">
      <c r="J812" s="15" t="s">
        <v>29</v>
      </c>
      <c r="K812" s="4">
        <f>K97</f>
        <v>8767326.7686165329</v>
      </c>
      <c r="L812" s="4">
        <v>0</v>
      </c>
      <c r="M812" s="4">
        <f>M97</f>
        <v>8767326.7686165329</v>
      </c>
      <c r="N812" s="3"/>
    </row>
    <row r="813" spans="10:14" ht="15.65">
      <c r="J813" s="15" t="s">
        <v>30</v>
      </c>
      <c r="K813" s="16">
        <v>1166792.5391729928</v>
      </c>
      <c r="L813" s="16">
        <v>238774.93434848145</v>
      </c>
      <c r="M813" s="16">
        <v>928017.60482451133</v>
      </c>
      <c r="N813" s="3"/>
    </row>
    <row r="814" spans="11:14" ht="15.65">
      <c r="K814" s="4">
        <f>SUM(K812:K813)</f>
        <v>9934119.307789525</v>
      </c>
      <c r="L814" s="4">
        <f t="shared" si="164" ref="L814:M814">SUM(L812:L813)</f>
        <v>238774.93434848145</v>
      </c>
      <c r="M814" s="4">
        <f t="shared" si="164"/>
        <v>9695344.3734410442</v>
      </c>
      <c r="N814" s="3"/>
    </row>
    <row r="815" spans="11:14" ht="15.65">
      <c r="K815" s="3"/>
      <c r="L815" s="3"/>
      <c r="M815" s="3"/>
      <c r="N815" s="3"/>
    </row>
    <row r="816" spans="11:14" ht="15.65">
      <c r="K816" s="3"/>
      <c r="L816" s="3"/>
      <c r="M816" s="3"/>
      <c r="N816" s="3"/>
    </row>
    <row r="817" spans="11:14" ht="15.65">
      <c r="K817" s="3"/>
      <c r="L817" s="3"/>
      <c r="M817" s="3"/>
      <c r="N817" s="3"/>
    </row>
  </sheetData>
  <sortState ref="A3:I799">
    <sortCondition sortBy="value" ref="A3:A799"/>
    <sortCondition descending="1" sortBy="value" ref="B3:B799"/>
  </sortState>
  <pageMargins left="0.75" right="0.75" top="2" bottom="1" header="0.75" footer="0.5"/>
  <pageSetup fitToHeight="0" orientation="landscape" scale="43" r:id="rId1"/>
  <headerFooter>
    <oddHeader>&amp;C
&amp;"Arial,Bold"2022 RATE CASE
ONCOR ELECTRIC DELVIERY COMPANY LLC
WP II-B-5_07 ONCOR LEGACY DISTRIBUTION PLANT
TEST YEAR ENDING DECEMBER 31, 2021
SPONSOR: D.A. WATSON&amp;R&amp;"Arial,Bold"WP/II-B-5/07
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II-B-5_07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