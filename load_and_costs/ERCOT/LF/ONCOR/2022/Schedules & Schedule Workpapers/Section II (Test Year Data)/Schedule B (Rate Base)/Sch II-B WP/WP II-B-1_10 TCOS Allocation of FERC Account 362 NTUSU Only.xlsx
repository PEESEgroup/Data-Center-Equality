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5719" yWindow="5054" windowWidth="15174" windowHeight="8069" activeTab="0"/>
  </bookViews>
  <sheets>
    <sheet name="WP II-B-1_10 TCOS - 362 NTU" sheetId="1" r:id="rId2"/>
  </sheets>
  <definedNames>
    <definedName name="_xlnm.Print_Titles" localSheetId="0">'WP II-B-1_10 TCOS - 362 NTU'!$1:$1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I29" i="1" l="1"/>
</calcChain>
</file>

<file path=xl/sharedStrings.xml><?xml version="1.0" encoding="utf-8"?>
<sst xmlns="http://schemas.openxmlformats.org/spreadsheetml/2006/main" count="62" uniqueCount="62">
  <si>
    <t>(D + T)              DIST &amp; TCOS Investment Total Only</t>
  </si>
  <si>
    <t>(E)          TCOS % Based on Property Unit                  (T / (D + T))</t>
  </si>
  <si>
    <t>(F)           DIST % Based on Property Unit              (1 - E)</t>
  </si>
  <si>
    <t>(G)               TCOS % of Common Investment          (C * E)</t>
  </si>
  <si>
    <t>(H)               DIST % of Common Investment         (C - G)</t>
  </si>
  <si>
    <t>Total TCOS of 362                           (T +G)</t>
  </si>
  <si>
    <t>Total DIST of 362                           (D +H)</t>
  </si>
  <si>
    <t>Location</t>
  </si>
  <si>
    <t>Total 362</t>
  </si>
  <si>
    <t>Location Name</t>
  </si>
  <si>
    <t>(C)         Common Investment Based on Property Unit</t>
  </si>
  <si>
    <t>(D)                 DIST Investment Based on Property Unit</t>
  </si>
  <si>
    <t>(T)                TCOS Investment Based on Property Unit</t>
  </si>
  <si>
    <t xml:space="preserve">Investment to Allocate to TCOS or DIST                   </t>
  </si>
  <si>
    <t>N006270</t>
  </si>
  <si>
    <t>Grady 138 - 25KV</t>
  </si>
  <si>
    <t>Luther 138 - 25KV</t>
  </si>
  <si>
    <t>Brown 138 - 12.5KV</t>
  </si>
  <si>
    <t>Elbow 138 - 25KV</t>
  </si>
  <si>
    <t>Airport Road 138 - 25KV</t>
  </si>
  <si>
    <t>Canal Road 138 - 25KV</t>
  </si>
  <si>
    <t>Carterville 138 - 25KV</t>
  </si>
  <si>
    <t>Coyote 138 - 25KV</t>
  </si>
  <si>
    <t>Driver 138 - 25KV</t>
  </si>
  <si>
    <t>East Stiles 138 - 25KV</t>
  </si>
  <si>
    <t>Glass Ranch 138 - 25KV</t>
  </si>
  <si>
    <t>Hadacol Corner 138 - 25KV</t>
  </si>
  <si>
    <t>Natural Dam 138 - 25KV</t>
  </si>
  <si>
    <t>Pecan Grove 138 - 25KV</t>
  </si>
  <si>
    <t>Dewey Lake Sub</t>
  </si>
  <si>
    <t>Ringo 138 - 25KV</t>
  </si>
  <si>
    <t>Salt Flat Road 138 - 25KV</t>
  </si>
  <si>
    <t>Salt Mine 138 - 25KV</t>
  </si>
  <si>
    <t>St. Lawrence 138 - 25KV</t>
  </si>
  <si>
    <t>Triangle 138KV</t>
  </si>
  <si>
    <t>Yosemite 138 - 12.5KV</t>
  </si>
  <si>
    <t>Elbow Creek Battery Station</t>
  </si>
  <si>
    <t>NTUSU DeltaStar Mob XFMR MT35</t>
  </si>
  <si>
    <t>N006030</t>
  </si>
  <si>
    <t>N006310</t>
  </si>
  <si>
    <t>N006100</t>
  </si>
  <si>
    <t>N006220</t>
  </si>
  <si>
    <t>N006400</t>
  </si>
  <si>
    <t>N006160</t>
  </si>
  <si>
    <t>N006180</t>
  </si>
  <si>
    <t>N006230</t>
  </si>
  <si>
    <t>N006170</t>
  </si>
  <si>
    <t>N006320</t>
  </si>
  <si>
    <t>N006420</t>
  </si>
  <si>
    <t>N006140</t>
  </si>
  <si>
    <t>N006090</t>
  </si>
  <si>
    <t>N006350</t>
  </si>
  <si>
    <t>N006060</t>
  </si>
  <si>
    <t>N006110</t>
  </si>
  <si>
    <t>N006150</t>
  </si>
  <si>
    <t>N006260</t>
  </si>
  <si>
    <t>N006010</t>
  </si>
  <si>
    <t>N006210</t>
  </si>
  <si>
    <t>N006070</t>
  </si>
  <si>
    <t>N006550</t>
  </si>
  <si>
    <t>N006551</t>
  </si>
  <si>
    <t>NTUSU HK Porter XFMR MT36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</si>
</sst>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000_);[Red]\(#,##0.00000000\)"/>
    <numFmt numFmtId="165" formatCode="#,##0.0000000_);[Red]\(#,##0.0000000\)"/>
  </numFmts>
  <fonts count="6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</cellStyleXfs>
  <cellXfs count="18">
    <xf numFmtId="0" fontId="0" fillId="0" borderId="0" xfId="0"/>
    <xf numFmtId="0" fontId="3" fillId="0" borderId="1" xfId="0" applyFont="1" applyFill="1" applyBorder="1" applyAlignment="1">
      <alignment horizontal="center" wrapText="1"/>
    </xf>
    <xf numFmtId="40" fontId="3" fillId="0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wrapText="1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/>
    </xf>
    <xf numFmtId="40" fontId="4" fillId="0" borderId="0" xfId="0" applyNumberFormat="1" applyFont="1" applyFill="1"/>
    <xf numFmtId="40" fontId="4" fillId="0" borderId="0" xfId="0" applyNumberFormat="1" applyFont="1" applyFill="1" applyAlignment="1">
      <alignment/>
    </xf>
    <xf numFmtId="164" fontId="4" fillId="0" borderId="0" xfId="0" applyNumberFormat="1" applyFont="1" applyFill="1"/>
    <xf numFmtId="165" fontId="4" fillId="0" borderId="0" xfId="20" applyNumberFormat="1" applyFont="1" applyFill="1" applyAlignment="1">
      <alignment horizontal="center"/>
      <protection/>
    </xf>
    <xf numFmtId="0" fontId="3" fillId="0" borderId="0" xfId="0" applyFont="1" applyFill="1" applyAlignment="1">
      <alignment/>
    </xf>
    <xf numFmtId="39" fontId="5" fillId="0" borderId="0" xfId="0" applyNumberFormat="1" applyFont="1" applyFill="1"/>
    <xf numFmtId="39" fontId="4" fillId="0" borderId="0" xfId="20" applyNumberFormat="1" applyFont="1" applyFill="1">
      <alignment/>
      <protection/>
    </xf>
    <xf numFmtId="39" fontId="4" fillId="0" borderId="2" xfId="0" applyNumberFormat="1" applyFont="1" applyFill="1" applyBorder="1" applyAlignment="1">
      <alignment/>
    </xf>
    <xf numFmtId="40" fontId="3" fillId="0" borderId="3" xfId="0" applyNumberFormat="1" applyFont="1" applyFill="1" applyBorder="1" applyAlignment="1">
      <alignment horizontal="center"/>
    </xf>
    <xf numFmtId="164" fontId="3" fillId="0" borderId="4" xfId="0" applyNumberFormat="1" applyFont="1" applyFill="1" applyBorder="1"/>
    <xf numFmtId="164" fontId="3" fillId="0" borderId="5" xfId="0" applyNumberFormat="1" applyFont="1" applyFill="1" applyBorder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M29"/>
  <sheetViews>
    <sheetView tabSelected="1" workbookViewId="0" topLeftCell="A1">
      <selection pane="topLeft" activeCell="A2" sqref="A2"/>
    </sheetView>
  </sheetViews>
  <sheetFormatPr defaultColWidth="9.12428571428571" defaultRowHeight="15.75"/>
  <cols>
    <col min="1" max="1" width="10.8571428571429" style="5" bestFit="1" customWidth="1"/>
    <col min="2" max="2" width="47.5714285714286" style="6" bestFit="1" customWidth="1"/>
    <col min="3" max="3" width="18.1428571428571" style="7" bestFit="1" customWidth="1"/>
    <col min="4" max="4" width="21.1428571428571" style="7" customWidth="1"/>
    <col min="5" max="5" width="18.1428571428571" style="7" bestFit="1" customWidth="1"/>
    <col min="6" max="6" width="21.1428571428571" style="8" bestFit="1" customWidth="1"/>
    <col min="7" max="7" width="20" style="7" bestFit="1" customWidth="1"/>
    <col min="8" max="8" width="14.2857142857143" style="9" bestFit="1" customWidth="1"/>
    <col min="9" max="9" width="15" style="9" bestFit="1" customWidth="1"/>
    <col min="10" max="10" width="16.7142857142857" style="7" bestFit="1" customWidth="1"/>
    <col min="11" max="11" width="18.5714285714286" style="7" customWidth="1"/>
    <col min="12" max="12" width="18.1428571428571" style="7" bestFit="1" customWidth="1"/>
    <col min="13" max="13" width="20" style="7" bestFit="1" customWidth="1"/>
    <col min="14" max="16384" width="9.14285714285714" style="4"/>
  </cols>
  <sheetData>
    <row r="1" spans="1:13" ht="93.75">
      <c r="A1" s="1" t="s">
        <v>7</v>
      </c>
      <c r="B1" s="1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0</v>
      </c>
      <c r="H1" s="3" t="s">
        <v>1</v>
      </c>
      <c r="I1" s="3" t="s">
        <v>2</v>
      </c>
      <c r="J1" s="2" t="s">
        <v>3</v>
      </c>
      <c r="K1" s="2" t="s">
        <v>4</v>
      </c>
      <c r="L1" s="2" t="s">
        <v>5</v>
      </c>
      <c r="M1" s="2" t="s">
        <v>6</v>
      </c>
    </row>
    <row r="2" spans="1:13" ht="15.65">
      <c r="A2" s="5" t="s">
        <v>38</v>
      </c>
      <c r="B2" s="11" t="s">
        <v>17</v>
      </c>
      <c r="C2" s="12">
        <v>119329.96000000001</v>
      </c>
      <c r="D2" s="12">
        <v>6318608.2000000002</v>
      </c>
      <c r="E2" s="12">
        <v>2031191.3899999999</v>
      </c>
      <c r="F2" s="12">
        <v>8469129.5500000007</v>
      </c>
      <c r="G2" s="13">
        <v>8349799.5899999999</v>
      </c>
      <c r="H2" s="10">
        <v>0.24326229247856712</v>
      </c>
      <c r="I2" s="10">
        <v>0.75673770752143288</v>
      </c>
      <c r="J2" s="13">
        <v>29028.48</v>
      </c>
      <c r="K2" s="13">
        <v>90301.48000000001</v>
      </c>
      <c r="L2" s="13">
        <v>2060219.8699999999</v>
      </c>
      <c r="M2" s="13">
        <v>6408909.6800000006</v>
      </c>
    </row>
    <row r="3" spans="1:13" ht="15.65">
      <c r="A3" s="5" t="s">
        <v>39</v>
      </c>
      <c r="B3" s="11" t="s">
        <v>31</v>
      </c>
      <c r="C3" s="12">
        <v>492665.62</v>
      </c>
      <c r="D3" s="12">
        <v>6528356.9199999999</v>
      </c>
      <c r="E3" s="12">
        <v>1542307.6799999999</v>
      </c>
      <c r="F3" s="12">
        <v>8563330.2200000007</v>
      </c>
      <c r="G3" s="13">
        <v>8070664.5999999996</v>
      </c>
      <c r="H3" s="10">
        <v>0.19110045534539993</v>
      </c>
      <c r="I3" s="10">
        <v>0.80889954465460012</v>
      </c>
      <c r="J3" s="13">
        <v>94148.619999999995</v>
      </c>
      <c r="K3" s="13">
        <v>398517</v>
      </c>
      <c r="L3" s="13">
        <v>1636456.2999999998</v>
      </c>
      <c r="M3" s="13">
        <v>6926873.9199999999</v>
      </c>
    </row>
    <row r="4" spans="1:13" ht="15.65">
      <c r="A4" s="5" t="s">
        <v>40</v>
      </c>
      <c r="B4" s="11" t="s">
        <v>23</v>
      </c>
      <c r="C4" s="12">
        <v>674211.84999999998</v>
      </c>
      <c r="D4" s="12">
        <v>8380741.1399999997</v>
      </c>
      <c r="E4" s="12">
        <v>3533594.23</v>
      </c>
      <c r="F4" s="12">
        <v>12588547.220000001</v>
      </c>
      <c r="G4" s="13">
        <v>11914335.369999999</v>
      </c>
      <c r="H4" s="10">
        <v>0.29658341151764978</v>
      </c>
      <c r="I4" s="10">
        <v>0.70341658848235022</v>
      </c>
      <c r="J4" s="13">
        <v>199960.04999999999</v>
      </c>
      <c r="K4" s="13">
        <v>474251.79999999999</v>
      </c>
      <c r="L4" s="13">
        <v>3733554.2799999998</v>
      </c>
      <c r="M4" s="13">
        <v>8854992.9399999995</v>
      </c>
    </row>
    <row r="5" spans="1:13" ht="15.65">
      <c r="A5" s="5" t="s">
        <v>41</v>
      </c>
      <c r="B5" s="11" t="s">
        <v>27</v>
      </c>
      <c r="C5" s="12">
        <v>212882.25</v>
      </c>
      <c r="D5" s="12">
        <v>3266010.5099999998</v>
      </c>
      <c r="E5" s="12">
        <v>1836622.21</v>
      </c>
      <c r="F5" s="12">
        <v>5315514.9699999997</v>
      </c>
      <c r="G5" s="13">
        <v>5102632.7199999997</v>
      </c>
      <c r="H5" s="10">
        <v>0.35993619583891978</v>
      </c>
      <c r="I5" s="10">
        <v>0.64006380416108022</v>
      </c>
      <c r="J5" s="13">
        <v>76624.029999999999</v>
      </c>
      <c r="K5" s="13">
        <v>136258.22</v>
      </c>
      <c r="L5" s="13">
        <v>1913246.24</v>
      </c>
      <c r="M5" s="13">
        <v>3402268.73</v>
      </c>
    </row>
    <row r="6" spans="1:13" ht="15.65">
      <c r="A6" s="5" t="s">
        <v>42</v>
      </c>
      <c r="B6" s="11" t="s">
        <v>34</v>
      </c>
      <c r="C6" s="12">
        <v>675678.22999999998</v>
      </c>
      <c r="D6" s="12">
        <v>454204.04999999999</v>
      </c>
      <c r="E6" s="12">
        <v>1805112.7</v>
      </c>
      <c r="F6" s="12">
        <v>2934994.98</v>
      </c>
      <c r="G6" s="13">
        <v>2259316.75</v>
      </c>
      <c r="H6" s="10">
        <v>0.79896397882235859</v>
      </c>
      <c r="I6" s="10">
        <v>0.20103602117764141</v>
      </c>
      <c r="J6" s="13">
        <v>539842.56999999995</v>
      </c>
      <c r="K6" s="13">
        <v>135835.66000000003</v>
      </c>
      <c r="L6" s="13">
        <v>2344955.27</v>
      </c>
      <c r="M6" s="13">
        <v>590039.70999999996</v>
      </c>
    </row>
    <row r="7" spans="1:13" ht="15.65">
      <c r="A7" s="5" t="s">
        <v>43</v>
      </c>
      <c r="B7" s="11" t="s">
        <v>25</v>
      </c>
      <c r="C7" s="12">
        <v>233089.62</v>
      </c>
      <c r="D7" s="12">
        <v>3445321.7200000002</v>
      </c>
      <c r="E7" s="12">
        <v>3049995.8199999998</v>
      </c>
      <c r="F7" s="12">
        <v>6728407.1600000001</v>
      </c>
      <c r="G7" s="13">
        <v>6495317.54</v>
      </c>
      <c r="H7" s="10">
        <v>0.46956839311046211</v>
      </c>
      <c r="I7" s="10">
        <v>0.53043160688953783</v>
      </c>
      <c r="J7" s="13">
        <v>109451.52</v>
      </c>
      <c r="K7" s="13">
        <v>123638.09999999999</v>
      </c>
      <c r="L7" s="13">
        <v>3159447.3399999999</v>
      </c>
      <c r="M7" s="13">
        <v>3568959.8200000003</v>
      </c>
    </row>
    <row r="8" spans="1:13" ht="15.65">
      <c r="A8" s="5" t="s">
        <v>44</v>
      </c>
      <c r="B8" s="11" t="s">
        <v>26</v>
      </c>
      <c r="C8" s="12">
        <v>245869.12</v>
      </c>
      <c r="D8" s="12">
        <v>2030382.23</v>
      </c>
      <c r="E8" s="12">
        <v>733335.47999999998</v>
      </c>
      <c r="F8" s="12">
        <v>3009586.8300000001</v>
      </c>
      <c r="G8" s="13">
        <v>2763717.71</v>
      </c>
      <c r="H8" s="10">
        <v>0.2653438436735277</v>
      </c>
      <c r="I8" s="10">
        <v>0.7346561563264723</v>
      </c>
      <c r="J8" s="13">
        <v>65239.860000000001</v>
      </c>
      <c r="K8" s="13">
        <v>180629.26000000001</v>
      </c>
      <c r="L8" s="13">
        <v>798575.33999999997</v>
      </c>
      <c r="M8" s="13">
        <v>2211011.4900000002</v>
      </c>
    </row>
    <row r="9" spans="1:13" ht="15.65">
      <c r="A9" s="5" t="s">
        <v>45</v>
      </c>
      <c r="B9" s="11" t="s">
        <v>28</v>
      </c>
      <c r="C9" s="12">
        <v>534555.07999999996</v>
      </c>
      <c r="D9" s="12">
        <v>2400224.8799999999</v>
      </c>
      <c r="E9" s="12">
        <v>1619663.9199999999</v>
      </c>
      <c r="F9" s="12">
        <v>4554443.8799999999</v>
      </c>
      <c r="G9" s="13">
        <v>4019888.7999999998</v>
      </c>
      <c r="H9" s="10">
        <v>0.40291261788137023</v>
      </c>
      <c r="I9" s="10">
        <v>0.59708738211862977</v>
      </c>
      <c r="J9" s="13">
        <v>215378.98999999999</v>
      </c>
      <c r="K9" s="13">
        <v>319176.08999999997</v>
      </c>
      <c r="L9" s="13">
        <v>1835042.9099999999</v>
      </c>
      <c r="M9" s="13">
        <v>2719400.9699999997</v>
      </c>
    </row>
    <row r="10" spans="1:13" ht="15.65">
      <c r="A10" s="5" t="s">
        <v>46</v>
      </c>
      <c r="B10" s="11" t="s">
        <v>15</v>
      </c>
      <c r="C10" s="12">
        <v>220328.63000000001</v>
      </c>
      <c r="D10" s="12">
        <v>2376554.98</v>
      </c>
      <c r="E10" s="12">
        <v>1602444.4099999999</v>
      </c>
      <c r="F10" s="12">
        <v>4199328.0199999996</v>
      </c>
      <c r="G10" s="13">
        <v>3978999.3899999997</v>
      </c>
      <c r="H10" s="10">
        <v>0.40272547264703151</v>
      </c>
      <c r="I10" s="10">
        <v>0.59727452735296849</v>
      </c>
      <c r="J10" s="13">
        <v>88731.949999999997</v>
      </c>
      <c r="K10" s="13">
        <v>131596.67999999999</v>
      </c>
      <c r="L10" s="13">
        <v>1691176.3599999999</v>
      </c>
      <c r="M10" s="13">
        <v>2508151.6600000001</v>
      </c>
    </row>
    <row r="11" spans="1:13" ht="15.65">
      <c r="A11" s="5" t="s">
        <v>47</v>
      </c>
      <c r="B11" s="11" t="s">
        <v>32</v>
      </c>
      <c r="C11" s="12">
        <v>8915.1499999999996</v>
      </c>
      <c r="D11" s="12">
        <v>210213.17999999999</v>
      </c>
      <c r="E11" s="12">
        <v>670697.41000000003</v>
      </c>
      <c r="F11" s="12">
        <v>889825.73999999999</v>
      </c>
      <c r="G11" s="13">
        <v>880910.59000000008</v>
      </c>
      <c r="H11" s="10">
        <v>0.76136831321326259</v>
      </c>
      <c r="I11" s="10">
        <v>0.23863168678673741</v>
      </c>
      <c r="J11" s="13">
        <v>6787.71</v>
      </c>
      <c r="K11" s="13">
        <v>2127.4399999999996</v>
      </c>
      <c r="L11" s="13">
        <v>677485.12</v>
      </c>
      <c r="M11" s="13">
        <v>212340.62</v>
      </c>
    </row>
    <row r="12" spans="1:13" ht="15.65">
      <c r="A12" s="5" t="s">
        <v>48</v>
      </c>
      <c r="B12" s="11" t="s">
        <v>35</v>
      </c>
      <c r="C12" s="12">
        <v>230046.16</v>
      </c>
      <c r="D12" s="12">
        <v>917203.51000000001</v>
      </c>
      <c r="E12" s="12">
        <v>683367.85999999999</v>
      </c>
      <c r="F12" s="12">
        <v>1830617.5299999998</v>
      </c>
      <c r="G12" s="13">
        <v>1600571.3700000001</v>
      </c>
      <c r="H12" s="10">
        <v>0.42695244511339719</v>
      </c>
      <c r="I12" s="10">
        <v>0.57304755488660275</v>
      </c>
      <c r="J12" s="13">
        <v>98218.770000000004</v>
      </c>
      <c r="K12" s="13">
        <v>131827.39000000001</v>
      </c>
      <c r="L12" s="13">
        <v>781586.63</v>
      </c>
      <c r="M12" s="13">
        <v>1049030.8999999999</v>
      </c>
    </row>
    <row r="13" spans="1:13" ht="15.65">
      <c r="A13" s="5" t="s">
        <v>49</v>
      </c>
      <c r="B13" s="11" t="s">
        <v>18</v>
      </c>
      <c r="C13" s="12">
        <v>85879.919999999998</v>
      </c>
      <c r="D13" s="12">
        <v>334049.34999999998</v>
      </c>
      <c r="E13" s="12">
        <v>854694.10999999999</v>
      </c>
      <c r="F13" s="12">
        <v>1274623.3799999999</v>
      </c>
      <c r="G13" s="13">
        <v>1188743.46</v>
      </c>
      <c r="H13" s="10">
        <v>0.71898953706967184</v>
      </c>
      <c r="I13" s="10">
        <v>0.28101046293032816</v>
      </c>
      <c r="J13" s="13">
        <v>61746.760000000002</v>
      </c>
      <c r="K13" s="13">
        <v>24133.159999999996</v>
      </c>
      <c r="L13" s="13">
        <v>916440.87</v>
      </c>
      <c r="M13" s="13">
        <v>358182.50999999995</v>
      </c>
    </row>
    <row r="14" spans="1:13" ht="15.65">
      <c r="A14" s="5" t="s">
        <v>50</v>
      </c>
      <c r="B14" s="11" t="s">
        <v>22</v>
      </c>
      <c r="C14" s="12">
        <v>154705.22</v>
      </c>
      <c r="D14" s="12">
        <v>3059960.7599999998</v>
      </c>
      <c r="E14" s="12">
        <v>1081857.75</v>
      </c>
      <c r="F14" s="12">
        <v>4296523.7300000004</v>
      </c>
      <c r="G14" s="13">
        <v>4141818.5099999998</v>
      </c>
      <c r="H14" s="10">
        <v>0.26120356249023574</v>
      </c>
      <c r="I14" s="10">
        <v>0.7387964375097642</v>
      </c>
      <c r="J14" s="13">
        <v>40409.550000000003</v>
      </c>
      <c r="K14" s="13">
        <v>114295.67</v>
      </c>
      <c r="L14" s="13">
        <v>1122267.3000000001</v>
      </c>
      <c r="M14" s="13">
        <v>3174256.4299999997</v>
      </c>
    </row>
    <row r="15" spans="1:13" ht="15.65">
      <c r="A15" s="5" t="s">
        <v>51</v>
      </c>
      <c r="B15" s="11" t="s">
        <v>33</v>
      </c>
      <c r="C15" s="12">
        <v>807347.64000000001</v>
      </c>
      <c r="D15" s="12">
        <v>418790.95000000001</v>
      </c>
      <c r="E15" s="12">
        <v>1256716.1799999999</v>
      </c>
      <c r="F15" s="12">
        <v>2482854.77</v>
      </c>
      <c r="G15" s="13">
        <v>1675507.1299999999</v>
      </c>
      <c r="H15" s="10">
        <v>0.7500512277736473</v>
      </c>
      <c r="I15" s="10">
        <v>0.2499487722263527</v>
      </c>
      <c r="J15" s="13">
        <v>605552.08999999997</v>
      </c>
      <c r="K15" s="13">
        <v>201795.55000000005</v>
      </c>
      <c r="L15" s="13">
        <v>1862268.27</v>
      </c>
      <c r="M15" s="13">
        <v>620586.5</v>
      </c>
    </row>
    <row r="16" spans="1:13" ht="15.65">
      <c r="A16" s="5" t="s">
        <v>52</v>
      </c>
      <c r="B16" s="11" t="s">
        <v>20</v>
      </c>
      <c r="C16" s="12">
        <v>817542.03000000003</v>
      </c>
      <c r="D16" s="12">
        <v>4979958.9500000002</v>
      </c>
      <c r="E16" s="12">
        <v>4762116.9000000004</v>
      </c>
      <c r="F16" s="12">
        <v>10559617.880000001</v>
      </c>
      <c r="G16" s="13">
        <v>9742075.8500000015</v>
      </c>
      <c r="H16" s="10">
        <v>0.48881952607667284</v>
      </c>
      <c r="I16" s="10">
        <v>0.51118047392332722</v>
      </c>
      <c r="J16" s="13">
        <v>399630.51000000001</v>
      </c>
      <c r="K16" s="13">
        <v>417911.52000000002</v>
      </c>
      <c r="L16" s="13">
        <v>5161747.4100000001</v>
      </c>
      <c r="M16" s="13">
        <v>5397870.4700000007</v>
      </c>
    </row>
    <row r="17" spans="1:13" ht="15.65">
      <c r="A17" s="5" t="s">
        <v>53</v>
      </c>
      <c r="B17" s="11" t="s">
        <v>24</v>
      </c>
      <c r="C17" s="12">
        <v>606359.93000000005</v>
      </c>
      <c r="D17" s="12">
        <v>1517099.27</v>
      </c>
      <c r="E17" s="12">
        <v>1442153.54</v>
      </c>
      <c r="F17" s="12">
        <v>3565612.7400000002</v>
      </c>
      <c r="G17" s="13">
        <v>2959252.8100000001</v>
      </c>
      <c r="H17" s="10">
        <v>0.48733705181477888</v>
      </c>
      <c r="I17" s="10">
        <v>0.51266294818522118</v>
      </c>
      <c r="J17" s="13">
        <v>295501.65999999997</v>
      </c>
      <c r="K17" s="13">
        <v>310858.27000000008</v>
      </c>
      <c r="L17" s="13">
        <v>1737655.2</v>
      </c>
      <c r="M17" s="13">
        <v>1827957.54</v>
      </c>
    </row>
    <row r="18" spans="1:13" ht="15.65">
      <c r="A18" s="5" t="s">
        <v>54</v>
      </c>
      <c r="B18" s="11" t="s">
        <v>36</v>
      </c>
      <c r="C18" s="12">
        <v>17456.549999999999</v>
      </c>
      <c r="D18" s="12">
        <v>2531.9499999999998</v>
      </c>
      <c r="E18" s="12">
        <v>0</v>
      </c>
      <c r="F18" s="12">
        <v>19988.5</v>
      </c>
      <c r="G18" s="13">
        <v>2531.9499999999998</v>
      </c>
      <c r="H18" s="10">
        <v>0</v>
      </c>
      <c r="I18" s="10">
        <v>1</v>
      </c>
      <c r="J18" s="13">
        <v>0</v>
      </c>
      <c r="K18" s="13">
        <v>17456.549999999999</v>
      </c>
      <c r="L18" s="13">
        <v>0</v>
      </c>
      <c r="M18" s="13">
        <v>19988.5</v>
      </c>
    </row>
    <row r="19" spans="1:13" ht="15.65">
      <c r="A19" s="5" t="s">
        <v>55</v>
      </c>
      <c r="B19" s="11" t="s">
        <v>29</v>
      </c>
      <c r="C19" s="12">
        <v>1251365.74</v>
      </c>
      <c r="D19" s="12">
        <v>2829585.9199999999</v>
      </c>
      <c r="E19" s="12">
        <v>1411640.5500000001</v>
      </c>
      <c r="F19" s="12">
        <v>5492592.21</v>
      </c>
      <c r="G19" s="13">
        <v>4241226.4699999997</v>
      </c>
      <c r="H19" s="10">
        <v>0.33283781471825064</v>
      </c>
      <c r="I19" s="10">
        <v>0.66716218528174931</v>
      </c>
      <c r="J19" s="13">
        <v>416501.84000000003</v>
      </c>
      <c r="K19" s="13">
        <v>834863.89999999991</v>
      </c>
      <c r="L19" s="13">
        <v>1828142.3900000001</v>
      </c>
      <c r="M19" s="13">
        <v>3664449.8199999998</v>
      </c>
    </row>
    <row r="20" spans="1:13" ht="15.65">
      <c r="A20" s="5" t="s">
        <v>56</v>
      </c>
      <c r="B20" s="11" t="s">
        <v>19</v>
      </c>
      <c r="C20" s="12">
        <v>560311.5</v>
      </c>
      <c r="D20" s="12">
        <v>1345459.8899999999</v>
      </c>
      <c r="E20" s="12">
        <v>1206764.96</v>
      </c>
      <c r="F20" s="12">
        <v>3112536.3499999996</v>
      </c>
      <c r="G20" s="13">
        <v>2552224.8499999996</v>
      </c>
      <c r="H20" s="10">
        <v>0.47282862244680368</v>
      </c>
      <c r="I20" s="10">
        <v>0.52717137755319632</v>
      </c>
      <c r="J20" s="13">
        <v>264931.31</v>
      </c>
      <c r="K20" s="13">
        <v>295380.19</v>
      </c>
      <c r="L20" s="13">
        <v>1471696.27</v>
      </c>
      <c r="M20" s="13">
        <v>1640840.0799999998</v>
      </c>
    </row>
    <row r="21" spans="1:13" ht="15.65">
      <c r="A21" s="5" t="s">
        <v>57</v>
      </c>
      <c r="B21" s="11" t="s">
        <v>16</v>
      </c>
      <c r="C21" s="12">
        <v>649554.43000000005</v>
      </c>
      <c r="D21" s="12">
        <v>1356963.8600000001</v>
      </c>
      <c r="E21" s="12">
        <v>1185193.8700000001</v>
      </c>
      <c r="F21" s="12">
        <v>3191712.1600000001</v>
      </c>
      <c r="G21" s="13">
        <v>2542157.7300000004</v>
      </c>
      <c r="H21" s="10">
        <v>0.46621570959721681</v>
      </c>
      <c r="I21" s="10">
        <v>0.53378429040278319</v>
      </c>
      <c r="J21" s="13">
        <v>302832.47999999998</v>
      </c>
      <c r="K21" s="13">
        <v>346721.95000000007</v>
      </c>
      <c r="L21" s="13">
        <v>1488026.3500000001</v>
      </c>
      <c r="M21" s="13">
        <v>1703685.8100000001</v>
      </c>
    </row>
    <row r="22" spans="1:13" ht="15.65">
      <c r="A22" s="5" t="s">
        <v>58</v>
      </c>
      <c r="B22" s="11" t="s">
        <v>21</v>
      </c>
      <c r="C22" s="12">
        <v>210498.07999999999</v>
      </c>
      <c r="D22" s="12">
        <v>2376903.1600000001</v>
      </c>
      <c r="E22" s="12">
        <v>1579080.8100000001</v>
      </c>
      <c r="F22" s="12">
        <v>4166482.0500000003</v>
      </c>
      <c r="G22" s="13">
        <v>3955983.9700000002</v>
      </c>
      <c r="H22" s="10">
        <v>0.39916259064113446</v>
      </c>
      <c r="I22" s="10">
        <v>0.60083740935886554</v>
      </c>
      <c r="J22" s="13">
        <v>84022.960000000006</v>
      </c>
      <c r="K22" s="13">
        <v>126475.11999999998</v>
      </c>
      <c r="L22" s="13">
        <v>1663103.77</v>
      </c>
      <c r="M22" s="13">
        <v>2503378.2800000003</v>
      </c>
    </row>
    <row r="23" spans="1:13" ht="15.65">
      <c r="A23" s="5" t="s">
        <v>14</v>
      </c>
      <c r="B23" s="11" t="s">
        <v>30</v>
      </c>
      <c r="C23" s="12">
        <v>108794.92999999999</v>
      </c>
      <c r="D23" s="12">
        <v>3162370.0099999998</v>
      </c>
      <c r="E23" s="12">
        <v>1203677.2</v>
      </c>
      <c r="F23" s="12">
        <v>4474842.1399999997</v>
      </c>
      <c r="G23" s="13">
        <v>4366047.21</v>
      </c>
      <c r="H23" s="10">
        <v>0.27569037669659097</v>
      </c>
      <c r="I23" s="10">
        <v>0.72430962330340898</v>
      </c>
      <c r="J23" s="13">
        <v>29993.720000000001</v>
      </c>
      <c r="K23" s="13">
        <v>78801.209999999992</v>
      </c>
      <c r="L23" s="13">
        <v>1233670.9199999999</v>
      </c>
      <c r="M23" s="13">
        <v>3241171.2199999997</v>
      </c>
    </row>
    <row r="24" spans="1:13" ht="15.65">
      <c r="A24" s="5" t="s">
        <v>59</v>
      </c>
      <c r="B24" s="11" t="s">
        <v>37</v>
      </c>
      <c r="C24" s="12">
        <v>354688.41999999998</v>
      </c>
      <c r="D24" s="12">
        <v>2860444.6400000001</v>
      </c>
      <c r="E24" s="12">
        <v>68673.410000000003</v>
      </c>
      <c r="F24" s="12">
        <v>3283806.4700000002</v>
      </c>
      <c r="G24" s="13">
        <v>2929118.0500000003</v>
      </c>
      <c r="H24" s="10">
        <v>0.023445081020206746</v>
      </c>
      <c r="I24" s="10">
        <v>0.9765549189797933</v>
      </c>
      <c r="J24" s="13">
        <v>8315.7000000000007</v>
      </c>
      <c r="K24" s="13">
        <v>346372.71999999997</v>
      </c>
      <c r="L24" s="13">
        <v>76989.110000000001</v>
      </c>
      <c r="M24" s="13">
        <v>3206817.3600000003</v>
      </c>
    </row>
    <row r="25" spans="1:13" ht="15.65">
      <c r="A25" s="5" t="s">
        <v>60</v>
      </c>
      <c r="B25" s="11" t="s">
        <v>61</v>
      </c>
      <c r="C25" s="12">
        <v>3866.3200000000002</v>
      </c>
      <c r="D25" s="12">
        <v>0</v>
      </c>
      <c r="E25" s="12">
        <v>0</v>
      </c>
      <c r="F25" s="12">
        <v>3866.3200000000002</v>
      </c>
      <c r="G25" s="13">
        <v>0</v>
      </c>
      <c r="H25" s="10">
        <v>0.36728150445739166</v>
      </c>
      <c r="I25" s="10">
        <v>0.63271849554260839</v>
      </c>
      <c r="J25" s="13">
        <v>1420.03</v>
      </c>
      <c r="K25" s="13">
        <v>2446.29</v>
      </c>
      <c r="L25" s="13">
        <v>1420.03</v>
      </c>
      <c r="M25" s="13">
        <v>2446.29</v>
      </c>
    </row>
    <row r="26" spans="2:13" ht="15.65">
      <c r="B26" s="11"/>
      <c r="C26" s="12"/>
      <c r="D26" s="12"/>
      <c r="E26" s="12"/>
      <c r="F26" s="12"/>
      <c r="G26" s="13"/>
      <c r="H26" s="10"/>
      <c r="I26" s="10"/>
      <c r="J26" s="13"/>
      <c r="K26" s="13"/>
      <c r="L26" s="13"/>
      <c r="M26" s="13"/>
    </row>
    <row r="27" spans="3:13" ht="16.3" thickBot="1">
      <c r="C27" s="14">
        <f>SUM(C2:C26)</f>
        <v>9275942.3800000008</v>
      </c>
      <c r="D27" s="14">
        <f>SUM(D2:D26)</f>
        <v>60571940.030000009</v>
      </c>
      <c r="E27" s="14">
        <f>SUM(E2:E26)</f>
        <v>35160902.390000001</v>
      </c>
      <c r="F27" s="14">
        <f>SUM(F2:F26)</f>
        <v>105008784.79999997</v>
      </c>
      <c r="G27" s="14">
        <f>SUM(G2:G26)</f>
        <v>95732842.419999987</v>
      </c>
      <c r="J27" s="14">
        <f>SUM(J2:J26)</f>
        <v>4034271.1600000001</v>
      </c>
      <c r="K27" s="14">
        <f>SUM(K2:K26)</f>
        <v>5241671.2199999997</v>
      </c>
      <c r="L27" s="14">
        <f>SUM(L2:L26)</f>
        <v>39195173.550000004</v>
      </c>
      <c r="M27" s="14">
        <f>SUM(M2:M26)</f>
        <v>65813611.249999993</v>
      </c>
    </row>
    <row r="28" ht="17" thickTop="1" thickBot="1"/>
    <row r="29" spans="7:9" ht="16.3" thickBot="1">
      <c r="G29" s="15" t="s">
        <v>8</v>
      </c>
      <c r="H29" s="16">
        <f>E27/G27</f>
        <v>0.36728150445739166</v>
      </c>
      <c r="I29" s="17">
        <f>1-H29</f>
        <v>0.63271849554260839</v>
      </c>
    </row>
  </sheetData>
  <pageMargins left="0.7" right="0.7" top="2.665" bottom="0.75" header="1.5" footer="0.3"/>
  <pageSetup fitToHeight="0" orientation="landscape" scale="48" r:id="rId1"/>
  <headerFooter alignWithMargins="0">
    <oddHeader>&amp;C&amp;"Arial,Bold"&amp;12
2022 RATE CASE
ONCOR ELECTRIC DELIVERY COMPANY LLC
TCOS ALLOCATION OF FERC ACCOUNT 362 NTUSU ONLY
FOR THE TEST YEAR ENDING DECEMBER 31, 2021
SPONSOR: W. A. LEDBETTER
&amp;R&amp;"Arial,Bold"&amp;12WP/II-B-1/10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FHHXVRPN3UPD-1807981734-30104</_dlc_DocId>
    <_dlc_DocIdUrl xmlns="4f7156c1-be87-4d1f-9274-ce189f982c1a">
      <Url>http://intranet.corp.oncor.com/sites/Finance/_layouts/15/DocIdRedir.aspx?ID=FHHXVRPN3UPD-1807981734-30104</Url>
      <Description>FHHXVRPN3UPD-1807981734-30104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27338B-0EED-4078-AD2E-F181C6E3608E}">
  <ds:schemaRefs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442DCE2-5973-41E0-BB9C-CA4DBC130F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343CC-E4A0-4F91-9B33-BF7C733E68F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9C61742-1BEF-4438-9F64-152A78F1B3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II-B-1_10 TCOS - 362 NTU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ac7ba13f-6f58-4875-abad-542408d795f7</vt:lpwstr>
  </property>
</Properties>
</file>